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Cronus Prerelease\Excel\Workbooks\SAP Script Connection\"/>
    </mc:Choice>
  </mc:AlternateContent>
  <bookViews>
    <workbookView xWindow="18600" yWindow="5400" windowWidth="28800" windowHeight="14130"/>
  </bookViews>
  <sheets>
    <sheet name="MM01-BOB" sheetId="6" r:id="rId1"/>
    <sheet name="MM01" sheetId="13" r:id="rId2"/>
    <sheet name="CA02" sheetId="9" r:id="rId3"/>
    <sheet name="CS40" sheetId="8" r:id="rId4"/>
    <sheet name="MM02" sheetId="10" r:id="rId5"/>
    <sheet name="C223" sheetId="12" r:id="rId6"/>
    <sheet name="MM01-EXP" sheetId="14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Consulta!$A$1:$AL$8</definedName>
    <definedName name="LocalArquivo">Tabela3[DIRETORIO DA CONSULTA (POWER QUERY)]</definedName>
  </definedNames>
  <calcPr calcId="162913"/>
</workbook>
</file>

<file path=xl/calcChain.xml><?xml version="1.0" encoding="utf-8"?>
<calcChain xmlns="http://schemas.openxmlformats.org/spreadsheetml/2006/main">
  <c r="BA6" i="6" l="1"/>
  <c r="BA7" i="6"/>
  <c r="BA8" i="6"/>
  <c r="BA9" i="6"/>
  <c r="BA10" i="6"/>
  <c r="BA11" i="6"/>
  <c r="BA12" i="6"/>
  <c r="BA13" i="6"/>
  <c r="BA14" i="6"/>
  <c r="BA15" i="6"/>
  <c r="BA16" i="6"/>
  <c r="BA17" i="6"/>
  <c r="BA18" i="6"/>
  <c r="BA19" i="6"/>
  <c r="BA20" i="6"/>
  <c r="BA21" i="6"/>
  <c r="BA22" i="6"/>
  <c r="BA23" i="6"/>
  <c r="BA24" i="6"/>
  <c r="BA25" i="6"/>
  <c r="BA26" i="6"/>
  <c r="BA27" i="6"/>
  <c r="BA28" i="6"/>
  <c r="BA29" i="6"/>
  <c r="BA30" i="6"/>
  <c r="BA31" i="6"/>
  <c r="BA32" i="6"/>
  <c r="BA33" i="6"/>
  <c r="BA34" i="6"/>
  <c r="BA35" i="6"/>
  <c r="BA36" i="6"/>
  <c r="BA37" i="6"/>
  <c r="BA38" i="6"/>
  <c r="BA39" i="6"/>
  <c r="BA40" i="6"/>
  <c r="BA5" i="6"/>
  <c r="BF6" i="6" l="1"/>
  <c r="BF7" i="6"/>
  <c r="BF8" i="6"/>
  <c r="BF9" i="6"/>
  <c r="BF10" i="6"/>
  <c r="BF11" i="6"/>
  <c r="BF12" i="6"/>
  <c r="BF13" i="6"/>
  <c r="BF14" i="6"/>
  <c r="BF15" i="6"/>
  <c r="BF16" i="6"/>
  <c r="BF17" i="6"/>
  <c r="BF18" i="6"/>
  <c r="BF19" i="6"/>
  <c r="BF20" i="6"/>
  <c r="BF21" i="6"/>
  <c r="BF22" i="6"/>
  <c r="BF23" i="6"/>
  <c r="BF24" i="6"/>
  <c r="BF25" i="6"/>
  <c r="BF26" i="6"/>
  <c r="BF27" i="6"/>
  <c r="BF28" i="6"/>
  <c r="BF29" i="6"/>
  <c r="BF30" i="6"/>
  <c r="BF31" i="6"/>
  <c r="BF32" i="6"/>
  <c r="BF33" i="6"/>
  <c r="BF34" i="6"/>
  <c r="BF35" i="6"/>
  <c r="BF36" i="6"/>
  <c r="BF37" i="6"/>
  <c r="BF38" i="6"/>
  <c r="BF39" i="6"/>
  <c r="BF40" i="6"/>
  <c r="BF5" i="6"/>
  <c r="BE6" i="6"/>
  <c r="BE7" i="6"/>
  <c r="BE8" i="6"/>
  <c r="BE9" i="6"/>
  <c r="BE10" i="6"/>
  <c r="BE11" i="6"/>
  <c r="BE12" i="6"/>
  <c r="BE13" i="6"/>
  <c r="BE14" i="6"/>
  <c r="BE15" i="6"/>
  <c r="BE16" i="6"/>
  <c r="BE17" i="6"/>
  <c r="BE18" i="6"/>
  <c r="BE19" i="6"/>
  <c r="BE20" i="6"/>
  <c r="BE21" i="6"/>
  <c r="BE22" i="6"/>
  <c r="BE23" i="6"/>
  <c r="BE24" i="6"/>
  <c r="BE25" i="6"/>
  <c r="BE26" i="6"/>
  <c r="BE27" i="6"/>
  <c r="BE28" i="6"/>
  <c r="BE29" i="6"/>
  <c r="BE30" i="6"/>
  <c r="BE31" i="6"/>
  <c r="BE32" i="6"/>
  <c r="BE33" i="6"/>
  <c r="BE34" i="6"/>
  <c r="BE35" i="6"/>
  <c r="BE36" i="6"/>
  <c r="BE37" i="6"/>
  <c r="BE38" i="6"/>
  <c r="BE39" i="6"/>
  <c r="BE40" i="6"/>
  <c r="BE5" i="6"/>
  <c r="BJ6" i="6"/>
  <c r="BJ7" i="6"/>
  <c r="BJ8" i="6"/>
  <c r="BJ9" i="6"/>
  <c r="BJ10" i="6"/>
  <c r="BJ11" i="6"/>
  <c r="BJ12" i="6"/>
  <c r="BJ13" i="6"/>
  <c r="BJ14" i="6"/>
  <c r="BJ15" i="6"/>
  <c r="BJ16" i="6"/>
  <c r="BJ17" i="6"/>
  <c r="BJ18" i="6"/>
  <c r="BJ19" i="6"/>
  <c r="BJ20" i="6"/>
  <c r="BJ21" i="6"/>
  <c r="BJ22" i="6"/>
  <c r="BJ23" i="6"/>
  <c r="BJ24" i="6"/>
  <c r="BJ25" i="6"/>
  <c r="BJ26" i="6"/>
  <c r="BJ27" i="6"/>
  <c r="BJ28" i="6"/>
  <c r="BJ29" i="6"/>
  <c r="BJ30" i="6"/>
  <c r="BJ31" i="6"/>
  <c r="BJ32" i="6"/>
  <c r="BJ33" i="6"/>
  <c r="BJ34" i="6"/>
  <c r="BJ35" i="6"/>
  <c r="BJ36" i="6"/>
  <c r="BJ37" i="6"/>
  <c r="BJ38" i="6"/>
  <c r="BJ39" i="6"/>
  <c r="BJ40" i="6"/>
  <c r="BJ5" i="6"/>
  <c r="CG6" i="6"/>
  <c r="CH6" i="6"/>
  <c r="CI6" i="6"/>
  <c r="CJ6" i="6"/>
  <c r="CG7" i="6"/>
  <c r="CH7" i="6"/>
  <c r="CI7" i="6"/>
  <c r="CJ7" i="6"/>
  <c r="CG8" i="6"/>
  <c r="CH8" i="6"/>
  <c r="CI8" i="6"/>
  <c r="CJ8" i="6"/>
  <c r="CG9" i="6"/>
  <c r="CH9" i="6"/>
  <c r="CI9" i="6"/>
  <c r="CJ9" i="6"/>
  <c r="CG10" i="6"/>
  <c r="CH10" i="6"/>
  <c r="CI10" i="6"/>
  <c r="CJ10" i="6"/>
  <c r="CG11" i="6"/>
  <c r="CH11" i="6"/>
  <c r="CI11" i="6"/>
  <c r="CJ11" i="6"/>
  <c r="CG12" i="6"/>
  <c r="CH12" i="6"/>
  <c r="CI12" i="6"/>
  <c r="CJ12" i="6"/>
  <c r="CG13" i="6"/>
  <c r="CH13" i="6"/>
  <c r="CI13" i="6"/>
  <c r="CJ13" i="6"/>
  <c r="CG14" i="6"/>
  <c r="CH14" i="6"/>
  <c r="CI14" i="6"/>
  <c r="CJ14" i="6"/>
  <c r="CG15" i="6"/>
  <c r="CH15" i="6"/>
  <c r="CI15" i="6"/>
  <c r="CJ15" i="6"/>
  <c r="CG16" i="6"/>
  <c r="CH16" i="6"/>
  <c r="CI16" i="6"/>
  <c r="CJ16" i="6"/>
  <c r="CG17" i="6"/>
  <c r="CH17" i="6"/>
  <c r="CI17" i="6"/>
  <c r="CJ17" i="6"/>
  <c r="CG18" i="6"/>
  <c r="CH18" i="6"/>
  <c r="CI18" i="6"/>
  <c r="CJ18" i="6"/>
  <c r="CG19" i="6"/>
  <c r="CH19" i="6"/>
  <c r="CI19" i="6"/>
  <c r="CJ19" i="6"/>
  <c r="CG20" i="6"/>
  <c r="CH20" i="6"/>
  <c r="CI20" i="6"/>
  <c r="CJ20" i="6"/>
  <c r="CG21" i="6"/>
  <c r="CH21" i="6"/>
  <c r="CI21" i="6"/>
  <c r="CJ21" i="6"/>
  <c r="CG22" i="6"/>
  <c r="CH22" i="6"/>
  <c r="CI22" i="6"/>
  <c r="CJ22" i="6"/>
  <c r="CG23" i="6"/>
  <c r="CH23" i="6"/>
  <c r="CI23" i="6"/>
  <c r="CJ23" i="6"/>
  <c r="CG24" i="6"/>
  <c r="CH24" i="6"/>
  <c r="CI24" i="6"/>
  <c r="CJ24" i="6"/>
  <c r="CG25" i="6"/>
  <c r="CH25" i="6"/>
  <c r="CI25" i="6"/>
  <c r="CJ25" i="6"/>
  <c r="CG26" i="6"/>
  <c r="CH26" i="6"/>
  <c r="CI26" i="6"/>
  <c r="CJ26" i="6"/>
  <c r="CG27" i="6"/>
  <c r="CH27" i="6"/>
  <c r="CI27" i="6"/>
  <c r="CJ27" i="6"/>
  <c r="CG28" i="6"/>
  <c r="CH28" i="6"/>
  <c r="CI28" i="6"/>
  <c r="CJ28" i="6"/>
  <c r="CG29" i="6"/>
  <c r="CH29" i="6"/>
  <c r="CI29" i="6"/>
  <c r="CJ29" i="6"/>
  <c r="CG30" i="6"/>
  <c r="CH30" i="6"/>
  <c r="CI30" i="6"/>
  <c r="CJ30" i="6"/>
  <c r="CG31" i="6"/>
  <c r="CH31" i="6"/>
  <c r="CI31" i="6"/>
  <c r="CJ31" i="6"/>
  <c r="CG32" i="6"/>
  <c r="CH32" i="6"/>
  <c r="CI32" i="6"/>
  <c r="CJ32" i="6"/>
  <c r="CG33" i="6"/>
  <c r="CH33" i="6"/>
  <c r="CI33" i="6"/>
  <c r="CJ33" i="6"/>
  <c r="CG34" i="6"/>
  <c r="CH34" i="6"/>
  <c r="CI34" i="6"/>
  <c r="CJ34" i="6"/>
  <c r="CG35" i="6"/>
  <c r="CH35" i="6"/>
  <c r="CI35" i="6"/>
  <c r="CJ35" i="6"/>
  <c r="CG36" i="6"/>
  <c r="CH36" i="6"/>
  <c r="CI36" i="6"/>
  <c r="CJ36" i="6"/>
  <c r="CG37" i="6"/>
  <c r="CH37" i="6"/>
  <c r="CI37" i="6"/>
  <c r="CJ37" i="6"/>
  <c r="CG38" i="6"/>
  <c r="CH38" i="6"/>
  <c r="CI38" i="6"/>
  <c r="CJ38" i="6"/>
  <c r="CG39" i="6"/>
  <c r="CH39" i="6"/>
  <c r="CI39" i="6"/>
  <c r="CJ39" i="6"/>
  <c r="CG40" i="6"/>
  <c r="CH40" i="6"/>
  <c r="CI40" i="6"/>
  <c r="CJ40" i="6"/>
  <c r="CJ5" i="6"/>
  <c r="CI5" i="6"/>
  <c r="CH5" i="6"/>
  <c r="CG5" i="6"/>
  <c r="DD6" i="6"/>
  <c r="DD7" i="6"/>
  <c r="DD8" i="6"/>
  <c r="DD9" i="6"/>
  <c r="DD10" i="6"/>
  <c r="DD11" i="6"/>
  <c r="DD12" i="6"/>
  <c r="DD13" i="6"/>
  <c r="DD14" i="6"/>
  <c r="DD15" i="6"/>
  <c r="DD16" i="6"/>
  <c r="DD17" i="6"/>
  <c r="DD18" i="6"/>
  <c r="DD19" i="6"/>
  <c r="DD20" i="6"/>
  <c r="DD21" i="6"/>
  <c r="DD22" i="6"/>
  <c r="DD23" i="6"/>
  <c r="DD24" i="6"/>
  <c r="DD25" i="6"/>
  <c r="DD26" i="6"/>
  <c r="DD27" i="6"/>
  <c r="DD28" i="6"/>
  <c r="DD29" i="6"/>
  <c r="DD30" i="6"/>
  <c r="DD31" i="6"/>
  <c r="DD32" i="6"/>
  <c r="DD33" i="6"/>
  <c r="DD34" i="6"/>
  <c r="DD35" i="6"/>
  <c r="DD36" i="6"/>
  <c r="DD37" i="6"/>
  <c r="DD38" i="6"/>
  <c r="DD39" i="6"/>
  <c r="DD40" i="6"/>
  <c r="DD5" i="6"/>
  <c r="DS6" i="6" l="1"/>
  <c r="DT6" i="6" s="1"/>
  <c r="DS7" i="6"/>
  <c r="DT7" i="6" s="1"/>
  <c r="DS8" i="6"/>
  <c r="DT8" i="6" s="1"/>
  <c r="DS9" i="6"/>
  <c r="DT9" i="6" s="1"/>
  <c r="DS10" i="6"/>
  <c r="DT10" i="6" s="1"/>
  <c r="DS11" i="6"/>
  <c r="DT11" i="6" s="1"/>
  <c r="DS12" i="6"/>
  <c r="DT12" i="6" s="1"/>
  <c r="DS13" i="6"/>
  <c r="DT13" i="6" s="1"/>
  <c r="DS14" i="6"/>
  <c r="DT14" i="6" s="1"/>
  <c r="DS15" i="6"/>
  <c r="DT15" i="6" s="1"/>
  <c r="DS16" i="6"/>
  <c r="DT16" i="6" s="1"/>
  <c r="DS17" i="6"/>
  <c r="DT17" i="6" s="1"/>
  <c r="DS18" i="6"/>
  <c r="DT18" i="6" s="1"/>
  <c r="DS19" i="6"/>
  <c r="DT19" i="6" s="1"/>
  <c r="DS20" i="6"/>
  <c r="DT20" i="6" s="1"/>
  <c r="DS21" i="6"/>
  <c r="DT21" i="6" s="1"/>
  <c r="DS22" i="6"/>
  <c r="DT22" i="6" s="1"/>
  <c r="DS23" i="6"/>
  <c r="DT23" i="6" s="1"/>
  <c r="DS24" i="6"/>
  <c r="DT24" i="6" s="1"/>
  <c r="DS25" i="6"/>
  <c r="DT25" i="6" s="1"/>
  <c r="DS26" i="6"/>
  <c r="DT26" i="6" s="1"/>
  <c r="DS27" i="6"/>
  <c r="DT27" i="6" s="1"/>
  <c r="DS28" i="6"/>
  <c r="DT28" i="6" s="1"/>
  <c r="DS29" i="6"/>
  <c r="DT29" i="6" s="1"/>
  <c r="DS30" i="6"/>
  <c r="DT30" i="6" s="1"/>
  <c r="DS31" i="6"/>
  <c r="DT31" i="6" s="1"/>
  <c r="DS32" i="6"/>
  <c r="DT32" i="6" s="1"/>
  <c r="DS33" i="6"/>
  <c r="DT33" i="6" s="1"/>
  <c r="DS34" i="6"/>
  <c r="DT34" i="6" s="1"/>
  <c r="DS35" i="6"/>
  <c r="DT35" i="6" s="1"/>
  <c r="DS36" i="6"/>
  <c r="DT36" i="6" s="1"/>
  <c r="DS37" i="6"/>
  <c r="DT37" i="6" s="1"/>
  <c r="DS38" i="6"/>
  <c r="DT38" i="6" s="1"/>
  <c r="DS39" i="6"/>
  <c r="DT39" i="6" s="1"/>
  <c r="DS40" i="6"/>
  <c r="DT40" i="6" s="1"/>
  <c r="DS5" i="6"/>
  <c r="DT5" i="6" s="1"/>
  <c r="D6" i="12" l="1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L9" i="7"/>
  <c r="CW40" i="14" l="1"/>
  <c r="CP40" i="14"/>
  <c r="CO40" i="14"/>
  <c r="CJ40" i="14"/>
  <c r="CE40" i="14"/>
  <c r="CD40" i="14"/>
  <c r="CB40" i="14"/>
  <c r="CA40" i="14"/>
  <c r="BP40" i="14"/>
  <c r="BO40" i="14"/>
  <c r="BH40" i="14"/>
  <c r="AV40" i="14"/>
  <c r="AU40" i="14"/>
  <c r="AT40" i="14"/>
  <c r="AS40" i="14"/>
  <c r="AR40" i="14"/>
  <c r="AQ40" i="14"/>
  <c r="AP40" i="14"/>
  <c r="AO40" i="14"/>
  <c r="I40" i="14"/>
  <c r="D40" i="14"/>
  <c r="E40" i="14" s="1"/>
  <c r="C40" i="14"/>
  <c r="A40" i="14"/>
  <c r="CW39" i="14"/>
  <c r="CP39" i="14"/>
  <c r="CO39" i="14"/>
  <c r="CJ39" i="14"/>
  <c r="CE39" i="14"/>
  <c r="CD39" i="14"/>
  <c r="CB39" i="14"/>
  <c r="CA39" i="14"/>
  <c r="BP39" i="14"/>
  <c r="BO39" i="14"/>
  <c r="BH39" i="14"/>
  <c r="AV39" i="14"/>
  <c r="AU39" i="14"/>
  <c r="AT39" i="14"/>
  <c r="AS39" i="14"/>
  <c r="AR39" i="14"/>
  <c r="AQ39" i="14"/>
  <c r="AP39" i="14"/>
  <c r="AO39" i="14"/>
  <c r="I39" i="14"/>
  <c r="D39" i="14"/>
  <c r="BC39" i="14" s="1"/>
  <c r="C39" i="14"/>
  <c r="A39" i="14"/>
  <c r="CW38" i="14"/>
  <c r="CP38" i="14"/>
  <c r="CO38" i="14"/>
  <c r="CJ38" i="14"/>
  <c r="CE38" i="14"/>
  <c r="CD38" i="14"/>
  <c r="CB38" i="14"/>
  <c r="CA38" i="14"/>
  <c r="BP38" i="14"/>
  <c r="BO38" i="14"/>
  <c r="BH38" i="14"/>
  <c r="AV38" i="14"/>
  <c r="AU38" i="14"/>
  <c r="AT38" i="14"/>
  <c r="AS38" i="14"/>
  <c r="AR38" i="14"/>
  <c r="AQ38" i="14"/>
  <c r="AP38" i="14"/>
  <c r="AO38" i="14"/>
  <c r="I38" i="14"/>
  <c r="D38" i="14"/>
  <c r="BC38" i="14" s="1"/>
  <c r="C38" i="14"/>
  <c r="A38" i="14"/>
  <c r="CW37" i="14"/>
  <c r="CP37" i="14"/>
  <c r="CO37" i="14"/>
  <c r="CJ37" i="14"/>
  <c r="CE37" i="14"/>
  <c r="CD37" i="14"/>
  <c r="CB37" i="14"/>
  <c r="CA37" i="14"/>
  <c r="BP37" i="14"/>
  <c r="BO37" i="14"/>
  <c r="BH37" i="14"/>
  <c r="AV37" i="14"/>
  <c r="AU37" i="14"/>
  <c r="AT37" i="14"/>
  <c r="AS37" i="14"/>
  <c r="AR37" i="14"/>
  <c r="AQ37" i="14"/>
  <c r="AP37" i="14"/>
  <c r="AO37" i="14"/>
  <c r="I37" i="14"/>
  <c r="D37" i="14"/>
  <c r="E37" i="14" s="1"/>
  <c r="C37" i="14"/>
  <c r="A37" i="14"/>
  <c r="CW36" i="14"/>
  <c r="CP36" i="14"/>
  <c r="CO36" i="14"/>
  <c r="CJ36" i="14"/>
  <c r="CE36" i="14"/>
  <c r="CD36" i="14"/>
  <c r="CB36" i="14"/>
  <c r="CA36" i="14"/>
  <c r="BP36" i="14"/>
  <c r="BO36" i="14"/>
  <c r="BH36" i="14"/>
  <c r="AV36" i="14"/>
  <c r="AU36" i="14"/>
  <c r="AT36" i="14"/>
  <c r="AS36" i="14"/>
  <c r="AR36" i="14"/>
  <c r="AQ36" i="14"/>
  <c r="AP36" i="14"/>
  <c r="AO36" i="14"/>
  <c r="I36" i="14"/>
  <c r="D36" i="14"/>
  <c r="E36" i="14" s="1"/>
  <c r="C36" i="14"/>
  <c r="A36" i="14"/>
  <c r="CW35" i="14"/>
  <c r="CP35" i="14"/>
  <c r="CO35" i="14"/>
  <c r="CJ35" i="14"/>
  <c r="CE35" i="14"/>
  <c r="CD35" i="14"/>
  <c r="CB35" i="14"/>
  <c r="CA35" i="14"/>
  <c r="BP35" i="14"/>
  <c r="BO35" i="14"/>
  <c r="BH35" i="14"/>
  <c r="AV35" i="14"/>
  <c r="AU35" i="14"/>
  <c r="AT35" i="14"/>
  <c r="AS35" i="14"/>
  <c r="AR35" i="14"/>
  <c r="AQ35" i="14"/>
  <c r="AP35" i="14"/>
  <c r="AO35" i="14"/>
  <c r="I35" i="14"/>
  <c r="D35" i="14"/>
  <c r="E35" i="14" s="1"/>
  <c r="C35" i="14"/>
  <c r="A35" i="14"/>
  <c r="CW34" i="14"/>
  <c r="CP34" i="14"/>
  <c r="CO34" i="14"/>
  <c r="CJ34" i="14"/>
  <c r="CE34" i="14"/>
  <c r="CD34" i="14"/>
  <c r="CB34" i="14"/>
  <c r="CA34" i="14"/>
  <c r="BP34" i="14"/>
  <c r="BO34" i="14"/>
  <c r="BH34" i="14"/>
  <c r="AV34" i="14"/>
  <c r="AU34" i="14"/>
  <c r="AT34" i="14"/>
  <c r="AS34" i="14"/>
  <c r="AR34" i="14"/>
  <c r="AQ34" i="14"/>
  <c r="AP34" i="14"/>
  <c r="AO34" i="14"/>
  <c r="I34" i="14"/>
  <c r="D34" i="14"/>
  <c r="E34" i="14" s="1"/>
  <c r="C34" i="14"/>
  <c r="A34" i="14"/>
  <c r="CW33" i="14"/>
  <c r="CP33" i="14"/>
  <c r="CO33" i="14"/>
  <c r="CJ33" i="14"/>
  <c r="CE33" i="14"/>
  <c r="CD33" i="14"/>
  <c r="CB33" i="14"/>
  <c r="CA33" i="14"/>
  <c r="BP33" i="14"/>
  <c r="BO33" i="14"/>
  <c r="BH33" i="14"/>
  <c r="AV33" i="14"/>
  <c r="AU33" i="14"/>
  <c r="AT33" i="14"/>
  <c r="AS33" i="14"/>
  <c r="AR33" i="14"/>
  <c r="AQ33" i="14"/>
  <c r="AP33" i="14"/>
  <c r="AO33" i="14"/>
  <c r="I33" i="14"/>
  <c r="D33" i="14"/>
  <c r="E33" i="14" s="1"/>
  <c r="C33" i="14"/>
  <c r="A33" i="14"/>
  <c r="CW32" i="14"/>
  <c r="CP32" i="14"/>
  <c r="CO32" i="14"/>
  <c r="CJ32" i="14"/>
  <c r="CE32" i="14"/>
  <c r="CD32" i="14"/>
  <c r="CB32" i="14"/>
  <c r="CA32" i="14"/>
  <c r="BP32" i="14"/>
  <c r="BO32" i="14"/>
  <c r="BH32" i="14"/>
  <c r="AV32" i="14"/>
  <c r="AU32" i="14"/>
  <c r="AT32" i="14"/>
  <c r="AS32" i="14"/>
  <c r="AR32" i="14"/>
  <c r="AQ32" i="14"/>
  <c r="AP32" i="14"/>
  <c r="AO32" i="14"/>
  <c r="I32" i="14"/>
  <c r="D32" i="14"/>
  <c r="E32" i="14" s="1"/>
  <c r="C32" i="14"/>
  <c r="A32" i="14"/>
  <c r="CW31" i="14"/>
  <c r="CP31" i="14"/>
  <c r="CO31" i="14"/>
  <c r="CJ31" i="14"/>
  <c r="CE31" i="14"/>
  <c r="CD31" i="14"/>
  <c r="CB31" i="14"/>
  <c r="CA31" i="14"/>
  <c r="BP31" i="14"/>
  <c r="BO31" i="14"/>
  <c r="BH31" i="14"/>
  <c r="AV31" i="14"/>
  <c r="AU31" i="14"/>
  <c r="AT31" i="14"/>
  <c r="AS31" i="14"/>
  <c r="AR31" i="14"/>
  <c r="AQ31" i="14"/>
  <c r="AP31" i="14"/>
  <c r="AO31" i="14"/>
  <c r="I31" i="14"/>
  <c r="D31" i="14"/>
  <c r="E31" i="14" s="1"/>
  <c r="C31" i="14"/>
  <c r="A31" i="14"/>
  <c r="CW30" i="14"/>
  <c r="CP30" i="14"/>
  <c r="CO30" i="14"/>
  <c r="CJ30" i="14"/>
  <c r="CE30" i="14"/>
  <c r="CD30" i="14"/>
  <c r="CB30" i="14"/>
  <c r="CA30" i="14"/>
  <c r="BP30" i="14"/>
  <c r="BO30" i="14"/>
  <c r="BH30" i="14"/>
  <c r="AV30" i="14"/>
  <c r="AU30" i="14"/>
  <c r="AT30" i="14"/>
  <c r="AS30" i="14"/>
  <c r="AR30" i="14"/>
  <c r="AQ30" i="14"/>
  <c r="AP30" i="14"/>
  <c r="AO30" i="14"/>
  <c r="I30" i="14"/>
  <c r="D30" i="14"/>
  <c r="E30" i="14" s="1"/>
  <c r="C30" i="14"/>
  <c r="A30" i="14"/>
  <c r="CW29" i="14"/>
  <c r="CP29" i="14"/>
  <c r="CO29" i="14"/>
  <c r="CJ29" i="14"/>
  <c r="CE29" i="14"/>
  <c r="CD29" i="14"/>
  <c r="CB29" i="14"/>
  <c r="CA29" i="14"/>
  <c r="BP29" i="14"/>
  <c r="BO29" i="14"/>
  <c r="BH29" i="14"/>
  <c r="AV29" i="14"/>
  <c r="AU29" i="14"/>
  <c r="AT29" i="14"/>
  <c r="AS29" i="14"/>
  <c r="AR29" i="14"/>
  <c r="AQ29" i="14"/>
  <c r="AP29" i="14"/>
  <c r="AO29" i="14"/>
  <c r="I29" i="14"/>
  <c r="D29" i="14"/>
  <c r="E29" i="14" s="1"/>
  <c r="C29" i="14"/>
  <c r="A29" i="14"/>
  <c r="CW28" i="14"/>
  <c r="CP28" i="14"/>
  <c r="CO28" i="14"/>
  <c r="CJ28" i="14"/>
  <c r="CE28" i="14"/>
  <c r="CD28" i="14"/>
  <c r="CB28" i="14"/>
  <c r="CA28" i="14"/>
  <c r="BP28" i="14"/>
  <c r="BO28" i="14"/>
  <c r="BH28" i="14"/>
  <c r="AV28" i="14"/>
  <c r="AU28" i="14"/>
  <c r="AT28" i="14"/>
  <c r="AS28" i="14"/>
  <c r="AR28" i="14"/>
  <c r="AQ28" i="14"/>
  <c r="AP28" i="14"/>
  <c r="AO28" i="14"/>
  <c r="I28" i="14"/>
  <c r="D28" i="14"/>
  <c r="E28" i="14" s="1"/>
  <c r="C28" i="14"/>
  <c r="A28" i="14"/>
  <c r="CW27" i="14"/>
  <c r="CP27" i="14"/>
  <c r="CO27" i="14"/>
  <c r="CJ27" i="14"/>
  <c r="CE27" i="14"/>
  <c r="CD27" i="14"/>
  <c r="CB27" i="14"/>
  <c r="CA27" i="14"/>
  <c r="BP27" i="14"/>
  <c r="BO27" i="14"/>
  <c r="BH27" i="14"/>
  <c r="AV27" i="14"/>
  <c r="AU27" i="14"/>
  <c r="AT27" i="14"/>
  <c r="AS27" i="14"/>
  <c r="AR27" i="14"/>
  <c r="AQ27" i="14"/>
  <c r="AP27" i="14"/>
  <c r="AO27" i="14"/>
  <c r="I27" i="14"/>
  <c r="D27" i="14"/>
  <c r="BC27" i="14" s="1"/>
  <c r="C27" i="14"/>
  <c r="A27" i="14"/>
  <c r="CW26" i="14"/>
  <c r="CP26" i="14"/>
  <c r="CO26" i="14"/>
  <c r="CJ26" i="14"/>
  <c r="CE26" i="14"/>
  <c r="CD26" i="14"/>
  <c r="CB26" i="14"/>
  <c r="CA26" i="14"/>
  <c r="BP26" i="14"/>
  <c r="BO26" i="14"/>
  <c r="BH26" i="14"/>
  <c r="AV26" i="14"/>
  <c r="AU26" i="14"/>
  <c r="AT26" i="14"/>
  <c r="AS26" i="14"/>
  <c r="AR26" i="14"/>
  <c r="AQ26" i="14"/>
  <c r="AP26" i="14"/>
  <c r="AO26" i="14"/>
  <c r="I26" i="14"/>
  <c r="D26" i="14"/>
  <c r="E26" i="14" s="1"/>
  <c r="C26" i="14"/>
  <c r="A26" i="14"/>
  <c r="CW25" i="14"/>
  <c r="CP25" i="14"/>
  <c r="CO25" i="14"/>
  <c r="CJ25" i="14"/>
  <c r="CE25" i="14"/>
  <c r="CD25" i="14"/>
  <c r="CB25" i="14"/>
  <c r="CA25" i="14"/>
  <c r="BP25" i="14"/>
  <c r="BO25" i="14"/>
  <c r="BH25" i="14"/>
  <c r="AV25" i="14"/>
  <c r="AU25" i="14"/>
  <c r="AT25" i="14"/>
  <c r="AS25" i="14"/>
  <c r="AR25" i="14"/>
  <c r="AQ25" i="14"/>
  <c r="AP25" i="14"/>
  <c r="AO25" i="14"/>
  <c r="I25" i="14"/>
  <c r="D25" i="14"/>
  <c r="E25" i="14" s="1"/>
  <c r="C25" i="14"/>
  <c r="A25" i="14"/>
  <c r="CW24" i="14"/>
  <c r="CP24" i="14"/>
  <c r="CO24" i="14"/>
  <c r="CJ24" i="14"/>
  <c r="CE24" i="14"/>
  <c r="CD24" i="14"/>
  <c r="CB24" i="14"/>
  <c r="CA24" i="14"/>
  <c r="BP24" i="14"/>
  <c r="BO24" i="14"/>
  <c r="BH24" i="14"/>
  <c r="AV24" i="14"/>
  <c r="AU24" i="14"/>
  <c r="AT24" i="14"/>
  <c r="AS24" i="14"/>
  <c r="AR24" i="14"/>
  <c r="AQ24" i="14"/>
  <c r="AP24" i="14"/>
  <c r="AO24" i="14"/>
  <c r="I24" i="14"/>
  <c r="D24" i="14"/>
  <c r="BC24" i="14" s="1"/>
  <c r="C24" i="14"/>
  <c r="A24" i="14"/>
  <c r="CW23" i="14"/>
  <c r="CP23" i="14"/>
  <c r="CO23" i="14"/>
  <c r="CJ23" i="14"/>
  <c r="CE23" i="14"/>
  <c r="CD23" i="14"/>
  <c r="CB23" i="14"/>
  <c r="CA23" i="14"/>
  <c r="BP23" i="14"/>
  <c r="BO23" i="14"/>
  <c r="BH23" i="14"/>
  <c r="AV23" i="14"/>
  <c r="AU23" i="14"/>
  <c r="AT23" i="14"/>
  <c r="AS23" i="14"/>
  <c r="AR23" i="14"/>
  <c r="AQ23" i="14"/>
  <c r="AP23" i="14"/>
  <c r="AO23" i="14"/>
  <c r="I23" i="14"/>
  <c r="D23" i="14"/>
  <c r="E23" i="14" s="1"/>
  <c r="C23" i="14"/>
  <c r="A23" i="14"/>
  <c r="CW22" i="14"/>
  <c r="CP22" i="14"/>
  <c r="CO22" i="14"/>
  <c r="CJ22" i="14"/>
  <c r="CE22" i="14"/>
  <c r="CD22" i="14"/>
  <c r="CB22" i="14"/>
  <c r="CA22" i="14"/>
  <c r="BP22" i="14"/>
  <c r="BO22" i="14"/>
  <c r="BH22" i="14"/>
  <c r="AV22" i="14"/>
  <c r="AU22" i="14"/>
  <c r="AT22" i="14"/>
  <c r="AS22" i="14"/>
  <c r="AR22" i="14"/>
  <c r="AQ22" i="14"/>
  <c r="AP22" i="14"/>
  <c r="AO22" i="14"/>
  <c r="I22" i="14"/>
  <c r="D22" i="14"/>
  <c r="E22" i="14" s="1"/>
  <c r="C22" i="14"/>
  <c r="A22" i="14"/>
  <c r="CW21" i="14"/>
  <c r="CP21" i="14"/>
  <c r="CO21" i="14"/>
  <c r="CJ21" i="14"/>
  <c r="CE21" i="14"/>
  <c r="CD21" i="14"/>
  <c r="CB21" i="14"/>
  <c r="CA21" i="14"/>
  <c r="BP21" i="14"/>
  <c r="BO21" i="14"/>
  <c r="BH21" i="14"/>
  <c r="AV21" i="14"/>
  <c r="AU21" i="14"/>
  <c r="AT21" i="14"/>
  <c r="AS21" i="14"/>
  <c r="AR21" i="14"/>
  <c r="AQ21" i="14"/>
  <c r="AP21" i="14"/>
  <c r="AO21" i="14"/>
  <c r="I21" i="14"/>
  <c r="D21" i="14"/>
  <c r="E21" i="14" s="1"/>
  <c r="C21" i="14"/>
  <c r="A21" i="14"/>
  <c r="CW20" i="14"/>
  <c r="CP20" i="14"/>
  <c r="CO20" i="14"/>
  <c r="CJ20" i="14"/>
  <c r="CE20" i="14"/>
  <c r="CD20" i="14"/>
  <c r="CB20" i="14"/>
  <c r="CA20" i="14"/>
  <c r="BP20" i="14"/>
  <c r="BO20" i="14"/>
  <c r="BH20" i="14"/>
  <c r="AV20" i="14"/>
  <c r="AU20" i="14"/>
  <c r="AT20" i="14"/>
  <c r="AS20" i="14"/>
  <c r="AR20" i="14"/>
  <c r="AQ20" i="14"/>
  <c r="AP20" i="14"/>
  <c r="AO20" i="14"/>
  <c r="I20" i="14"/>
  <c r="D20" i="14"/>
  <c r="E20" i="14" s="1"/>
  <c r="C20" i="14"/>
  <c r="A20" i="14"/>
  <c r="CW19" i="14"/>
  <c r="CP19" i="14"/>
  <c r="CO19" i="14"/>
  <c r="CJ19" i="14"/>
  <c r="CE19" i="14"/>
  <c r="CD19" i="14"/>
  <c r="CB19" i="14"/>
  <c r="CA19" i="14"/>
  <c r="BP19" i="14"/>
  <c r="BO19" i="14"/>
  <c r="BH19" i="14"/>
  <c r="AV19" i="14"/>
  <c r="AU19" i="14"/>
  <c r="AT19" i="14"/>
  <c r="AS19" i="14"/>
  <c r="AR19" i="14"/>
  <c r="AQ19" i="14"/>
  <c r="AP19" i="14"/>
  <c r="AO19" i="14"/>
  <c r="I19" i="14"/>
  <c r="D19" i="14"/>
  <c r="E19" i="14" s="1"/>
  <c r="C19" i="14"/>
  <c r="A19" i="14"/>
  <c r="CW18" i="14"/>
  <c r="CP18" i="14"/>
  <c r="CO18" i="14"/>
  <c r="CJ18" i="14"/>
  <c r="CE18" i="14"/>
  <c r="CD18" i="14"/>
  <c r="CB18" i="14"/>
  <c r="CA18" i="14"/>
  <c r="BP18" i="14"/>
  <c r="BO18" i="14"/>
  <c r="BH18" i="14"/>
  <c r="AV18" i="14"/>
  <c r="AU18" i="14"/>
  <c r="AT18" i="14"/>
  <c r="AS18" i="14"/>
  <c r="AR18" i="14"/>
  <c r="AQ18" i="14"/>
  <c r="AP18" i="14"/>
  <c r="AO18" i="14"/>
  <c r="I18" i="14"/>
  <c r="D18" i="14"/>
  <c r="E18" i="14" s="1"/>
  <c r="C18" i="14"/>
  <c r="A18" i="14"/>
  <c r="CW17" i="14"/>
  <c r="CP17" i="14"/>
  <c r="CO17" i="14"/>
  <c r="CJ17" i="14"/>
  <c r="CE17" i="14"/>
  <c r="CD17" i="14"/>
  <c r="CB17" i="14"/>
  <c r="CA17" i="14"/>
  <c r="BP17" i="14"/>
  <c r="BO17" i="14"/>
  <c r="BH17" i="14"/>
  <c r="AV17" i="14"/>
  <c r="AU17" i="14"/>
  <c r="AT17" i="14"/>
  <c r="AS17" i="14"/>
  <c r="AR17" i="14"/>
  <c r="AQ17" i="14"/>
  <c r="AP17" i="14"/>
  <c r="AO17" i="14"/>
  <c r="I17" i="14"/>
  <c r="D17" i="14"/>
  <c r="E17" i="14" s="1"/>
  <c r="C17" i="14"/>
  <c r="A17" i="14"/>
  <c r="CW16" i="14"/>
  <c r="CP16" i="14"/>
  <c r="CO16" i="14"/>
  <c r="CJ16" i="14"/>
  <c r="CE16" i="14"/>
  <c r="CD16" i="14"/>
  <c r="CB16" i="14"/>
  <c r="CA16" i="14"/>
  <c r="BP16" i="14"/>
  <c r="BO16" i="14"/>
  <c r="BH16" i="14"/>
  <c r="AV16" i="14"/>
  <c r="AU16" i="14"/>
  <c r="AT16" i="14"/>
  <c r="AS16" i="14"/>
  <c r="AR16" i="14"/>
  <c r="AQ16" i="14"/>
  <c r="AP16" i="14"/>
  <c r="AO16" i="14"/>
  <c r="I16" i="14"/>
  <c r="D16" i="14"/>
  <c r="E16" i="14" s="1"/>
  <c r="C16" i="14"/>
  <c r="A16" i="14"/>
  <c r="CW15" i="14"/>
  <c r="CP15" i="14"/>
  <c r="CO15" i="14"/>
  <c r="CJ15" i="14"/>
  <c r="CE15" i="14"/>
  <c r="CD15" i="14"/>
  <c r="CB15" i="14"/>
  <c r="CA15" i="14"/>
  <c r="BP15" i="14"/>
  <c r="BO15" i="14"/>
  <c r="BH15" i="14"/>
  <c r="AV15" i="14"/>
  <c r="AU15" i="14"/>
  <c r="AT15" i="14"/>
  <c r="AS15" i="14"/>
  <c r="AR15" i="14"/>
  <c r="AQ15" i="14"/>
  <c r="AP15" i="14"/>
  <c r="AO15" i="14"/>
  <c r="I15" i="14"/>
  <c r="D15" i="14"/>
  <c r="BC15" i="14" s="1"/>
  <c r="C15" i="14"/>
  <c r="A15" i="14"/>
  <c r="CW14" i="14"/>
  <c r="CP14" i="14"/>
  <c r="CO14" i="14"/>
  <c r="CJ14" i="14"/>
  <c r="CE14" i="14"/>
  <c r="CD14" i="14"/>
  <c r="CB14" i="14"/>
  <c r="CA14" i="14"/>
  <c r="BP14" i="14"/>
  <c r="BO14" i="14"/>
  <c r="BH14" i="14"/>
  <c r="AV14" i="14"/>
  <c r="AU14" i="14"/>
  <c r="AT14" i="14"/>
  <c r="AS14" i="14"/>
  <c r="AR14" i="14"/>
  <c r="AQ14" i="14"/>
  <c r="AP14" i="14"/>
  <c r="AO14" i="14"/>
  <c r="I14" i="14"/>
  <c r="D14" i="14"/>
  <c r="E14" i="14" s="1"/>
  <c r="C14" i="14"/>
  <c r="A14" i="14"/>
  <c r="CW13" i="14"/>
  <c r="CP13" i="14"/>
  <c r="CO13" i="14"/>
  <c r="CJ13" i="14"/>
  <c r="CE13" i="14"/>
  <c r="CD13" i="14"/>
  <c r="CB13" i="14"/>
  <c r="CA13" i="14"/>
  <c r="BP13" i="14"/>
  <c r="BO13" i="14"/>
  <c r="BH13" i="14"/>
  <c r="AV13" i="14"/>
  <c r="AU13" i="14"/>
  <c r="AT13" i="14"/>
  <c r="AS13" i="14"/>
  <c r="AR13" i="14"/>
  <c r="AQ13" i="14"/>
  <c r="AP13" i="14"/>
  <c r="AO13" i="14"/>
  <c r="I13" i="14"/>
  <c r="D13" i="14"/>
  <c r="E13" i="14" s="1"/>
  <c r="C13" i="14"/>
  <c r="A13" i="14"/>
  <c r="CW12" i="14"/>
  <c r="CP12" i="14"/>
  <c r="CO12" i="14"/>
  <c r="CJ12" i="14"/>
  <c r="CE12" i="14"/>
  <c r="CD12" i="14"/>
  <c r="CB12" i="14"/>
  <c r="CA12" i="14"/>
  <c r="BP12" i="14"/>
  <c r="BO12" i="14"/>
  <c r="BH12" i="14"/>
  <c r="AV12" i="14"/>
  <c r="AU12" i="14"/>
  <c r="AT12" i="14"/>
  <c r="AS12" i="14"/>
  <c r="AR12" i="14"/>
  <c r="AQ12" i="14"/>
  <c r="AP12" i="14"/>
  <c r="AO12" i="14"/>
  <c r="I12" i="14"/>
  <c r="D12" i="14"/>
  <c r="BC12" i="14" s="1"/>
  <c r="C12" i="14"/>
  <c r="A12" i="14"/>
  <c r="CW11" i="14"/>
  <c r="CP11" i="14"/>
  <c r="CO11" i="14"/>
  <c r="CJ11" i="14"/>
  <c r="CE11" i="14"/>
  <c r="CD11" i="14"/>
  <c r="CB11" i="14"/>
  <c r="CA11" i="14"/>
  <c r="BP11" i="14"/>
  <c r="BO11" i="14"/>
  <c r="BH11" i="14"/>
  <c r="AV11" i="14"/>
  <c r="AU11" i="14"/>
  <c r="AT11" i="14"/>
  <c r="AS11" i="14"/>
  <c r="AR11" i="14"/>
  <c r="AQ11" i="14"/>
  <c r="AP11" i="14"/>
  <c r="AO11" i="14"/>
  <c r="I11" i="14"/>
  <c r="D11" i="14"/>
  <c r="E11" i="14" s="1"/>
  <c r="C11" i="14"/>
  <c r="A11" i="14"/>
  <c r="CW10" i="14"/>
  <c r="CP10" i="14"/>
  <c r="CO10" i="14"/>
  <c r="CJ10" i="14"/>
  <c r="CE10" i="14"/>
  <c r="CD10" i="14"/>
  <c r="CB10" i="14"/>
  <c r="CA10" i="14"/>
  <c r="BP10" i="14"/>
  <c r="BO10" i="14"/>
  <c r="BH10" i="14"/>
  <c r="AV10" i="14"/>
  <c r="AU10" i="14"/>
  <c r="AT10" i="14"/>
  <c r="AS10" i="14"/>
  <c r="AR10" i="14"/>
  <c r="AQ10" i="14"/>
  <c r="AP10" i="14"/>
  <c r="AO10" i="14"/>
  <c r="I10" i="14"/>
  <c r="D10" i="14"/>
  <c r="E10" i="14" s="1"/>
  <c r="C10" i="14"/>
  <c r="A10" i="14"/>
  <c r="CW9" i="14"/>
  <c r="CP9" i="14"/>
  <c r="CO9" i="14"/>
  <c r="CJ9" i="14"/>
  <c r="CE9" i="14"/>
  <c r="CD9" i="14"/>
  <c r="CB9" i="14"/>
  <c r="CA9" i="14"/>
  <c r="BP9" i="14"/>
  <c r="BO9" i="14"/>
  <c r="BH9" i="14"/>
  <c r="AV9" i="14"/>
  <c r="AU9" i="14"/>
  <c r="AT9" i="14"/>
  <c r="AS9" i="14"/>
  <c r="AR9" i="14"/>
  <c r="AQ9" i="14"/>
  <c r="AP9" i="14"/>
  <c r="AO9" i="14"/>
  <c r="I9" i="14"/>
  <c r="D9" i="14"/>
  <c r="E9" i="14" s="1"/>
  <c r="C9" i="14"/>
  <c r="A9" i="14"/>
  <c r="CW8" i="14"/>
  <c r="CP8" i="14"/>
  <c r="CO8" i="14"/>
  <c r="CJ8" i="14"/>
  <c r="CE8" i="14"/>
  <c r="CD8" i="14"/>
  <c r="CB8" i="14"/>
  <c r="CA8" i="14"/>
  <c r="BP8" i="14"/>
  <c r="BO8" i="14"/>
  <c r="BH8" i="14"/>
  <c r="AV8" i="14"/>
  <c r="AU8" i="14"/>
  <c r="AT8" i="14"/>
  <c r="AS8" i="14"/>
  <c r="AR8" i="14"/>
  <c r="AQ8" i="14"/>
  <c r="AP8" i="14"/>
  <c r="AO8" i="14"/>
  <c r="I8" i="14"/>
  <c r="D8" i="14"/>
  <c r="E8" i="14" s="1"/>
  <c r="C8" i="14"/>
  <c r="A8" i="14"/>
  <c r="CW7" i="14"/>
  <c r="CP7" i="14"/>
  <c r="CO7" i="14"/>
  <c r="CJ7" i="14"/>
  <c r="CE7" i="14"/>
  <c r="CD7" i="14"/>
  <c r="CB7" i="14"/>
  <c r="CA7" i="14"/>
  <c r="BP7" i="14"/>
  <c r="BO7" i="14"/>
  <c r="BH7" i="14"/>
  <c r="AV7" i="14"/>
  <c r="AU7" i="14"/>
  <c r="AT7" i="14"/>
  <c r="AS7" i="14"/>
  <c r="AR7" i="14"/>
  <c r="AQ7" i="14"/>
  <c r="AP7" i="14"/>
  <c r="AO7" i="14"/>
  <c r="I7" i="14"/>
  <c r="D7" i="14"/>
  <c r="E7" i="14" s="1"/>
  <c r="C7" i="14"/>
  <c r="A7" i="14"/>
  <c r="CW6" i="14"/>
  <c r="CP6" i="14"/>
  <c r="CO6" i="14"/>
  <c r="CJ6" i="14"/>
  <c r="CE6" i="14"/>
  <c r="CD6" i="14"/>
  <c r="CB6" i="14"/>
  <c r="CA6" i="14"/>
  <c r="BP6" i="14"/>
  <c r="BO6" i="14"/>
  <c r="BH6" i="14"/>
  <c r="AV6" i="14"/>
  <c r="AU6" i="14"/>
  <c r="AT6" i="14"/>
  <c r="AS6" i="14"/>
  <c r="AR6" i="14"/>
  <c r="AQ6" i="14"/>
  <c r="AP6" i="14"/>
  <c r="AO6" i="14"/>
  <c r="I6" i="14"/>
  <c r="D6" i="14"/>
  <c r="E6" i="14" s="1"/>
  <c r="C6" i="14"/>
  <c r="A6" i="14"/>
  <c r="CX40" i="13"/>
  <c r="CW40" i="13"/>
  <c r="CP40" i="13"/>
  <c r="CO40" i="13"/>
  <c r="CM40" i="13"/>
  <c r="CL40" i="13"/>
  <c r="CA40" i="13"/>
  <c r="BZ40" i="13"/>
  <c r="BS40" i="13"/>
  <c r="BN40" i="13"/>
  <c r="AY40" i="13"/>
  <c r="AW40" i="13"/>
  <c r="AT40" i="13"/>
  <c r="AR40" i="13"/>
  <c r="AP40" i="13"/>
  <c r="I40" i="13"/>
  <c r="D40" i="13"/>
  <c r="DB40" i="13" s="1"/>
  <c r="C40" i="13"/>
  <c r="A40" i="13"/>
  <c r="CX39" i="13"/>
  <c r="CW39" i="13"/>
  <c r="CP39" i="13"/>
  <c r="CO39" i="13"/>
  <c r="CM39" i="13"/>
  <c r="CL39" i="13"/>
  <c r="CA39" i="13"/>
  <c r="BZ39" i="13"/>
  <c r="BS39" i="13"/>
  <c r="BN39" i="13"/>
  <c r="AY39" i="13"/>
  <c r="AW39" i="13"/>
  <c r="AT39" i="13"/>
  <c r="AR39" i="13"/>
  <c r="AP39" i="13"/>
  <c r="I39" i="13"/>
  <c r="D39" i="13"/>
  <c r="E39" i="13" s="1"/>
  <c r="C39" i="13"/>
  <c r="A39" i="13"/>
  <c r="CX38" i="13"/>
  <c r="CW38" i="13"/>
  <c r="CP38" i="13"/>
  <c r="CO38" i="13"/>
  <c r="CM38" i="13"/>
  <c r="CL38" i="13"/>
  <c r="CA38" i="13"/>
  <c r="BZ38" i="13"/>
  <c r="BS38" i="13"/>
  <c r="BN38" i="13"/>
  <c r="AY38" i="13"/>
  <c r="AW38" i="13"/>
  <c r="AT38" i="13"/>
  <c r="AR38" i="13"/>
  <c r="AP38" i="13"/>
  <c r="I38" i="13"/>
  <c r="D38" i="13"/>
  <c r="DB38" i="13" s="1"/>
  <c r="C38" i="13"/>
  <c r="A38" i="13"/>
  <c r="CX37" i="13"/>
  <c r="CW37" i="13"/>
  <c r="CP37" i="13"/>
  <c r="CO37" i="13"/>
  <c r="CM37" i="13"/>
  <c r="CL37" i="13"/>
  <c r="CA37" i="13"/>
  <c r="BZ37" i="13"/>
  <c r="BS37" i="13"/>
  <c r="BN37" i="13"/>
  <c r="AY37" i="13"/>
  <c r="AW37" i="13"/>
  <c r="AT37" i="13"/>
  <c r="AR37" i="13"/>
  <c r="AP37" i="13"/>
  <c r="I37" i="13"/>
  <c r="D37" i="13"/>
  <c r="DB37" i="13" s="1"/>
  <c r="C37" i="13"/>
  <c r="A37" i="13"/>
  <c r="CX36" i="13"/>
  <c r="CW36" i="13"/>
  <c r="CP36" i="13"/>
  <c r="CO36" i="13"/>
  <c r="CM36" i="13"/>
  <c r="CL36" i="13"/>
  <c r="CA36" i="13"/>
  <c r="BZ36" i="13"/>
  <c r="BS36" i="13"/>
  <c r="BN36" i="13"/>
  <c r="AY36" i="13"/>
  <c r="AW36" i="13"/>
  <c r="AT36" i="13"/>
  <c r="AR36" i="13"/>
  <c r="AP36" i="13"/>
  <c r="I36" i="13"/>
  <c r="D36" i="13"/>
  <c r="E36" i="13" s="1"/>
  <c r="C36" i="13"/>
  <c r="A36" i="13"/>
  <c r="CX35" i="13"/>
  <c r="CW35" i="13"/>
  <c r="CP35" i="13"/>
  <c r="CO35" i="13"/>
  <c r="CM35" i="13"/>
  <c r="CL35" i="13"/>
  <c r="CA35" i="13"/>
  <c r="BZ35" i="13"/>
  <c r="BS35" i="13"/>
  <c r="BN35" i="13"/>
  <c r="AY35" i="13"/>
  <c r="AW35" i="13"/>
  <c r="AT35" i="13"/>
  <c r="AR35" i="13"/>
  <c r="AP35" i="13"/>
  <c r="I35" i="13"/>
  <c r="D35" i="13"/>
  <c r="DB35" i="13" s="1"/>
  <c r="C35" i="13"/>
  <c r="A35" i="13"/>
  <c r="CX34" i="13"/>
  <c r="CW34" i="13"/>
  <c r="CP34" i="13"/>
  <c r="CO34" i="13"/>
  <c r="CM34" i="13"/>
  <c r="CL34" i="13"/>
  <c r="CA34" i="13"/>
  <c r="BZ34" i="13"/>
  <c r="BS34" i="13"/>
  <c r="BN34" i="13"/>
  <c r="AY34" i="13"/>
  <c r="AW34" i="13"/>
  <c r="AT34" i="13"/>
  <c r="AR34" i="13"/>
  <c r="AP34" i="13"/>
  <c r="I34" i="13"/>
  <c r="D34" i="13"/>
  <c r="DB34" i="13" s="1"/>
  <c r="C34" i="13"/>
  <c r="A34" i="13"/>
  <c r="CX33" i="13"/>
  <c r="CW33" i="13"/>
  <c r="CP33" i="13"/>
  <c r="CO33" i="13"/>
  <c r="CM33" i="13"/>
  <c r="CL33" i="13"/>
  <c r="CA33" i="13"/>
  <c r="BZ33" i="13"/>
  <c r="BS33" i="13"/>
  <c r="BN33" i="13"/>
  <c r="AY33" i="13"/>
  <c r="AW33" i="13"/>
  <c r="AT33" i="13"/>
  <c r="AR33" i="13"/>
  <c r="AP33" i="13"/>
  <c r="I33" i="13"/>
  <c r="D33" i="13"/>
  <c r="DB33" i="13" s="1"/>
  <c r="C33" i="13"/>
  <c r="A33" i="13"/>
  <c r="CX32" i="13"/>
  <c r="CW32" i="13"/>
  <c r="CP32" i="13"/>
  <c r="CO32" i="13"/>
  <c r="CM32" i="13"/>
  <c r="CL32" i="13"/>
  <c r="CA32" i="13"/>
  <c r="BZ32" i="13"/>
  <c r="BS32" i="13"/>
  <c r="BN32" i="13"/>
  <c r="AY32" i="13"/>
  <c r="AW32" i="13"/>
  <c r="AT32" i="13"/>
  <c r="AR32" i="13"/>
  <c r="AP32" i="13"/>
  <c r="I32" i="13"/>
  <c r="D32" i="13"/>
  <c r="E32" i="13" s="1"/>
  <c r="C32" i="13"/>
  <c r="A32" i="13"/>
  <c r="CX31" i="13"/>
  <c r="CW31" i="13"/>
  <c r="CP31" i="13"/>
  <c r="CO31" i="13"/>
  <c r="CM31" i="13"/>
  <c r="CL31" i="13"/>
  <c r="CA31" i="13"/>
  <c r="BZ31" i="13"/>
  <c r="BS31" i="13"/>
  <c r="BN31" i="13"/>
  <c r="AY31" i="13"/>
  <c r="AW31" i="13"/>
  <c r="AT31" i="13"/>
  <c r="AR31" i="13"/>
  <c r="AP31" i="13"/>
  <c r="I31" i="13"/>
  <c r="D31" i="13"/>
  <c r="DB31" i="13" s="1"/>
  <c r="C31" i="13"/>
  <c r="A31" i="13"/>
  <c r="CX30" i="13"/>
  <c r="CW30" i="13"/>
  <c r="CP30" i="13"/>
  <c r="CO30" i="13"/>
  <c r="CM30" i="13"/>
  <c r="CL30" i="13"/>
  <c r="CA30" i="13"/>
  <c r="BZ30" i="13"/>
  <c r="BS30" i="13"/>
  <c r="BN30" i="13"/>
  <c r="AY30" i="13"/>
  <c r="AW30" i="13"/>
  <c r="AT30" i="13"/>
  <c r="AR30" i="13"/>
  <c r="AP30" i="13"/>
  <c r="I30" i="13"/>
  <c r="D30" i="13"/>
  <c r="DB30" i="13" s="1"/>
  <c r="C30" i="13"/>
  <c r="A30" i="13"/>
  <c r="CX29" i="13"/>
  <c r="CW29" i="13"/>
  <c r="CP29" i="13"/>
  <c r="CO29" i="13"/>
  <c r="CM29" i="13"/>
  <c r="CL29" i="13"/>
  <c r="CA29" i="13"/>
  <c r="BZ29" i="13"/>
  <c r="BS29" i="13"/>
  <c r="BN29" i="13"/>
  <c r="AY29" i="13"/>
  <c r="AW29" i="13"/>
  <c r="AT29" i="13"/>
  <c r="AR29" i="13"/>
  <c r="AP29" i="13"/>
  <c r="I29" i="13"/>
  <c r="D29" i="13"/>
  <c r="DB29" i="13" s="1"/>
  <c r="C29" i="13"/>
  <c r="A29" i="13"/>
  <c r="CX28" i="13"/>
  <c r="CW28" i="13"/>
  <c r="CP28" i="13"/>
  <c r="CO28" i="13"/>
  <c r="CM28" i="13"/>
  <c r="CL28" i="13"/>
  <c r="CA28" i="13"/>
  <c r="BZ28" i="13"/>
  <c r="BS28" i="13"/>
  <c r="BN28" i="13"/>
  <c r="AY28" i="13"/>
  <c r="AW28" i="13"/>
  <c r="AT28" i="13"/>
  <c r="AR28" i="13"/>
  <c r="AP28" i="13"/>
  <c r="I28" i="13"/>
  <c r="D28" i="13"/>
  <c r="E28" i="13" s="1"/>
  <c r="C28" i="13"/>
  <c r="A28" i="13"/>
  <c r="CX27" i="13"/>
  <c r="CW27" i="13"/>
  <c r="CP27" i="13"/>
  <c r="CO27" i="13"/>
  <c r="CM27" i="13"/>
  <c r="CL27" i="13"/>
  <c r="CA27" i="13"/>
  <c r="BZ27" i="13"/>
  <c r="BS27" i="13"/>
  <c r="BN27" i="13"/>
  <c r="AY27" i="13"/>
  <c r="AW27" i="13"/>
  <c r="AT27" i="13"/>
  <c r="AR27" i="13"/>
  <c r="AP27" i="13"/>
  <c r="I27" i="13"/>
  <c r="D27" i="13"/>
  <c r="DB27" i="13" s="1"/>
  <c r="C27" i="13"/>
  <c r="A27" i="13"/>
  <c r="CX26" i="13"/>
  <c r="CW26" i="13"/>
  <c r="CP26" i="13"/>
  <c r="CO26" i="13"/>
  <c r="CM26" i="13"/>
  <c r="CL26" i="13"/>
  <c r="CA26" i="13"/>
  <c r="BZ26" i="13"/>
  <c r="BS26" i="13"/>
  <c r="BN26" i="13"/>
  <c r="AY26" i="13"/>
  <c r="AW26" i="13"/>
  <c r="AT26" i="13"/>
  <c r="AR26" i="13"/>
  <c r="AP26" i="13"/>
  <c r="I26" i="13"/>
  <c r="D26" i="13"/>
  <c r="DB26" i="13" s="1"/>
  <c r="C26" i="13"/>
  <c r="A26" i="13"/>
  <c r="CX25" i="13"/>
  <c r="CW25" i="13"/>
  <c r="CP25" i="13"/>
  <c r="CO25" i="13"/>
  <c r="CM25" i="13"/>
  <c r="CL25" i="13"/>
  <c r="CA25" i="13"/>
  <c r="BZ25" i="13"/>
  <c r="BS25" i="13"/>
  <c r="BN25" i="13"/>
  <c r="AY25" i="13"/>
  <c r="AW25" i="13"/>
  <c r="AT25" i="13"/>
  <c r="AR25" i="13"/>
  <c r="AP25" i="13"/>
  <c r="I25" i="13"/>
  <c r="D25" i="13"/>
  <c r="DB25" i="13" s="1"/>
  <c r="C25" i="13"/>
  <c r="A25" i="13"/>
  <c r="CX24" i="13"/>
  <c r="CW24" i="13"/>
  <c r="CP24" i="13"/>
  <c r="CO24" i="13"/>
  <c r="CM24" i="13"/>
  <c r="CL24" i="13"/>
  <c r="CA24" i="13"/>
  <c r="BZ24" i="13"/>
  <c r="BS24" i="13"/>
  <c r="BN24" i="13"/>
  <c r="AY24" i="13"/>
  <c r="AW24" i="13"/>
  <c r="AT24" i="13"/>
  <c r="AR24" i="13"/>
  <c r="AP24" i="13"/>
  <c r="I24" i="13"/>
  <c r="D24" i="13"/>
  <c r="E24" i="13" s="1"/>
  <c r="C24" i="13"/>
  <c r="A24" i="13"/>
  <c r="CX23" i="13"/>
  <c r="CW23" i="13"/>
  <c r="CP23" i="13"/>
  <c r="CO23" i="13"/>
  <c r="CM23" i="13"/>
  <c r="CL23" i="13"/>
  <c r="CA23" i="13"/>
  <c r="BZ23" i="13"/>
  <c r="BS23" i="13"/>
  <c r="BN23" i="13"/>
  <c r="AY23" i="13"/>
  <c r="AW23" i="13"/>
  <c r="AT23" i="13"/>
  <c r="AR23" i="13"/>
  <c r="AP23" i="13"/>
  <c r="I23" i="13"/>
  <c r="D23" i="13"/>
  <c r="DB23" i="13" s="1"/>
  <c r="C23" i="13"/>
  <c r="A23" i="13"/>
  <c r="CX22" i="13"/>
  <c r="CW22" i="13"/>
  <c r="CP22" i="13"/>
  <c r="CO22" i="13"/>
  <c r="CM22" i="13"/>
  <c r="CL22" i="13"/>
  <c r="CA22" i="13"/>
  <c r="BZ22" i="13"/>
  <c r="BS22" i="13"/>
  <c r="BN22" i="13"/>
  <c r="AY22" i="13"/>
  <c r="AW22" i="13"/>
  <c r="AT22" i="13"/>
  <c r="AR22" i="13"/>
  <c r="AP22" i="13"/>
  <c r="I22" i="13"/>
  <c r="D22" i="13"/>
  <c r="DB22" i="13" s="1"/>
  <c r="C22" i="13"/>
  <c r="A22" i="13"/>
  <c r="CX21" i="13"/>
  <c r="CW21" i="13"/>
  <c r="CP21" i="13"/>
  <c r="CO21" i="13"/>
  <c r="CM21" i="13"/>
  <c r="CL21" i="13"/>
  <c r="CA21" i="13"/>
  <c r="BZ21" i="13"/>
  <c r="BS21" i="13"/>
  <c r="BN21" i="13"/>
  <c r="AY21" i="13"/>
  <c r="AW21" i="13"/>
  <c r="AT21" i="13"/>
  <c r="AR21" i="13"/>
  <c r="AP21" i="13"/>
  <c r="I21" i="13"/>
  <c r="D21" i="13"/>
  <c r="DB21" i="13" s="1"/>
  <c r="C21" i="13"/>
  <c r="A21" i="13"/>
  <c r="CX20" i="13"/>
  <c r="CW20" i="13"/>
  <c r="CP20" i="13"/>
  <c r="CO20" i="13"/>
  <c r="CM20" i="13"/>
  <c r="CL20" i="13"/>
  <c r="CA20" i="13"/>
  <c r="BZ20" i="13"/>
  <c r="BS20" i="13"/>
  <c r="BN20" i="13"/>
  <c r="AY20" i="13"/>
  <c r="AW20" i="13"/>
  <c r="AT20" i="13"/>
  <c r="AR20" i="13"/>
  <c r="AP20" i="13"/>
  <c r="I20" i="13"/>
  <c r="D20" i="13"/>
  <c r="E20" i="13" s="1"/>
  <c r="C20" i="13"/>
  <c r="A20" i="13"/>
  <c r="CX19" i="13"/>
  <c r="CW19" i="13"/>
  <c r="CP19" i="13"/>
  <c r="CO19" i="13"/>
  <c r="CM19" i="13"/>
  <c r="CL19" i="13"/>
  <c r="CA19" i="13"/>
  <c r="BZ19" i="13"/>
  <c r="BS19" i="13"/>
  <c r="BN19" i="13"/>
  <c r="AY19" i="13"/>
  <c r="AW19" i="13"/>
  <c r="AT19" i="13"/>
  <c r="AR19" i="13"/>
  <c r="AP19" i="13"/>
  <c r="I19" i="13"/>
  <c r="D19" i="13"/>
  <c r="DB19" i="13" s="1"/>
  <c r="C19" i="13"/>
  <c r="A19" i="13"/>
  <c r="CX18" i="13"/>
  <c r="CW18" i="13"/>
  <c r="CP18" i="13"/>
  <c r="CO18" i="13"/>
  <c r="CM18" i="13"/>
  <c r="CL18" i="13"/>
  <c r="CA18" i="13"/>
  <c r="BZ18" i="13"/>
  <c r="BS18" i="13"/>
  <c r="BN18" i="13"/>
  <c r="AY18" i="13"/>
  <c r="AW18" i="13"/>
  <c r="AT18" i="13"/>
  <c r="AR18" i="13"/>
  <c r="AP18" i="13"/>
  <c r="I18" i="13"/>
  <c r="D18" i="13"/>
  <c r="DB18" i="13" s="1"/>
  <c r="C18" i="13"/>
  <c r="A18" i="13"/>
  <c r="CX17" i="13"/>
  <c r="CW17" i="13"/>
  <c r="CP17" i="13"/>
  <c r="CO17" i="13"/>
  <c r="CM17" i="13"/>
  <c r="CL17" i="13"/>
  <c r="CA17" i="13"/>
  <c r="BZ17" i="13"/>
  <c r="BS17" i="13"/>
  <c r="BN17" i="13"/>
  <c r="AY17" i="13"/>
  <c r="AW17" i="13"/>
  <c r="AT17" i="13"/>
  <c r="AR17" i="13"/>
  <c r="AP17" i="13"/>
  <c r="I17" i="13"/>
  <c r="D17" i="13"/>
  <c r="DB17" i="13" s="1"/>
  <c r="C17" i="13"/>
  <c r="A17" i="13"/>
  <c r="CX16" i="13"/>
  <c r="CW16" i="13"/>
  <c r="CP16" i="13"/>
  <c r="CO16" i="13"/>
  <c r="CM16" i="13"/>
  <c r="CL16" i="13"/>
  <c r="CA16" i="13"/>
  <c r="BZ16" i="13"/>
  <c r="BS16" i="13"/>
  <c r="BN16" i="13"/>
  <c r="AY16" i="13"/>
  <c r="AW16" i="13"/>
  <c r="AT16" i="13"/>
  <c r="AR16" i="13"/>
  <c r="AP16" i="13"/>
  <c r="I16" i="13"/>
  <c r="D16" i="13"/>
  <c r="E16" i="13" s="1"/>
  <c r="C16" i="13"/>
  <c r="A16" i="13"/>
  <c r="CX15" i="13"/>
  <c r="CW15" i="13"/>
  <c r="CP15" i="13"/>
  <c r="CO15" i="13"/>
  <c r="CM15" i="13"/>
  <c r="CL15" i="13"/>
  <c r="CA15" i="13"/>
  <c r="BZ15" i="13"/>
  <c r="BS15" i="13"/>
  <c r="BN15" i="13"/>
  <c r="AY15" i="13"/>
  <c r="AW15" i="13"/>
  <c r="AT15" i="13"/>
  <c r="AR15" i="13"/>
  <c r="AP15" i="13"/>
  <c r="I15" i="13"/>
  <c r="D15" i="13"/>
  <c r="DB15" i="13" s="1"/>
  <c r="C15" i="13"/>
  <c r="A15" i="13"/>
  <c r="CX14" i="13"/>
  <c r="CW14" i="13"/>
  <c r="CP14" i="13"/>
  <c r="CO14" i="13"/>
  <c r="CM14" i="13"/>
  <c r="CL14" i="13"/>
  <c r="CA14" i="13"/>
  <c r="BZ14" i="13"/>
  <c r="BS14" i="13"/>
  <c r="BN14" i="13"/>
  <c r="AY14" i="13"/>
  <c r="AW14" i="13"/>
  <c r="AT14" i="13"/>
  <c r="AR14" i="13"/>
  <c r="AP14" i="13"/>
  <c r="I14" i="13"/>
  <c r="D14" i="13"/>
  <c r="DB14" i="13" s="1"/>
  <c r="C14" i="13"/>
  <c r="A14" i="13"/>
  <c r="CX13" i="13"/>
  <c r="CW13" i="13"/>
  <c r="CP13" i="13"/>
  <c r="CO13" i="13"/>
  <c r="CM13" i="13"/>
  <c r="CL13" i="13"/>
  <c r="CA13" i="13"/>
  <c r="BZ13" i="13"/>
  <c r="BS13" i="13"/>
  <c r="BN13" i="13"/>
  <c r="AY13" i="13"/>
  <c r="AW13" i="13"/>
  <c r="AT13" i="13"/>
  <c r="AR13" i="13"/>
  <c r="AP13" i="13"/>
  <c r="I13" i="13"/>
  <c r="D13" i="13"/>
  <c r="DB13" i="13" s="1"/>
  <c r="C13" i="13"/>
  <c r="A13" i="13"/>
  <c r="CX12" i="13"/>
  <c r="CW12" i="13"/>
  <c r="CP12" i="13"/>
  <c r="CO12" i="13"/>
  <c r="CM12" i="13"/>
  <c r="CL12" i="13"/>
  <c r="CA12" i="13"/>
  <c r="BZ12" i="13"/>
  <c r="BS12" i="13"/>
  <c r="BN12" i="13"/>
  <c r="AY12" i="13"/>
  <c r="AW12" i="13"/>
  <c r="AT12" i="13"/>
  <c r="AR12" i="13"/>
  <c r="AP12" i="13"/>
  <c r="I12" i="13"/>
  <c r="D12" i="13"/>
  <c r="E12" i="13" s="1"/>
  <c r="C12" i="13"/>
  <c r="A12" i="13"/>
  <c r="CX11" i="13"/>
  <c r="CW11" i="13"/>
  <c r="CP11" i="13"/>
  <c r="CO11" i="13"/>
  <c r="CM11" i="13"/>
  <c r="CL11" i="13"/>
  <c r="CA11" i="13"/>
  <c r="BZ11" i="13"/>
  <c r="BS11" i="13"/>
  <c r="BN11" i="13"/>
  <c r="AY11" i="13"/>
  <c r="AW11" i="13"/>
  <c r="AT11" i="13"/>
  <c r="AR11" i="13"/>
  <c r="AP11" i="13"/>
  <c r="I11" i="13"/>
  <c r="D11" i="13"/>
  <c r="DB11" i="13" s="1"/>
  <c r="C11" i="13"/>
  <c r="A11" i="13"/>
  <c r="CX10" i="13"/>
  <c r="CW10" i="13"/>
  <c r="CP10" i="13"/>
  <c r="CO10" i="13"/>
  <c r="CM10" i="13"/>
  <c r="CL10" i="13"/>
  <c r="CA10" i="13"/>
  <c r="BZ10" i="13"/>
  <c r="BS10" i="13"/>
  <c r="BN10" i="13"/>
  <c r="AY10" i="13"/>
  <c r="AW10" i="13"/>
  <c r="AT10" i="13"/>
  <c r="AR10" i="13"/>
  <c r="AP10" i="13"/>
  <c r="I10" i="13"/>
  <c r="D10" i="13"/>
  <c r="DB10" i="13" s="1"/>
  <c r="C10" i="13"/>
  <c r="A10" i="13"/>
  <c r="CX9" i="13"/>
  <c r="CW9" i="13"/>
  <c r="CP9" i="13"/>
  <c r="CO9" i="13"/>
  <c r="CM9" i="13"/>
  <c r="CL9" i="13"/>
  <c r="CA9" i="13"/>
  <c r="BZ9" i="13"/>
  <c r="BS9" i="13"/>
  <c r="BN9" i="13"/>
  <c r="AY9" i="13"/>
  <c r="AW9" i="13"/>
  <c r="AT9" i="13"/>
  <c r="AR9" i="13"/>
  <c r="AP9" i="13"/>
  <c r="I9" i="13"/>
  <c r="D9" i="13"/>
  <c r="DB9" i="13" s="1"/>
  <c r="C9" i="13"/>
  <c r="A9" i="13"/>
  <c r="CX8" i="13"/>
  <c r="CW8" i="13"/>
  <c r="CP8" i="13"/>
  <c r="CO8" i="13"/>
  <c r="CM8" i="13"/>
  <c r="CL8" i="13"/>
  <c r="CA8" i="13"/>
  <c r="BZ8" i="13"/>
  <c r="BS8" i="13"/>
  <c r="BN8" i="13"/>
  <c r="AY8" i="13"/>
  <c r="AW8" i="13"/>
  <c r="AT8" i="13"/>
  <c r="AR8" i="13"/>
  <c r="AP8" i="13"/>
  <c r="I8" i="13"/>
  <c r="D8" i="13"/>
  <c r="E8" i="13" s="1"/>
  <c r="C8" i="13"/>
  <c r="A8" i="13"/>
  <c r="CX7" i="13"/>
  <c r="CW7" i="13"/>
  <c r="CP7" i="13"/>
  <c r="CO7" i="13"/>
  <c r="CM7" i="13"/>
  <c r="CL7" i="13"/>
  <c r="CA7" i="13"/>
  <c r="BZ7" i="13"/>
  <c r="BS7" i="13"/>
  <c r="BN7" i="13"/>
  <c r="AY7" i="13"/>
  <c r="AW7" i="13"/>
  <c r="AT7" i="13"/>
  <c r="AR7" i="13"/>
  <c r="AP7" i="13"/>
  <c r="I7" i="13"/>
  <c r="D7" i="13"/>
  <c r="E7" i="13" s="1"/>
  <c r="C7" i="13"/>
  <c r="A7" i="13"/>
  <c r="CX6" i="13"/>
  <c r="CW6" i="13"/>
  <c r="CP6" i="13"/>
  <c r="CO6" i="13"/>
  <c r="CM6" i="13"/>
  <c r="CL6" i="13"/>
  <c r="CA6" i="13"/>
  <c r="BZ6" i="13"/>
  <c r="BS6" i="13"/>
  <c r="BN6" i="13"/>
  <c r="AY6" i="13"/>
  <c r="AW6" i="13"/>
  <c r="AT6" i="13"/>
  <c r="AR6" i="13"/>
  <c r="AP6" i="13"/>
  <c r="I6" i="13"/>
  <c r="D6" i="13"/>
  <c r="DB6" i="13" s="1"/>
  <c r="C6" i="13"/>
  <c r="A6" i="13"/>
  <c r="DJ40" i="6"/>
  <c r="DF40" i="6"/>
  <c r="DE40" i="6"/>
  <c r="CX40" i="6"/>
  <c r="CW40" i="6"/>
  <c r="CU40" i="6"/>
  <c r="CS40" i="6"/>
  <c r="CR40" i="6"/>
  <c r="CQ40" i="6"/>
  <c r="CP40" i="6"/>
  <c r="CO40" i="6"/>
  <c r="CN40" i="6"/>
  <c r="CM40" i="6"/>
  <c r="CL40" i="6"/>
  <c r="CK40" i="6"/>
  <c r="CA40" i="6"/>
  <c r="BZ40" i="6"/>
  <c r="BU40" i="6"/>
  <c r="BR40" i="6"/>
  <c r="BQ40" i="6"/>
  <c r="BM40" i="6"/>
  <c r="AX40" i="6"/>
  <c r="AV40" i="6"/>
  <c r="AS40" i="6"/>
  <c r="AQ40" i="6"/>
  <c r="AO40" i="6"/>
  <c r="H40" i="6"/>
  <c r="D40" i="6"/>
  <c r="A40" i="6"/>
  <c r="DJ39" i="6"/>
  <c r="DF39" i="6"/>
  <c r="DE39" i="6"/>
  <c r="CX39" i="6"/>
  <c r="CW39" i="6"/>
  <c r="CU39" i="6"/>
  <c r="CS39" i="6"/>
  <c r="CR39" i="6"/>
  <c r="CQ39" i="6"/>
  <c r="CP39" i="6"/>
  <c r="CO39" i="6"/>
  <c r="CN39" i="6"/>
  <c r="CM39" i="6"/>
  <c r="CL39" i="6"/>
  <c r="CK39" i="6"/>
  <c r="CA39" i="6"/>
  <c r="BZ39" i="6"/>
  <c r="BU39" i="6"/>
  <c r="BR39" i="6"/>
  <c r="BQ39" i="6"/>
  <c r="BM39" i="6"/>
  <c r="AX39" i="6"/>
  <c r="AV39" i="6"/>
  <c r="AS39" i="6"/>
  <c r="AQ39" i="6"/>
  <c r="AO39" i="6"/>
  <c r="H39" i="6"/>
  <c r="D39" i="6"/>
  <c r="A39" i="6"/>
  <c r="DJ38" i="6"/>
  <c r="DF38" i="6"/>
  <c r="DE38" i="6"/>
  <c r="CX38" i="6"/>
  <c r="CW38" i="6"/>
  <c r="CU38" i="6"/>
  <c r="CS38" i="6"/>
  <c r="CR38" i="6"/>
  <c r="CQ38" i="6"/>
  <c r="CP38" i="6"/>
  <c r="CO38" i="6"/>
  <c r="CN38" i="6"/>
  <c r="CM38" i="6"/>
  <c r="CL38" i="6"/>
  <c r="CK38" i="6"/>
  <c r="CA38" i="6"/>
  <c r="BZ38" i="6"/>
  <c r="BU38" i="6"/>
  <c r="BR38" i="6"/>
  <c r="BQ38" i="6"/>
  <c r="BM38" i="6"/>
  <c r="AX38" i="6"/>
  <c r="AV38" i="6"/>
  <c r="AS38" i="6"/>
  <c r="AQ38" i="6"/>
  <c r="AO38" i="6"/>
  <c r="H38" i="6"/>
  <c r="D38" i="6"/>
  <c r="A38" i="6"/>
  <c r="DJ37" i="6"/>
  <c r="DF37" i="6"/>
  <c r="DE37" i="6"/>
  <c r="CX37" i="6"/>
  <c r="CW37" i="6"/>
  <c r="CU37" i="6"/>
  <c r="CS37" i="6"/>
  <c r="CR37" i="6"/>
  <c r="CQ37" i="6"/>
  <c r="CP37" i="6"/>
  <c r="CO37" i="6"/>
  <c r="CN37" i="6"/>
  <c r="CM37" i="6"/>
  <c r="CL37" i="6"/>
  <c r="CK37" i="6"/>
  <c r="CA37" i="6"/>
  <c r="BZ37" i="6"/>
  <c r="BU37" i="6"/>
  <c r="BR37" i="6"/>
  <c r="BQ37" i="6"/>
  <c r="BM37" i="6"/>
  <c r="AX37" i="6"/>
  <c r="AV37" i="6"/>
  <c r="AS37" i="6"/>
  <c r="AQ37" i="6"/>
  <c r="AO37" i="6"/>
  <c r="H37" i="6"/>
  <c r="D37" i="6"/>
  <c r="A37" i="6"/>
  <c r="DJ36" i="6"/>
  <c r="DF36" i="6"/>
  <c r="DE36" i="6"/>
  <c r="CX36" i="6"/>
  <c r="CW36" i="6"/>
  <c r="CU36" i="6"/>
  <c r="CS36" i="6"/>
  <c r="CR36" i="6"/>
  <c r="CQ36" i="6"/>
  <c r="CP36" i="6"/>
  <c r="CO36" i="6"/>
  <c r="CN36" i="6"/>
  <c r="CM36" i="6"/>
  <c r="CL36" i="6"/>
  <c r="CK36" i="6"/>
  <c r="CA36" i="6"/>
  <c r="BZ36" i="6"/>
  <c r="BU36" i="6"/>
  <c r="BR36" i="6"/>
  <c r="BQ36" i="6"/>
  <c r="BM36" i="6"/>
  <c r="AX36" i="6"/>
  <c r="AV36" i="6"/>
  <c r="AS36" i="6"/>
  <c r="AQ36" i="6"/>
  <c r="AO36" i="6"/>
  <c r="H36" i="6"/>
  <c r="D36" i="6"/>
  <c r="A36" i="6"/>
  <c r="DJ35" i="6"/>
  <c r="DF35" i="6"/>
  <c r="DE35" i="6"/>
  <c r="CX35" i="6"/>
  <c r="CW35" i="6"/>
  <c r="CU35" i="6"/>
  <c r="CS35" i="6"/>
  <c r="CR35" i="6"/>
  <c r="CQ35" i="6"/>
  <c r="CP35" i="6"/>
  <c r="CO35" i="6"/>
  <c r="CN35" i="6"/>
  <c r="CM35" i="6"/>
  <c r="CL35" i="6"/>
  <c r="CK35" i="6"/>
  <c r="CA35" i="6"/>
  <c r="BZ35" i="6"/>
  <c r="BU35" i="6"/>
  <c r="BR35" i="6"/>
  <c r="BQ35" i="6"/>
  <c r="BM35" i="6"/>
  <c r="AX35" i="6"/>
  <c r="AV35" i="6"/>
  <c r="AS35" i="6"/>
  <c r="AQ35" i="6"/>
  <c r="AO35" i="6"/>
  <c r="H35" i="6"/>
  <c r="D35" i="6"/>
  <c r="A35" i="6"/>
  <c r="DJ34" i="6"/>
  <c r="DF34" i="6"/>
  <c r="DE34" i="6"/>
  <c r="CX34" i="6"/>
  <c r="CW34" i="6"/>
  <c r="CU34" i="6"/>
  <c r="CS34" i="6"/>
  <c r="CR34" i="6"/>
  <c r="CQ34" i="6"/>
  <c r="CP34" i="6"/>
  <c r="CO34" i="6"/>
  <c r="CN34" i="6"/>
  <c r="CM34" i="6"/>
  <c r="CL34" i="6"/>
  <c r="CK34" i="6"/>
  <c r="CA34" i="6"/>
  <c r="BZ34" i="6"/>
  <c r="BU34" i="6"/>
  <c r="BR34" i="6"/>
  <c r="BQ34" i="6"/>
  <c r="BM34" i="6"/>
  <c r="AX34" i="6"/>
  <c r="AV34" i="6"/>
  <c r="AS34" i="6"/>
  <c r="AQ34" i="6"/>
  <c r="AO34" i="6"/>
  <c r="H34" i="6"/>
  <c r="D34" i="6"/>
  <c r="A34" i="6"/>
  <c r="DJ33" i="6"/>
  <c r="DF33" i="6"/>
  <c r="DE33" i="6"/>
  <c r="CX33" i="6"/>
  <c r="CW33" i="6"/>
  <c r="CU33" i="6"/>
  <c r="CS33" i="6"/>
  <c r="CR33" i="6"/>
  <c r="CQ33" i="6"/>
  <c r="CP33" i="6"/>
  <c r="CO33" i="6"/>
  <c r="CN33" i="6"/>
  <c r="CM33" i="6"/>
  <c r="CL33" i="6"/>
  <c r="CK33" i="6"/>
  <c r="CA33" i="6"/>
  <c r="BZ33" i="6"/>
  <c r="BU33" i="6"/>
  <c r="BR33" i="6"/>
  <c r="BQ33" i="6"/>
  <c r="BM33" i="6"/>
  <c r="AX33" i="6"/>
  <c r="AV33" i="6"/>
  <c r="AS33" i="6"/>
  <c r="AQ33" i="6"/>
  <c r="AO33" i="6"/>
  <c r="H33" i="6"/>
  <c r="D33" i="6"/>
  <c r="A33" i="6"/>
  <c r="DJ32" i="6"/>
  <c r="DF32" i="6"/>
  <c r="DE32" i="6"/>
  <c r="CX32" i="6"/>
  <c r="CW32" i="6"/>
  <c r="CU32" i="6"/>
  <c r="CS32" i="6"/>
  <c r="CR32" i="6"/>
  <c r="CQ32" i="6"/>
  <c r="CP32" i="6"/>
  <c r="CO32" i="6"/>
  <c r="CN32" i="6"/>
  <c r="CM32" i="6"/>
  <c r="CL32" i="6"/>
  <c r="CK32" i="6"/>
  <c r="CA32" i="6"/>
  <c r="BZ32" i="6"/>
  <c r="BU32" i="6"/>
  <c r="BR32" i="6"/>
  <c r="BQ32" i="6"/>
  <c r="BM32" i="6"/>
  <c r="AX32" i="6"/>
  <c r="AV32" i="6"/>
  <c r="AS32" i="6"/>
  <c r="AQ32" i="6"/>
  <c r="AO32" i="6"/>
  <c r="H32" i="6"/>
  <c r="D32" i="6"/>
  <c r="A32" i="6"/>
  <c r="DJ31" i="6"/>
  <c r="DF31" i="6"/>
  <c r="DE31" i="6"/>
  <c r="CX31" i="6"/>
  <c r="CW31" i="6"/>
  <c r="CU31" i="6"/>
  <c r="CS31" i="6"/>
  <c r="CR31" i="6"/>
  <c r="CQ31" i="6"/>
  <c r="CP31" i="6"/>
  <c r="CO31" i="6"/>
  <c r="CN31" i="6"/>
  <c r="CM31" i="6"/>
  <c r="CL31" i="6"/>
  <c r="CK31" i="6"/>
  <c r="CA31" i="6"/>
  <c r="BZ31" i="6"/>
  <c r="BU31" i="6"/>
  <c r="BR31" i="6"/>
  <c r="BQ31" i="6"/>
  <c r="BM31" i="6"/>
  <c r="AX31" i="6"/>
  <c r="AV31" i="6"/>
  <c r="AS31" i="6"/>
  <c r="AQ31" i="6"/>
  <c r="AO31" i="6"/>
  <c r="H31" i="6"/>
  <c r="D31" i="6"/>
  <c r="A31" i="6"/>
  <c r="DJ30" i="6"/>
  <c r="DF30" i="6"/>
  <c r="DE30" i="6"/>
  <c r="CX30" i="6"/>
  <c r="CW30" i="6"/>
  <c r="CU30" i="6"/>
  <c r="CS30" i="6"/>
  <c r="CR30" i="6"/>
  <c r="CQ30" i="6"/>
  <c r="CP30" i="6"/>
  <c r="CO30" i="6"/>
  <c r="CN30" i="6"/>
  <c r="CM30" i="6"/>
  <c r="CL30" i="6"/>
  <c r="CK30" i="6"/>
  <c r="CA30" i="6"/>
  <c r="BZ30" i="6"/>
  <c r="BU30" i="6"/>
  <c r="BR30" i="6"/>
  <c r="BQ30" i="6"/>
  <c r="BM30" i="6"/>
  <c r="AX30" i="6"/>
  <c r="AV30" i="6"/>
  <c r="AS30" i="6"/>
  <c r="AQ30" i="6"/>
  <c r="AO30" i="6"/>
  <c r="H30" i="6"/>
  <c r="D30" i="6"/>
  <c r="A30" i="6"/>
  <c r="DJ29" i="6"/>
  <c r="DF29" i="6"/>
  <c r="DE29" i="6"/>
  <c r="CX29" i="6"/>
  <c r="CW29" i="6"/>
  <c r="CU29" i="6"/>
  <c r="CS29" i="6"/>
  <c r="CR29" i="6"/>
  <c r="CQ29" i="6"/>
  <c r="CP29" i="6"/>
  <c r="CO29" i="6"/>
  <c r="CN29" i="6"/>
  <c r="CM29" i="6"/>
  <c r="CL29" i="6"/>
  <c r="CK29" i="6"/>
  <c r="CA29" i="6"/>
  <c r="BZ29" i="6"/>
  <c r="BU29" i="6"/>
  <c r="BR29" i="6"/>
  <c r="BQ29" i="6"/>
  <c r="BM29" i="6"/>
  <c r="AX29" i="6"/>
  <c r="AV29" i="6"/>
  <c r="AS29" i="6"/>
  <c r="AQ29" i="6"/>
  <c r="AO29" i="6"/>
  <c r="H29" i="6"/>
  <c r="D29" i="6"/>
  <c r="A29" i="6"/>
  <c r="DJ28" i="6"/>
  <c r="DF28" i="6"/>
  <c r="DE28" i="6"/>
  <c r="CX28" i="6"/>
  <c r="CW28" i="6"/>
  <c r="CU28" i="6"/>
  <c r="CS28" i="6"/>
  <c r="CR28" i="6"/>
  <c r="CQ28" i="6"/>
  <c r="CP28" i="6"/>
  <c r="CO28" i="6"/>
  <c r="CN28" i="6"/>
  <c r="CM28" i="6"/>
  <c r="CL28" i="6"/>
  <c r="CK28" i="6"/>
  <c r="CA28" i="6"/>
  <c r="BZ28" i="6"/>
  <c r="BU28" i="6"/>
  <c r="BR28" i="6"/>
  <c r="BQ28" i="6"/>
  <c r="BM28" i="6"/>
  <c r="AX28" i="6"/>
  <c r="AV28" i="6"/>
  <c r="AS28" i="6"/>
  <c r="AQ28" i="6"/>
  <c r="AO28" i="6"/>
  <c r="H28" i="6"/>
  <c r="D28" i="6"/>
  <c r="A28" i="6"/>
  <c r="DJ27" i="6"/>
  <c r="DF27" i="6"/>
  <c r="DE27" i="6"/>
  <c r="CX27" i="6"/>
  <c r="CW27" i="6"/>
  <c r="CU27" i="6"/>
  <c r="CS27" i="6"/>
  <c r="CR27" i="6"/>
  <c r="CQ27" i="6"/>
  <c r="CP27" i="6"/>
  <c r="CO27" i="6"/>
  <c r="CN27" i="6"/>
  <c r="CM27" i="6"/>
  <c r="CL27" i="6"/>
  <c r="CK27" i="6"/>
  <c r="CA27" i="6"/>
  <c r="BZ27" i="6"/>
  <c r="BU27" i="6"/>
  <c r="BR27" i="6"/>
  <c r="BQ27" i="6"/>
  <c r="BM27" i="6"/>
  <c r="AX27" i="6"/>
  <c r="AV27" i="6"/>
  <c r="AS27" i="6"/>
  <c r="AQ27" i="6"/>
  <c r="AO27" i="6"/>
  <c r="H27" i="6"/>
  <c r="D27" i="6"/>
  <c r="A27" i="6"/>
  <c r="DJ26" i="6"/>
  <c r="DF26" i="6"/>
  <c r="DE26" i="6"/>
  <c r="CX26" i="6"/>
  <c r="CW26" i="6"/>
  <c r="CU26" i="6"/>
  <c r="CS26" i="6"/>
  <c r="CR26" i="6"/>
  <c r="CQ26" i="6"/>
  <c r="CP26" i="6"/>
  <c r="CO26" i="6"/>
  <c r="CN26" i="6"/>
  <c r="CM26" i="6"/>
  <c r="CL26" i="6"/>
  <c r="CK26" i="6"/>
  <c r="CA26" i="6"/>
  <c r="BZ26" i="6"/>
  <c r="BU26" i="6"/>
  <c r="BR26" i="6"/>
  <c r="BQ26" i="6"/>
  <c r="BM26" i="6"/>
  <c r="AX26" i="6"/>
  <c r="AV26" i="6"/>
  <c r="AS26" i="6"/>
  <c r="AQ26" i="6"/>
  <c r="AO26" i="6"/>
  <c r="H26" i="6"/>
  <c r="D26" i="6"/>
  <c r="A26" i="6"/>
  <c r="DJ25" i="6"/>
  <c r="DF25" i="6"/>
  <c r="DE25" i="6"/>
  <c r="CX25" i="6"/>
  <c r="CW25" i="6"/>
  <c r="CU25" i="6"/>
  <c r="CS25" i="6"/>
  <c r="CR25" i="6"/>
  <c r="CQ25" i="6"/>
  <c r="CP25" i="6"/>
  <c r="CO25" i="6"/>
  <c r="CN25" i="6"/>
  <c r="CM25" i="6"/>
  <c r="CL25" i="6"/>
  <c r="CK25" i="6"/>
  <c r="CA25" i="6"/>
  <c r="BZ25" i="6"/>
  <c r="BU25" i="6"/>
  <c r="BR25" i="6"/>
  <c r="BQ25" i="6"/>
  <c r="BM25" i="6"/>
  <c r="AX25" i="6"/>
  <c r="AV25" i="6"/>
  <c r="AS25" i="6"/>
  <c r="AQ25" i="6"/>
  <c r="AO25" i="6"/>
  <c r="H25" i="6"/>
  <c r="D25" i="6"/>
  <c r="A25" i="6"/>
  <c r="DJ24" i="6"/>
  <c r="DF24" i="6"/>
  <c r="DE24" i="6"/>
  <c r="CX24" i="6"/>
  <c r="CW24" i="6"/>
  <c r="CU24" i="6"/>
  <c r="CS24" i="6"/>
  <c r="CR24" i="6"/>
  <c r="CQ24" i="6"/>
  <c r="CP24" i="6"/>
  <c r="CO24" i="6"/>
  <c r="CN24" i="6"/>
  <c r="CM24" i="6"/>
  <c r="CL24" i="6"/>
  <c r="CK24" i="6"/>
  <c r="CA24" i="6"/>
  <c r="BZ24" i="6"/>
  <c r="BU24" i="6"/>
  <c r="BR24" i="6"/>
  <c r="BQ24" i="6"/>
  <c r="BM24" i="6"/>
  <c r="AX24" i="6"/>
  <c r="AV24" i="6"/>
  <c r="AS24" i="6"/>
  <c r="AQ24" i="6"/>
  <c r="AO24" i="6"/>
  <c r="H24" i="6"/>
  <c r="D24" i="6"/>
  <c r="A24" i="6"/>
  <c r="DJ23" i="6"/>
  <c r="DF23" i="6"/>
  <c r="DE23" i="6"/>
  <c r="CX23" i="6"/>
  <c r="CW23" i="6"/>
  <c r="CU23" i="6"/>
  <c r="CS23" i="6"/>
  <c r="CR23" i="6"/>
  <c r="CQ23" i="6"/>
  <c r="CP23" i="6"/>
  <c r="CO23" i="6"/>
  <c r="CN23" i="6"/>
  <c r="CM23" i="6"/>
  <c r="CL23" i="6"/>
  <c r="CK23" i="6"/>
  <c r="CA23" i="6"/>
  <c r="BZ23" i="6"/>
  <c r="BU23" i="6"/>
  <c r="BR23" i="6"/>
  <c r="BQ23" i="6"/>
  <c r="BM23" i="6"/>
  <c r="AX23" i="6"/>
  <c r="AV23" i="6"/>
  <c r="AS23" i="6"/>
  <c r="AQ23" i="6"/>
  <c r="AO23" i="6"/>
  <c r="H23" i="6"/>
  <c r="D23" i="6"/>
  <c r="A23" i="6"/>
  <c r="DJ22" i="6"/>
  <c r="DF22" i="6"/>
  <c r="DE22" i="6"/>
  <c r="CX22" i="6"/>
  <c r="CW22" i="6"/>
  <c r="CU22" i="6"/>
  <c r="CS22" i="6"/>
  <c r="CR22" i="6"/>
  <c r="CQ22" i="6"/>
  <c r="CP22" i="6"/>
  <c r="CO22" i="6"/>
  <c r="CN22" i="6"/>
  <c r="CM22" i="6"/>
  <c r="CL22" i="6"/>
  <c r="CK22" i="6"/>
  <c r="CA22" i="6"/>
  <c r="BZ22" i="6"/>
  <c r="BU22" i="6"/>
  <c r="BR22" i="6"/>
  <c r="BQ22" i="6"/>
  <c r="BM22" i="6"/>
  <c r="AX22" i="6"/>
  <c r="AV22" i="6"/>
  <c r="AS22" i="6"/>
  <c r="AQ22" i="6"/>
  <c r="AO22" i="6"/>
  <c r="H22" i="6"/>
  <c r="D22" i="6"/>
  <c r="A22" i="6"/>
  <c r="DJ21" i="6"/>
  <c r="DF21" i="6"/>
  <c r="DE21" i="6"/>
  <c r="CX21" i="6"/>
  <c r="CW21" i="6"/>
  <c r="CU21" i="6"/>
  <c r="CS21" i="6"/>
  <c r="CR21" i="6"/>
  <c r="CQ21" i="6"/>
  <c r="CP21" i="6"/>
  <c r="CO21" i="6"/>
  <c r="CN21" i="6"/>
  <c r="CM21" i="6"/>
  <c r="CL21" i="6"/>
  <c r="CK21" i="6"/>
  <c r="CA21" i="6"/>
  <c r="BZ21" i="6"/>
  <c r="BU21" i="6"/>
  <c r="BR21" i="6"/>
  <c r="BQ21" i="6"/>
  <c r="BM21" i="6"/>
  <c r="AX21" i="6"/>
  <c r="AV21" i="6"/>
  <c r="AS21" i="6"/>
  <c r="AQ21" i="6"/>
  <c r="AO21" i="6"/>
  <c r="H21" i="6"/>
  <c r="D21" i="6"/>
  <c r="A21" i="6"/>
  <c r="DJ20" i="6"/>
  <c r="DF20" i="6"/>
  <c r="DE20" i="6"/>
  <c r="CX20" i="6"/>
  <c r="CW20" i="6"/>
  <c r="CU20" i="6"/>
  <c r="CS20" i="6"/>
  <c r="CR20" i="6"/>
  <c r="CQ20" i="6"/>
  <c r="CP20" i="6"/>
  <c r="CO20" i="6"/>
  <c r="CN20" i="6"/>
  <c r="CM20" i="6"/>
  <c r="CL20" i="6"/>
  <c r="CK20" i="6"/>
  <c r="CA20" i="6"/>
  <c r="BZ20" i="6"/>
  <c r="BU20" i="6"/>
  <c r="BR20" i="6"/>
  <c r="BQ20" i="6"/>
  <c r="BM20" i="6"/>
  <c r="AX20" i="6"/>
  <c r="AV20" i="6"/>
  <c r="AS20" i="6"/>
  <c r="AQ20" i="6"/>
  <c r="AO20" i="6"/>
  <c r="H20" i="6"/>
  <c r="D20" i="6"/>
  <c r="A20" i="6"/>
  <c r="DJ19" i="6"/>
  <c r="DF19" i="6"/>
  <c r="DE19" i="6"/>
  <c r="CX19" i="6"/>
  <c r="CW19" i="6"/>
  <c r="CU19" i="6"/>
  <c r="CS19" i="6"/>
  <c r="CR19" i="6"/>
  <c r="CQ19" i="6"/>
  <c r="CP19" i="6"/>
  <c r="CO19" i="6"/>
  <c r="CN19" i="6"/>
  <c r="CM19" i="6"/>
  <c r="CL19" i="6"/>
  <c r="CK19" i="6"/>
  <c r="CA19" i="6"/>
  <c r="BZ19" i="6"/>
  <c r="BU19" i="6"/>
  <c r="BR19" i="6"/>
  <c r="BQ19" i="6"/>
  <c r="BM19" i="6"/>
  <c r="AX19" i="6"/>
  <c r="AV19" i="6"/>
  <c r="AS19" i="6"/>
  <c r="AQ19" i="6"/>
  <c r="AO19" i="6"/>
  <c r="H19" i="6"/>
  <c r="D19" i="6"/>
  <c r="A19" i="6"/>
  <c r="DJ18" i="6"/>
  <c r="DF18" i="6"/>
  <c r="DE18" i="6"/>
  <c r="CX18" i="6"/>
  <c r="CW18" i="6"/>
  <c r="CU18" i="6"/>
  <c r="CS18" i="6"/>
  <c r="CR18" i="6"/>
  <c r="CQ18" i="6"/>
  <c r="CP18" i="6"/>
  <c r="CO18" i="6"/>
  <c r="CN18" i="6"/>
  <c r="CM18" i="6"/>
  <c r="CL18" i="6"/>
  <c r="CK18" i="6"/>
  <c r="CA18" i="6"/>
  <c r="BZ18" i="6"/>
  <c r="BU18" i="6"/>
  <c r="BR18" i="6"/>
  <c r="BQ18" i="6"/>
  <c r="BM18" i="6"/>
  <c r="AX18" i="6"/>
  <c r="AV18" i="6"/>
  <c r="AS18" i="6"/>
  <c r="AQ18" i="6"/>
  <c r="AO18" i="6"/>
  <c r="H18" i="6"/>
  <c r="D18" i="6"/>
  <c r="A18" i="6"/>
  <c r="DJ17" i="6"/>
  <c r="DF17" i="6"/>
  <c r="DE17" i="6"/>
  <c r="CX17" i="6"/>
  <c r="CW17" i="6"/>
  <c r="CU17" i="6"/>
  <c r="CS17" i="6"/>
  <c r="CR17" i="6"/>
  <c r="CQ17" i="6"/>
  <c r="CP17" i="6"/>
  <c r="CO17" i="6"/>
  <c r="CN17" i="6"/>
  <c r="CM17" i="6"/>
  <c r="CL17" i="6"/>
  <c r="CK17" i="6"/>
  <c r="CA17" i="6"/>
  <c r="BZ17" i="6"/>
  <c r="BU17" i="6"/>
  <c r="BR17" i="6"/>
  <c r="BQ17" i="6"/>
  <c r="BM17" i="6"/>
  <c r="AX17" i="6"/>
  <c r="AV17" i="6"/>
  <c r="AS17" i="6"/>
  <c r="AQ17" i="6"/>
  <c r="AO17" i="6"/>
  <c r="H17" i="6"/>
  <c r="D17" i="6"/>
  <c r="A17" i="6"/>
  <c r="DJ16" i="6"/>
  <c r="DF16" i="6"/>
  <c r="DE16" i="6"/>
  <c r="CX16" i="6"/>
  <c r="CW16" i="6"/>
  <c r="CU16" i="6"/>
  <c r="CS16" i="6"/>
  <c r="CR16" i="6"/>
  <c r="CQ16" i="6"/>
  <c r="CP16" i="6"/>
  <c r="CO16" i="6"/>
  <c r="CN16" i="6"/>
  <c r="CM16" i="6"/>
  <c r="CL16" i="6"/>
  <c r="CK16" i="6"/>
  <c r="CA16" i="6"/>
  <c r="BZ16" i="6"/>
  <c r="BU16" i="6"/>
  <c r="BR16" i="6"/>
  <c r="BQ16" i="6"/>
  <c r="BM16" i="6"/>
  <c r="AX16" i="6"/>
  <c r="AV16" i="6"/>
  <c r="AS16" i="6"/>
  <c r="AQ16" i="6"/>
  <c r="AO16" i="6"/>
  <c r="H16" i="6"/>
  <c r="D16" i="6"/>
  <c r="A16" i="6"/>
  <c r="DJ15" i="6"/>
  <c r="DF15" i="6"/>
  <c r="DE15" i="6"/>
  <c r="CX15" i="6"/>
  <c r="CW15" i="6"/>
  <c r="CU15" i="6"/>
  <c r="CS15" i="6"/>
  <c r="CR15" i="6"/>
  <c r="CQ15" i="6"/>
  <c r="CP15" i="6"/>
  <c r="CO15" i="6"/>
  <c r="CN15" i="6"/>
  <c r="CM15" i="6"/>
  <c r="CL15" i="6"/>
  <c r="CK15" i="6"/>
  <c r="CA15" i="6"/>
  <c r="BZ15" i="6"/>
  <c r="BU15" i="6"/>
  <c r="BR15" i="6"/>
  <c r="BQ15" i="6"/>
  <c r="BM15" i="6"/>
  <c r="AX15" i="6"/>
  <c r="AV15" i="6"/>
  <c r="AS15" i="6"/>
  <c r="AQ15" i="6"/>
  <c r="AO15" i="6"/>
  <c r="H15" i="6"/>
  <c r="D15" i="6"/>
  <c r="A15" i="6"/>
  <c r="DJ14" i="6"/>
  <c r="DF14" i="6"/>
  <c r="DE14" i="6"/>
  <c r="CX14" i="6"/>
  <c r="CW14" i="6"/>
  <c r="CU14" i="6"/>
  <c r="CS14" i="6"/>
  <c r="CR14" i="6"/>
  <c r="CQ14" i="6"/>
  <c r="CP14" i="6"/>
  <c r="CO14" i="6"/>
  <c r="CN14" i="6"/>
  <c r="CM14" i="6"/>
  <c r="CL14" i="6"/>
  <c r="CK14" i="6"/>
  <c r="CA14" i="6"/>
  <c r="BZ14" i="6"/>
  <c r="BU14" i="6"/>
  <c r="BR14" i="6"/>
  <c r="BQ14" i="6"/>
  <c r="BM14" i="6"/>
  <c r="AX14" i="6"/>
  <c r="AV14" i="6"/>
  <c r="AS14" i="6"/>
  <c r="AQ14" i="6"/>
  <c r="AO14" i="6"/>
  <c r="H14" i="6"/>
  <c r="D14" i="6"/>
  <c r="A14" i="6"/>
  <c r="DJ13" i="6"/>
  <c r="DF13" i="6"/>
  <c r="DE13" i="6"/>
  <c r="CX13" i="6"/>
  <c r="CW13" i="6"/>
  <c r="CU13" i="6"/>
  <c r="CS13" i="6"/>
  <c r="CR13" i="6"/>
  <c r="CQ13" i="6"/>
  <c r="CP13" i="6"/>
  <c r="CO13" i="6"/>
  <c r="CN13" i="6"/>
  <c r="CM13" i="6"/>
  <c r="CL13" i="6"/>
  <c r="CK13" i="6"/>
  <c r="CA13" i="6"/>
  <c r="BZ13" i="6"/>
  <c r="BU13" i="6"/>
  <c r="BR13" i="6"/>
  <c r="BQ13" i="6"/>
  <c r="BM13" i="6"/>
  <c r="AX13" i="6"/>
  <c r="AV13" i="6"/>
  <c r="AS13" i="6"/>
  <c r="AQ13" i="6"/>
  <c r="AO13" i="6"/>
  <c r="H13" i="6"/>
  <c r="D13" i="6"/>
  <c r="A13" i="6"/>
  <c r="DJ12" i="6"/>
  <c r="DF12" i="6"/>
  <c r="DE12" i="6"/>
  <c r="CX12" i="6"/>
  <c r="CW12" i="6"/>
  <c r="CU12" i="6"/>
  <c r="CS12" i="6"/>
  <c r="CR12" i="6"/>
  <c r="CQ12" i="6"/>
  <c r="CP12" i="6"/>
  <c r="CO12" i="6"/>
  <c r="CN12" i="6"/>
  <c r="CM12" i="6"/>
  <c r="CL12" i="6"/>
  <c r="CK12" i="6"/>
  <c r="CA12" i="6"/>
  <c r="BZ12" i="6"/>
  <c r="BU12" i="6"/>
  <c r="BR12" i="6"/>
  <c r="BQ12" i="6"/>
  <c r="BM12" i="6"/>
  <c r="AX12" i="6"/>
  <c r="AV12" i="6"/>
  <c r="AS12" i="6"/>
  <c r="AQ12" i="6"/>
  <c r="AO12" i="6"/>
  <c r="H12" i="6"/>
  <c r="D12" i="6"/>
  <c r="A12" i="6"/>
  <c r="DJ11" i="6"/>
  <c r="DF11" i="6"/>
  <c r="DE11" i="6"/>
  <c r="CX11" i="6"/>
  <c r="CW11" i="6"/>
  <c r="CU11" i="6"/>
  <c r="CS11" i="6"/>
  <c r="CR11" i="6"/>
  <c r="CQ11" i="6"/>
  <c r="CP11" i="6"/>
  <c r="CO11" i="6"/>
  <c r="CN11" i="6"/>
  <c r="CM11" i="6"/>
  <c r="CL11" i="6"/>
  <c r="CK11" i="6"/>
  <c r="CA11" i="6"/>
  <c r="BZ11" i="6"/>
  <c r="BU11" i="6"/>
  <c r="BR11" i="6"/>
  <c r="BQ11" i="6"/>
  <c r="BM11" i="6"/>
  <c r="AX11" i="6"/>
  <c r="AV11" i="6"/>
  <c r="AS11" i="6"/>
  <c r="AQ11" i="6"/>
  <c r="AO11" i="6"/>
  <c r="H11" i="6"/>
  <c r="D11" i="6"/>
  <c r="A11" i="6"/>
  <c r="DJ10" i="6"/>
  <c r="DF10" i="6"/>
  <c r="DE10" i="6"/>
  <c r="CX10" i="6"/>
  <c r="CW10" i="6"/>
  <c r="CU10" i="6"/>
  <c r="CS10" i="6"/>
  <c r="CR10" i="6"/>
  <c r="CQ10" i="6"/>
  <c r="CP10" i="6"/>
  <c r="CO10" i="6"/>
  <c r="CN10" i="6"/>
  <c r="CM10" i="6"/>
  <c r="CL10" i="6"/>
  <c r="CK10" i="6"/>
  <c r="CA10" i="6"/>
  <c r="BZ10" i="6"/>
  <c r="BU10" i="6"/>
  <c r="BR10" i="6"/>
  <c r="BQ10" i="6"/>
  <c r="BM10" i="6"/>
  <c r="AX10" i="6"/>
  <c r="AV10" i="6"/>
  <c r="AS10" i="6"/>
  <c r="AQ10" i="6"/>
  <c r="AO10" i="6"/>
  <c r="H10" i="6"/>
  <c r="D10" i="6"/>
  <c r="A10" i="6"/>
  <c r="DJ9" i="6"/>
  <c r="DF9" i="6"/>
  <c r="DE9" i="6"/>
  <c r="CX9" i="6"/>
  <c r="CW9" i="6"/>
  <c r="CU9" i="6"/>
  <c r="CS9" i="6"/>
  <c r="CR9" i="6"/>
  <c r="CQ9" i="6"/>
  <c r="CP9" i="6"/>
  <c r="CO9" i="6"/>
  <c r="CN9" i="6"/>
  <c r="CM9" i="6"/>
  <c r="CL9" i="6"/>
  <c r="CK9" i="6"/>
  <c r="CA9" i="6"/>
  <c r="BZ9" i="6"/>
  <c r="BU9" i="6"/>
  <c r="BR9" i="6"/>
  <c r="BQ9" i="6"/>
  <c r="BM9" i="6"/>
  <c r="AX9" i="6"/>
  <c r="AV9" i="6"/>
  <c r="AS9" i="6"/>
  <c r="AQ9" i="6"/>
  <c r="AO9" i="6"/>
  <c r="H9" i="6"/>
  <c r="D9" i="6"/>
  <c r="A9" i="6"/>
  <c r="DJ8" i="6"/>
  <c r="DF8" i="6"/>
  <c r="DE8" i="6"/>
  <c r="CX8" i="6"/>
  <c r="CW8" i="6"/>
  <c r="CU8" i="6"/>
  <c r="CS8" i="6"/>
  <c r="CR8" i="6"/>
  <c r="CQ8" i="6"/>
  <c r="CP8" i="6"/>
  <c r="CO8" i="6"/>
  <c r="CN8" i="6"/>
  <c r="CM8" i="6"/>
  <c r="CL8" i="6"/>
  <c r="CK8" i="6"/>
  <c r="CA8" i="6"/>
  <c r="BZ8" i="6"/>
  <c r="BU8" i="6"/>
  <c r="BR8" i="6"/>
  <c r="BQ8" i="6"/>
  <c r="BM8" i="6"/>
  <c r="AX8" i="6"/>
  <c r="AV8" i="6"/>
  <c r="AS8" i="6"/>
  <c r="AQ8" i="6"/>
  <c r="AO8" i="6"/>
  <c r="H8" i="6"/>
  <c r="D8" i="6"/>
  <c r="A8" i="6"/>
  <c r="DJ7" i="6"/>
  <c r="DF7" i="6"/>
  <c r="DE7" i="6"/>
  <c r="CX7" i="6"/>
  <c r="CW7" i="6"/>
  <c r="CU7" i="6"/>
  <c r="CS7" i="6"/>
  <c r="CR7" i="6"/>
  <c r="CQ7" i="6"/>
  <c r="CP7" i="6"/>
  <c r="CO7" i="6"/>
  <c r="CN7" i="6"/>
  <c r="CM7" i="6"/>
  <c r="CL7" i="6"/>
  <c r="CK7" i="6"/>
  <c r="CA7" i="6"/>
  <c r="BZ7" i="6"/>
  <c r="BU7" i="6"/>
  <c r="BR7" i="6"/>
  <c r="BQ7" i="6"/>
  <c r="BM7" i="6"/>
  <c r="AX7" i="6"/>
  <c r="AV7" i="6"/>
  <c r="AS7" i="6"/>
  <c r="AQ7" i="6"/>
  <c r="AO7" i="6"/>
  <c r="H7" i="6"/>
  <c r="D7" i="6"/>
  <c r="A7" i="6"/>
  <c r="DJ6" i="6"/>
  <c r="DF6" i="6"/>
  <c r="DE6" i="6"/>
  <c r="CX6" i="6"/>
  <c r="CW6" i="6"/>
  <c r="CU6" i="6"/>
  <c r="CS6" i="6"/>
  <c r="CR6" i="6"/>
  <c r="CQ6" i="6"/>
  <c r="CP6" i="6"/>
  <c r="CO6" i="6"/>
  <c r="CN6" i="6"/>
  <c r="CM6" i="6"/>
  <c r="CL6" i="6"/>
  <c r="CK6" i="6"/>
  <c r="CA6" i="6"/>
  <c r="BZ6" i="6"/>
  <c r="BU6" i="6"/>
  <c r="BR6" i="6"/>
  <c r="BQ6" i="6"/>
  <c r="BM6" i="6"/>
  <c r="AX6" i="6"/>
  <c r="AV6" i="6"/>
  <c r="AS6" i="6"/>
  <c r="AQ6" i="6"/>
  <c r="AO6" i="6"/>
  <c r="H6" i="6"/>
  <c r="D6" i="6"/>
  <c r="A6" i="6"/>
  <c r="E11" i="13" l="1"/>
  <c r="BC21" i="14"/>
  <c r="E38" i="13"/>
  <c r="BC33" i="14"/>
  <c r="BC23" i="14"/>
  <c r="BC18" i="14"/>
  <c r="E35" i="13"/>
  <c r="BC35" i="14"/>
  <c r="BC14" i="14"/>
  <c r="BC30" i="14"/>
  <c r="BC11" i="14"/>
  <c r="BC8" i="14"/>
  <c r="BC9" i="14"/>
  <c r="E14" i="13"/>
  <c r="E19" i="13"/>
  <c r="DB32" i="13"/>
  <c r="BC6" i="14"/>
  <c r="BC26" i="14"/>
  <c r="E10" i="13"/>
  <c r="E34" i="13"/>
  <c r="BC40" i="14"/>
  <c r="E23" i="13"/>
  <c r="BC16" i="14"/>
  <c r="BC17" i="14"/>
  <c r="BC20" i="14"/>
  <c r="BC28" i="14"/>
  <c r="BC29" i="14"/>
  <c r="BC32" i="14"/>
  <c r="BC37" i="14"/>
  <c r="E26" i="13"/>
  <c r="E31" i="13"/>
  <c r="E38" i="14"/>
  <c r="E22" i="13"/>
  <c r="E12" i="14"/>
  <c r="E24" i="14"/>
  <c r="DB8" i="13"/>
  <c r="DB20" i="13"/>
  <c r="E18" i="13"/>
  <c r="E27" i="13"/>
  <c r="E30" i="13"/>
  <c r="DB7" i="13"/>
  <c r="DB16" i="13"/>
  <c r="DB28" i="13"/>
  <c r="E6" i="13"/>
  <c r="E15" i="13"/>
  <c r="DB39" i="13"/>
  <c r="DB12" i="13"/>
  <c r="DB24" i="13"/>
  <c r="DB36" i="13"/>
  <c r="E39" i="14"/>
  <c r="E27" i="14"/>
  <c r="BC7" i="14"/>
  <c r="BC19" i="14"/>
  <c r="BC31" i="14"/>
  <c r="E15" i="14"/>
  <c r="BC10" i="14"/>
  <c r="BC22" i="14"/>
  <c r="BC34" i="14"/>
  <c r="BC36" i="14"/>
  <c r="BC13" i="14"/>
  <c r="BC25" i="14"/>
  <c r="E13" i="13"/>
  <c r="E17" i="13"/>
  <c r="E21" i="13"/>
  <c r="E25" i="13"/>
  <c r="E29" i="13"/>
  <c r="E33" i="13"/>
  <c r="E37" i="13"/>
  <c r="E9" i="13"/>
  <c r="E40" i="13"/>
  <c r="C5" i="13"/>
  <c r="D5" i="13"/>
  <c r="E5" i="13" s="1"/>
  <c r="DJ5" i="6"/>
  <c r="CS5" i="6"/>
  <c r="CR5" i="6"/>
  <c r="CQ5" i="6"/>
  <c r="CP5" i="6"/>
  <c r="CO5" i="6"/>
  <c r="CN5" i="6"/>
  <c r="CM5" i="6"/>
  <c r="CL5" i="6"/>
  <c r="BU5" i="6"/>
  <c r="BQ5" i="6"/>
  <c r="BM5" i="6"/>
  <c r="AX5" i="6"/>
  <c r="AQ5" i="6"/>
  <c r="AO5" i="6"/>
  <c r="D5" i="6"/>
  <c r="CL6" i="7"/>
  <c r="DB5" i="13" l="1"/>
  <c r="BN5" i="13"/>
  <c r="AP5" i="13"/>
  <c r="AR5" i="13"/>
  <c r="AY5" i="13"/>
  <c r="D5" i="14"/>
  <c r="CW5" i="14"/>
  <c r="CP5" i="14"/>
  <c r="CO5" i="14"/>
  <c r="CJ5" i="14"/>
  <c r="AR5" i="14"/>
  <c r="AV5" i="14"/>
  <c r="AU5" i="14"/>
  <c r="AT5" i="14"/>
  <c r="AS5" i="14"/>
  <c r="AQ5" i="14"/>
  <c r="AP5" i="14"/>
  <c r="AO5" i="14"/>
  <c r="CE5" i="14"/>
  <c r="CD5" i="14"/>
  <c r="CB5" i="14"/>
  <c r="CA5" i="14"/>
  <c r="BP5" i="14"/>
  <c r="BO5" i="14"/>
  <c r="BH5" i="14"/>
  <c r="I5" i="14"/>
  <c r="C5" i="14"/>
  <c r="A5" i="14"/>
  <c r="C6" i="12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D5" i="12"/>
  <c r="E5" i="12" s="1"/>
  <c r="C5" i="12"/>
  <c r="C6" i="10"/>
  <c r="D6" i="10"/>
  <c r="C7" i="10"/>
  <c r="D7" i="10"/>
  <c r="C8" i="10"/>
  <c r="D8" i="10"/>
  <c r="C9" i="10"/>
  <c r="D9" i="10"/>
  <c r="C10" i="10"/>
  <c r="D10" i="10"/>
  <c r="C11" i="10"/>
  <c r="D11" i="10"/>
  <c r="C12" i="10"/>
  <c r="D12" i="10"/>
  <c r="C13" i="10"/>
  <c r="D13" i="10"/>
  <c r="C14" i="10"/>
  <c r="D14" i="10"/>
  <c r="C15" i="10"/>
  <c r="D15" i="10"/>
  <c r="C16" i="10"/>
  <c r="D16" i="10"/>
  <c r="C17" i="10"/>
  <c r="D17" i="10"/>
  <c r="C18" i="10"/>
  <c r="D18" i="10"/>
  <c r="C19" i="10"/>
  <c r="D19" i="10"/>
  <c r="C20" i="10"/>
  <c r="D20" i="10"/>
  <c r="C21" i="10"/>
  <c r="D21" i="10"/>
  <c r="C22" i="10"/>
  <c r="D22" i="10"/>
  <c r="C23" i="10"/>
  <c r="D23" i="10"/>
  <c r="C24" i="10"/>
  <c r="D24" i="10"/>
  <c r="C25" i="10"/>
  <c r="D25" i="10"/>
  <c r="C26" i="10"/>
  <c r="D26" i="10"/>
  <c r="C27" i="10"/>
  <c r="D27" i="10"/>
  <c r="C28" i="10"/>
  <c r="D28" i="10"/>
  <c r="C29" i="10"/>
  <c r="D29" i="10"/>
  <c r="C30" i="10"/>
  <c r="D30" i="10"/>
  <c r="C31" i="10"/>
  <c r="D31" i="10"/>
  <c r="C32" i="10"/>
  <c r="D32" i="10"/>
  <c r="C33" i="10"/>
  <c r="D33" i="10"/>
  <c r="C34" i="10"/>
  <c r="D34" i="10"/>
  <c r="C35" i="10"/>
  <c r="D35" i="10"/>
  <c r="C36" i="10"/>
  <c r="D36" i="10"/>
  <c r="C37" i="10"/>
  <c r="D37" i="10"/>
  <c r="C38" i="10"/>
  <c r="D38" i="10"/>
  <c r="C39" i="10"/>
  <c r="D39" i="10"/>
  <c r="C40" i="10"/>
  <c r="D40" i="10"/>
  <c r="C41" i="10"/>
  <c r="D41" i="10"/>
  <c r="C42" i="10"/>
  <c r="D42" i="10"/>
  <c r="C43" i="10"/>
  <c r="D43" i="10"/>
  <c r="C44" i="10"/>
  <c r="D44" i="10"/>
  <c r="C45" i="10"/>
  <c r="D45" i="10"/>
  <c r="C46" i="10"/>
  <c r="D46" i="10"/>
  <c r="C47" i="10"/>
  <c r="D47" i="10"/>
  <c r="C48" i="10"/>
  <c r="D48" i="10"/>
  <c r="C49" i="10"/>
  <c r="D49" i="10"/>
  <c r="C50" i="10"/>
  <c r="D50" i="10"/>
  <c r="C51" i="10"/>
  <c r="D51" i="10"/>
  <c r="C52" i="10"/>
  <c r="D52" i="10"/>
  <c r="C53" i="10"/>
  <c r="D53" i="10"/>
  <c r="C54" i="10"/>
  <c r="D54" i="10"/>
  <c r="D5" i="10"/>
  <c r="C5" i="10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" i="9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" i="8"/>
  <c r="BC5" i="14" l="1"/>
  <c r="E5" i="14"/>
  <c r="CL5" i="13"/>
  <c r="CX5" i="13"/>
  <c r="CW5" i="13"/>
  <c r="CP5" i="13"/>
  <c r="CO5" i="13"/>
  <c r="CM5" i="13"/>
  <c r="CA5" i="13"/>
  <c r="BZ5" i="13"/>
  <c r="BS5" i="13"/>
  <c r="AW5" i="13"/>
  <c r="AT5" i="13"/>
  <c r="I5" i="13"/>
  <c r="A5" i="13"/>
  <c r="CK5" i="6" l="1"/>
  <c r="B1" i="10" l="1"/>
  <c r="B1" i="9"/>
  <c r="F54" i="12" l="1"/>
  <c r="F53" i="12"/>
  <c r="F52" i="12"/>
  <c r="F51" i="12"/>
  <c r="F50" i="12"/>
  <c r="F49" i="12"/>
  <c r="F48" i="12"/>
  <c r="F47" i="12"/>
  <c r="F46" i="12"/>
  <c r="F45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H5" i="6" l="1"/>
  <c r="BR5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DG53" i="7" l="1"/>
  <c r="AV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DF5" i="6"/>
  <c r="CX5" i="6"/>
  <c r="CW5" i="6"/>
  <c r="CU5" i="6"/>
  <c r="CA5" i="6" l="1"/>
  <c r="BZ5" i="6"/>
  <c r="AS5" i="6" l="1"/>
  <c r="A5" i="6" l="1"/>
</calcChain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<sst xmlns="http://schemas.openxmlformats.org/spreadsheetml/2006/main" count="5969" uniqueCount="996">
  <si>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</si>
  <si>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</si>
  <si>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</si>
  <si>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</si>
  <si>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</si>
  <si>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</si>
  <si>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</si>
  <si>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</si>
  <si>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</si>
  <si>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</si>
  <si>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</si>
  <si>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</si>
  <si>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</si>
  <si>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</si>
  <si>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</si>
  <si>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</si>
  <si>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</si>
  <si>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</si>
  <si>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</si>
  <si>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</si>
  <si>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</si>
  <si>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</si>
  <si>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</si>
  <si>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</si>
  <si>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</si>
  <si>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</si>
  <si>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</si>
  <si>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</si>
  <si>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</si>
  <si>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</si>
  <si>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</si>
  <si>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</si>
  <si>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</si>
  <si>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</si>
  <si>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</si>
  <si>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</si>
  <si>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</si>
  <si>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</si>
  <si>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</si>
  <si>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</si>
  <si>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</si>
  <si>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</si>
  <si>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</si>
  <si>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</si>
  <si>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</si>
  <si>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</si>
  <si>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</si>
  <si>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</si>
  <si>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</si>
  <si>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</si>
  <si>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</si>
  <si>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</si>
  <si>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</si>
  <si>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</si>
  <si>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</si>
  <si>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</si>
  <si>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</si>
  <si>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</si>
  <si>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</si>
  <si>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</si>
  <si>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</si>
  <si>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</si>
  <si>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</si>
  <si>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</si>
  <si>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</si>
  <si>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</si>
  <si>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</si>
  <si>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</si>
  <si>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</si>
  <si>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</si>
  <si>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</si>
  <si>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</si>
  <si>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</si>
  <si>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</si>
  <si>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</si>
  <si>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</si>
  <si>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</si>
  <si>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</si>
  <si>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</si>
  <si>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</si>
  <si>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</si>
  <si>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</si>
  <si>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</si>
  <si>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</si>
  <si>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</si>
  <si>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</si>
  <si>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</si>
  <si>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</si>
  <si>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</si>
  <si>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</si>
  <si>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</si>
  <si>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</si>
  <si>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</si>
  <si>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</si>
  <si>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</si>
  <si>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</si>
  <si>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</si>
  <si>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</si>
  <si>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</si>
  <si>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</si>
  <si>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</si>
  <si>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</si>
  <si>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</si>
  <si>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</si>
  <si>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</si>
  <si>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</si>
  <si>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</si>
  <si>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</si>
  <si>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</si>
  <si>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</si>
  <si>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</si>
  <si>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</si>
  <si>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</si>
  <si>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</si>
  <si>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</si>
  <si>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</si>
  <si>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</si>
  <si>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</si>
  <si>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</si>
  <si>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</si>
  <si>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</si>
  <si>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</si>
  <si>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</si>
  <si>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</si>
  <si>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</si>
  <si>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</si>
  <si>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</si>
  <si>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</si>
  <si>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</si>
  <si>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</si>
  <si>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</si>
  <si>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</si>
  <si>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</si>
  <si>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</si>
  <si>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</si>
  <si>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</si>
  <si>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</si>
  <si>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</si>
  <si>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</si>
  <si>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</si>
  <si>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</si>
  <si>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</si>
  <si>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</si>
  <si>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</si>
  <si>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</si>
  <si>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</si>
  <si>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</si>
  <si>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</si>
  <si>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</si>
  <si>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</si>
  <si>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</si>
  <si>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</si>
  <si>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</si>
  <si>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</si>
  <si>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</si>
  <si>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</si>
  <si>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</si>
  <si>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</si>
  <si>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</si>
  <si>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</si>
  <si>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</si>
  <si>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</si>
  <si>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</si>
  <si>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</si>
  <si>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</si>
  <si>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</si>
  <si>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</si>
  <si>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</si>
  <si>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</si>
  <si>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</si>
  <si>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</si>
  <si>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</si>
  <si>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</si>
  <si>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</si>
  <si>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</si>
  <si>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</si>
  <si>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</si>
  <si>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</si>
  <si>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</si>
  <si>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</si>
  <si>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</si>
  <si>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</si>
  <si>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</si>
  <si>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</si>
  <si>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</si>
  <si>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</si>
  <si>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</si>
  <si>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</si>
  <si>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</si>
  <si>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</si>
  <si>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</si>
  <si>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</si>
  <si>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</si>
  <si>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</si>
  <si>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</si>
  <si>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</si>
  <si>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</si>
  <si>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</si>
  <si>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</si>
  <si>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</si>
  <si>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</si>
  <si>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</si>
  <si>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</si>
  <si>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</si>
  <si>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</si>
  <si>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</si>
  <si>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</si>
  <si>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</si>
  <si>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</si>
  <si>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</si>
  <si>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</si>
  <si>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</si>
  <si>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</si>
  <si>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</si>
  <si>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</si>
  <si>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</si>
  <si>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</si>
  <si>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</si>
  <si>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</si>
  <si>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</si>
  <si>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</si>
  <si>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</si>
  <si>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</si>
  <si>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</si>
  <si>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</si>
  <si>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</si>
  <si>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</si>
  <si>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</si>
  <si>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</si>
  <si>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</si>
  <si>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</si>
  <si>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</si>
  <si>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</si>
  <si>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</si>
  <si>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</si>
  <si>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</si>
  <si>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</si>
  <si>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</si>
  <si>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</si>
  <si>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</si>
  <si>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</si>
  <si>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</si>
  <si>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</si>
  <si>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</si>
  <si>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</si>
  <si>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</si>
  <si>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</si>
  <si>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</si>
  <si>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</si>
  <si>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</si>
  <si>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</si>
  <si>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</si>
  <si>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</si>
  <si>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</si>
  <si>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</si>
  <si>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</si>
  <si>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</si>
  <si>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</si>
  <si>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</si>
  <si>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</si>
  <si>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</si>
  <si>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</si>
  <si>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</si>
  <si>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</si>
  <si>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</si>
  <si>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</si>
  <si>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</si>
  <si>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</si>
  <si>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</si>
  <si>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</si>
  <si>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</si>
  <si>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</si>
  <si>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</si>
  <si>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</si>
  <si>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</si>
  <si>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</si>
  <si>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</si>
  <si>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</si>
  <si>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</si>
  <si>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</si>
  <si>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</si>
  <si>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</si>
  <si>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</si>
  <si>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</si>
  <si>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</si>
  <si>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</si>
  <si>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</si>
  <si>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</si>
  <si>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</si>
  <si>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</si>
  <si>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</si>
  <si>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</si>
  <si>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</si>
  <si>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</si>
  <si>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</si>
  <si>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</si>
  <si>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</si>
  <si>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</si>
  <si>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</si>
  <si>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</si>
  <si>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</si>
  <si>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</si>
  <si>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</si>
  <si>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</si>
  <si>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</si>
  <si>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</si>
  <si>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</si>
  <si>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</si>
  <si>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</si>
  <si>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</si>
  <si>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</si>
  <si>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</si>
  <si>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</si>
  <si>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</si>
  <si>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</si>
  <si>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</si>
  <si>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</si>
  <si>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</si>
  <si>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</si>
  <si>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</si>
  <si>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</si>
  <si>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</si>
  <si>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</si>
  <si>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</si>
  <si>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</si>
  <si>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</si>
  <si>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</si>
  <si>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</si>
  <si>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</si>
  <si>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</si>
  <si>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</si>
  <si>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</si>
  <si>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</si>
  <si>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</si>
  <si>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</si>
  <si>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</si>
  <si>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</si>
  <si>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</si>
  <si>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</si>
  <si>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</si>
  <si>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</si>
  <si>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</si>
  <si>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</si>
  <si>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</si>
  <si>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</si>
  <si>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</si>
  <si>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</si>
  <si>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</si>
  <si>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</si>
  <si>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</si>
  <si>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</si>
  <si>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</si>
  <si>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</si>
  <si>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</si>
  <si>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</si>
  <si>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</si>
  <si>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</si>
  <si>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</si>
  <si>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</si>
  <si>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</si>
  <si>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</si>
  <si>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</si>
  <si>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</si>
  <si>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</si>
  <si>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</si>
  <si>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</si>
  <si>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</si>
  <si>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</si>
  <si>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</si>
  <si>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</si>
  <si>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</si>
  <si>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</si>
  <si>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</si>
  <si>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</si>
  <si>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</si>
  <si>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</si>
  <si>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</si>
  <si>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</si>
  <si>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</si>
  <si>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</si>
  <si>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</si>
  <si>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</si>
  <si>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</si>
  <si>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</si>
  <si>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</si>
  <si>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</si>
  <si>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</si>
  <si>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</si>
  <si>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</si>
  <si>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</si>
  <si>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</si>
  <si>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</si>
  <si>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</si>
  <si>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</si>
  <si>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</si>
  <si>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</si>
  <si>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</si>
  <si>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</si>
  <si>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</si>
  <si>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</si>
  <si>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</si>
  <si>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</si>
  <si>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</si>
  <si>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</si>
  <si>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</si>
  <si>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</si>
  <si>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</si>
  <si>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</si>
  <si>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</si>
  <si>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</si>
  <si>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</si>
  <si>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</si>
  <si>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</si>
  <si>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</si>
  <si>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</si>
  <si>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</si>
  <si>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</si>
  <si>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</si>
  <si>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</si>
  <si>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</si>
  <si>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</si>
  <si>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</si>
  <si>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</si>
  <si>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</si>
  <si>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</si>
  <si>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</si>
  <si>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</si>
  <si>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</si>
  <si>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</si>
  <si>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</si>
  <si>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</si>
  <si>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</si>
  <si>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</si>
  <si>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</si>
  <si>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</si>
  <si>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</si>
  <si>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</si>
  <si>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</si>
  <si>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</si>
  <si>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</si>
  <si>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</si>
  <si>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</si>
  <si>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</si>
  <si>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</si>
  <si>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</si>
  <si>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</si>
  <si>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</si>
  <si>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</si>
  <si>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</si>
  <si>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</si>
  <si>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</si>
  <si>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</si>
  <si>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</si>
  <si>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</si>
  <si>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</si>
  <si>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</si>
  <si>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</si>
  <si>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</si>
  <si>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</si>
  <si>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</si>
  <si>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</si>
  <si>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</si>
  <si>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</si>
  <si>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</si>
  <si>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</si>
  <si>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</si>
  <si>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</si>
  <si>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</si>
  <si>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</si>
  <si>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</si>
  <si>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</si>
  <si>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</si>
  <si>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</si>
  <si>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</si>
  <si>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</si>
  <si>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</si>
  <si>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</si>
  <si>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</si>
  <si>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</si>
  <si>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</si>
  <si>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</si>
  <si>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</si>
  <si>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</si>
  <si>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</si>
  <si>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</si>
  <si>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</si>
  <si>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</si>
  <si>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</si>
  <si>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</si>
  <si>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</si>
  <si>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</si>
  <si>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</si>
  <si>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</si>
  <si>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</si>
  <si>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</si>
  <si>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</si>
  <si>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</si>
  <si>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</si>
  <si>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</si>
  <si>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</si>
  <si>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</si>
  <si>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</si>
  <si>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</si>
  <si>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</si>
  <si>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</si>
  <si>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</si>
  <si>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</si>
  <si>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</si>
  <si>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</si>
  <si>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</si>
  <si>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</si>
  <si>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</si>
  <si>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</si>
  <si>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</si>
  <si>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</si>
  <si>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</si>
  <si>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</si>
  <si>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</si>
  <si>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</si>
  <si>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</si>
  <si>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</si>
  <si>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</si>
  <si>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</si>
  <si>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</si>
  <si>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</si>
  <si>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</si>
  <si>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</si>
  <si>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</si>
  <si>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</si>
  <si>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</si>
  <si>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</si>
  <si>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</si>
  <si>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</si>
  <si>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</si>
  <si>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</si>
  <si>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</si>
  <si>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</si>
  <si>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</si>
  <si>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</si>
  <si>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</si>
  <si>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</si>
  <si>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</si>
  <si>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</si>
  <si>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</si>
  <si>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</si>
  <si>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</si>
  <si>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</si>
  <si>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</si>
  <si>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</si>
  <si>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</si>
  <si>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</si>
  <si>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</si>
  <si>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</si>
  <si>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</si>
  <si>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</si>
  <si>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</si>
  <si>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</si>
  <si>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</si>
  <si>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</si>
  <si>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</si>
  <si>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</si>
  <si>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</si>
  <si>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</si>
  <si>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</si>
  <si>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</si>
  <si>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</si>
  <si>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</si>
  <si>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</si>
  <si>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</si>
  <si>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</si>
  <si>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</si>
  <si>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</si>
  <si>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</si>
  <si>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</si>
  <si>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</si>
  <si>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</si>
  <si>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</si>
  <si>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</si>
  <si>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</si>
  <si>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</si>
  <si>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</si>
  <si>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</si>
  <si>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</si>
  <si>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</si>
  <si>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</si>
  <si>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</si>
  <si>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</si>
  <si>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</si>
  <si>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</si>
  <si>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</si>
  <si>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</si>
  <si>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</si>
  <si>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</si>
  <si>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</si>
  <si>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</si>
  <si>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</si>
  <si>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</si>
  <si>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</si>
  <si>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</si>
  <si>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</si>
  <si>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</si>
  <si>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</si>
  <si>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</si>
  <si>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</si>
  <si>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</si>
  <si>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</si>
  <si>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</si>
  <si>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</si>
  <si>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</si>
  <si>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</si>
  <si>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</si>
  <si>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</si>
  <si>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</si>
  <si>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ctxtRCTMS-MWERT[1,10]-GERAL</t>
  </si>
  <si>
    <t>VÁLIDO DESDE</t>
  </si>
  <si>
    <t>VÁLIDO ATÉ</t>
  </si>
  <si>
    <t>ctxtMKAL-VERID[0,0]</t>
  </si>
  <si>
    <t>txtMKAL-TEXT1[1,0]</t>
  </si>
  <si>
    <t>MÁQUINA VER. 1</t>
  </si>
  <si>
    <t>VERSÃO PRODUÇÃO 1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</si>
  <si>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</si>
  <si>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</si>
  <si>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</si>
  <si>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</si>
  <si>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</si>
  <si>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</si>
  <si>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</si>
  <si>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</si>
  <si>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</si>
  <si>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</si>
  <si>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</si>
  <si>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</si>
  <si>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</si>
  <si>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</si>
  <si>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</si>
  <si>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</si>
  <si>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</si>
  <si>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</si>
  <si>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</si>
  <si>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</si>
  <si>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</si>
  <si>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</si>
  <si>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</si>
  <si>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</si>
  <si>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</si>
  <si>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</si>
  <si>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</si>
  <si>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</si>
  <si>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</si>
  <si>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</si>
  <si>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</si>
  <si>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</si>
  <si>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</si>
  <si>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</si>
  <si>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</si>
  <si>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</si>
  <si>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</si>
  <si>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</si>
  <si>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</si>
  <si>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</si>
  <si>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</si>
  <si>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</si>
  <si>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</si>
  <si>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</si>
  <si>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</si>
  <si>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</si>
  <si>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</si>
  <si>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</si>
  <si>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</si>
  <si>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</si>
  <si>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</si>
  <si>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</si>
  <si>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</si>
  <si>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</si>
  <si>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</si>
  <si>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</si>
  <si>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</si>
  <si>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</si>
  <si>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</si>
  <si>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</si>
  <si>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</si>
  <si>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</si>
  <si>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</si>
  <si>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</si>
  <si>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</si>
  <si>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</si>
  <si>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</si>
  <si>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</si>
  <si>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</si>
  <si>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</si>
  <si>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</si>
  <si>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</si>
  <si>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</si>
  <si>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</si>
  <si>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</si>
  <si>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</si>
  <si>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</si>
  <si>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</si>
  <si>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</si>
  <si>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</si>
  <si>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</si>
  <si>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</si>
  <si>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chkMARC-UEETK</t>
  </si>
  <si>
    <t>ILIMITADO</t>
  </si>
  <si>
    <t>ctxtMARC-SFCPF</t>
  </si>
  <si>
    <t>PERFIL DE PRODUÇÃO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</si>
  <si>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</si>
  <si>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</si>
  <si>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</si>
  <si>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</si>
  <si>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</si>
  <si>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</si>
  <si>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</si>
  <si>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</si>
  <si>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</si>
  <si>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</si>
  <si>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</si>
  <si>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</si>
  <si>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</si>
  <si>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</si>
  <si>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</si>
  <si>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</si>
  <si>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</si>
  <si>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</si>
  <si>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</si>
  <si>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</si>
  <si>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</si>
  <si>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</si>
  <si>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</si>
  <si>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</si>
  <si>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</si>
  <si>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</si>
  <si>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</si>
  <si>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</si>
  <si>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</si>
  <si>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</si>
  <si>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</si>
  <si>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</si>
  <si>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STS</t>
  </si>
  <si>
    <t>Código P01</t>
  </si>
  <si>
    <t>Descrição P01</t>
  </si>
  <si>
    <t>Modelo</t>
  </si>
  <si>
    <t>Descrição do Modelo</t>
  </si>
  <si>
    <t>Centro</t>
  </si>
  <si>
    <t>GrPMerc.</t>
  </si>
  <si>
    <t>Laminação</t>
  </si>
  <si>
    <t>Espessura Mínima</t>
  </si>
  <si>
    <t>MFER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</si>
  <si>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</si>
  <si>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</si>
  <si>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</si>
  <si>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</si>
  <si>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</si>
  <si>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</si>
  <si>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</si>
  <si>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</si>
  <si>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</si>
  <si>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</si>
  <si>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</si>
  <si>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</si>
  <si>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</si>
  <si>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</si>
  <si>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</si>
  <si>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</si>
  <si>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</si>
  <si>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</si>
  <si>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</si>
  <si>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</si>
  <si>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</si>
  <si>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</si>
  <si>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</si>
  <si>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</si>
  <si>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</si>
  <si>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</si>
  <si>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</si>
  <si>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</si>
  <si>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</si>
  <si>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</si>
  <si>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</si>
  <si>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</si>
  <si>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</si>
  <si>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</si>
  <si>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</si>
  <si>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</si>
  <si>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</si>
  <si>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</si>
  <si>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</si>
  <si>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</si>
  <si>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</si>
  <si>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</si>
  <si>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</si>
  <si>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</si>
  <si>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</si>
  <si>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</si>
  <si>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</si>
  <si>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</si>
  <si>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</si>
  <si>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</si>
  <si>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</si>
  <si>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</si>
  <si>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</si>
  <si>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</si>
  <si>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</si>
  <si>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</si>
  <si>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</si>
  <si>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</si>
  <si>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</si>
  <si>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</si>
  <si>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</si>
  <si>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</si>
  <si>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</si>
  <si>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</si>
  <si>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</si>
  <si>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</si>
  <si>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</si>
  <si>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</si>
  <si>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</si>
  <si>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</si>
  <si>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</si>
  <si>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</si>
  <si>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</si>
  <si>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</si>
  <si>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</si>
  <si>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</si>
  <si>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</si>
  <si>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</si>
  <si>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</si>
  <si>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</si>
  <si>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</si>
  <si>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</si>
  <si>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</si>
  <si>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</si>
  <si>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</si>
  <si>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</si>
  <si>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</si>
  <si>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</si>
  <si>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</si>
  <si>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</si>
  <si>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</si>
  <si>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Depósito de produção</t>
  </si>
  <si>
    <t>Canal de Distribuição</t>
  </si>
  <si>
    <t>Setor de Atividade</t>
  </si>
  <si>
    <t>Níveis Organizacionais SAP</t>
  </si>
  <si>
    <t>0010</t>
  </si>
  <si>
    <t>C223-0581</t>
  </si>
  <si>
    <t>C223-0582</t>
  </si>
  <si>
    <t>ctxtMKAL-WERKS</t>
  </si>
  <si>
    <t>Grupo de Planejamento Detalhado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</si>
  <si>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</si>
  <si>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</si>
  <si>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</si>
  <si>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</si>
  <si>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</si>
  <si>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</si>
  <si>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</si>
  <si>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</si>
  <si>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</si>
  <si>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</si>
  <si>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</si>
  <si>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</si>
  <si>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</si>
  <si>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</si>
  <si>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VMAT</t>
  </si>
  <si>
    <t>P22101</t>
  </si>
  <si>
    <t>ZVMA</t>
  </si>
  <si>
    <t>chkMARC-KAUTB</t>
  </si>
  <si>
    <t>PEDIDO AUTOMÁTICO</t>
  </si>
  <si>
    <t>chkMARC-KORDB</t>
  </si>
  <si>
    <t>LOF OBRIGATÓRIA</t>
  </si>
  <si>
    <t>txtMARC-BSTMI</t>
  </si>
  <si>
    <t>TAMANHO MÍN. LOTE</t>
  </si>
  <si>
    <t>ctxtMARC-SHFLG</t>
  </si>
  <si>
    <t>CÓD. MARGEM SEG.</t>
  </si>
  <si>
    <t>txtMARC-SHZET</t>
  </si>
  <si>
    <t>TEMPO. SEG. NECE.</t>
  </si>
  <si>
    <t>ORIGEM DO MATERIAL</t>
  </si>
  <si>
    <t>TABELA DE VARIANTES</t>
  </si>
  <si>
    <t>Nacional</t>
  </si>
  <si>
    <t>ESPESSURA MÁXIMA</t>
  </si>
  <si>
    <t>ctxtRCTMS-MWERT[1,2]-EINKAUFSIN</t>
  </si>
  <si>
    <t>LAMINAÇÃO DO MATERIAL</t>
  </si>
  <si>
    <t>ctxtRCTMS-MWERT[1,0]-MATERIAL</t>
  </si>
  <si>
    <t>ctxtRCTMS-MWERT[1,1]-MATERIAL</t>
  </si>
  <si>
    <t>GRAU DA NORMA</t>
  </si>
  <si>
    <t>ctxtRCTMS-MWERT[1,2]-MATERIAL</t>
  </si>
  <si>
    <t>TRATA. SUPERFICIE</t>
  </si>
  <si>
    <t>ctxtRCTMS-MWERT[1,3]-MATERIAL</t>
  </si>
  <si>
    <t>CAMADA DE ZINCO</t>
  </si>
  <si>
    <t>ESPESSURA NOMINAL</t>
  </si>
  <si>
    <t>ctxtRCTMS-MWERT[1,4]-MATERIAL</t>
  </si>
  <si>
    <t>ctxtRCTMS-MWERT[1,5]-MATERIAL</t>
  </si>
  <si>
    <t>ESPESSURA MÍN.</t>
  </si>
  <si>
    <t>ctxtMARC-ALTSL</t>
  </si>
  <si>
    <t>SELEÇÃO ALTERNATIVA</t>
  </si>
  <si>
    <t>ctxtMARC-SBDKZ</t>
  </si>
  <si>
    <t>INDIVIDUAL / COLETIVA</t>
  </si>
  <si>
    <t>chkMARA-QMPUR</t>
  </si>
  <si>
    <t>SUPRIMENTO QM ATIVO</t>
  </si>
  <si>
    <t>ctxtMARC-SSQSS</t>
  </si>
  <si>
    <t>CHAVE DE CONTR. QM</t>
  </si>
  <si>
    <t>ctxtMARC-QZGTP</t>
  </si>
  <si>
    <t>CTG. CERTIFICADO</t>
  </si>
  <si>
    <t>Y01</t>
  </si>
  <si>
    <t>HALB</t>
  </si>
  <si>
    <t>CÓDIGO TIRA</t>
  </si>
  <si>
    <t>CÓDIGO BOB.</t>
  </si>
  <si>
    <t>MATNR-BOB</t>
  </si>
  <si>
    <t>txtMARC-DZEIT</t>
  </si>
  <si>
    <t>TEMPO PROD. INT.</t>
  </si>
  <si>
    <t>Standard (Slitter)</t>
  </si>
  <si>
    <t>PPSC</t>
  </si>
  <si>
    <t>ctxtMARA-RAUBE</t>
  </si>
  <si>
    <t>CONDIÇÃO DE ESTOC.</t>
  </si>
  <si>
    <t>RING</t>
  </si>
  <si>
    <t>CÓDIGO BOBINA</t>
  </si>
  <si>
    <t>K00_R_0581</t>
  </si>
  <si>
    <t>K00_R_0582</t>
  </si>
  <si>
    <t>K00_R_TRIM_0581</t>
  </si>
  <si>
    <t>K00_R_TRIM_0582</t>
  </si>
  <si>
    <t>Chave HALB para itens da 0581</t>
  </si>
  <si>
    <t>Chave HALB para itens da 0582</t>
  </si>
  <si>
    <t>50736333</t>
  </si>
  <si>
    <t>Y</t>
  </si>
  <si>
    <r>
      <t xml:space="preserve">*As referências </t>
    </r>
    <r>
      <rPr>
        <u/>
        <sz val="10"/>
        <color theme="1"/>
        <rFont val="voestalpine"/>
        <family val="2"/>
      </rPr>
      <t>externas</t>
    </r>
    <r>
      <rPr>
        <sz val="10"/>
        <color theme="1"/>
        <rFont val="voestalpine"/>
        <family val="2"/>
      </rPr>
      <t xml:space="preserve"> dessa planilha estão idetificadas com X acima do nome técnico.</t>
    </r>
  </si>
  <si>
    <r>
      <t xml:space="preserve">**As referências </t>
    </r>
    <r>
      <rPr>
        <u/>
        <sz val="10"/>
        <color theme="1"/>
        <rFont val="voestalpine"/>
        <family val="2"/>
      </rPr>
      <t>internas</t>
    </r>
    <r>
      <rPr>
        <sz val="10"/>
        <color theme="1"/>
        <rFont val="voestalpine"/>
        <family val="2"/>
      </rPr>
      <t xml:space="preserve"> dessa planilha estão idetificadas com Y acima do nome técnico.</t>
    </r>
  </si>
  <si>
    <t>Column1</t>
  </si>
  <si>
    <t>STATUS</t>
  </si>
  <si>
    <t>Column5</t>
  </si>
  <si>
    <t>Column6</t>
  </si>
  <si>
    <t>Column7</t>
  </si>
  <si>
    <t>Column17</t>
  </si>
  <si>
    <t>Column21</t>
  </si>
  <si>
    <t>Column22</t>
  </si>
  <si>
    <t>Column24</t>
  </si>
  <si>
    <t>Column26</t>
  </si>
  <si>
    <t>Column27</t>
  </si>
  <si>
    <t>Column29</t>
  </si>
  <si>
    <t>Column31</t>
  </si>
  <si>
    <t>Column33</t>
  </si>
  <si>
    <t>Column35</t>
  </si>
  <si>
    <t>Column36</t>
  </si>
  <si>
    <t>Column37</t>
  </si>
  <si>
    <t>Tamanho mínimo do Lote</t>
  </si>
  <si>
    <t>Tipo de MRP</t>
  </si>
  <si>
    <t xml:space="preserve">Tipo de Material </t>
  </si>
  <si>
    <t>Origem do material</t>
  </si>
  <si>
    <t>Norma De Aço</t>
  </si>
  <si>
    <t>Grau da Norma</t>
  </si>
  <si>
    <t>Tratamento de superfície</t>
  </si>
  <si>
    <t>Camada de zinco</t>
  </si>
  <si>
    <t>Espessura Nominal</t>
  </si>
  <si>
    <t>Tolerânica Especial</t>
  </si>
  <si>
    <t>Tolerância Superior</t>
  </si>
  <si>
    <t>Espessura máxima</t>
  </si>
  <si>
    <t>Tolerância Inferior</t>
  </si>
  <si>
    <t>Dado Adicional</t>
  </si>
  <si>
    <t>Centro de Origem</t>
  </si>
  <si>
    <t>Tipo de material referência à classe contábil</t>
  </si>
  <si>
    <t>Classe Contábil</t>
  </si>
  <si>
    <t>H</t>
  </si>
  <si>
    <t>7208.90.00</t>
  </si>
  <si>
    <t>Meincol 1</t>
  </si>
  <si>
    <t>Semi-Acabado</t>
  </si>
  <si>
    <t>Industria</t>
  </si>
  <si>
    <t/>
  </si>
  <si>
    <t>Comum</t>
  </si>
  <si>
    <t>7208.37.00</t>
  </si>
  <si>
    <t>Matéria-Prima.</t>
  </si>
  <si>
    <t>Referencia do Tratamento</t>
  </si>
  <si>
    <t>Prematerial</t>
  </si>
  <si>
    <t>NEW</t>
  </si>
  <si>
    <t>TIRA 1,35 BZ NBR7008 ZAR 345 Z275 MTH</t>
  </si>
  <si>
    <t>BOBINA 1,35 BZ NBR7008 ZAR 345 Z275 MTH</t>
  </si>
  <si>
    <t>BZ</t>
  </si>
  <si>
    <t>NBR7008</t>
  </si>
  <si>
    <t>ZAR 345</t>
  </si>
  <si>
    <t>CRISTAIS MINIM. + TRAT. QUÍMIC</t>
  </si>
  <si>
    <t>MTQ</t>
  </si>
  <si>
    <t>Z275</t>
  </si>
  <si>
    <t>MTH</t>
  </si>
  <si>
    <t>TIRA 1,80 BZ NBR7008 ZAR 345 Z275 MTH</t>
  </si>
  <si>
    <t>BOBINA 1,80 BZ NBR7008 ZAR 345 Z275 MTH</t>
  </si>
  <si>
    <t>PREÇO PLANEJADO</t>
  </si>
  <si>
    <t>DATA PREÇO PLAN.</t>
  </si>
  <si>
    <t>txtMBEW-ZPLP1</t>
  </si>
  <si>
    <t>ctxtMBEW-ZPLD1</t>
  </si>
  <si>
    <t>VALORES DE MATÉRIA PRIMA</t>
  </si>
  <si>
    <t>POR LAMINAÇÃO</t>
  </si>
  <si>
    <t>VALOR</t>
  </si>
  <si>
    <t>BQ</t>
  </si>
  <si>
    <t>BF</t>
  </si>
  <si>
    <t>BQD</t>
  </si>
  <si>
    <t>CONDIÇÃO DE ESTOCAGEM</t>
  </si>
  <si>
    <t>\\2431fscxs01\engenharia$\Trabalhos em Andamento\Arthur Boff\8. Planilhas\11. Script SAP\Mestre de Materiais_REV04\Cronus_SAPScriptConnection_MM01_Criar material VMAT+HALB.xlsm</t>
  </si>
  <si>
    <t>VALOR DE ARREDONDAMENTO</t>
  </si>
  <si>
    <t>txtMARC-BSTRF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</si>
</sst>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(&quot;R$&quot;* #,##0.00_);_(&quot;R$&quot;* \(#,##0.00\);_(&quot;R$&quot;* &quot;-&quot;??_);_(@_)"/>
  </numFmts>
  <fonts count="11" x14ac:knownFonts="1"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b/>
      <i/>
      <u/>
      <sz val="10"/>
      <color theme="1"/>
      <name val="voestalpine"/>
      <family val="2"/>
    </font>
    <font>
      <u/>
      <sz val="10"/>
      <color theme="1"/>
      <name val="voestalpine"/>
      <family val="2"/>
    </font>
    <font>
      <sz val="10"/>
      <color theme="1"/>
      <name val="Trebuchet MS"/>
      <family val="2"/>
    </font>
  </fonts>
  <fills count="11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3" tint="0.59999389629810485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indexed="64"/>
      </top>
      <bottom style="hair">
        <color indexed="64"/>
      </bottom>
      <diagonal/>
    </border>
  </borders>
  <cellStyleXfs count="9">
    <xf numFmtId="0" fontId="0" fillId="0" borderId="0"/>
    <xf numFmtId="164" fontId="10" fillId="0" borderId="0" applyFont="0" applyFill="0" applyBorder="0" applyAlignment="0" applyProtection="0"/>
    <xf numFmtId="0" fontId="1" fillId="3" borderId="9" applyNumberFormat="0" applyProtection="0">
      <alignment vertical="center"/>
      <protection locked="0"/>
    </xf>
    <xf numFmtId="49" fontId="1" fillId="5" borderId="9" applyNumberFormat="0">
      <alignment vertical="center"/>
    </xf>
    <xf numFmtId="0" fontId="1" fillId="10" borderId="9" applyFont="0">
      <alignment vertical="center"/>
      <protection locked="0"/>
    </xf>
    <xf numFmtId="0" fontId="1" fillId="8" borderId="9" applyNumberFormat="0" applyProtection="0">
      <alignment vertical="center"/>
      <protection locked="0"/>
    </xf>
    <xf numFmtId="0" fontId="1" fillId="6" borderId="9">
      <alignment vertical="center"/>
    </xf>
    <xf numFmtId="0" fontId="1" fillId="9" borderId="9">
      <alignment horizontal="center" vertical="center"/>
      <protection locked="0"/>
    </xf>
    <xf numFmtId="0" fontId="3" fillId="2" borderId="2">
      <alignment horizontal="center" vertical="center"/>
    </xf>
  </cellStyleXfs>
  <cellXfs count="103">
    <xf numFmtId="0" fontId="0" fillId="0" borderId="0" xfId="0"/>
    <xf numFmtId="0" fontId="1" fillId="0" borderId="0" xfId="0" applyFont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4" fillId="2" borderId="0" xfId="0" applyFont="1" applyFill="1" applyAlignment="1">
      <alignment horizontal="right" vertical="center"/>
    </xf>
    <xf numFmtId="0" fontId="5" fillId="2" borderId="0" xfId="0" applyFont="1" applyFill="1" applyAlignment="1">
      <alignment horizontal="right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2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3" borderId="3" xfId="0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1" fillId="3" borderId="3" xfId="0" applyNumberFormat="1" applyFont="1" applyFill="1" applyBorder="1" applyAlignment="1">
      <alignment horizontal="left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3" fillId="2" borderId="0" xfId="0" applyFont="1" applyFill="1" applyAlignment="1">
      <alignment horizontal="left" vertical="center"/>
    </xf>
    <xf numFmtId="0" fontId="3" fillId="2" borderId="0" xfId="0" applyFont="1" applyFill="1" applyAlignment="1">
      <alignment vertical="center"/>
    </xf>
    <xf numFmtId="0" fontId="1" fillId="3" borderId="4" xfId="0" applyFont="1" applyFill="1" applyBorder="1" applyAlignment="1">
      <alignment horizontal="center" vertical="center"/>
    </xf>
    <xf numFmtId="0" fontId="1" fillId="6" borderId="4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1" fillId="8" borderId="4" xfId="0" applyFont="1" applyFill="1" applyBorder="1" applyAlignment="1">
      <alignment horizontal="center" vertical="center"/>
    </xf>
    <xf numFmtId="14" fontId="1" fillId="6" borderId="4" xfId="0" applyNumberFormat="1" applyFont="1" applyFill="1" applyBorder="1" applyAlignment="1">
      <alignment horizontal="center" vertical="center"/>
    </xf>
    <xf numFmtId="14" fontId="1" fillId="0" borderId="4" xfId="0" applyNumberFormat="1" applyFont="1" applyFill="1" applyBorder="1" applyAlignment="1">
      <alignment horizontal="center" vertical="center"/>
    </xf>
    <xf numFmtId="0" fontId="1" fillId="5" borderId="4" xfId="0" applyFont="1" applyFill="1" applyBorder="1" applyAlignment="1">
      <alignment horizontal="center" vertical="center"/>
    </xf>
    <xf numFmtId="49" fontId="1" fillId="6" borderId="4" xfId="0" applyNumberFormat="1" applyFont="1" applyFill="1" applyBorder="1" applyAlignment="1">
      <alignment horizontal="center" vertical="center"/>
    </xf>
    <xf numFmtId="49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49" fontId="3" fillId="7" borderId="0" xfId="0" applyNumberFormat="1" applyFont="1" applyFill="1" applyAlignment="1">
      <alignment horizontal="right" vertical="center"/>
    </xf>
    <xf numFmtId="49" fontId="3" fillId="7" borderId="0" xfId="0" applyNumberFormat="1" applyFont="1" applyFill="1" applyAlignment="1">
      <alignment horizontal="center" vertical="center"/>
    </xf>
    <xf numFmtId="0" fontId="3" fillId="7" borderId="0" xfId="0" applyFont="1" applyFill="1" applyAlignment="1">
      <alignment horizontal="center" vertical="center"/>
    </xf>
    <xf numFmtId="0" fontId="3" fillId="9" borderId="4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14" fontId="1" fillId="0" borderId="0" xfId="0" applyNumberFormat="1" applyFont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1" fillId="5" borderId="6" xfId="0" applyNumberFormat="1" applyFont="1" applyFill="1" applyBorder="1" applyAlignment="1">
      <alignment horizontal="left" vertical="center"/>
    </xf>
    <xf numFmtId="49" fontId="1" fillId="5" borderId="7" xfId="0" applyNumberFormat="1" applyFont="1" applyFill="1" applyBorder="1" applyAlignment="1">
      <alignment horizontal="left" vertical="center"/>
    </xf>
    <xf numFmtId="49" fontId="1" fillId="5" borderId="8" xfId="0" applyNumberFormat="1" applyFont="1" applyFill="1" applyBorder="1" applyAlignment="1">
      <alignment horizontal="left" vertical="center"/>
    </xf>
    <xf numFmtId="11" fontId="1" fillId="0" borderId="0" xfId="0" applyNumberFormat="1" applyFont="1" applyAlignment="1">
      <alignment horizontal="center" vertical="center"/>
    </xf>
    <xf numFmtId="11" fontId="1" fillId="0" borderId="0" xfId="0" applyNumberFormat="1" applyFont="1" applyAlignment="1">
      <alignment horizontal="left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6" borderId="4" xfId="0" applyNumberFormat="1" applyFont="1" applyFill="1" applyBorder="1" applyAlignment="1">
      <alignment horizontal="center" vertical="center"/>
    </xf>
    <xf numFmtId="0" fontId="1" fillId="8" borderId="4" xfId="0" applyNumberFormat="1" applyFont="1" applyFill="1" applyBorder="1" applyAlignment="1">
      <alignment horizontal="center" vertical="center"/>
    </xf>
    <xf numFmtId="0" fontId="1" fillId="5" borderId="4" xfId="0" applyNumberFormat="1" applyFont="1" applyFill="1" applyBorder="1" applyAlignment="1">
      <alignment horizontal="center" vertical="center"/>
    </xf>
    <xf numFmtId="0" fontId="3" fillId="9" borderId="0" xfId="0" quotePrefix="1" applyFont="1" applyFill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1" fillId="9" borderId="4" xfId="0" applyFont="1" applyFill="1" applyBorder="1" applyAlignment="1">
      <alignment horizontal="center" vertical="center"/>
    </xf>
    <xf numFmtId="49" fontId="1" fillId="3" borderId="4" xfId="0" applyNumberFormat="1" applyFont="1" applyFill="1" applyBorder="1" applyAlignment="1">
      <alignment horizontal="center" vertical="center"/>
    </xf>
    <xf numFmtId="1" fontId="1" fillId="0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right" vertical="center"/>
    </xf>
    <xf numFmtId="0" fontId="1" fillId="0" borderId="0" xfId="0" applyFont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49" fontId="1" fillId="9" borderId="4" xfId="0" applyNumberFormat="1" applyFont="1" applyFill="1" applyBorder="1" applyAlignment="1">
      <alignment horizontal="center" vertical="center"/>
    </xf>
    <xf numFmtId="49" fontId="1" fillId="5" borderId="4" xfId="0" applyNumberFormat="1" applyFont="1" applyFill="1" applyBorder="1" applyAlignment="1">
      <alignment horizontal="center" vertical="center"/>
    </xf>
    <xf numFmtId="0" fontId="1" fillId="9" borderId="4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>
      <alignment vertical="center"/>
    </xf>
    <xf numFmtId="164" fontId="1" fillId="6" borderId="9" xfId="1" applyFont="1" applyFill="1" applyBorder="1" applyAlignment="1">
      <alignment vertical="center"/>
    </xf>
    <xf numFmtId="0" fontId="1" fillId="3" borderId="3" xfId="0" applyNumberFormat="1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1" fillId="6" borderId="9" xfId="6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1" fontId="1" fillId="8" borderId="4" xfId="0" applyNumberFormat="1" applyFont="1" applyFill="1" applyBorder="1" applyAlignment="1">
      <alignment horizontal="center" vertical="center"/>
    </xf>
    <xf numFmtId="0" fontId="1" fillId="8" borderId="9" xfId="5" applyAlignment="1" applyProtection="1">
      <alignment horizontal="center" vertical="center"/>
    </xf>
    <xf numFmtId="0" fontId="3" fillId="2" borderId="0" xfId="0" applyFont="1" applyFill="1" applyAlignment="1">
      <alignment horizontal="center" vertical="center" wrapText="1"/>
    </xf>
    <xf numFmtId="0" fontId="3" fillId="2" borderId="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</cellXfs>
  <cellStyles count="9">
    <cellStyle name="Dados Editáveis" xfId="2"/>
    <cellStyle name="Dados Fixos" xfId="3"/>
    <cellStyle name="Dados Obrigatórios com validação DDs" xfId="4"/>
    <cellStyle name="Dados Opcionais" xfId="5"/>
    <cellStyle name="Fórmulas" xfId="6"/>
    <cellStyle name="Moeda" xfId="1" builtinId="4"/>
    <cellStyle name="Normal" xfId="0" builtinId="0" customBuiltin="1"/>
    <cellStyle name="Script" xfId="7"/>
    <cellStyle name="Títulos" xfId="8"/>
  </cellStyles>
  <dxfs count="18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82"/>
      <tableStyleElement type="headerRow" dxfId="18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32769" name="Button 1" hidden="1">
              <a:extLst>
                <a:ext uri="{63B3BB69-23CF-44E3-9099-C40C66FF867C}">
                  <a14:compatExt spid="_x0000_s32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32770" name="Button 2" hidden="1">
              <a:extLst>
                <a:ext uri="{63B3BB69-23CF-44E3-9099-C40C66FF867C}">
                  <a14:compatExt spid="_x0000_s32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39">
    <queryTableFields count="38">
      <queryTableField id="1" name="Column1" tableColumnId="1"/>
      <queryTableField id="2" name="STATUS" tableColumnId="2"/>
      <queryTableField id="3" name="ctxtRMMG1-MATNR" tableColumnId="3"/>
      <queryTableField id="4" name="txtMAKT-MAKTX" tableColumnId="4"/>
      <queryTableField id="5" name="Column5" tableColumnId="5"/>
      <queryTableField id="6" name="Column6" tableColumnId="6"/>
      <queryTableField id="7" name="Column7" tableColumnId="7"/>
      <queryTableField id="8" name="ctxtMARA-MATKL" tableColumnId="8"/>
      <queryTableField id="9" name="ctxtMARC-STEUC" tableColumnId="9"/>
      <queryTableField id="10" name="txtMARC-BSTMI" tableColumnId="10"/>
      <queryTableField id="11" name="ctxtMARC-DISMM" tableColumnId="11"/>
      <queryTableField id="12" name="cmbRMMG1-MTART" tableColumnId="12"/>
      <queryTableField id="13" name="ctxtRCTMS-MWERT[1,10]-GERAL" tableColumnId="13"/>
      <queryTableField id="14" name="ctxtRCTMS-MWERT[1,0]-MATERIAL" tableColumnId="14"/>
      <queryTableField id="15" name="txtMARA-NORMT" tableColumnId="15"/>
      <queryTableField id="16" name="ctxtRCTMS-MWERT[1,1]-MATERIAL" tableColumnId="16"/>
      <queryTableField id="17" name="Column17" tableColumnId="17"/>
      <queryTableField id="18" name="ctxtRCTMS-MWERT[1,2]-MATERIAL" tableColumnId="18"/>
      <queryTableField id="19" name="ctxtRCTMS-MWERT[1,3]-MATERIAL" tableColumnId="19"/>
      <queryTableField id="20" name="ctxtRCTMS-MWERT[1,4]-MATERIAL" tableColumnId="20"/>
      <queryTableField id="21" name="Column21" tableColumnId="21"/>
      <queryTableField id="22" name="Column22" tableColumnId="22"/>
      <queryTableField id="23" name="ctxtRCTMS-MWERT[1,2]-EINKAUFSIN" tableColumnId="23"/>
      <queryTableField id="24" name="Column24" tableColumnId="24"/>
      <queryTableField id="25" name="ctxtRCTMS-MWERT[1,5]-MATERIAL" tableColumnId="25"/>
      <queryTableField id="26" name="Column26" tableColumnId="26"/>
      <queryTableField id="27" name="Column27" tableColumnId="27"/>
      <queryTableField id="28" name="ctxtRMMG1-WERKS" tableColumnId="28"/>
      <queryTableField id="29" name="Column29" tableColumnId="29"/>
      <queryTableField id="30" name="ctxtRMMG1-LGORT" tableColumnId="30"/>
      <queryTableField id="31" name="Column31" tableColumnId="31"/>
      <queryTableField id="32" name="ctxtRMMG1-VTWEG" tableColumnId="32"/>
      <queryTableField id="33" name="Column33" tableColumnId="33"/>
      <queryTableField id="34" name="ctxtMARA-SPART" tableColumnId="34"/>
      <queryTableField id="35" name="Column35" tableColumnId="35"/>
      <queryTableField id="36" name="Column36" tableColumnId="36"/>
      <queryTableField id="37" name="Column37" tableColumnId="37"/>
      <queryTableField id="38" name="ctxtMBEW-BKLAS" tableColumnId="38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AL9" tableType="queryTable" totalsRowCount="1">
  <autoFilter ref="A1:AL8">
    <filterColumn colId="1">
      <filters>
        <filter val="NEW"/>
      </filters>
    </filterColumn>
  </autoFilter>
  <tableColumns count="38">
    <tableColumn id="1" uniqueName="1" name="Column1" totalsRowLabel="Total" queryTableFieldId="1"/>
    <tableColumn id="2" uniqueName="2" name="STATUS" queryTableFieldId="2"/>
    <tableColumn id="3" uniqueName="3" name="ctxtRMMG1-MATNR" queryTableFieldId="3"/>
    <tableColumn id="4" uniqueName="4" name="txtMAKT-MAKTX" queryTableFieldId="4"/>
    <tableColumn id="5" uniqueName="5" name="Column5" queryTableFieldId="5"/>
    <tableColumn id="6" uniqueName="6" name="Column6" queryTableFieldId="6"/>
    <tableColumn id="7" uniqueName="7" name="Column7" queryTableFieldId="7"/>
    <tableColumn id="8" uniqueName="8" name="ctxtMARA-MATKL" queryTableFieldId="8"/>
    <tableColumn id="9" uniqueName="9" name="ctxtMARC-STEUC" queryTableFieldId="9"/>
    <tableColumn id="10" uniqueName="10" name="txtMARC-BSTMI" queryTableFieldId="10"/>
    <tableColumn id="11" uniqueName="11" name="ctxtMARC-DISMM" queryTableFieldId="11"/>
    <tableColumn id="12" uniqueName="12" name="cmbRMMG1-MTART" queryTableFieldId="12"/>
    <tableColumn id="13" uniqueName="13" name="ctxtRCTMS-MWERT[1,10]-GERAL" queryTableFieldId="13"/>
    <tableColumn id="14" uniqueName="14" name="ctxtRCTMS-MWERT[1,0]-MATERIAL" queryTableFieldId="14"/>
    <tableColumn id="15" uniqueName="15" name="txtMARA-NORMT" queryTableFieldId="15"/>
    <tableColumn id="16" uniqueName="16" name="ctxtRCTMS-MWERT[1,1]-MATERIAL" queryTableFieldId="16"/>
    <tableColumn id="17" uniqueName="17" name="Column17" queryTableFieldId="17"/>
    <tableColumn id="18" uniqueName="18" name="ctxtRCTMS-MWERT[1,2]-MATERIAL" queryTableFieldId="18"/>
    <tableColumn id="19" uniqueName="19" name="ctxtRCTMS-MWERT[1,3]-MATERIAL" queryTableFieldId="19"/>
    <tableColumn id="20" uniqueName="20" name="ctxtRCTMS-MWERT[1,4]-MATERIAL" queryTableFieldId="20"/>
    <tableColumn id="21" uniqueName="21" name="Column21" queryTableFieldId="21"/>
    <tableColumn id="22" uniqueName="22" name="Column22" queryTableFieldId="22"/>
    <tableColumn id="23" uniqueName="23" name="ctxtRCTMS-MWERT[1,2]-EINKAUFSIN" queryTableFieldId="23"/>
    <tableColumn id="24" uniqueName="24" name="Column24" queryTableFieldId="24"/>
    <tableColumn id="25" uniqueName="25" name="ctxtRCTMS-MWERT[1,5]-MATERIAL" queryTableFieldId="25"/>
    <tableColumn id="26" uniqueName="26" name="Column26" queryTableFieldId="26"/>
    <tableColumn id="27" uniqueName="27" name="Column27" queryTableFieldId="27"/>
    <tableColumn id="28" uniqueName="28" name="ctxtRMMG1-WERKS" queryTableFieldId="28"/>
    <tableColumn id="29" uniqueName="29" name="Column29" queryTableFieldId="29"/>
    <tableColumn id="30" uniqueName="30" name="ctxtRMMG1-LGORT" queryTableFieldId="30"/>
    <tableColumn id="31" uniqueName="31" name="Column31" queryTableFieldId="31"/>
    <tableColumn id="32" uniqueName="32" name="ctxtRMMG1-VTWEG" queryTableFieldId="32"/>
    <tableColumn id="33" uniqueName="33" name="Column33" queryTableFieldId="33"/>
    <tableColumn id="34" uniqueName="34" name="ctxtMARA-SPART" queryTableFieldId="34"/>
    <tableColumn id="35" uniqueName="35" name="Column35" queryTableFieldId="35"/>
    <tableColumn id="36" uniqueName="36" name="Column36" queryTableFieldId="36"/>
    <tableColumn id="37" uniqueName="37" name="Column37" queryTableFieldId="37"/>
    <tableColumn id="38" uniqueName="38" name="ctxtMBEW-BKLAS" totalsRowFunction="count" queryTableFieldId="38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2" dataDxfId="1">
  <autoFilter ref="A6:A7"/>
  <tableColumns count="1">
    <tableColumn id="1" name="DIRETORIO DA CONSULTA (POWER QUERY)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DU40"/>
  <sheetViews>
    <sheetView showGridLines="0" showRowColHeaders="0" tabSelected="1" workbookViewId="0">
      <pane xSplit="3" ySplit="4" topLeftCell="DU5" activePane="bottomRight" state="frozen"/>
      <selection pane="topRight" activeCell="D1" sqref="D1"/>
      <selection pane="bottomLeft" activeCell="A5" sqref="A5"/>
      <selection pane="bottomRight" activeCell="AZ5" sqref="AZ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4.7109375" style="6" customWidth="1"/>
    <col min="4" max="4" width="18.42578125" style="6" customWidth="1"/>
    <col min="5" max="5" width="18.7109375" style="6" customWidth="1"/>
    <col min="6" max="7" width="18.140625" style="6" customWidth="1" outlineLevel="1"/>
    <col min="8" max="8" width="18.5703125" style="6" customWidth="1" outlineLevel="1"/>
    <col min="9" max="9" width="23.42578125" style="6" customWidth="1" outlineLevel="1"/>
    <col min="10" max="10" width="18.85546875" style="6" customWidth="1" outlineLevel="1"/>
    <col min="11" max="11" width="11.7109375" style="6" customWidth="1"/>
    <col min="12" max="13" width="15" style="6" hidden="1" customWidth="1" outlineLevel="1"/>
    <col min="14" max="14" width="12.28515625" style="6" hidden="1" customWidth="1" outlineLevel="1"/>
    <col min="15" max="19" width="8" style="6" hidden="1" customWidth="1" outlineLevel="1"/>
    <col min="20" max="20" width="8.7109375" style="6" hidden="1" customWidth="1" outlineLevel="1"/>
    <col min="21" max="21" width="28.140625" style="6" hidden="1" customWidth="1" outlineLevel="1"/>
    <col min="22" max="22" width="20.42578125" style="6" hidden="1" customWidth="1" outlineLevel="1"/>
    <col min="23" max="27" width="9.140625" style="6" hidden="1" customWidth="1" outlineLevel="1"/>
    <col min="28" max="29" width="26.5703125" style="6" hidden="1" customWidth="1" outlineLevel="1"/>
    <col min="30" max="31" width="9.140625" style="6" hidden="1" customWidth="1" outlineLevel="1"/>
    <col min="32" max="32" width="25.85546875" style="6" hidden="1" customWidth="1" outlineLevel="1"/>
    <col min="33" max="34" width="15" style="6" hidden="1" customWidth="1" outlineLevel="1"/>
    <col min="35" max="36" width="17.5703125" style="6" hidden="1" customWidth="1" outlineLevel="1"/>
    <col min="37" max="38" width="9.140625" style="6" hidden="1" customWidth="1" outlineLevel="1"/>
    <col min="39" max="39" width="19.140625" style="6" customWidth="1" collapsed="1"/>
    <col min="40" max="40" width="18.28515625" style="6" customWidth="1"/>
    <col min="41" max="41" width="20.140625" style="6" customWidth="1"/>
    <col min="42" max="42" width="14.85546875" style="6" customWidth="1"/>
    <col min="43" max="43" width="19.42578125" style="6" customWidth="1"/>
    <col min="44" max="44" width="17" style="6" customWidth="1"/>
    <col min="45" max="45" width="28.5703125" style="6" customWidth="1"/>
    <col min="46" max="46" width="23.28515625" style="6" customWidth="1"/>
    <col min="47" max="47" width="18.7109375" style="6" customWidth="1"/>
    <col min="48" max="48" width="16" style="6" customWidth="1"/>
    <col min="49" max="49" width="17" style="6" customWidth="1"/>
    <col min="50" max="50" width="23.140625" style="6" customWidth="1"/>
    <col min="51" max="51" width="16.42578125" style="6" customWidth="1"/>
    <col min="52" max="52" width="17" style="6" customWidth="1"/>
    <col min="53" max="53" width="26.28515625" style="6" customWidth="1"/>
    <col min="54" max="54" width="21.140625" style="6" customWidth="1"/>
    <col min="55" max="55" width="16" style="6" customWidth="1"/>
    <col min="56" max="56" width="17.5703125" style="6" customWidth="1"/>
    <col min="57" max="57" width="16.5703125" style="6" customWidth="1"/>
    <col min="58" max="58" width="16.42578125" style="6" customWidth="1"/>
    <col min="59" max="59" width="20.5703125" style="6" customWidth="1"/>
    <col min="60" max="60" width="17.42578125" style="6" customWidth="1"/>
    <col min="61" max="63" width="16.42578125" style="6" customWidth="1"/>
    <col min="64" max="64" width="16.7109375" style="6" customWidth="1"/>
    <col min="65" max="66" width="16.28515625" style="6" customWidth="1"/>
    <col min="67" max="67" width="16.42578125" style="6" customWidth="1"/>
    <col min="68" max="68" width="16.140625" style="6" customWidth="1"/>
    <col min="69" max="69" width="16.7109375" style="6" customWidth="1"/>
    <col min="70" max="70" width="17.5703125" style="6" customWidth="1"/>
    <col min="71" max="71" width="19.85546875" style="6" customWidth="1"/>
    <col min="72" max="72" width="28.42578125" style="6" bestFit="1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5.85546875" style="6" customWidth="1"/>
    <col min="82" max="82" width="17.7109375" style="6" customWidth="1"/>
    <col min="83" max="83" width="18.7109375" style="6" customWidth="1"/>
    <col min="84" max="84" width="18.140625" style="6" customWidth="1"/>
    <col min="85" max="85" width="16.140625" style="6" customWidth="1"/>
    <col min="86" max="86" width="18.140625" style="6" customWidth="1"/>
    <col min="87" max="87" width="19.140625" style="6" customWidth="1"/>
    <col min="88" max="88" width="20.7109375" style="6" customWidth="1"/>
    <col min="89" max="89" width="19.7109375" style="6" customWidth="1"/>
    <col min="90" max="90" width="20.5703125" style="6" customWidth="1" outlineLevel="1"/>
    <col min="91" max="91" width="25.140625" style="6" customWidth="1" outlineLevel="1"/>
    <col min="92" max="92" width="17.7109375" style="6" customWidth="1" outlineLevel="1"/>
    <col min="93" max="93" width="18.7109375" style="6" customWidth="1" outlineLevel="1"/>
    <col min="94" max="94" width="18.140625" style="6" customWidth="1" outlineLevel="1"/>
    <col min="95" max="95" width="20.42578125" style="6" customWidth="1" outlineLevel="1"/>
    <col min="96" max="96" width="16" style="6" customWidth="1" outlineLevel="1"/>
    <col min="97" max="97" width="19.85546875" style="6" customWidth="1" outlineLevel="1"/>
    <col min="98" max="98" width="31.140625" style="6" customWidth="1"/>
    <col min="99" max="99" width="20.5703125" style="6" hidden="1" customWidth="1" outlineLevel="1"/>
    <col min="100" max="100" width="18.5703125" style="6" hidden="1" customWidth="1" outlineLevel="1"/>
    <col min="101" max="101" width="20.7109375" style="6" hidden="1" customWidth="1" outlineLevel="1"/>
    <col min="102" max="102" width="20.5703125" style="6" hidden="1" customWidth="1" outlineLevel="1"/>
    <col min="103" max="103" width="23.42578125" style="6" customWidth="1" collapsed="1"/>
    <col min="104" max="104" width="22" style="82" customWidth="1"/>
    <col min="105" max="105" width="22.42578125" style="82" customWidth="1"/>
    <col min="106" max="106" width="15.85546875" style="6" customWidth="1"/>
    <col min="107" max="107" width="20.5703125" style="6" customWidth="1"/>
    <col min="108" max="108" width="25.7109375" style="6" bestFit="1" customWidth="1"/>
    <col min="109" max="109" width="17.85546875" style="6" customWidth="1"/>
    <col min="110" max="110" width="16.7109375" style="6" customWidth="1"/>
    <col min="111" max="112" width="22.42578125" style="6" customWidth="1"/>
    <col min="113" max="113" width="17.85546875" style="6" customWidth="1"/>
    <col min="114" max="114" width="17.42578125" style="6" customWidth="1"/>
    <col min="115" max="115" width="28.5703125" style="6" customWidth="1"/>
    <col min="116" max="116" width="17.42578125" style="6" customWidth="1"/>
    <col min="117" max="117" width="18.5703125" style="6" customWidth="1"/>
    <col min="118" max="118" width="16.7109375" style="6" customWidth="1"/>
    <col min="119" max="120" width="17.7109375" style="6" customWidth="1"/>
    <col min="121" max="121" width="23" style="6" customWidth="1"/>
    <col min="122" max="122" width="20.85546875" style="6" customWidth="1"/>
    <col min="123" max="123" width="18.5703125" style="6" customWidth="1"/>
    <col min="124" max="124" width="18.42578125" style="6" customWidth="1"/>
    <col min="125" max="125" width="75.7109375" style="1" customWidth="1"/>
    <col min="126" max="126" width="22" style="1" customWidth="1"/>
    <col min="127" max="16384" width="9.140625" style="1"/>
  </cols>
  <sheetData>
    <row r="1" spans="1:125" s="34" customFormat="1" x14ac:dyDescent="0.2">
      <c r="A1" s="7" t="s">
        <v>28</v>
      </c>
      <c r="K1" s="102" t="s">
        <v>170</v>
      </c>
      <c r="AM1" s="102" t="s">
        <v>127</v>
      </c>
      <c r="AX1" s="41"/>
      <c r="BG1" s="76"/>
      <c r="BI1" s="76"/>
      <c r="BS1" s="97"/>
      <c r="BU1" s="76"/>
      <c r="CE1" s="76"/>
      <c r="CF1" s="76"/>
      <c r="CT1" s="102" t="s">
        <v>876</v>
      </c>
      <c r="CY1" s="100" t="s">
        <v>699</v>
      </c>
      <c r="CZ1" s="33"/>
      <c r="DA1" s="33"/>
      <c r="DD1" s="94"/>
      <c r="DG1" s="76"/>
      <c r="DH1" s="76"/>
      <c r="DI1" s="76"/>
      <c r="DO1" s="62"/>
      <c r="DS1" s="89"/>
      <c r="DT1" s="89"/>
      <c r="DU1" s="56"/>
    </row>
    <row r="2" spans="1:125" s="41" customFormat="1" x14ac:dyDescent="0.2">
      <c r="A2" s="7"/>
      <c r="B2" s="40"/>
      <c r="C2" s="34"/>
      <c r="D2" s="34" t="s">
        <v>509</v>
      </c>
      <c r="E2" s="34"/>
      <c r="F2" s="34"/>
      <c r="G2" s="34"/>
      <c r="H2" s="34"/>
      <c r="I2" s="34"/>
      <c r="J2" s="34"/>
      <c r="K2" s="102"/>
      <c r="L2" s="34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102"/>
      <c r="AN2" s="34"/>
      <c r="AO2" s="34" t="s">
        <v>509</v>
      </c>
      <c r="AP2" s="34"/>
      <c r="AQ2" s="34" t="s">
        <v>509</v>
      </c>
      <c r="AR2" s="34"/>
      <c r="AS2" s="34"/>
      <c r="AT2" s="34"/>
      <c r="AU2" s="34"/>
      <c r="AV2" s="34"/>
      <c r="AW2" s="34"/>
      <c r="AX2" s="83" t="s">
        <v>509</v>
      </c>
      <c r="AY2" s="34"/>
      <c r="AZ2" s="34"/>
      <c r="BA2" s="34"/>
      <c r="BB2" s="34"/>
      <c r="BC2" s="34"/>
      <c r="BD2" s="34"/>
      <c r="BE2" s="34"/>
      <c r="BF2" s="34"/>
      <c r="BG2" s="76"/>
      <c r="BH2" s="34"/>
      <c r="BI2" s="76"/>
      <c r="BJ2" s="34"/>
      <c r="BK2" s="34"/>
      <c r="BL2" s="34"/>
      <c r="BM2" s="34" t="s">
        <v>509</v>
      </c>
      <c r="BN2" s="34"/>
      <c r="BO2" s="34"/>
      <c r="BP2" s="34"/>
      <c r="BQ2" s="34" t="s">
        <v>509</v>
      </c>
      <c r="BR2" s="34"/>
      <c r="BS2" s="97"/>
      <c r="BT2" s="34"/>
      <c r="BU2" s="76" t="s">
        <v>509</v>
      </c>
      <c r="BV2" s="34"/>
      <c r="BW2" s="34"/>
      <c r="BX2" s="34"/>
      <c r="BY2" s="34"/>
      <c r="BZ2" s="34"/>
      <c r="CA2" s="34"/>
      <c r="CB2" s="34"/>
      <c r="CC2" s="34"/>
      <c r="CD2" s="34"/>
      <c r="CE2" s="76"/>
      <c r="CF2" s="76"/>
      <c r="CG2" s="34"/>
      <c r="CH2" s="34"/>
      <c r="CI2" s="34"/>
      <c r="CJ2" s="34"/>
      <c r="CK2" s="34"/>
      <c r="CL2" s="34" t="s">
        <v>509</v>
      </c>
      <c r="CM2" s="34" t="s">
        <v>509</v>
      </c>
      <c r="CN2" s="34" t="s">
        <v>509</v>
      </c>
      <c r="CO2" s="34" t="s">
        <v>509</v>
      </c>
      <c r="CP2" s="34" t="s">
        <v>509</v>
      </c>
      <c r="CQ2" s="34" t="s">
        <v>509</v>
      </c>
      <c r="CR2" s="34" t="s">
        <v>509</v>
      </c>
      <c r="CS2" s="34" t="s">
        <v>509</v>
      </c>
      <c r="CT2" s="102"/>
      <c r="CU2" s="34"/>
      <c r="CV2" s="34"/>
      <c r="CW2" s="34"/>
      <c r="CX2" s="34"/>
      <c r="CY2" s="100"/>
      <c r="CZ2" s="33"/>
      <c r="DA2" s="33"/>
      <c r="DB2" s="34"/>
      <c r="DC2" s="34"/>
      <c r="DD2" s="94"/>
      <c r="DE2" s="34"/>
      <c r="DF2" s="34"/>
      <c r="DG2" s="76"/>
      <c r="DH2" s="76"/>
      <c r="DI2" s="76"/>
      <c r="DJ2" s="34" t="s">
        <v>509</v>
      </c>
      <c r="DK2" s="34"/>
      <c r="DL2" s="34"/>
      <c r="DM2" s="34"/>
      <c r="DN2" s="34"/>
      <c r="DO2" s="62"/>
      <c r="DP2" s="34"/>
      <c r="DQ2" s="34"/>
      <c r="DR2" s="34"/>
      <c r="DS2" s="89"/>
      <c r="DT2" s="89"/>
    </row>
    <row r="3" spans="1:12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3" t="s">
        <v>96</v>
      </c>
      <c r="F3" s="36" t="s">
        <v>156</v>
      </c>
      <c r="G3" s="13" t="s">
        <v>158</v>
      </c>
      <c r="H3" s="13" t="s">
        <v>157</v>
      </c>
      <c r="I3" s="13" t="s">
        <v>160</v>
      </c>
      <c r="J3" s="13" t="s">
        <v>161</v>
      </c>
      <c r="K3" s="16"/>
      <c r="L3" s="101" t="s">
        <v>155</v>
      </c>
      <c r="M3" s="101"/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3"/>
      <c r="AN3" s="16" t="s">
        <v>164</v>
      </c>
      <c r="AO3" s="16" t="s">
        <v>166</v>
      </c>
      <c r="AP3" s="16" t="s">
        <v>168</v>
      </c>
      <c r="AQ3" s="16" t="s">
        <v>171</v>
      </c>
      <c r="AR3" s="16" t="s">
        <v>286</v>
      </c>
      <c r="AS3" s="16" t="s">
        <v>288</v>
      </c>
      <c r="AT3" s="29" t="s">
        <v>728</v>
      </c>
      <c r="AU3" s="16" t="s">
        <v>292</v>
      </c>
      <c r="AV3" s="16" t="s">
        <v>294</v>
      </c>
      <c r="AW3" s="16" t="s">
        <v>295</v>
      </c>
      <c r="AX3" s="18" t="s">
        <v>298</v>
      </c>
      <c r="AY3" s="21" t="s">
        <v>302</v>
      </c>
      <c r="AZ3" s="21" t="s">
        <v>304</v>
      </c>
      <c r="BA3" s="21" t="s">
        <v>305</v>
      </c>
      <c r="BB3" s="21" t="s">
        <v>308</v>
      </c>
      <c r="BC3" s="21" t="s">
        <v>338</v>
      </c>
      <c r="BD3" s="21" t="s">
        <v>340</v>
      </c>
      <c r="BE3" s="21" t="s">
        <v>342</v>
      </c>
      <c r="BF3" s="29" t="s">
        <v>725</v>
      </c>
      <c r="BG3" s="77" t="s">
        <v>865</v>
      </c>
      <c r="BH3" s="77" t="s">
        <v>344</v>
      </c>
      <c r="BI3" s="77" t="s">
        <v>867</v>
      </c>
      <c r="BJ3" s="21" t="s">
        <v>346</v>
      </c>
      <c r="BK3" s="21" t="s">
        <v>360</v>
      </c>
      <c r="BL3" s="21" t="s">
        <v>362</v>
      </c>
      <c r="BM3" s="21" t="s">
        <v>364</v>
      </c>
      <c r="BN3" s="21" t="s">
        <v>366</v>
      </c>
      <c r="BO3" s="21" t="s">
        <v>368</v>
      </c>
      <c r="BP3" s="21" t="s">
        <v>370</v>
      </c>
      <c r="BQ3" s="21" t="s">
        <v>386</v>
      </c>
      <c r="BR3" s="21" t="s">
        <v>387</v>
      </c>
      <c r="BS3" s="96" t="s">
        <v>402</v>
      </c>
      <c r="BT3" s="21" t="s">
        <v>995</v>
      </c>
      <c r="BU3" s="77" t="s">
        <v>869</v>
      </c>
      <c r="BV3" s="21" t="s">
        <v>465</v>
      </c>
      <c r="BW3" s="21" t="s">
        <v>467</v>
      </c>
      <c r="BX3" s="21" t="s">
        <v>475</v>
      </c>
      <c r="BY3" s="21" t="s">
        <v>469</v>
      </c>
      <c r="BZ3" s="21" t="s">
        <v>480</v>
      </c>
      <c r="CA3" s="21" t="s">
        <v>481</v>
      </c>
      <c r="CB3" s="21" t="s">
        <v>484</v>
      </c>
      <c r="CC3" s="21" t="s">
        <v>486</v>
      </c>
      <c r="CD3" s="21" t="s">
        <v>488</v>
      </c>
      <c r="CE3" s="77" t="s">
        <v>871</v>
      </c>
      <c r="CF3" s="77" t="s">
        <v>873</v>
      </c>
      <c r="CG3" s="21" t="s">
        <v>491</v>
      </c>
      <c r="CH3" s="21" t="s">
        <v>493</v>
      </c>
      <c r="CI3" s="21" t="s">
        <v>495</v>
      </c>
      <c r="CJ3" s="21" t="s">
        <v>497</v>
      </c>
      <c r="CK3" s="21" t="s">
        <v>499</v>
      </c>
      <c r="CL3" s="81" t="s">
        <v>613</v>
      </c>
      <c r="CM3" s="81" t="s">
        <v>881</v>
      </c>
      <c r="CN3" s="81" t="s">
        <v>882</v>
      </c>
      <c r="CO3" s="81" t="s">
        <v>884</v>
      </c>
      <c r="CP3" s="81" t="s">
        <v>886</v>
      </c>
      <c r="CQ3" s="81" t="s">
        <v>889</v>
      </c>
      <c r="CR3" s="81" t="s">
        <v>890</v>
      </c>
      <c r="CS3" s="81" t="s">
        <v>879</v>
      </c>
      <c r="CT3" s="24"/>
      <c r="CU3" s="27" t="s">
        <v>616</v>
      </c>
      <c r="CV3" s="27" t="s">
        <v>617</v>
      </c>
      <c r="CW3" s="27" t="s">
        <v>700</v>
      </c>
      <c r="CX3" s="27" t="s">
        <v>701</v>
      </c>
      <c r="CY3" s="33"/>
      <c r="CZ3" s="33" t="s">
        <v>892</v>
      </c>
      <c r="DA3" s="33" t="s">
        <v>894</v>
      </c>
      <c r="DB3" s="27" t="s">
        <v>702</v>
      </c>
      <c r="DC3" s="27" t="s">
        <v>704</v>
      </c>
      <c r="DD3" s="93" t="s">
        <v>911</v>
      </c>
      <c r="DE3" s="27" t="s">
        <v>706</v>
      </c>
      <c r="DF3" s="27" t="s">
        <v>708</v>
      </c>
      <c r="DG3" s="77" t="s">
        <v>896</v>
      </c>
      <c r="DH3" s="77" t="s">
        <v>898</v>
      </c>
      <c r="DI3" s="77" t="s">
        <v>900</v>
      </c>
      <c r="DJ3" s="27" t="s">
        <v>710</v>
      </c>
      <c r="DK3" s="27" t="s">
        <v>712</v>
      </c>
      <c r="DL3" s="59" t="s">
        <v>714</v>
      </c>
      <c r="DM3" s="27" t="s">
        <v>716</v>
      </c>
      <c r="DN3" s="27" t="s">
        <v>717</v>
      </c>
      <c r="DO3" s="63" t="s">
        <v>719</v>
      </c>
      <c r="DP3" s="63" t="s">
        <v>836</v>
      </c>
      <c r="DQ3" s="27" t="s">
        <v>721</v>
      </c>
      <c r="DR3" s="27" t="s">
        <v>723</v>
      </c>
      <c r="DS3" s="88" t="s">
        <v>984</v>
      </c>
      <c r="DT3" s="88" t="s">
        <v>985</v>
      </c>
      <c r="DU3" s="56" t="s">
        <v>32</v>
      </c>
    </row>
    <row r="4" spans="1:12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97</v>
      </c>
      <c r="F4" s="14" t="s">
        <v>0</v>
      </c>
      <c r="G4" s="14" t="s">
        <v>1</v>
      </c>
      <c r="H4" s="14" t="s">
        <v>159</v>
      </c>
      <c r="I4" s="14" t="s">
        <v>2</v>
      </c>
      <c r="J4" s="14" t="s">
        <v>162</v>
      </c>
      <c r="K4" s="14"/>
      <c r="L4" s="14" t="s">
        <v>128</v>
      </c>
      <c r="M4" s="14" t="s">
        <v>129</v>
      </c>
      <c r="N4" s="14" t="s">
        <v>130</v>
      </c>
      <c r="O4" s="14" t="s">
        <v>131</v>
      </c>
      <c r="P4" s="14" t="s">
        <v>132</v>
      </c>
      <c r="Q4" s="14" t="s">
        <v>133</v>
      </c>
      <c r="R4" s="14" t="s">
        <v>134</v>
      </c>
      <c r="S4" s="14" t="s">
        <v>135</v>
      </c>
      <c r="T4" s="14" t="s">
        <v>136</v>
      </c>
      <c r="U4" s="14" t="s">
        <v>137</v>
      </c>
      <c r="V4" s="14" t="s">
        <v>138</v>
      </c>
      <c r="W4" s="14" t="s">
        <v>139</v>
      </c>
      <c r="X4" s="14" t="s">
        <v>140</v>
      </c>
      <c r="Y4" s="14" t="s">
        <v>141</v>
      </c>
      <c r="Z4" s="14" t="s">
        <v>142</v>
      </c>
      <c r="AA4" s="14" t="s">
        <v>143</v>
      </c>
      <c r="AB4" s="14" t="s">
        <v>144</v>
      </c>
      <c r="AC4" s="14" t="s">
        <v>145</v>
      </c>
      <c r="AD4" s="14" t="s">
        <v>146</v>
      </c>
      <c r="AE4" s="14" t="s">
        <v>147</v>
      </c>
      <c r="AF4" s="14" t="s">
        <v>148</v>
      </c>
      <c r="AG4" s="14" t="s">
        <v>149</v>
      </c>
      <c r="AH4" s="14" t="s">
        <v>150</v>
      </c>
      <c r="AI4" s="14" t="s">
        <v>151</v>
      </c>
      <c r="AJ4" s="14" t="s">
        <v>152</v>
      </c>
      <c r="AK4" s="14" t="s">
        <v>153</v>
      </c>
      <c r="AL4" s="14" t="s">
        <v>154</v>
      </c>
      <c r="AM4" s="14"/>
      <c r="AN4" s="14" t="s">
        <v>165</v>
      </c>
      <c r="AO4" s="14" t="s">
        <v>167</v>
      </c>
      <c r="AP4" s="14" t="s">
        <v>169</v>
      </c>
      <c r="AQ4" s="14" t="s">
        <v>172</v>
      </c>
      <c r="AR4" s="14" t="s">
        <v>287</v>
      </c>
      <c r="AS4" s="14" t="s">
        <v>289</v>
      </c>
      <c r="AT4" s="14" t="s">
        <v>729</v>
      </c>
      <c r="AU4" s="14" t="s">
        <v>730</v>
      </c>
      <c r="AV4" s="14" t="s">
        <v>293</v>
      </c>
      <c r="AW4" s="14" t="s">
        <v>296</v>
      </c>
      <c r="AX4" s="14" t="s">
        <v>299</v>
      </c>
      <c r="AY4" s="14" t="s">
        <v>303</v>
      </c>
      <c r="AZ4" s="14" t="s">
        <v>306</v>
      </c>
      <c r="BA4" s="14" t="s">
        <v>307</v>
      </c>
      <c r="BB4" s="14" t="s">
        <v>309</v>
      </c>
      <c r="BC4" s="14" t="s">
        <v>339</v>
      </c>
      <c r="BD4" s="14" t="s">
        <v>341</v>
      </c>
      <c r="BE4" s="14" t="s">
        <v>343</v>
      </c>
      <c r="BF4" s="14" t="s">
        <v>726</v>
      </c>
      <c r="BG4" s="14" t="s">
        <v>866</v>
      </c>
      <c r="BH4" s="14" t="s">
        <v>345</v>
      </c>
      <c r="BI4" s="14" t="s">
        <v>868</v>
      </c>
      <c r="BJ4" s="14" t="s">
        <v>347</v>
      </c>
      <c r="BK4" s="14" t="s">
        <v>361</v>
      </c>
      <c r="BL4" s="14" t="s">
        <v>363</v>
      </c>
      <c r="BM4" s="14" t="s">
        <v>365</v>
      </c>
      <c r="BN4" s="14" t="s">
        <v>367</v>
      </c>
      <c r="BO4" s="14" t="s">
        <v>369</v>
      </c>
      <c r="BP4" s="14" t="s">
        <v>371</v>
      </c>
      <c r="BQ4" s="14" t="s">
        <v>33</v>
      </c>
      <c r="BR4" s="14" t="s">
        <v>388</v>
      </c>
      <c r="BS4" s="14" t="s">
        <v>403</v>
      </c>
      <c r="BT4" s="14" t="s">
        <v>994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487</v>
      </c>
      <c r="CD4" s="14" t="s">
        <v>489</v>
      </c>
      <c r="CE4" s="14" t="s">
        <v>872</v>
      </c>
      <c r="CF4" s="14" t="s">
        <v>874</v>
      </c>
      <c r="CG4" s="14" t="s">
        <v>492</v>
      </c>
      <c r="CH4" s="14" t="s">
        <v>494</v>
      </c>
      <c r="CI4" s="14" t="s">
        <v>496</v>
      </c>
      <c r="CJ4" s="14" t="s">
        <v>498</v>
      </c>
      <c r="CK4" s="14" t="s">
        <v>500</v>
      </c>
      <c r="CL4" s="14" t="s">
        <v>875</v>
      </c>
      <c r="CM4" s="14" t="s">
        <v>880</v>
      </c>
      <c r="CN4" s="14" t="s">
        <v>883</v>
      </c>
      <c r="CO4" s="14" t="s">
        <v>885</v>
      </c>
      <c r="CP4" s="14" t="s">
        <v>887</v>
      </c>
      <c r="CQ4" s="14" t="s">
        <v>888</v>
      </c>
      <c r="CR4" s="14" t="s">
        <v>891</v>
      </c>
      <c r="CS4" s="14" t="s">
        <v>878</v>
      </c>
      <c r="CT4" s="14"/>
      <c r="CU4" s="14" t="s">
        <v>619</v>
      </c>
      <c r="CV4" s="14" t="s">
        <v>618</v>
      </c>
      <c r="CW4" s="14" t="s">
        <v>614</v>
      </c>
      <c r="CX4" s="14" t="s">
        <v>615</v>
      </c>
      <c r="CY4" s="14"/>
      <c r="CZ4" s="14" t="s">
        <v>893</v>
      </c>
      <c r="DA4" s="14" t="s">
        <v>895</v>
      </c>
      <c r="DB4" s="14" t="s">
        <v>703</v>
      </c>
      <c r="DC4" s="14" t="s">
        <v>705</v>
      </c>
      <c r="DD4" s="14" t="s">
        <v>992</v>
      </c>
      <c r="DE4" s="14" t="s">
        <v>707</v>
      </c>
      <c r="DF4" s="14" t="s">
        <v>709</v>
      </c>
      <c r="DG4" s="14" t="s">
        <v>897</v>
      </c>
      <c r="DH4" s="14" t="s">
        <v>899</v>
      </c>
      <c r="DI4" s="14" t="s">
        <v>901</v>
      </c>
      <c r="DJ4" s="14" t="s">
        <v>711</v>
      </c>
      <c r="DK4" s="14" t="s">
        <v>713</v>
      </c>
      <c r="DL4" s="14" t="s">
        <v>715</v>
      </c>
      <c r="DM4" s="14" t="s">
        <v>713</v>
      </c>
      <c r="DN4" s="14" t="s">
        <v>718</v>
      </c>
      <c r="DO4" s="14" t="s">
        <v>720</v>
      </c>
      <c r="DP4" s="14" t="s">
        <v>837</v>
      </c>
      <c r="DQ4" s="14" t="s">
        <v>722</v>
      </c>
      <c r="DR4" s="14" t="s">
        <v>724</v>
      </c>
      <c r="DS4" s="14" t="s">
        <v>982</v>
      </c>
      <c r="DT4" s="14" t="s">
        <v>983</v>
      </c>
      <c r="DU4" s="5" t="s">
        <v>835</v>
      </c>
    </row>
    <row r="5" spans="1:125" x14ac:dyDescent="0.2">
      <c r="A5" s="7" t="str">
        <f>"Execução "&amp;ROW()-4</f>
        <v>Execução 1</v>
      </c>
      <c r="B5" s="87"/>
      <c r="C5" s="42"/>
      <c r="D5" s="43" t="str">
        <f>IFERROR(IF(INDEX(Estrutura_P01[#All],MATCH($C5,Estrutura_P01[[#All],[txtMAKT-MAKTX]],0),MATCH(D$3,Estrutura_P01[#Headers],0))=0,"",INDEX(Estrutura_P01[#All],MATCH($C5,Estrutura_P01[[#All],[txtMAKT-MAKTX]],0),MATCH(D$3,Estrutura_P01[#Headers],0))),"")</f>
        <v/>
      </c>
      <c r="E5" s="44" t="s">
        <v>100</v>
      </c>
      <c r="F5" s="79" t="s">
        <v>4</v>
      </c>
      <c r="G5" s="79" t="s">
        <v>11</v>
      </c>
      <c r="H5" s="79" t="str">
        <f>F5</f>
        <v>0581</v>
      </c>
      <c r="I5" s="79" t="s">
        <v>6</v>
      </c>
      <c r="J5" s="79"/>
      <c r="L5" s="45" t="s">
        <v>101</v>
      </c>
      <c r="M5" s="45" t="s">
        <v>102</v>
      </c>
      <c r="N5" s="45" t="s">
        <v>103</v>
      </c>
      <c r="O5" s="45"/>
      <c r="P5" s="45"/>
      <c r="Q5" s="45"/>
      <c r="R5" s="45"/>
      <c r="S5" s="45"/>
      <c r="T5" s="45" t="s">
        <v>109</v>
      </c>
      <c r="U5" s="45" t="s">
        <v>110</v>
      </c>
      <c r="V5" s="45" t="s">
        <v>111</v>
      </c>
      <c r="W5" s="45" t="s">
        <v>112</v>
      </c>
      <c r="X5" s="45" t="s">
        <v>113</v>
      </c>
      <c r="Y5" s="45" t="s">
        <v>114</v>
      </c>
      <c r="Z5" s="45" t="s">
        <v>115</v>
      </c>
      <c r="AA5" s="45"/>
      <c r="AB5" s="45" t="s">
        <v>118</v>
      </c>
      <c r="AC5" s="45" t="s">
        <v>119</v>
      </c>
      <c r="AD5" s="45"/>
      <c r="AE5" s="45"/>
      <c r="AF5" s="45" t="s">
        <v>122</v>
      </c>
      <c r="AG5" s="45" t="s">
        <v>123</v>
      </c>
      <c r="AH5" s="45" t="s">
        <v>124</v>
      </c>
      <c r="AI5" s="45" t="s">
        <v>125</v>
      </c>
      <c r="AJ5" s="45" t="s">
        <v>126</v>
      </c>
      <c r="AK5" s="45"/>
      <c r="AL5" s="45"/>
      <c r="AN5" s="44" t="s">
        <v>297</v>
      </c>
      <c r="AO5" s="43" t="str">
        <f>IFERROR(IF(INDEX(Estrutura_P01[#All],MATCH($C5,Estrutura_P01[[#All],[txtMAKT-MAKTX]],0),MATCH(AO$3,Estrutura_P01[#Headers],0))=0,"",INDEX(Estrutura_P01[#All],MATCH($C5,Estrutura_P01[[#All],[txtMAKT-MAKTX]],0),MATCH(AO$3,Estrutura_P01[#Headers],0))),"")</f>
        <v/>
      </c>
      <c r="AP5" s="45"/>
      <c r="AQ5" s="43" t="str">
        <f>IFERROR(IF(INDEX(Estrutura_P01[#All],MATCH($C5,Estrutura_P01[[#All],[txtMAKT-MAKTX]],0),MATCH(AQ$3,Estrutura_P01[#Headers],0))=0,"",INDEX(Estrutura_P01[#All],MATCH($C5,Estrutura_P01[[#All],[txtMAKT-MAKTX]],0),MATCH(AQ$3,Estrutura_P01[#Headers],0))),"")</f>
        <v/>
      </c>
      <c r="AR5" s="45"/>
      <c r="AS5" s="46" t="str">
        <f ca="1">IF(AR5&lt;&gt;0,TEXT(TODAY(),"DD.MM.AAAA"),"")</f>
        <v/>
      </c>
      <c r="AT5" s="47" t="s">
        <v>864</v>
      </c>
      <c r="AU5" s="44">
        <v>1</v>
      </c>
      <c r="AV5" s="43">
        <f>IFERROR(IF(AU5&lt;&gt;0,ROUND(AU5,3),""),"")</f>
        <v>1</v>
      </c>
      <c r="AW5" s="48" t="s">
        <v>297</v>
      </c>
      <c r="AX5" s="43" t="str">
        <f>IFERROR(IF(INDEX(Estrutura_P01[#All],MATCH($C5,Estrutura_P01[[#All],[txtMAKT-MAKTX]],0),MATCH(AX$3,Estrutura_P01[#Headers],0))=0,"",INDEX(Estrutura_P01[#All],MATCH($C5,Estrutura_P01[[#All],[txtMAKT-MAKTX]],0),MATCH(AX$3,Estrutura_P01[#Headers],0))),"")</f>
        <v/>
      </c>
      <c r="AY5" s="44"/>
      <c r="AZ5" s="99">
        <v>99</v>
      </c>
      <c r="BA5" s="95" t="str">
        <f ca="1">IF(AZ5&lt;&gt;"",TEXT(TODAY(),"DD.MM.AAA"),"")</f>
        <v>17.05.2022</v>
      </c>
      <c r="BB5" s="50"/>
      <c r="BC5" s="50">
        <v>1</v>
      </c>
      <c r="BD5" s="50" t="s">
        <v>192</v>
      </c>
      <c r="BE5" s="95" t="str">
        <f>IF(AQ5&lt;&gt;68,"01","20")</f>
        <v>01</v>
      </c>
      <c r="BF5" s="95" t="str">
        <f>IF(AQ5&lt;&gt;68,"NORM","ZVMA")</f>
        <v>NORM</v>
      </c>
      <c r="BG5" s="44">
        <v>1</v>
      </c>
      <c r="BH5" s="44">
        <v>1</v>
      </c>
      <c r="BI5" s="44">
        <v>1</v>
      </c>
      <c r="BJ5" s="95" t="str">
        <f>IF(AQ5&lt;&gt;68,"ZM","02")</f>
        <v>ZM</v>
      </c>
      <c r="BK5" s="50" t="s">
        <v>195</v>
      </c>
      <c r="BL5" s="50" t="s">
        <v>195</v>
      </c>
      <c r="BM5" s="43" t="str">
        <f>IFERROR(IF(INDEX(Estrutura_P01[#All],MATCH($C5,Estrutura_P01[[#All],[txtMAKT-MAKTX]],0),MATCH(BM$3,Estrutura_P01[#Headers],0))=0,"",INDEX(Estrutura_P01[#All],MATCH($C5,Estrutura_P01[[#All],[txtMAKT-MAKTX]],0),MATCH(BM$3,Estrutura_P01[#Headers],0))),"")</f>
        <v/>
      </c>
      <c r="BN5" s="44"/>
      <c r="BO5" s="50">
        <v>0</v>
      </c>
      <c r="BP5" s="45" t="s">
        <v>374</v>
      </c>
      <c r="BQ5" s="43" t="str">
        <f>IFERROR(IF(INDEX(Estrutura_P01[#All],MATCH($C5,Estrutura_P01[[#All],[txtMAKT-MAKTX]],0),MATCH(BQ$3,Estrutura_P01[#Headers],0))=0,"",INDEX(Estrutura_P01[#All],MATCH($C5,Estrutura_P01[[#All],[txtMAKT-MAKTX]],0),MATCH(BQ$3,Estrutura_P01[#Headers],0))),"")</f>
        <v/>
      </c>
      <c r="BR5" s="43" t="str">
        <f>RIGHT(F5,3)</f>
        <v>581</v>
      </c>
      <c r="BS5" s="45" t="s">
        <v>40</v>
      </c>
      <c r="BT5" s="98">
        <v>25000</v>
      </c>
      <c r="BU5" s="43" t="str">
        <f>IFERROR(IF(INDEX(Estrutura_P01[#All],MATCH($C5,Estrutura_P01[[#All],[txtMAKT-MAKTX]],0),MATCH(BU$3,Estrutura_P01[#Headers],0))=0,"",INDEX(Estrutura_P01[#All],MATCH($C5,Estrutura_P01[[#All],[txtMAKT-MAKTX]],0),MATCH(BU$3,Estrutura_P01[#Headers],0))),"")</f>
        <v/>
      </c>
      <c r="BV5" s="45">
        <v>0</v>
      </c>
      <c r="BW5" s="45" t="s">
        <v>473</v>
      </c>
      <c r="BX5" s="45"/>
      <c r="BY5" s="44"/>
      <c r="BZ5" s="49" t="str">
        <f>G5</f>
        <v>0011</v>
      </c>
      <c r="CA5" s="49" t="str">
        <f>G5</f>
        <v>0011</v>
      </c>
      <c r="CB5" s="45">
        <v>75</v>
      </c>
      <c r="CC5" s="44">
        <v>1</v>
      </c>
      <c r="CD5" s="50" t="s">
        <v>490</v>
      </c>
      <c r="CE5" s="80">
        <v>2</v>
      </c>
      <c r="CF5" s="80">
        <v>7</v>
      </c>
      <c r="CG5" s="95" t="str">
        <f>IF(AQ5&lt;&gt;68,"ZM","")</f>
        <v>ZM</v>
      </c>
      <c r="CH5" s="95">
        <f>IF(AQ5&lt;&gt;68,2,"")</f>
        <v>2</v>
      </c>
      <c r="CI5" s="95">
        <f>IF(AQ5&lt;&gt;68,42,"")</f>
        <v>42</v>
      </c>
      <c r="CJ5" s="95">
        <f>IF(AQ5&lt;&gt;68,10,"")</f>
        <v>10</v>
      </c>
      <c r="CK5" s="43" t="str">
        <f>"K00_C_"&amp;F5</f>
        <v>K00_C_0581</v>
      </c>
      <c r="CL5" s="43" t="str">
        <f>IFERROR(IF(INDEX(Estrutura_P01[#All],MATCH($C5,Estrutura_P01[[#All],[txtMAKT-MAKTX]],0),MATCH(CL$3,Estrutura_P01[#Headers],0))=0,"",INDEX(Estrutura_P01[#All],MATCH($C5,Estrutura_P01[[#All],[txtMAKT-MAKTX]],0),MATCH(CL$3,Estrutura_P01[#Headers],0))),"")</f>
        <v/>
      </c>
      <c r="CM5" s="43" t="str">
        <f>IFERROR(IF(INDEX(Estrutura_P01[#All],MATCH($C5,Estrutura_P01[[#All],[txtMAKT-MAKTX]],0),MATCH(CM$3,Estrutura_P01[#Headers],0))=0,"",INDEX(Estrutura_P01[#All],MATCH($C5,Estrutura_P01[[#All],[txtMAKT-MAKTX]],0),MATCH(CM$3,Estrutura_P01[#Headers],0))),"")</f>
        <v/>
      </c>
      <c r="CN5" s="43" t="str">
        <f>IFERROR(IF(INDEX(Estrutura_P01[#All],MATCH($C5,Estrutura_P01[[#All],[txtMAKT-MAKTX]],0),MATCH(CN$3,Estrutura_P01[#Headers],0))=0,"",INDEX(Estrutura_P01[#All],MATCH($C5,Estrutura_P01[[#All],[txtMAKT-MAKTX]],0),MATCH(CN$3,Estrutura_P01[#Headers],0))),"")</f>
        <v/>
      </c>
      <c r="CO5" s="43" t="str">
        <f>IFERROR(IF(INDEX(Estrutura_P01[#All],MATCH($C5,Estrutura_P01[[#All],[txtMAKT-MAKTX]],0),MATCH(CO$3,Estrutura_P01[#Headers],0))=0,"",INDEX(Estrutura_P01[#All],MATCH($C5,Estrutura_P01[[#All],[txtMAKT-MAKTX]],0),MATCH(CO$3,Estrutura_P01[#Headers],0))),"")</f>
        <v/>
      </c>
      <c r="CP5" s="43" t="str">
        <f>IFERROR(IF(INDEX(Estrutura_P01[#All],MATCH($C5,Estrutura_P01[[#All],[txtMAKT-MAKTX]],0),MATCH(CP$3,Estrutura_P01[#Headers],0))=0,"",INDEX(Estrutura_P01[#All],MATCH($C5,Estrutura_P01[[#All],[txtMAKT-MAKTX]],0),MATCH(CP$3,Estrutura_P01[#Headers],0))),"")</f>
        <v/>
      </c>
      <c r="CQ5" s="43" t="str">
        <f>IFERROR(IF(INDEX(Estrutura_P01[#All],MATCH($C5,Estrutura_P01[[#All],[txtMAKT-MAKTX]],0),MATCH(CQ$3,Estrutura_P01[#Headers],0))=0,"",INDEX(Estrutura_P01[#All],MATCH($C5,Estrutura_P01[[#All],[txtMAKT-MAKTX]],0),MATCH(CQ$3,Estrutura_P01[#Headers],0))),"")</f>
        <v/>
      </c>
      <c r="CR5" s="43" t="str">
        <f>IFERROR(IF(INDEX(Estrutura_P01[#All],MATCH($C5,Estrutura_P01[[#All],[txtMAKT-MAKTX]],0),MATCH(CR$3,Estrutura_P01[#Headers],0))=0,"",INDEX(Estrutura_P01[#All],MATCH($C5,Estrutura_P01[[#All],[txtMAKT-MAKTX]],0),MATCH(CR$3,Estrutura_P01[#Headers],0))),"")</f>
        <v/>
      </c>
      <c r="CS5" s="43" t="str">
        <f>IFERROR(IF(INDEX(Estrutura_P01[#All],MATCH($C5,Estrutura_P01[[#All],[txtMAKT-MAKTX]],0),MATCH(CS$3,Estrutura_P01[#Headers],0))=0,"",INDEX(Estrutura_P01[#All],MATCH($C5,Estrutura_P01[[#All],[txtMAKT-MAKTX]],0),MATCH(CS$3,Estrutura_P01[#Headers],0))),"")</f>
        <v/>
      </c>
      <c r="CU5" s="43" t="str">
        <f>IF(CV5&lt;&gt;0,1,"")</f>
        <v/>
      </c>
      <c r="CV5" s="55"/>
      <c r="CW5" s="43" t="str">
        <f ca="1">IF(CV5&lt;&gt;0,TEXT(TODAY(),"dd.mm.aaaa"),"")</f>
        <v/>
      </c>
      <c r="CX5" s="43" t="str">
        <f>IF(CV5&lt;&gt;0,"31.12.9999","")</f>
        <v/>
      </c>
      <c r="CZ5" s="44"/>
      <c r="DA5" s="44">
        <v>2</v>
      </c>
      <c r="DB5" s="44">
        <v>1</v>
      </c>
      <c r="DC5" s="44"/>
      <c r="DD5" s="90" t="str">
        <f>IF(AQ5=68,"MP","")</f>
        <v/>
      </c>
      <c r="DE5" s="43">
        <f>IF(OR(AN5="M",AN5="KG"),0.01,1)</f>
        <v>0.01</v>
      </c>
      <c r="DF5" s="43" t="str">
        <f>AN5</f>
        <v>KG</v>
      </c>
      <c r="DG5" s="44">
        <v>1</v>
      </c>
      <c r="DH5" s="50" t="s">
        <v>223</v>
      </c>
      <c r="DI5" s="50" t="s">
        <v>902</v>
      </c>
      <c r="DJ5" s="43" t="str">
        <f>IFERROR(IF(INDEX(Estrutura_P01[#All],MATCH($C5,Estrutura_P01[[#All],[txtMAKT-MAKTX]],0),MATCH(DJ$3,Estrutura_P01[#Headers],0))=0,"",INDEX(Estrutura_P01[#All],MATCH($C5,Estrutura_P01[[#All],[txtMAKT-MAKTX]],0),MATCH(DJ$3,Estrutura_P01[#Headers],0))),"")</f>
        <v/>
      </c>
      <c r="DK5" s="44">
        <v>1000</v>
      </c>
      <c r="DL5" s="60">
        <v>0</v>
      </c>
      <c r="DM5" s="44"/>
      <c r="DN5" s="44">
        <v>1</v>
      </c>
      <c r="DO5" s="44">
        <v>0</v>
      </c>
      <c r="DP5" s="44" t="s">
        <v>862</v>
      </c>
      <c r="DQ5" s="45">
        <v>0</v>
      </c>
      <c r="DR5" s="44">
        <v>1000</v>
      </c>
      <c r="DS5" s="91" t="str">
        <f>IF(AQ5=68,1,IFERROR(VLOOKUP(CM5,'Listas de Dados'!BX:BY,2,0),""))</f>
        <v/>
      </c>
      <c r="DT5" s="90" t="str">
        <f ca="1">IF(DS5&lt;&gt;"",TEXT(TODAY(),"DD.MM.AAAA"),"")</f>
        <v/>
      </c>
      <c r="DU5" s="65"/>
    </row>
    <row r="6" spans="1:125" x14ac:dyDescent="0.2">
      <c r="A6" s="7" t="str">
        <f t="shared" ref="A6:A40" si="0">"Execução "&amp;ROW()-4</f>
        <v>Execução 2</v>
      </c>
      <c r="B6" s="87"/>
      <c r="C6" s="42"/>
      <c r="D6" s="43" t="str">
        <f>IFERROR(IF(INDEX(Estrutura_P01[#All],MATCH($C6,Estrutura_P01[[#All],[txtMAKT-MAKTX]],0),MATCH(D$3,Estrutura_P01[#Headers],0))=0,"",INDEX(Estrutura_P01[#All],MATCH($C6,Estrutura_P01[[#All],[txtMAKT-MAKTX]],0),MATCH(D$3,Estrutura_P01[#Headers],0))),"")</f>
        <v/>
      </c>
      <c r="E6" s="44" t="s">
        <v>100</v>
      </c>
      <c r="F6" s="79" t="s">
        <v>4</v>
      </c>
      <c r="G6" s="79" t="s">
        <v>11</v>
      </c>
      <c r="H6" s="79" t="str">
        <f t="shared" ref="H6:H40" si="1">F6</f>
        <v>0581</v>
      </c>
      <c r="I6" s="79" t="s">
        <v>6</v>
      </c>
      <c r="J6" s="79"/>
      <c r="L6" s="45" t="s">
        <v>101</v>
      </c>
      <c r="M6" s="45" t="s">
        <v>102</v>
      </c>
      <c r="N6" s="45" t="s">
        <v>103</v>
      </c>
      <c r="O6" s="45"/>
      <c r="P6" s="45"/>
      <c r="Q6" s="45"/>
      <c r="R6" s="45"/>
      <c r="S6" s="45"/>
      <c r="T6" s="45" t="s">
        <v>109</v>
      </c>
      <c r="U6" s="45" t="s">
        <v>110</v>
      </c>
      <c r="V6" s="45" t="s">
        <v>111</v>
      </c>
      <c r="W6" s="45" t="s">
        <v>112</v>
      </c>
      <c r="X6" s="45" t="s">
        <v>113</v>
      </c>
      <c r="Y6" s="45" t="s">
        <v>114</v>
      </c>
      <c r="Z6" s="45" t="s">
        <v>115</v>
      </c>
      <c r="AA6" s="45"/>
      <c r="AB6" s="45" t="s">
        <v>118</v>
      </c>
      <c r="AC6" s="45" t="s">
        <v>119</v>
      </c>
      <c r="AD6" s="45"/>
      <c r="AE6" s="45"/>
      <c r="AF6" s="45" t="s">
        <v>122</v>
      </c>
      <c r="AG6" s="45" t="s">
        <v>123</v>
      </c>
      <c r="AH6" s="45" t="s">
        <v>124</v>
      </c>
      <c r="AI6" s="45" t="s">
        <v>125</v>
      </c>
      <c r="AJ6" s="45" t="s">
        <v>126</v>
      </c>
      <c r="AK6" s="45"/>
      <c r="AL6" s="45"/>
      <c r="AN6" s="44" t="s">
        <v>297</v>
      </c>
      <c r="AO6" s="43" t="str">
        <f>IFERROR(IF(INDEX(Estrutura_P01[#All],MATCH($C6,Estrutura_P01[[#All],[txtMAKT-MAKTX]],0),MATCH(AO$3,Estrutura_P01[#Headers],0))=0,"",INDEX(Estrutura_P01[#All],MATCH($C6,Estrutura_P01[[#All],[txtMAKT-MAKTX]],0),MATCH(AO$3,Estrutura_P01[#Headers],0))),"")</f>
        <v/>
      </c>
      <c r="AP6" s="45"/>
      <c r="AQ6" s="43" t="str">
        <f>IFERROR(IF(INDEX(Estrutura_P01[#All],MATCH($C6,Estrutura_P01[[#All],[txtMAKT-MAKTX]],0),MATCH(AQ$3,Estrutura_P01[#Headers],0))=0,"",INDEX(Estrutura_P01[#All],MATCH($C6,Estrutura_P01[[#All],[txtMAKT-MAKTX]],0),MATCH(AQ$3,Estrutura_P01[#Headers],0))),"")</f>
        <v/>
      </c>
      <c r="AR6" s="45"/>
      <c r="AS6" s="46" t="str">
        <f t="shared" ref="AS6:AS40" ca="1" si="2">IF(AR6&lt;&gt;0,TEXT(TODAY(),"DD.MM.AAAA"),"")</f>
        <v/>
      </c>
      <c r="AT6" s="47" t="s">
        <v>864</v>
      </c>
      <c r="AU6" s="44">
        <v>1</v>
      </c>
      <c r="AV6" s="43">
        <f t="shared" ref="AV6:AV40" si="3">IFERROR(IF(AU6&lt;&gt;0,ROUND(AU6,3),""),"")</f>
        <v>1</v>
      </c>
      <c r="AW6" s="48" t="s">
        <v>297</v>
      </c>
      <c r="AX6" s="43" t="str">
        <f>IFERROR(IF(INDEX(Estrutura_P01[#All],MATCH($C6,Estrutura_P01[[#All],[txtMAKT-MAKTX]],0),MATCH(AX$3,Estrutura_P01[#Headers],0))=0,"",INDEX(Estrutura_P01[#All],MATCH($C6,Estrutura_P01[[#All],[txtMAKT-MAKTX]],0),MATCH(AX$3,Estrutura_P01[#Headers],0))),"")</f>
        <v/>
      </c>
      <c r="AY6" s="44"/>
      <c r="AZ6" s="99">
        <v>99</v>
      </c>
      <c r="BA6" s="95" t="str">
        <f t="shared" ref="BA6:BA40" ca="1" si="4">IF(AZ6&lt;&gt;"",TEXT(TODAY(),"DD.MM.AAA"),"")</f>
        <v>17.05.2022</v>
      </c>
      <c r="BB6" s="50"/>
      <c r="BC6" s="50">
        <v>1</v>
      </c>
      <c r="BD6" s="50" t="s">
        <v>192</v>
      </c>
      <c r="BE6" s="95" t="str">
        <f t="shared" ref="BE6:BE40" si="5">IF(AQ6&lt;&gt;68,"01","20")</f>
        <v>01</v>
      </c>
      <c r="BF6" s="95" t="str">
        <f t="shared" ref="BF6:BF40" si="6">IF(AQ6&lt;&gt;68,"NORM","ZVMA")</f>
        <v>NORM</v>
      </c>
      <c r="BG6" s="44">
        <v>1</v>
      </c>
      <c r="BH6" s="44">
        <v>1</v>
      </c>
      <c r="BI6" s="44">
        <v>1</v>
      </c>
      <c r="BJ6" s="95" t="str">
        <f t="shared" ref="BJ6:BJ40" si="7">IF(AQ6&lt;&gt;68,"ZM","02")</f>
        <v>ZM</v>
      </c>
      <c r="BK6" s="50" t="s">
        <v>195</v>
      </c>
      <c r="BL6" s="50" t="s">
        <v>195</v>
      </c>
      <c r="BM6" s="43" t="str">
        <f>IFERROR(IF(INDEX(Estrutura_P01[#All],MATCH($C6,Estrutura_P01[[#All],[txtMAKT-MAKTX]],0),MATCH(BM$3,Estrutura_P01[#Headers],0))=0,"",INDEX(Estrutura_P01[#All],MATCH($C6,Estrutura_P01[[#All],[txtMAKT-MAKTX]],0),MATCH(BM$3,Estrutura_P01[#Headers],0))),"")</f>
        <v/>
      </c>
      <c r="BN6" s="44"/>
      <c r="BO6" s="50">
        <v>0</v>
      </c>
      <c r="BP6" s="45" t="s">
        <v>374</v>
      </c>
      <c r="BQ6" s="43" t="str">
        <f>IFERROR(IF(INDEX(Estrutura_P01[#All],MATCH($C6,Estrutura_P01[[#All],[txtMAKT-MAKTX]],0),MATCH(BQ$3,Estrutura_P01[#Headers],0))=0,"",INDEX(Estrutura_P01[#All],MATCH($C6,Estrutura_P01[[#All],[txtMAKT-MAKTX]],0),MATCH(BQ$3,Estrutura_P01[#Headers],0))),"")</f>
        <v/>
      </c>
      <c r="BR6" s="43" t="str">
        <f t="shared" ref="BR6:BR40" si="8">RIGHT(F6,3)</f>
        <v>581</v>
      </c>
      <c r="BS6" s="45" t="s">
        <v>40</v>
      </c>
      <c r="BT6" s="98">
        <v>25000</v>
      </c>
      <c r="BU6" s="43" t="str">
        <f>IFERROR(IF(INDEX(Estrutura_P01[#All],MATCH($C6,Estrutura_P01[[#All],[txtMAKT-MAKTX]],0),MATCH(BU$3,Estrutura_P01[#Headers],0))=0,"",INDEX(Estrutura_P01[#All],MATCH($C6,Estrutura_P01[[#All],[txtMAKT-MAKTX]],0),MATCH(BU$3,Estrutura_P01[#Headers],0))),"")</f>
        <v/>
      </c>
      <c r="BV6" s="45">
        <v>0</v>
      </c>
      <c r="BW6" s="45" t="s">
        <v>473</v>
      </c>
      <c r="BX6" s="45"/>
      <c r="BY6" s="44"/>
      <c r="BZ6" s="49" t="str">
        <f t="shared" ref="BZ6:BZ40" si="9">G6</f>
        <v>0011</v>
      </c>
      <c r="CA6" s="49" t="str">
        <f t="shared" ref="CA6:CA40" si="10">G6</f>
        <v>0011</v>
      </c>
      <c r="CB6" s="45">
        <v>75</v>
      </c>
      <c r="CC6" s="44">
        <v>1</v>
      </c>
      <c r="CD6" s="50" t="s">
        <v>490</v>
      </c>
      <c r="CE6" s="80">
        <v>2</v>
      </c>
      <c r="CF6" s="80">
        <v>7</v>
      </c>
      <c r="CG6" s="95" t="str">
        <f t="shared" ref="CG6:CG40" si="11">IF(AQ6&lt;&gt;68,"ZM","")</f>
        <v>ZM</v>
      </c>
      <c r="CH6" s="95">
        <f t="shared" ref="CH6:CH40" si="12">IF(AQ6&lt;&gt;68,2,"")</f>
        <v>2</v>
      </c>
      <c r="CI6" s="95">
        <f t="shared" ref="CI6:CI40" si="13">IF(AQ6&lt;&gt;68,42,"")</f>
        <v>42</v>
      </c>
      <c r="CJ6" s="95">
        <f t="shared" ref="CJ6:CJ40" si="14">IF(AQ6&lt;&gt;68,10,"")</f>
        <v>10</v>
      </c>
      <c r="CK6" s="43" t="str">
        <f t="shared" ref="CK6:CK40" si="15">"K00_C_"&amp;F6</f>
        <v>K00_C_0581</v>
      </c>
      <c r="CL6" s="43" t="str">
        <f>IFERROR(IF(INDEX(Estrutura_P01[#All],MATCH($C6,Estrutura_P01[[#All],[txtMAKT-MAKTX]],0),MATCH(CL$3,Estrutura_P01[#Headers],0))=0,"",INDEX(Estrutura_P01[#All],MATCH($C6,Estrutura_P01[[#All],[txtMAKT-MAKTX]],0),MATCH(CL$3,Estrutura_P01[#Headers],0))),"")</f>
        <v/>
      </c>
      <c r="CM6" s="43" t="str">
        <f>IFERROR(IF(INDEX(Estrutura_P01[#All],MATCH($C6,Estrutura_P01[[#All],[txtMAKT-MAKTX]],0),MATCH(CM$3,Estrutura_P01[#Headers],0))=0,"",INDEX(Estrutura_P01[#All],MATCH($C6,Estrutura_P01[[#All],[txtMAKT-MAKTX]],0),MATCH(CM$3,Estrutura_P01[#Headers],0))),"")</f>
        <v/>
      </c>
      <c r="CN6" s="43" t="str">
        <f>IFERROR(IF(INDEX(Estrutura_P01[#All],MATCH($C6,Estrutura_P01[[#All],[txtMAKT-MAKTX]],0),MATCH(CN$3,Estrutura_P01[#Headers],0))=0,"",INDEX(Estrutura_P01[#All],MATCH($C6,Estrutura_P01[[#All],[txtMAKT-MAKTX]],0),MATCH(CN$3,Estrutura_P01[#Headers],0))),"")</f>
        <v/>
      </c>
      <c r="CO6" s="43" t="str">
        <f>IFERROR(IF(INDEX(Estrutura_P01[#All],MATCH($C6,Estrutura_P01[[#All],[txtMAKT-MAKTX]],0),MATCH(CO$3,Estrutura_P01[#Headers],0))=0,"",INDEX(Estrutura_P01[#All],MATCH($C6,Estrutura_P01[[#All],[txtMAKT-MAKTX]],0),MATCH(CO$3,Estrutura_P01[#Headers],0))),"")</f>
        <v/>
      </c>
      <c r="CP6" s="43" t="str">
        <f>IFERROR(IF(INDEX(Estrutura_P01[#All],MATCH($C6,Estrutura_P01[[#All],[txtMAKT-MAKTX]],0),MATCH(CP$3,Estrutura_P01[#Headers],0))=0,"",INDEX(Estrutura_P01[#All],MATCH($C6,Estrutura_P01[[#All],[txtMAKT-MAKTX]],0),MATCH(CP$3,Estrutura_P01[#Headers],0))),"")</f>
        <v/>
      </c>
      <c r="CQ6" s="43" t="str">
        <f>IFERROR(IF(INDEX(Estrutura_P01[#All],MATCH($C6,Estrutura_P01[[#All],[txtMAKT-MAKTX]],0),MATCH(CQ$3,Estrutura_P01[#Headers],0))=0,"",INDEX(Estrutura_P01[#All],MATCH($C6,Estrutura_P01[[#All],[txtMAKT-MAKTX]],0),MATCH(CQ$3,Estrutura_P01[#Headers],0))),"")</f>
        <v/>
      </c>
      <c r="CR6" s="43" t="str">
        <f>IFERROR(IF(INDEX(Estrutura_P01[#All],MATCH($C6,Estrutura_P01[[#All],[txtMAKT-MAKTX]],0),MATCH(CR$3,Estrutura_P01[#Headers],0))=0,"",INDEX(Estrutura_P01[#All],MATCH($C6,Estrutura_P01[[#All],[txtMAKT-MAKTX]],0),MATCH(CR$3,Estrutura_P01[#Headers],0))),"")</f>
        <v/>
      </c>
      <c r="CS6" s="43" t="str">
        <f>IFERROR(IF(INDEX(Estrutura_P01[#All],MATCH($C6,Estrutura_P01[[#All],[txtMAKT-MAKTX]],0),MATCH(CS$3,Estrutura_P01[#Headers],0))=0,"",INDEX(Estrutura_P01[#All],MATCH($C6,Estrutura_P01[[#All],[txtMAKT-MAKTX]],0),MATCH(CS$3,Estrutura_P01[#Headers],0))),"")</f>
        <v/>
      </c>
      <c r="CU6" s="43" t="str">
        <f t="shared" ref="CU6:CU40" si="16">IF(CV6&lt;&gt;0,1,"")</f>
        <v/>
      </c>
      <c r="CV6" s="55"/>
      <c r="CW6" s="43" t="str">
        <f t="shared" ref="CW6:CW40" ca="1" si="17">IF(CV6&lt;&gt;0,TEXT(TODAY(),"dd.mm.aaaa"),"")</f>
        <v/>
      </c>
      <c r="CX6" s="43" t="str">
        <f t="shared" ref="CX6:CX40" si="18">IF(CV6&lt;&gt;0,"31.12.9999","")</f>
        <v/>
      </c>
      <c r="CZ6" s="44"/>
      <c r="DA6" s="44">
        <v>2</v>
      </c>
      <c r="DB6" s="44">
        <v>1</v>
      </c>
      <c r="DC6" s="44"/>
      <c r="DD6" s="90" t="str">
        <f t="shared" ref="DD6:DD40" si="19">IF(AQ6=68,"MP","")</f>
        <v/>
      </c>
      <c r="DE6" s="43">
        <f t="shared" ref="DE6:DE40" si="20">IF(OR(AN6="M",AN6="KG"),0.01,1)</f>
        <v>0.01</v>
      </c>
      <c r="DF6" s="43" t="str">
        <f t="shared" ref="DF6:DF40" si="21">AN6</f>
        <v>KG</v>
      </c>
      <c r="DG6" s="44">
        <v>1</v>
      </c>
      <c r="DH6" s="50" t="s">
        <v>223</v>
      </c>
      <c r="DI6" s="50" t="s">
        <v>902</v>
      </c>
      <c r="DJ6" s="43" t="str">
        <f>IFERROR(IF(INDEX(Estrutura_P01[#All],MATCH($C6,Estrutura_P01[[#All],[txtMAKT-MAKTX]],0),MATCH(DJ$3,Estrutura_P01[#Headers],0))=0,"",INDEX(Estrutura_P01[#All],MATCH($C6,Estrutura_P01[[#All],[txtMAKT-MAKTX]],0),MATCH(DJ$3,Estrutura_P01[#Headers],0))),"")</f>
        <v/>
      </c>
      <c r="DK6" s="44">
        <v>1000</v>
      </c>
      <c r="DL6" s="60">
        <v>0</v>
      </c>
      <c r="DM6" s="44"/>
      <c r="DN6" s="44">
        <v>1</v>
      </c>
      <c r="DO6" s="44">
        <v>0</v>
      </c>
      <c r="DP6" s="44" t="s">
        <v>862</v>
      </c>
      <c r="DQ6" s="45">
        <v>0</v>
      </c>
      <c r="DR6" s="44">
        <v>1000</v>
      </c>
      <c r="DS6" s="91" t="str">
        <f>IF(AQ6=68,1,IFERROR(VLOOKUP(CM6,'Listas de Dados'!BX:BY,2,0),""))</f>
        <v/>
      </c>
      <c r="DT6" s="90" t="str">
        <f t="shared" ref="DT6:DT40" ca="1" si="22">IF(DS6&lt;&gt;"",TEXT(TODAY(),"DD.MM.AAAA"),"")</f>
        <v/>
      </c>
      <c r="DU6" s="65"/>
    </row>
    <row r="7" spans="1:125" x14ac:dyDescent="0.2">
      <c r="A7" s="7" t="str">
        <f t="shared" si="0"/>
        <v>Execução 3</v>
      </c>
      <c r="B7" s="87"/>
      <c r="C7" s="42"/>
      <c r="D7" s="43" t="str">
        <f>IFERROR(IF(INDEX(Estrutura_P01[#All],MATCH($C7,Estrutura_P01[[#All],[txtMAKT-MAKTX]],0),MATCH(D$3,Estrutura_P01[#Headers],0))=0,"",INDEX(Estrutura_P01[#All],MATCH($C7,Estrutura_P01[[#All],[txtMAKT-MAKTX]],0),MATCH(D$3,Estrutura_P01[#Headers],0))),"")</f>
        <v/>
      </c>
      <c r="E7" s="44" t="s">
        <v>100</v>
      </c>
      <c r="F7" s="79" t="s">
        <v>4</v>
      </c>
      <c r="G7" s="79" t="s">
        <v>11</v>
      </c>
      <c r="H7" s="79" t="str">
        <f t="shared" si="1"/>
        <v>0581</v>
      </c>
      <c r="I7" s="79" t="s">
        <v>6</v>
      </c>
      <c r="J7" s="79"/>
      <c r="L7" s="45" t="s">
        <v>101</v>
      </c>
      <c r="M7" s="45" t="s">
        <v>102</v>
      </c>
      <c r="N7" s="45" t="s">
        <v>103</v>
      </c>
      <c r="O7" s="45"/>
      <c r="P7" s="45"/>
      <c r="Q7" s="45"/>
      <c r="R7" s="45"/>
      <c r="S7" s="45"/>
      <c r="T7" s="45" t="s">
        <v>109</v>
      </c>
      <c r="U7" s="45" t="s">
        <v>110</v>
      </c>
      <c r="V7" s="45" t="s">
        <v>111</v>
      </c>
      <c r="W7" s="45" t="s">
        <v>112</v>
      </c>
      <c r="X7" s="45" t="s">
        <v>113</v>
      </c>
      <c r="Y7" s="45" t="s">
        <v>114</v>
      </c>
      <c r="Z7" s="45" t="s">
        <v>115</v>
      </c>
      <c r="AA7" s="45"/>
      <c r="AB7" s="45" t="s">
        <v>118</v>
      </c>
      <c r="AC7" s="45" t="s">
        <v>119</v>
      </c>
      <c r="AD7" s="45"/>
      <c r="AE7" s="45"/>
      <c r="AF7" s="45" t="s">
        <v>122</v>
      </c>
      <c r="AG7" s="45" t="s">
        <v>123</v>
      </c>
      <c r="AH7" s="45" t="s">
        <v>124</v>
      </c>
      <c r="AI7" s="45" t="s">
        <v>125</v>
      </c>
      <c r="AJ7" s="45" t="s">
        <v>126</v>
      </c>
      <c r="AK7" s="45"/>
      <c r="AL7" s="45"/>
      <c r="AN7" s="44" t="s">
        <v>297</v>
      </c>
      <c r="AO7" s="43" t="str">
        <f>IFERROR(IF(INDEX(Estrutura_P01[#All],MATCH($C7,Estrutura_P01[[#All],[txtMAKT-MAKTX]],0),MATCH(AO$3,Estrutura_P01[#Headers],0))=0,"",INDEX(Estrutura_P01[#All],MATCH($C7,Estrutura_P01[[#All],[txtMAKT-MAKTX]],0),MATCH(AO$3,Estrutura_P01[#Headers],0))),"")</f>
        <v/>
      </c>
      <c r="AP7" s="45"/>
      <c r="AQ7" s="43" t="str">
        <f>IFERROR(IF(INDEX(Estrutura_P01[#All],MATCH($C7,Estrutura_P01[[#All],[txtMAKT-MAKTX]],0),MATCH(AQ$3,Estrutura_P01[#Headers],0))=0,"",INDEX(Estrutura_P01[#All],MATCH($C7,Estrutura_P01[[#All],[txtMAKT-MAKTX]],0),MATCH(AQ$3,Estrutura_P01[#Headers],0))),"")</f>
        <v/>
      </c>
      <c r="AR7" s="45"/>
      <c r="AS7" s="46" t="str">
        <f t="shared" ca="1" si="2"/>
        <v/>
      </c>
      <c r="AT7" s="47" t="s">
        <v>864</v>
      </c>
      <c r="AU7" s="44">
        <v>1</v>
      </c>
      <c r="AV7" s="43">
        <f t="shared" si="3"/>
        <v>1</v>
      </c>
      <c r="AW7" s="48" t="s">
        <v>297</v>
      </c>
      <c r="AX7" s="43" t="str">
        <f>IFERROR(IF(INDEX(Estrutura_P01[#All],MATCH($C7,Estrutura_P01[[#All],[txtMAKT-MAKTX]],0),MATCH(AX$3,Estrutura_P01[#Headers],0))=0,"",INDEX(Estrutura_P01[#All],MATCH($C7,Estrutura_P01[[#All],[txtMAKT-MAKTX]],0),MATCH(AX$3,Estrutura_P01[#Headers],0))),"")</f>
        <v/>
      </c>
      <c r="AY7" s="44"/>
      <c r="AZ7" s="99">
        <v>99</v>
      </c>
      <c r="BA7" s="95" t="str">
        <f t="shared" ca="1" si="4"/>
        <v>17.05.2022</v>
      </c>
      <c r="BB7" s="50"/>
      <c r="BC7" s="50">
        <v>1</v>
      </c>
      <c r="BD7" s="50" t="s">
        <v>192</v>
      </c>
      <c r="BE7" s="95" t="str">
        <f t="shared" si="5"/>
        <v>01</v>
      </c>
      <c r="BF7" s="95" t="str">
        <f t="shared" si="6"/>
        <v>NORM</v>
      </c>
      <c r="BG7" s="44">
        <v>1</v>
      </c>
      <c r="BH7" s="44">
        <v>1</v>
      </c>
      <c r="BI7" s="44">
        <v>1</v>
      </c>
      <c r="BJ7" s="95" t="str">
        <f t="shared" si="7"/>
        <v>ZM</v>
      </c>
      <c r="BK7" s="50" t="s">
        <v>195</v>
      </c>
      <c r="BL7" s="50" t="s">
        <v>195</v>
      </c>
      <c r="BM7" s="43" t="str">
        <f>IFERROR(IF(INDEX(Estrutura_P01[#All],MATCH($C7,Estrutura_P01[[#All],[txtMAKT-MAKTX]],0),MATCH(BM$3,Estrutura_P01[#Headers],0))=0,"",INDEX(Estrutura_P01[#All],MATCH($C7,Estrutura_P01[[#All],[txtMAKT-MAKTX]],0),MATCH(BM$3,Estrutura_P01[#Headers],0))),"")</f>
        <v/>
      </c>
      <c r="BN7" s="44"/>
      <c r="BO7" s="50">
        <v>0</v>
      </c>
      <c r="BP7" s="45" t="s">
        <v>374</v>
      </c>
      <c r="BQ7" s="43" t="str">
        <f>IFERROR(IF(INDEX(Estrutura_P01[#All],MATCH($C7,Estrutura_P01[[#All],[txtMAKT-MAKTX]],0),MATCH(BQ$3,Estrutura_P01[#Headers],0))=0,"",INDEX(Estrutura_P01[#All],MATCH($C7,Estrutura_P01[[#All],[txtMAKT-MAKTX]],0),MATCH(BQ$3,Estrutura_P01[#Headers],0))),"")</f>
        <v/>
      </c>
      <c r="BR7" s="43" t="str">
        <f t="shared" si="8"/>
        <v>581</v>
      </c>
      <c r="BS7" s="45" t="s">
        <v>40</v>
      </c>
      <c r="BT7" s="98">
        <v>25000</v>
      </c>
      <c r="BU7" s="43" t="str">
        <f>IFERROR(IF(INDEX(Estrutura_P01[#All],MATCH($C7,Estrutura_P01[[#All],[txtMAKT-MAKTX]],0),MATCH(BU$3,Estrutura_P01[#Headers],0))=0,"",INDEX(Estrutura_P01[#All],MATCH($C7,Estrutura_P01[[#All],[txtMAKT-MAKTX]],0),MATCH(BU$3,Estrutura_P01[#Headers],0))),"")</f>
        <v/>
      </c>
      <c r="BV7" s="45">
        <v>0</v>
      </c>
      <c r="BW7" s="45" t="s">
        <v>473</v>
      </c>
      <c r="BX7" s="45"/>
      <c r="BY7" s="44"/>
      <c r="BZ7" s="49" t="str">
        <f t="shared" si="9"/>
        <v>0011</v>
      </c>
      <c r="CA7" s="49" t="str">
        <f t="shared" si="10"/>
        <v>0011</v>
      </c>
      <c r="CB7" s="45">
        <v>75</v>
      </c>
      <c r="CC7" s="44">
        <v>1</v>
      </c>
      <c r="CD7" s="50" t="s">
        <v>490</v>
      </c>
      <c r="CE7" s="80">
        <v>2</v>
      </c>
      <c r="CF7" s="80">
        <v>7</v>
      </c>
      <c r="CG7" s="95" t="str">
        <f t="shared" si="11"/>
        <v>ZM</v>
      </c>
      <c r="CH7" s="95">
        <f t="shared" si="12"/>
        <v>2</v>
      </c>
      <c r="CI7" s="95">
        <f t="shared" si="13"/>
        <v>42</v>
      </c>
      <c r="CJ7" s="95">
        <f t="shared" si="14"/>
        <v>10</v>
      </c>
      <c r="CK7" s="43" t="str">
        <f t="shared" si="15"/>
        <v>K00_C_0581</v>
      </c>
      <c r="CL7" s="43" t="str">
        <f>IFERROR(IF(INDEX(Estrutura_P01[#All],MATCH($C7,Estrutura_P01[[#All],[txtMAKT-MAKTX]],0),MATCH(CL$3,Estrutura_P01[#Headers],0))=0,"",INDEX(Estrutura_P01[#All],MATCH($C7,Estrutura_P01[[#All],[txtMAKT-MAKTX]],0),MATCH(CL$3,Estrutura_P01[#Headers],0))),"")</f>
        <v/>
      </c>
      <c r="CM7" s="43" t="str">
        <f>IFERROR(IF(INDEX(Estrutura_P01[#All],MATCH($C7,Estrutura_P01[[#All],[txtMAKT-MAKTX]],0),MATCH(CM$3,Estrutura_P01[#Headers],0))=0,"",INDEX(Estrutura_P01[#All],MATCH($C7,Estrutura_P01[[#All],[txtMAKT-MAKTX]],0),MATCH(CM$3,Estrutura_P01[#Headers],0))),"")</f>
        <v/>
      </c>
      <c r="CN7" s="43" t="str">
        <f>IFERROR(IF(INDEX(Estrutura_P01[#All],MATCH($C7,Estrutura_P01[[#All],[txtMAKT-MAKTX]],0),MATCH(CN$3,Estrutura_P01[#Headers],0))=0,"",INDEX(Estrutura_P01[#All],MATCH($C7,Estrutura_P01[[#All],[txtMAKT-MAKTX]],0),MATCH(CN$3,Estrutura_P01[#Headers],0))),"")</f>
        <v/>
      </c>
      <c r="CO7" s="43" t="str">
        <f>IFERROR(IF(INDEX(Estrutura_P01[#All],MATCH($C7,Estrutura_P01[[#All],[txtMAKT-MAKTX]],0),MATCH(CO$3,Estrutura_P01[#Headers],0))=0,"",INDEX(Estrutura_P01[#All],MATCH($C7,Estrutura_P01[[#All],[txtMAKT-MAKTX]],0),MATCH(CO$3,Estrutura_P01[#Headers],0))),"")</f>
        <v/>
      </c>
      <c r="CP7" s="43" t="str">
        <f>IFERROR(IF(INDEX(Estrutura_P01[#All],MATCH($C7,Estrutura_P01[[#All],[txtMAKT-MAKTX]],0),MATCH(CP$3,Estrutura_P01[#Headers],0))=0,"",INDEX(Estrutura_P01[#All],MATCH($C7,Estrutura_P01[[#All],[txtMAKT-MAKTX]],0),MATCH(CP$3,Estrutura_P01[#Headers],0))),"")</f>
        <v/>
      </c>
      <c r="CQ7" s="43" t="str">
        <f>IFERROR(IF(INDEX(Estrutura_P01[#All],MATCH($C7,Estrutura_P01[[#All],[txtMAKT-MAKTX]],0),MATCH(CQ$3,Estrutura_P01[#Headers],0))=0,"",INDEX(Estrutura_P01[#All],MATCH($C7,Estrutura_P01[[#All],[txtMAKT-MAKTX]],0),MATCH(CQ$3,Estrutura_P01[#Headers],0))),"")</f>
        <v/>
      </c>
      <c r="CR7" s="43" t="str">
        <f>IFERROR(IF(INDEX(Estrutura_P01[#All],MATCH($C7,Estrutura_P01[[#All],[txtMAKT-MAKTX]],0),MATCH(CR$3,Estrutura_P01[#Headers],0))=0,"",INDEX(Estrutura_P01[#All],MATCH($C7,Estrutura_P01[[#All],[txtMAKT-MAKTX]],0),MATCH(CR$3,Estrutura_P01[#Headers],0))),"")</f>
        <v/>
      </c>
      <c r="CS7" s="43" t="str">
        <f>IFERROR(IF(INDEX(Estrutura_P01[#All],MATCH($C7,Estrutura_P01[[#All],[txtMAKT-MAKTX]],0),MATCH(CS$3,Estrutura_P01[#Headers],0))=0,"",INDEX(Estrutura_P01[#All],MATCH($C7,Estrutura_P01[[#All],[txtMAKT-MAKTX]],0),MATCH(CS$3,Estrutura_P01[#Headers],0))),"")</f>
        <v/>
      </c>
      <c r="CU7" s="43" t="str">
        <f t="shared" si="16"/>
        <v/>
      </c>
      <c r="CV7" s="55"/>
      <c r="CW7" s="43" t="str">
        <f t="shared" ca="1" si="17"/>
        <v/>
      </c>
      <c r="CX7" s="43" t="str">
        <f t="shared" si="18"/>
        <v/>
      </c>
      <c r="CZ7" s="44"/>
      <c r="DA7" s="44">
        <v>2</v>
      </c>
      <c r="DB7" s="44">
        <v>1</v>
      </c>
      <c r="DC7" s="44"/>
      <c r="DD7" s="90" t="str">
        <f t="shared" si="19"/>
        <v/>
      </c>
      <c r="DE7" s="43">
        <f t="shared" si="20"/>
        <v>0.01</v>
      </c>
      <c r="DF7" s="43" t="str">
        <f t="shared" si="21"/>
        <v>KG</v>
      </c>
      <c r="DG7" s="44">
        <v>1</v>
      </c>
      <c r="DH7" s="50" t="s">
        <v>223</v>
      </c>
      <c r="DI7" s="50" t="s">
        <v>902</v>
      </c>
      <c r="DJ7" s="43" t="str">
        <f>IFERROR(IF(INDEX(Estrutura_P01[#All],MATCH($C7,Estrutura_P01[[#All],[txtMAKT-MAKTX]],0),MATCH(DJ$3,Estrutura_P01[#Headers],0))=0,"",INDEX(Estrutura_P01[#All],MATCH($C7,Estrutura_P01[[#All],[txtMAKT-MAKTX]],0),MATCH(DJ$3,Estrutura_P01[#Headers],0))),"")</f>
        <v/>
      </c>
      <c r="DK7" s="44">
        <v>1000</v>
      </c>
      <c r="DL7" s="60">
        <v>0</v>
      </c>
      <c r="DM7" s="44"/>
      <c r="DN7" s="44">
        <v>1</v>
      </c>
      <c r="DO7" s="44">
        <v>0</v>
      </c>
      <c r="DP7" s="44" t="s">
        <v>862</v>
      </c>
      <c r="DQ7" s="45">
        <v>0</v>
      </c>
      <c r="DR7" s="44">
        <v>1000</v>
      </c>
      <c r="DS7" s="91" t="str">
        <f>IF(AQ7=68,1,IFERROR(VLOOKUP(CM7,'Listas de Dados'!BX:BY,2,0),""))</f>
        <v/>
      </c>
      <c r="DT7" s="90" t="str">
        <f t="shared" ca="1" si="22"/>
        <v/>
      </c>
      <c r="DU7" s="65"/>
    </row>
    <row r="8" spans="1:125" x14ac:dyDescent="0.2">
      <c r="A8" s="7" t="str">
        <f t="shared" si="0"/>
        <v>Execução 4</v>
      </c>
      <c r="B8" s="87"/>
      <c r="C8" s="42"/>
      <c r="D8" s="43" t="str">
        <f>IFERROR(IF(INDEX(Estrutura_P01[#All],MATCH($C8,Estrutura_P01[[#All],[txtMAKT-MAKTX]],0),MATCH(D$3,Estrutura_P01[#Headers],0))=0,"",INDEX(Estrutura_P01[#All],MATCH($C8,Estrutura_P01[[#All],[txtMAKT-MAKTX]],0),MATCH(D$3,Estrutura_P01[#Headers],0))),"")</f>
        <v/>
      </c>
      <c r="E8" s="44" t="s">
        <v>100</v>
      </c>
      <c r="F8" s="79" t="s">
        <v>4</v>
      </c>
      <c r="G8" s="79" t="s">
        <v>11</v>
      </c>
      <c r="H8" s="79" t="str">
        <f t="shared" si="1"/>
        <v>0581</v>
      </c>
      <c r="I8" s="79" t="s">
        <v>6</v>
      </c>
      <c r="J8" s="79"/>
      <c r="L8" s="45" t="s">
        <v>101</v>
      </c>
      <c r="M8" s="45" t="s">
        <v>102</v>
      </c>
      <c r="N8" s="45" t="s">
        <v>103</v>
      </c>
      <c r="O8" s="45"/>
      <c r="P8" s="45"/>
      <c r="Q8" s="45"/>
      <c r="R8" s="45"/>
      <c r="S8" s="45"/>
      <c r="T8" s="45" t="s">
        <v>109</v>
      </c>
      <c r="U8" s="45" t="s">
        <v>110</v>
      </c>
      <c r="V8" s="45" t="s">
        <v>111</v>
      </c>
      <c r="W8" s="45" t="s">
        <v>112</v>
      </c>
      <c r="X8" s="45" t="s">
        <v>113</v>
      </c>
      <c r="Y8" s="45" t="s">
        <v>114</v>
      </c>
      <c r="Z8" s="45" t="s">
        <v>115</v>
      </c>
      <c r="AA8" s="45"/>
      <c r="AB8" s="45" t="s">
        <v>118</v>
      </c>
      <c r="AC8" s="45" t="s">
        <v>119</v>
      </c>
      <c r="AD8" s="45"/>
      <c r="AE8" s="45"/>
      <c r="AF8" s="45" t="s">
        <v>122</v>
      </c>
      <c r="AG8" s="45" t="s">
        <v>123</v>
      </c>
      <c r="AH8" s="45" t="s">
        <v>124</v>
      </c>
      <c r="AI8" s="45" t="s">
        <v>125</v>
      </c>
      <c r="AJ8" s="45" t="s">
        <v>126</v>
      </c>
      <c r="AK8" s="45"/>
      <c r="AL8" s="45"/>
      <c r="AN8" s="44" t="s">
        <v>297</v>
      </c>
      <c r="AO8" s="43" t="str">
        <f>IFERROR(IF(INDEX(Estrutura_P01[#All],MATCH($C8,Estrutura_P01[[#All],[txtMAKT-MAKTX]],0),MATCH(AO$3,Estrutura_P01[#Headers],0))=0,"",INDEX(Estrutura_P01[#All],MATCH($C8,Estrutura_P01[[#All],[txtMAKT-MAKTX]],0),MATCH(AO$3,Estrutura_P01[#Headers],0))),"")</f>
        <v/>
      </c>
      <c r="AP8" s="45"/>
      <c r="AQ8" s="43" t="str">
        <f>IFERROR(IF(INDEX(Estrutura_P01[#All],MATCH($C8,Estrutura_P01[[#All],[txtMAKT-MAKTX]],0),MATCH(AQ$3,Estrutura_P01[#Headers],0))=0,"",INDEX(Estrutura_P01[#All],MATCH($C8,Estrutura_P01[[#All],[txtMAKT-MAKTX]],0),MATCH(AQ$3,Estrutura_P01[#Headers],0))),"")</f>
        <v/>
      </c>
      <c r="AR8" s="45"/>
      <c r="AS8" s="46" t="str">
        <f t="shared" ca="1" si="2"/>
        <v/>
      </c>
      <c r="AT8" s="47" t="s">
        <v>864</v>
      </c>
      <c r="AU8" s="44">
        <v>1</v>
      </c>
      <c r="AV8" s="43">
        <f t="shared" si="3"/>
        <v>1</v>
      </c>
      <c r="AW8" s="48" t="s">
        <v>297</v>
      </c>
      <c r="AX8" s="43" t="str">
        <f>IFERROR(IF(INDEX(Estrutura_P01[#All],MATCH($C8,Estrutura_P01[[#All],[txtMAKT-MAKTX]],0),MATCH(AX$3,Estrutura_P01[#Headers],0))=0,"",INDEX(Estrutura_P01[#All],MATCH($C8,Estrutura_P01[[#All],[txtMAKT-MAKTX]],0),MATCH(AX$3,Estrutura_P01[#Headers],0))),"")</f>
        <v/>
      </c>
      <c r="AY8" s="44"/>
      <c r="AZ8" s="99">
        <v>99</v>
      </c>
      <c r="BA8" s="95" t="str">
        <f t="shared" ca="1" si="4"/>
        <v>17.05.2022</v>
      </c>
      <c r="BB8" s="50"/>
      <c r="BC8" s="50">
        <v>1</v>
      </c>
      <c r="BD8" s="50" t="s">
        <v>192</v>
      </c>
      <c r="BE8" s="95" t="str">
        <f t="shared" si="5"/>
        <v>01</v>
      </c>
      <c r="BF8" s="95" t="str">
        <f t="shared" si="6"/>
        <v>NORM</v>
      </c>
      <c r="BG8" s="44">
        <v>1</v>
      </c>
      <c r="BH8" s="44">
        <v>1</v>
      </c>
      <c r="BI8" s="44">
        <v>1</v>
      </c>
      <c r="BJ8" s="95" t="str">
        <f t="shared" si="7"/>
        <v>ZM</v>
      </c>
      <c r="BK8" s="50" t="s">
        <v>195</v>
      </c>
      <c r="BL8" s="50" t="s">
        <v>195</v>
      </c>
      <c r="BM8" s="43" t="str">
        <f>IFERROR(IF(INDEX(Estrutura_P01[#All],MATCH($C8,Estrutura_P01[[#All],[txtMAKT-MAKTX]],0),MATCH(BM$3,Estrutura_P01[#Headers],0))=0,"",INDEX(Estrutura_P01[#All],MATCH($C8,Estrutura_P01[[#All],[txtMAKT-MAKTX]],0),MATCH(BM$3,Estrutura_P01[#Headers],0))),"")</f>
        <v/>
      </c>
      <c r="BN8" s="44"/>
      <c r="BO8" s="50">
        <v>0</v>
      </c>
      <c r="BP8" s="45" t="s">
        <v>374</v>
      </c>
      <c r="BQ8" s="43" t="str">
        <f>IFERROR(IF(INDEX(Estrutura_P01[#All],MATCH($C8,Estrutura_P01[[#All],[txtMAKT-MAKTX]],0),MATCH(BQ$3,Estrutura_P01[#Headers],0))=0,"",INDEX(Estrutura_P01[#All],MATCH($C8,Estrutura_P01[[#All],[txtMAKT-MAKTX]],0),MATCH(BQ$3,Estrutura_P01[#Headers],0))),"")</f>
        <v/>
      </c>
      <c r="BR8" s="43" t="str">
        <f t="shared" si="8"/>
        <v>581</v>
      </c>
      <c r="BS8" s="45" t="s">
        <v>40</v>
      </c>
      <c r="BT8" s="98">
        <v>25000</v>
      </c>
      <c r="BU8" s="43" t="str">
        <f>IFERROR(IF(INDEX(Estrutura_P01[#All],MATCH($C8,Estrutura_P01[[#All],[txtMAKT-MAKTX]],0),MATCH(BU$3,Estrutura_P01[#Headers],0))=0,"",INDEX(Estrutura_P01[#All],MATCH($C8,Estrutura_P01[[#All],[txtMAKT-MAKTX]],0),MATCH(BU$3,Estrutura_P01[#Headers],0))),"")</f>
        <v/>
      </c>
      <c r="BV8" s="45">
        <v>0</v>
      </c>
      <c r="BW8" s="45" t="s">
        <v>473</v>
      </c>
      <c r="BX8" s="45"/>
      <c r="BY8" s="44"/>
      <c r="BZ8" s="49" t="str">
        <f t="shared" si="9"/>
        <v>0011</v>
      </c>
      <c r="CA8" s="49" t="str">
        <f t="shared" si="10"/>
        <v>0011</v>
      </c>
      <c r="CB8" s="45">
        <v>75</v>
      </c>
      <c r="CC8" s="44">
        <v>1</v>
      </c>
      <c r="CD8" s="50" t="s">
        <v>490</v>
      </c>
      <c r="CE8" s="80">
        <v>2</v>
      </c>
      <c r="CF8" s="80">
        <v>7</v>
      </c>
      <c r="CG8" s="95" t="str">
        <f t="shared" si="11"/>
        <v>ZM</v>
      </c>
      <c r="CH8" s="95">
        <f t="shared" si="12"/>
        <v>2</v>
      </c>
      <c r="CI8" s="95">
        <f t="shared" si="13"/>
        <v>42</v>
      </c>
      <c r="CJ8" s="95">
        <f t="shared" si="14"/>
        <v>10</v>
      </c>
      <c r="CK8" s="43" t="str">
        <f t="shared" si="15"/>
        <v>K00_C_0581</v>
      </c>
      <c r="CL8" s="43" t="str">
        <f>IFERROR(IF(INDEX(Estrutura_P01[#All],MATCH($C8,Estrutura_P01[[#All],[txtMAKT-MAKTX]],0),MATCH(CL$3,Estrutura_P01[#Headers],0))=0,"",INDEX(Estrutura_P01[#All],MATCH($C8,Estrutura_P01[[#All],[txtMAKT-MAKTX]],0),MATCH(CL$3,Estrutura_P01[#Headers],0))),"")</f>
        <v/>
      </c>
      <c r="CM8" s="43" t="str">
        <f>IFERROR(IF(INDEX(Estrutura_P01[#All],MATCH($C8,Estrutura_P01[[#All],[txtMAKT-MAKTX]],0),MATCH(CM$3,Estrutura_P01[#Headers],0))=0,"",INDEX(Estrutura_P01[#All],MATCH($C8,Estrutura_P01[[#All],[txtMAKT-MAKTX]],0),MATCH(CM$3,Estrutura_P01[#Headers],0))),"")</f>
        <v/>
      </c>
      <c r="CN8" s="43" t="str">
        <f>IFERROR(IF(INDEX(Estrutura_P01[#All],MATCH($C8,Estrutura_P01[[#All],[txtMAKT-MAKTX]],0),MATCH(CN$3,Estrutura_P01[#Headers],0))=0,"",INDEX(Estrutura_P01[#All],MATCH($C8,Estrutura_P01[[#All],[txtMAKT-MAKTX]],0),MATCH(CN$3,Estrutura_P01[#Headers],0))),"")</f>
        <v/>
      </c>
      <c r="CO8" s="43" t="str">
        <f>IFERROR(IF(INDEX(Estrutura_P01[#All],MATCH($C8,Estrutura_P01[[#All],[txtMAKT-MAKTX]],0),MATCH(CO$3,Estrutura_P01[#Headers],0))=0,"",INDEX(Estrutura_P01[#All],MATCH($C8,Estrutura_P01[[#All],[txtMAKT-MAKTX]],0),MATCH(CO$3,Estrutura_P01[#Headers],0))),"")</f>
        <v/>
      </c>
      <c r="CP8" s="43" t="str">
        <f>IFERROR(IF(INDEX(Estrutura_P01[#All],MATCH($C8,Estrutura_P01[[#All],[txtMAKT-MAKTX]],0),MATCH(CP$3,Estrutura_P01[#Headers],0))=0,"",INDEX(Estrutura_P01[#All],MATCH($C8,Estrutura_P01[[#All],[txtMAKT-MAKTX]],0),MATCH(CP$3,Estrutura_P01[#Headers],0))),"")</f>
        <v/>
      </c>
      <c r="CQ8" s="43" t="str">
        <f>IFERROR(IF(INDEX(Estrutura_P01[#All],MATCH($C8,Estrutura_P01[[#All],[txtMAKT-MAKTX]],0),MATCH(CQ$3,Estrutura_P01[#Headers],0))=0,"",INDEX(Estrutura_P01[#All],MATCH($C8,Estrutura_P01[[#All],[txtMAKT-MAKTX]],0),MATCH(CQ$3,Estrutura_P01[#Headers],0))),"")</f>
        <v/>
      </c>
      <c r="CR8" s="43" t="str">
        <f>IFERROR(IF(INDEX(Estrutura_P01[#All],MATCH($C8,Estrutura_P01[[#All],[txtMAKT-MAKTX]],0),MATCH(CR$3,Estrutura_P01[#Headers],0))=0,"",INDEX(Estrutura_P01[#All],MATCH($C8,Estrutura_P01[[#All],[txtMAKT-MAKTX]],0),MATCH(CR$3,Estrutura_P01[#Headers],0))),"")</f>
        <v/>
      </c>
      <c r="CS8" s="43" t="str">
        <f>IFERROR(IF(INDEX(Estrutura_P01[#All],MATCH($C8,Estrutura_P01[[#All],[txtMAKT-MAKTX]],0),MATCH(CS$3,Estrutura_P01[#Headers],0))=0,"",INDEX(Estrutura_P01[#All],MATCH($C8,Estrutura_P01[[#All],[txtMAKT-MAKTX]],0),MATCH(CS$3,Estrutura_P01[#Headers],0))),"")</f>
        <v/>
      </c>
      <c r="CU8" s="43" t="str">
        <f t="shared" si="16"/>
        <v/>
      </c>
      <c r="CV8" s="55"/>
      <c r="CW8" s="43" t="str">
        <f t="shared" ca="1" si="17"/>
        <v/>
      </c>
      <c r="CX8" s="43" t="str">
        <f t="shared" si="18"/>
        <v/>
      </c>
      <c r="CZ8" s="44"/>
      <c r="DA8" s="44">
        <v>2</v>
      </c>
      <c r="DB8" s="44">
        <v>1</v>
      </c>
      <c r="DC8" s="44"/>
      <c r="DD8" s="90" t="str">
        <f t="shared" si="19"/>
        <v/>
      </c>
      <c r="DE8" s="43">
        <f t="shared" si="20"/>
        <v>0.01</v>
      </c>
      <c r="DF8" s="43" t="str">
        <f t="shared" si="21"/>
        <v>KG</v>
      </c>
      <c r="DG8" s="44">
        <v>1</v>
      </c>
      <c r="DH8" s="50" t="s">
        <v>223</v>
      </c>
      <c r="DI8" s="50" t="s">
        <v>902</v>
      </c>
      <c r="DJ8" s="43" t="str">
        <f>IFERROR(IF(INDEX(Estrutura_P01[#All],MATCH($C8,Estrutura_P01[[#All],[txtMAKT-MAKTX]],0),MATCH(DJ$3,Estrutura_P01[#Headers],0))=0,"",INDEX(Estrutura_P01[#All],MATCH($C8,Estrutura_P01[[#All],[txtMAKT-MAKTX]],0),MATCH(DJ$3,Estrutura_P01[#Headers],0))),"")</f>
        <v/>
      </c>
      <c r="DK8" s="44">
        <v>1000</v>
      </c>
      <c r="DL8" s="60">
        <v>0</v>
      </c>
      <c r="DM8" s="44"/>
      <c r="DN8" s="44">
        <v>1</v>
      </c>
      <c r="DO8" s="44">
        <v>0</v>
      </c>
      <c r="DP8" s="44" t="s">
        <v>862</v>
      </c>
      <c r="DQ8" s="45">
        <v>0</v>
      </c>
      <c r="DR8" s="44">
        <v>1000</v>
      </c>
      <c r="DS8" s="91" t="str">
        <f>IF(AQ8=68,1,IFERROR(VLOOKUP(CM8,'Listas de Dados'!BX:BY,2,0),""))</f>
        <v/>
      </c>
      <c r="DT8" s="90" t="str">
        <f t="shared" ca="1" si="22"/>
        <v/>
      </c>
      <c r="DU8" s="65"/>
    </row>
    <row r="9" spans="1:125" x14ac:dyDescent="0.2">
      <c r="A9" s="7" t="str">
        <f t="shared" si="0"/>
        <v>Execução 5</v>
      </c>
      <c r="B9" s="87"/>
      <c r="C9" s="42"/>
      <c r="D9" s="43" t="str">
        <f>IFERROR(IF(INDEX(Estrutura_P01[#All],MATCH($C9,Estrutura_P01[[#All],[txtMAKT-MAKTX]],0),MATCH(D$3,Estrutura_P01[#Headers],0))=0,"",INDEX(Estrutura_P01[#All],MATCH($C9,Estrutura_P01[[#All],[txtMAKT-MAKTX]],0),MATCH(D$3,Estrutura_P01[#Headers],0))),"")</f>
        <v/>
      </c>
      <c r="E9" s="44" t="s">
        <v>100</v>
      </c>
      <c r="F9" s="79" t="s">
        <v>4</v>
      </c>
      <c r="G9" s="79" t="s">
        <v>11</v>
      </c>
      <c r="H9" s="79" t="str">
        <f t="shared" si="1"/>
        <v>0581</v>
      </c>
      <c r="I9" s="79" t="s">
        <v>6</v>
      </c>
      <c r="J9" s="79"/>
      <c r="L9" s="45" t="s">
        <v>101</v>
      </c>
      <c r="M9" s="45" t="s">
        <v>102</v>
      </c>
      <c r="N9" s="45" t="s">
        <v>103</v>
      </c>
      <c r="O9" s="45"/>
      <c r="P9" s="45"/>
      <c r="Q9" s="45"/>
      <c r="R9" s="45"/>
      <c r="S9" s="45"/>
      <c r="T9" s="45" t="s">
        <v>109</v>
      </c>
      <c r="U9" s="45" t="s">
        <v>110</v>
      </c>
      <c r="V9" s="45" t="s">
        <v>111</v>
      </c>
      <c r="W9" s="45" t="s">
        <v>112</v>
      </c>
      <c r="X9" s="45" t="s">
        <v>113</v>
      </c>
      <c r="Y9" s="45" t="s">
        <v>114</v>
      </c>
      <c r="Z9" s="45" t="s">
        <v>115</v>
      </c>
      <c r="AA9" s="45"/>
      <c r="AB9" s="45" t="s">
        <v>118</v>
      </c>
      <c r="AC9" s="45" t="s">
        <v>119</v>
      </c>
      <c r="AD9" s="45"/>
      <c r="AE9" s="45"/>
      <c r="AF9" s="45" t="s">
        <v>122</v>
      </c>
      <c r="AG9" s="45" t="s">
        <v>123</v>
      </c>
      <c r="AH9" s="45" t="s">
        <v>124</v>
      </c>
      <c r="AI9" s="45" t="s">
        <v>125</v>
      </c>
      <c r="AJ9" s="45" t="s">
        <v>126</v>
      </c>
      <c r="AK9" s="45"/>
      <c r="AL9" s="45"/>
      <c r="AN9" s="44" t="s">
        <v>297</v>
      </c>
      <c r="AO9" s="43" t="str">
        <f>IFERROR(IF(INDEX(Estrutura_P01[#All],MATCH($C9,Estrutura_P01[[#All],[txtMAKT-MAKTX]],0),MATCH(AO$3,Estrutura_P01[#Headers],0))=0,"",INDEX(Estrutura_P01[#All],MATCH($C9,Estrutura_P01[[#All],[txtMAKT-MAKTX]],0),MATCH(AO$3,Estrutura_P01[#Headers],0))),"")</f>
        <v/>
      </c>
      <c r="AP9" s="45"/>
      <c r="AQ9" s="43" t="str">
        <f>IFERROR(IF(INDEX(Estrutura_P01[#All],MATCH($C9,Estrutura_P01[[#All],[txtMAKT-MAKTX]],0),MATCH(AQ$3,Estrutura_P01[#Headers],0))=0,"",INDEX(Estrutura_P01[#All],MATCH($C9,Estrutura_P01[[#All],[txtMAKT-MAKTX]],0),MATCH(AQ$3,Estrutura_P01[#Headers],0))),"")</f>
        <v/>
      </c>
      <c r="AR9" s="45"/>
      <c r="AS9" s="46" t="str">
        <f t="shared" ca="1" si="2"/>
        <v/>
      </c>
      <c r="AT9" s="47" t="s">
        <v>864</v>
      </c>
      <c r="AU9" s="44">
        <v>1</v>
      </c>
      <c r="AV9" s="43">
        <f t="shared" si="3"/>
        <v>1</v>
      </c>
      <c r="AW9" s="48" t="s">
        <v>297</v>
      </c>
      <c r="AX9" s="43" t="str">
        <f>IFERROR(IF(INDEX(Estrutura_P01[#All],MATCH($C9,Estrutura_P01[[#All],[txtMAKT-MAKTX]],0),MATCH(AX$3,Estrutura_P01[#Headers],0))=0,"",INDEX(Estrutura_P01[#All],MATCH($C9,Estrutura_P01[[#All],[txtMAKT-MAKTX]],0),MATCH(AX$3,Estrutura_P01[#Headers],0))),"")</f>
        <v/>
      </c>
      <c r="AY9" s="44"/>
      <c r="AZ9" s="99">
        <v>99</v>
      </c>
      <c r="BA9" s="95" t="str">
        <f t="shared" ca="1" si="4"/>
        <v>17.05.2022</v>
      </c>
      <c r="BB9" s="50"/>
      <c r="BC9" s="50">
        <v>1</v>
      </c>
      <c r="BD9" s="50" t="s">
        <v>192</v>
      </c>
      <c r="BE9" s="95" t="str">
        <f t="shared" si="5"/>
        <v>01</v>
      </c>
      <c r="BF9" s="95" t="str">
        <f t="shared" si="6"/>
        <v>NORM</v>
      </c>
      <c r="BG9" s="44">
        <v>1</v>
      </c>
      <c r="BH9" s="44">
        <v>1</v>
      </c>
      <c r="BI9" s="44">
        <v>1</v>
      </c>
      <c r="BJ9" s="95" t="str">
        <f t="shared" si="7"/>
        <v>ZM</v>
      </c>
      <c r="BK9" s="50" t="s">
        <v>195</v>
      </c>
      <c r="BL9" s="50" t="s">
        <v>195</v>
      </c>
      <c r="BM9" s="43" t="str">
        <f>IFERROR(IF(INDEX(Estrutura_P01[#All],MATCH($C9,Estrutura_P01[[#All],[txtMAKT-MAKTX]],0),MATCH(BM$3,Estrutura_P01[#Headers],0))=0,"",INDEX(Estrutura_P01[#All],MATCH($C9,Estrutura_P01[[#All],[txtMAKT-MAKTX]],0),MATCH(BM$3,Estrutura_P01[#Headers],0))),"")</f>
        <v/>
      </c>
      <c r="BN9" s="44"/>
      <c r="BO9" s="50">
        <v>0</v>
      </c>
      <c r="BP9" s="45" t="s">
        <v>374</v>
      </c>
      <c r="BQ9" s="43" t="str">
        <f>IFERROR(IF(INDEX(Estrutura_P01[#All],MATCH($C9,Estrutura_P01[[#All],[txtMAKT-MAKTX]],0),MATCH(BQ$3,Estrutura_P01[#Headers],0))=0,"",INDEX(Estrutura_P01[#All],MATCH($C9,Estrutura_P01[[#All],[txtMAKT-MAKTX]],0),MATCH(BQ$3,Estrutura_P01[#Headers],0))),"")</f>
        <v/>
      </c>
      <c r="BR9" s="43" t="str">
        <f t="shared" si="8"/>
        <v>581</v>
      </c>
      <c r="BS9" s="45" t="s">
        <v>40</v>
      </c>
      <c r="BT9" s="98">
        <v>25000</v>
      </c>
      <c r="BU9" s="43" t="str">
        <f>IFERROR(IF(INDEX(Estrutura_P01[#All],MATCH($C9,Estrutura_P01[[#All],[txtMAKT-MAKTX]],0),MATCH(BU$3,Estrutura_P01[#Headers],0))=0,"",INDEX(Estrutura_P01[#All],MATCH($C9,Estrutura_P01[[#All],[txtMAKT-MAKTX]],0),MATCH(BU$3,Estrutura_P01[#Headers],0))),"")</f>
        <v/>
      </c>
      <c r="BV9" s="45">
        <v>0</v>
      </c>
      <c r="BW9" s="45" t="s">
        <v>473</v>
      </c>
      <c r="BX9" s="45"/>
      <c r="BY9" s="44"/>
      <c r="BZ9" s="49" t="str">
        <f t="shared" si="9"/>
        <v>0011</v>
      </c>
      <c r="CA9" s="49" t="str">
        <f t="shared" si="10"/>
        <v>0011</v>
      </c>
      <c r="CB9" s="45">
        <v>75</v>
      </c>
      <c r="CC9" s="44">
        <v>1</v>
      </c>
      <c r="CD9" s="50" t="s">
        <v>490</v>
      </c>
      <c r="CE9" s="80">
        <v>2</v>
      </c>
      <c r="CF9" s="80">
        <v>7</v>
      </c>
      <c r="CG9" s="95" t="str">
        <f t="shared" si="11"/>
        <v>ZM</v>
      </c>
      <c r="CH9" s="95">
        <f t="shared" si="12"/>
        <v>2</v>
      </c>
      <c r="CI9" s="95">
        <f t="shared" si="13"/>
        <v>42</v>
      </c>
      <c r="CJ9" s="95">
        <f t="shared" si="14"/>
        <v>10</v>
      </c>
      <c r="CK9" s="43" t="str">
        <f t="shared" si="15"/>
        <v>K00_C_0581</v>
      </c>
      <c r="CL9" s="43" t="str">
        <f>IFERROR(IF(INDEX(Estrutura_P01[#All],MATCH($C9,Estrutura_P01[[#All],[txtMAKT-MAKTX]],0),MATCH(CL$3,Estrutura_P01[#Headers],0))=0,"",INDEX(Estrutura_P01[#All],MATCH($C9,Estrutura_P01[[#All],[txtMAKT-MAKTX]],0),MATCH(CL$3,Estrutura_P01[#Headers],0))),"")</f>
        <v/>
      </c>
      <c r="CM9" s="43" t="str">
        <f>IFERROR(IF(INDEX(Estrutura_P01[#All],MATCH($C9,Estrutura_P01[[#All],[txtMAKT-MAKTX]],0),MATCH(CM$3,Estrutura_P01[#Headers],0))=0,"",INDEX(Estrutura_P01[#All],MATCH($C9,Estrutura_P01[[#All],[txtMAKT-MAKTX]],0),MATCH(CM$3,Estrutura_P01[#Headers],0))),"")</f>
        <v/>
      </c>
      <c r="CN9" s="43" t="str">
        <f>IFERROR(IF(INDEX(Estrutura_P01[#All],MATCH($C9,Estrutura_P01[[#All],[txtMAKT-MAKTX]],0),MATCH(CN$3,Estrutura_P01[#Headers],0))=0,"",INDEX(Estrutura_P01[#All],MATCH($C9,Estrutura_P01[[#All],[txtMAKT-MAKTX]],0),MATCH(CN$3,Estrutura_P01[#Headers],0))),"")</f>
        <v/>
      </c>
      <c r="CO9" s="43" t="str">
        <f>IFERROR(IF(INDEX(Estrutura_P01[#All],MATCH($C9,Estrutura_P01[[#All],[txtMAKT-MAKTX]],0),MATCH(CO$3,Estrutura_P01[#Headers],0))=0,"",INDEX(Estrutura_P01[#All],MATCH($C9,Estrutura_P01[[#All],[txtMAKT-MAKTX]],0),MATCH(CO$3,Estrutura_P01[#Headers],0))),"")</f>
        <v/>
      </c>
      <c r="CP9" s="43" t="str">
        <f>IFERROR(IF(INDEX(Estrutura_P01[#All],MATCH($C9,Estrutura_P01[[#All],[txtMAKT-MAKTX]],0),MATCH(CP$3,Estrutura_P01[#Headers],0))=0,"",INDEX(Estrutura_P01[#All],MATCH($C9,Estrutura_P01[[#All],[txtMAKT-MAKTX]],0),MATCH(CP$3,Estrutura_P01[#Headers],0))),"")</f>
        <v/>
      </c>
      <c r="CQ9" s="43" t="str">
        <f>IFERROR(IF(INDEX(Estrutura_P01[#All],MATCH($C9,Estrutura_P01[[#All],[txtMAKT-MAKTX]],0),MATCH(CQ$3,Estrutura_P01[#Headers],0))=0,"",INDEX(Estrutura_P01[#All],MATCH($C9,Estrutura_P01[[#All],[txtMAKT-MAKTX]],0),MATCH(CQ$3,Estrutura_P01[#Headers],0))),"")</f>
        <v/>
      </c>
      <c r="CR9" s="43" t="str">
        <f>IFERROR(IF(INDEX(Estrutura_P01[#All],MATCH($C9,Estrutura_P01[[#All],[txtMAKT-MAKTX]],0),MATCH(CR$3,Estrutura_P01[#Headers],0))=0,"",INDEX(Estrutura_P01[#All],MATCH($C9,Estrutura_P01[[#All],[txtMAKT-MAKTX]],0),MATCH(CR$3,Estrutura_P01[#Headers],0))),"")</f>
        <v/>
      </c>
      <c r="CS9" s="43" t="str">
        <f>IFERROR(IF(INDEX(Estrutura_P01[#All],MATCH($C9,Estrutura_P01[[#All],[txtMAKT-MAKTX]],0),MATCH(CS$3,Estrutura_P01[#Headers],0))=0,"",INDEX(Estrutura_P01[#All],MATCH($C9,Estrutura_P01[[#All],[txtMAKT-MAKTX]],0),MATCH(CS$3,Estrutura_P01[#Headers],0))),"")</f>
        <v/>
      </c>
      <c r="CU9" s="43" t="str">
        <f t="shared" si="16"/>
        <v/>
      </c>
      <c r="CV9" s="55"/>
      <c r="CW9" s="43" t="str">
        <f t="shared" ca="1" si="17"/>
        <v/>
      </c>
      <c r="CX9" s="43" t="str">
        <f t="shared" si="18"/>
        <v/>
      </c>
      <c r="CZ9" s="44"/>
      <c r="DA9" s="44">
        <v>2</v>
      </c>
      <c r="DB9" s="44">
        <v>1</v>
      </c>
      <c r="DC9" s="44"/>
      <c r="DD9" s="90" t="str">
        <f t="shared" si="19"/>
        <v/>
      </c>
      <c r="DE9" s="43">
        <f t="shared" si="20"/>
        <v>0.01</v>
      </c>
      <c r="DF9" s="43" t="str">
        <f t="shared" si="21"/>
        <v>KG</v>
      </c>
      <c r="DG9" s="44">
        <v>1</v>
      </c>
      <c r="DH9" s="50" t="s">
        <v>223</v>
      </c>
      <c r="DI9" s="50" t="s">
        <v>902</v>
      </c>
      <c r="DJ9" s="43" t="str">
        <f>IFERROR(IF(INDEX(Estrutura_P01[#All],MATCH($C9,Estrutura_P01[[#All],[txtMAKT-MAKTX]],0),MATCH(DJ$3,Estrutura_P01[#Headers],0))=0,"",INDEX(Estrutura_P01[#All],MATCH($C9,Estrutura_P01[[#All],[txtMAKT-MAKTX]],0),MATCH(DJ$3,Estrutura_P01[#Headers],0))),"")</f>
        <v/>
      </c>
      <c r="DK9" s="44">
        <v>1000</v>
      </c>
      <c r="DL9" s="60">
        <v>0</v>
      </c>
      <c r="DM9" s="44"/>
      <c r="DN9" s="44">
        <v>1</v>
      </c>
      <c r="DO9" s="44">
        <v>0</v>
      </c>
      <c r="DP9" s="44" t="s">
        <v>862</v>
      </c>
      <c r="DQ9" s="45">
        <v>0</v>
      </c>
      <c r="DR9" s="44">
        <v>1000</v>
      </c>
      <c r="DS9" s="91" t="str">
        <f>IF(AQ9=68,1,IFERROR(VLOOKUP(CM9,'Listas de Dados'!BX:BY,2,0),""))</f>
        <v/>
      </c>
      <c r="DT9" s="90" t="str">
        <f t="shared" ca="1" si="22"/>
        <v/>
      </c>
      <c r="DU9" s="65"/>
    </row>
    <row r="10" spans="1:125" x14ac:dyDescent="0.2">
      <c r="A10" s="7" t="str">
        <f t="shared" si="0"/>
        <v>Execução 6</v>
      </c>
      <c r="B10" s="87"/>
      <c r="C10" s="42"/>
      <c r="D10" s="43" t="str">
        <f>IFERROR(IF(INDEX(Estrutura_P01[#All],MATCH($C10,Estrutura_P01[[#All],[txtMAKT-MAKTX]],0),MATCH(D$3,Estrutura_P01[#Headers],0))=0,"",INDEX(Estrutura_P01[#All],MATCH($C10,Estrutura_P01[[#All],[txtMAKT-MAKTX]],0),MATCH(D$3,Estrutura_P01[#Headers],0))),"")</f>
        <v/>
      </c>
      <c r="E10" s="44" t="s">
        <v>100</v>
      </c>
      <c r="F10" s="79" t="s">
        <v>4</v>
      </c>
      <c r="G10" s="79" t="s">
        <v>11</v>
      </c>
      <c r="H10" s="79" t="str">
        <f t="shared" si="1"/>
        <v>0581</v>
      </c>
      <c r="I10" s="79" t="s">
        <v>6</v>
      </c>
      <c r="J10" s="79"/>
      <c r="L10" s="45" t="s">
        <v>101</v>
      </c>
      <c r="M10" s="45" t="s">
        <v>102</v>
      </c>
      <c r="N10" s="45" t="s">
        <v>103</v>
      </c>
      <c r="O10" s="45"/>
      <c r="P10" s="45"/>
      <c r="Q10" s="45"/>
      <c r="R10" s="45"/>
      <c r="S10" s="45"/>
      <c r="T10" s="45" t="s">
        <v>109</v>
      </c>
      <c r="U10" s="45" t="s">
        <v>110</v>
      </c>
      <c r="V10" s="45" t="s">
        <v>111</v>
      </c>
      <c r="W10" s="45" t="s">
        <v>112</v>
      </c>
      <c r="X10" s="45" t="s">
        <v>113</v>
      </c>
      <c r="Y10" s="45" t="s">
        <v>114</v>
      </c>
      <c r="Z10" s="45" t="s">
        <v>115</v>
      </c>
      <c r="AA10" s="45"/>
      <c r="AB10" s="45" t="s">
        <v>118</v>
      </c>
      <c r="AC10" s="45" t="s">
        <v>119</v>
      </c>
      <c r="AD10" s="45"/>
      <c r="AE10" s="45"/>
      <c r="AF10" s="45" t="s">
        <v>122</v>
      </c>
      <c r="AG10" s="45" t="s">
        <v>123</v>
      </c>
      <c r="AH10" s="45" t="s">
        <v>124</v>
      </c>
      <c r="AI10" s="45" t="s">
        <v>125</v>
      </c>
      <c r="AJ10" s="45" t="s">
        <v>126</v>
      </c>
      <c r="AK10" s="45"/>
      <c r="AL10" s="45"/>
      <c r="AN10" s="44" t="s">
        <v>297</v>
      </c>
      <c r="AO10" s="43" t="str">
        <f>IFERROR(IF(INDEX(Estrutura_P01[#All],MATCH($C10,Estrutura_P01[[#All],[txtMAKT-MAKTX]],0),MATCH(AO$3,Estrutura_P01[#Headers],0))=0,"",INDEX(Estrutura_P01[#All],MATCH($C10,Estrutura_P01[[#All],[txtMAKT-MAKTX]],0),MATCH(AO$3,Estrutura_P01[#Headers],0))),"")</f>
        <v/>
      </c>
      <c r="AP10" s="45"/>
      <c r="AQ10" s="43" t="str">
        <f>IFERROR(IF(INDEX(Estrutura_P01[#All],MATCH($C10,Estrutura_P01[[#All],[txtMAKT-MAKTX]],0),MATCH(AQ$3,Estrutura_P01[#Headers],0))=0,"",INDEX(Estrutura_P01[#All],MATCH($C10,Estrutura_P01[[#All],[txtMAKT-MAKTX]],0),MATCH(AQ$3,Estrutura_P01[#Headers],0))),"")</f>
        <v/>
      </c>
      <c r="AR10" s="45"/>
      <c r="AS10" s="46" t="str">
        <f t="shared" ca="1" si="2"/>
        <v/>
      </c>
      <c r="AT10" s="47" t="s">
        <v>864</v>
      </c>
      <c r="AU10" s="44">
        <v>1</v>
      </c>
      <c r="AV10" s="43">
        <f t="shared" si="3"/>
        <v>1</v>
      </c>
      <c r="AW10" s="48" t="s">
        <v>297</v>
      </c>
      <c r="AX10" s="43" t="str">
        <f>IFERROR(IF(INDEX(Estrutura_P01[#All],MATCH($C10,Estrutura_P01[[#All],[txtMAKT-MAKTX]],0),MATCH(AX$3,Estrutura_P01[#Headers],0))=0,"",INDEX(Estrutura_P01[#All],MATCH($C10,Estrutura_P01[[#All],[txtMAKT-MAKTX]],0),MATCH(AX$3,Estrutura_P01[#Headers],0))),"")</f>
        <v/>
      </c>
      <c r="AY10" s="44"/>
      <c r="AZ10" s="99">
        <v>99</v>
      </c>
      <c r="BA10" s="95" t="str">
        <f t="shared" ca="1" si="4"/>
        <v>17.05.2022</v>
      </c>
      <c r="BB10" s="50"/>
      <c r="BC10" s="50">
        <v>1</v>
      </c>
      <c r="BD10" s="50" t="s">
        <v>192</v>
      </c>
      <c r="BE10" s="95" t="str">
        <f t="shared" si="5"/>
        <v>01</v>
      </c>
      <c r="BF10" s="95" t="str">
        <f t="shared" si="6"/>
        <v>NORM</v>
      </c>
      <c r="BG10" s="44">
        <v>1</v>
      </c>
      <c r="BH10" s="44">
        <v>1</v>
      </c>
      <c r="BI10" s="44">
        <v>1</v>
      </c>
      <c r="BJ10" s="95" t="str">
        <f t="shared" si="7"/>
        <v>ZM</v>
      </c>
      <c r="BK10" s="50" t="s">
        <v>195</v>
      </c>
      <c r="BL10" s="50" t="s">
        <v>195</v>
      </c>
      <c r="BM10" s="43" t="str">
        <f>IFERROR(IF(INDEX(Estrutura_P01[#All],MATCH($C10,Estrutura_P01[[#All],[txtMAKT-MAKTX]],0),MATCH(BM$3,Estrutura_P01[#Headers],0))=0,"",INDEX(Estrutura_P01[#All],MATCH($C10,Estrutura_P01[[#All],[txtMAKT-MAKTX]],0),MATCH(BM$3,Estrutura_P01[#Headers],0))),"")</f>
        <v/>
      </c>
      <c r="BN10" s="44"/>
      <c r="BO10" s="50">
        <v>0</v>
      </c>
      <c r="BP10" s="45" t="s">
        <v>374</v>
      </c>
      <c r="BQ10" s="43" t="str">
        <f>IFERROR(IF(INDEX(Estrutura_P01[#All],MATCH($C10,Estrutura_P01[[#All],[txtMAKT-MAKTX]],0),MATCH(BQ$3,Estrutura_P01[#Headers],0))=0,"",INDEX(Estrutura_P01[#All],MATCH($C10,Estrutura_P01[[#All],[txtMAKT-MAKTX]],0),MATCH(BQ$3,Estrutura_P01[#Headers],0))),"")</f>
        <v/>
      </c>
      <c r="BR10" s="43" t="str">
        <f t="shared" si="8"/>
        <v>581</v>
      </c>
      <c r="BS10" s="45" t="s">
        <v>40</v>
      </c>
      <c r="BT10" s="98">
        <v>25000</v>
      </c>
      <c r="BU10" s="43" t="str">
        <f>IFERROR(IF(INDEX(Estrutura_P01[#All],MATCH($C10,Estrutura_P01[[#All],[txtMAKT-MAKTX]],0),MATCH(BU$3,Estrutura_P01[#Headers],0))=0,"",INDEX(Estrutura_P01[#All],MATCH($C10,Estrutura_P01[[#All],[txtMAKT-MAKTX]],0),MATCH(BU$3,Estrutura_P01[#Headers],0))),"")</f>
        <v/>
      </c>
      <c r="BV10" s="45">
        <v>0</v>
      </c>
      <c r="BW10" s="45" t="s">
        <v>473</v>
      </c>
      <c r="BX10" s="45"/>
      <c r="BY10" s="44"/>
      <c r="BZ10" s="49" t="str">
        <f t="shared" si="9"/>
        <v>0011</v>
      </c>
      <c r="CA10" s="49" t="str">
        <f t="shared" si="10"/>
        <v>0011</v>
      </c>
      <c r="CB10" s="45">
        <v>75</v>
      </c>
      <c r="CC10" s="44">
        <v>1</v>
      </c>
      <c r="CD10" s="50" t="s">
        <v>490</v>
      </c>
      <c r="CE10" s="80">
        <v>2</v>
      </c>
      <c r="CF10" s="80">
        <v>7</v>
      </c>
      <c r="CG10" s="95" t="str">
        <f t="shared" si="11"/>
        <v>ZM</v>
      </c>
      <c r="CH10" s="95">
        <f t="shared" si="12"/>
        <v>2</v>
      </c>
      <c r="CI10" s="95">
        <f t="shared" si="13"/>
        <v>42</v>
      </c>
      <c r="CJ10" s="95">
        <f t="shared" si="14"/>
        <v>10</v>
      </c>
      <c r="CK10" s="43" t="str">
        <f t="shared" si="15"/>
        <v>K00_C_0581</v>
      </c>
      <c r="CL10" s="43" t="str">
        <f>IFERROR(IF(INDEX(Estrutura_P01[#All],MATCH($C10,Estrutura_P01[[#All],[txtMAKT-MAKTX]],0),MATCH(CL$3,Estrutura_P01[#Headers],0))=0,"",INDEX(Estrutura_P01[#All],MATCH($C10,Estrutura_P01[[#All],[txtMAKT-MAKTX]],0),MATCH(CL$3,Estrutura_P01[#Headers],0))),"")</f>
        <v/>
      </c>
      <c r="CM10" s="43" t="str">
        <f>IFERROR(IF(INDEX(Estrutura_P01[#All],MATCH($C10,Estrutura_P01[[#All],[txtMAKT-MAKTX]],0),MATCH(CM$3,Estrutura_P01[#Headers],0))=0,"",INDEX(Estrutura_P01[#All],MATCH($C10,Estrutura_P01[[#All],[txtMAKT-MAKTX]],0),MATCH(CM$3,Estrutura_P01[#Headers],0))),"")</f>
        <v/>
      </c>
      <c r="CN10" s="43" t="str">
        <f>IFERROR(IF(INDEX(Estrutura_P01[#All],MATCH($C10,Estrutura_P01[[#All],[txtMAKT-MAKTX]],0),MATCH(CN$3,Estrutura_P01[#Headers],0))=0,"",INDEX(Estrutura_P01[#All],MATCH($C10,Estrutura_P01[[#All],[txtMAKT-MAKTX]],0),MATCH(CN$3,Estrutura_P01[#Headers],0))),"")</f>
        <v/>
      </c>
      <c r="CO10" s="43" t="str">
        <f>IFERROR(IF(INDEX(Estrutura_P01[#All],MATCH($C10,Estrutura_P01[[#All],[txtMAKT-MAKTX]],0),MATCH(CO$3,Estrutura_P01[#Headers],0))=0,"",INDEX(Estrutura_P01[#All],MATCH($C10,Estrutura_P01[[#All],[txtMAKT-MAKTX]],0),MATCH(CO$3,Estrutura_P01[#Headers],0))),"")</f>
        <v/>
      </c>
      <c r="CP10" s="43" t="str">
        <f>IFERROR(IF(INDEX(Estrutura_P01[#All],MATCH($C10,Estrutura_P01[[#All],[txtMAKT-MAKTX]],0),MATCH(CP$3,Estrutura_P01[#Headers],0))=0,"",INDEX(Estrutura_P01[#All],MATCH($C10,Estrutura_P01[[#All],[txtMAKT-MAKTX]],0),MATCH(CP$3,Estrutura_P01[#Headers],0))),"")</f>
        <v/>
      </c>
      <c r="CQ10" s="43" t="str">
        <f>IFERROR(IF(INDEX(Estrutura_P01[#All],MATCH($C10,Estrutura_P01[[#All],[txtMAKT-MAKTX]],0),MATCH(CQ$3,Estrutura_P01[#Headers],0))=0,"",INDEX(Estrutura_P01[#All],MATCH($C10,Estrutura_P01[[#All],[txtMAKT-MAKTX]],0),MATCH(CQ$3,Estrutura_P01[#Headers],0))),"")</f>
        <v/>
      </c>
      <c r="CR10" s="43" t="str">
        <f>IFERROR(IF(INDEX(Estrutura_P01[#All],MATCH($C10,Estrutura_P01[[#All],[txtMAKT-MAKTX]],0),MATCH(CR$3,Estrutura_P01[#Headers],0))=0,"",INDEX(Estrutura_P01[#All],MATCH($C10,Estrutura_P01[[#All],[txtMAKT-MAKTX]],0),MATCH(CR$3,Estrutura_P01[#Headers],0))),"")</f>
        <v/>
      </c>
      <c r="CS10" s="43" t="str">
        <f>IFERROR(IF(INDEX(Estrutura_P01[#All],MATCH($C10,Estrutura_P01[[#All],[txtMAKT-MAKTX]],0),MATCH(CS$3,Estrutura_P01[#Headers],0))=0,"",INDEX(Estrutura_P01[#All],MATCH($C10,Estrutura_P01[[#All],[txtMAKT-MAKTX]],0),MATCH(CS$3,Estrutura_P01[#Headers],0))),"")</f>
        <v/>
      </c>
      <c r="CU10" s="43" t="str">
        <f t="shared" si="16"/>
        <v/>
      </c>
      <c r="CV10" s="55"/>
      <c r="CW10" s="43" t="str">
        <f t="shared" ca="1" si="17"/>
        <v/>
      </c>
      <c r="CX10" s="43" t="str">
        <f t="shared" si="18"/>
        <v/>
      </c>
      <c r="CZ10" s="44"/>
      <c r="DA10" s="44">
        <v>2</v>
      </c>
      <c r="DB10" s="44">
        <v>1</v>
      </c>
      <c r="DC10" s="44"/>
      <c r="DD10" s="90" t="str">
        <f t="shared" si="19"/>
        <v/>
      </c>
      <c r="DE10" s="43">
        <f t="shared" si="20"/>
        <v>0.01</v>
      </c>
      <c r="DF10" s="43" t="str">
        <f t="shared" si="21"/>
        <v>KG</v>
      </c>
      <c r="DG10" s="44">
        <v>1</v>
      </c>
      <c r="DH10" s="50" t="s">
        <v>223</v>
      </c>
      <c r="DI10" s="50" t="s">
        <v>902</v>
      </c>
      <c r="DJ10" s="43" t="str">
        <f>IFERROR(IF(INDEX(Estrutura_P01[#All],MATCH($C10,Estrutura_P01[[#All],[txtMAKT-MAKTX]],0),MATCH(DJ$3,Estrutura_P01[#Headers],0))=0,"",INDEX(Estrutura_P01[#All],MATCH($C10,Estrutura_P01[[#All],[txtMAKT-MAKTX]],0),MATCH(DJ$3,Estrutura_P01[#Headers],0))),"")</f>
        <v/>
      </c>
      <c r="DK10" s="44">
        <v>1000</v>
      </c>
      <c r="DL10" s="60">
        <v>0</v>
      </c>
      <c r="DM10" s="44"/>
      <c r="DN10" s="44">
        <v>1</v>
      </c>
      <c r="DO10" s="44">
        <v>0</v>
      </c>
      <c r="DP10" s="44" t="s">
        <v>862</v>
      </c>
      <c r="DQ10" s="45">
        <v>0</v>
      </c>
      <c r="DR10" s="44">
        <v>1000</v>
      </c>
      <c r="DS10" s="91" t="str">
        <f>IF(AQ10=68,1,IFERROR(VLOOKUP(CM10,'Listas de Dados'!BX:BY,2,0),""))</f>
        <v/>
      </c>
      <c r="DT10" s="90" t="str">
        <f t="shared" ca="1" si="22"/>
        <v/>
      </c>
      <c r="DU10" s="65"/>
    </row>
    <row r="11" spans="1:125" x14ac:dyDescent="0.2">
      <c r="A11" s="7" t="str">
        <f t="shared" si="0"/>
        <v>Execução 7</v>
      </c>
      <c r="B11" s="87"/>
      <c r="C11" s="42"/>
      <c r="D11" s="43" t="str">
        <f>IFERROR(IF(INDEX(Estrutura_P01[#All],MATCH($C11,Estrutura_P01[[#All],[txtMAKT-MAKTX]],0),MATCH(D$3,Estrutura_P01[#Headers],0))=0,"",INDEX(Estrutura_P01[#All],MATCH($C11,Estrutura_P01[[#All],[txtMAKT-MAKTX]],0),MATCH(D$3,Estrutura_P01[#Headers],0))),"")</f>
        <v/>
      </c>
      <c r="E11" s="44" t="s">
        <v>100</v>
      </c>
      <c r="F11" s="79" t="s">
        <v>4</v>
      </c>
      <c r="G11" s="79" t="s">
        <v>11</v>
      </c>
      <c r="H11" s="79" t="str">
        <f t="shared" si="1"/>
        <v>0581</v>
      </c>
      <c r="I11" s="79" t="s">
        <v>6</v>
      </c>
      <c r="J11" s="79"/>
      <c r="L11" s="45" t="s">
        <v>101</v>
      </c>
      <c r="M11" s="45" t="s">
        <v>102</v>
      </c>
      <c r="N11" s="45" t="s">
        <v>103</v>
      </c>
      <c r="O11" s="45"/>
      <c r="P11" s="45"/>
      <c r="Q11" s="45"/>
      <c r="R11" s="45"/>
      <c r="S11" s="45"/>
      <c r="T11" s="45" t="s">
        <v>109</v>
      </c>
      <c r="U11" s="45" t="s">
        <v>110</v>
      </c>
      <c r="V11" s="45" t="s">
        <v>111</v>
      </c>
      <c r="W11" s="45" t="s">
        <v>112</v>
      </c>
      <c r="X11" s="45" t="s">
        <v>113</v>
      </c>
      <c r="Y11" s="45" t="s">
        <v>114</v>
      </c>
      <c r="Z11" s="45" t="s">
        <v>115</v>
      </c>
      <c r="AA11" s="45"/>
      <c r="AB11" s="45" t="s">
        <v>118</v>
      </c>
      <c r="AC11" s="45" t="s">
        <v>119</v>
      </c>
      <c r="AD11" s="45"/>
      <c r="AE11" s="45"/>
      <c r="AF11" s="45" t="s">
        <v>122</v>
      </c>
      <c r="AG11" s="45" t="s">
        <v>123</v>
      </c>
      <c r="AH11" s="45" t="s">
        <v>124</v>
      </c>
      <c r="AI11" s="45" t="s">
        <v>125</v>
      </c>
      <c r="AJ11" s="45" t="s">
        <v>126</v>
      </c>
      <c r="AK11" s="45"/>
      <c r="AL11" s="45"/>
      <c r="AN11" s="44" t="s">
        <v>297</v>
      </c>
      <c r="AO11" s="43" t="str">
        <f>IFERROR(IF(INDEX(Estrutura_P01[#All],MATCH($C11,Estrutura_P01[[#All],[txtMAKT-MAKTX]],0),MATCH(AO$3,Estrutura_P01[#Headers],0))=0,"",INDEX(Estrutura_P01[#All],MATCH($C11,Estrutura_P01[[#All],[txtMAKT-MAKTX]],0),MATCH(AO$3,Estrutura_P01[#Headers],0))),"")</f>
        <v/>
      </c>
      <c r="AP11" s="45"/>
      <c r="AQ11" s="43" t="str">
        <f>IFERROR(IF(INDEX(Estrutura_P01[#All],MATCH($C11,Estrutura_P01[[#All],[txtMAKT-MAKTX]],0),MATCH(AQ$3,Estrutura_P01[#Headers],0))=0,"",INDEX(Estrutura_P01[#All],MATCH($C11,Estrutura_P01[[#All],[txtMAKT-MAKTX]],0),MATCH(AQ$3,Estrutura_P01[#Headers],0))),"")</f>
        <v/>
      </c>
      <c r="AR11" s="45"/>
      <c r="AS11" s="46" t="str">
        <f t="shared" ca="1" si="2"/>
        <v/>
      </c>
      <c r="AT11" s="47" t="s">
        <v>864</v>
      </c>
      <c r="AU11" s="44">
        <v>1</v>
      </c>
      <c r="AV11" s="43">
        <f t="shared" si="3"/>
        <v>1</v>
      </c>
      <c r="AW11" s="48" t="s">
        <v>297</v>
      </c>
      <c r="AX11" s="43" t="str">
        <f>IFERROR(IF(INDEX(Estrutura_P01[#All],MATCH($C11,Estrutura_P01[[#All],[txtMAKT-MAKTX]],0),MATCH(AX$3,Estrutura_P01[#Headers],0))=0,"",INDEX(Estrutura_P01[#All],MATCH($C11,Estrutura_P01[[#All],[txtMAKT-MAKTX]],0),MATCH(AX$3,Estrutura_P01[#Headers],0))),"")</f>
        <v/>
      </c>
      <c r="AY11" s="44"/>
      <c r="AZ11" s="99">
        <v>99</v>
      </c>
      <c r="BA11" s="95" t="str">
        <f t="shared" ca="1" si="4"/>
        <v>17.05.2022</v>
      </c>
      <c r="BB11" s="50"/>
      <c r="BC11" s="50">
        <v>1</v>
      </c>
      <c r="BD11" s="50" t="s">
        <v>192</v>
      </c>
      <c r="BE11" s="95" t="str">
        <f t="shared" si="5"/>
        <v>01</v>
      </c>
      <c r="BF11" s="95" t="str">
        <f t="shared" si="6"/>
        <v>NORM</v>
      </c>
      <c r="BG11" s="44">
        <v>1</v>
      </c>
      <c r="BH11" s="44">
        <v>1</v>
      </c>
      <c r="BI11" s="44">
        <v>1</v>
      </c>
      <c r="BJ11" s="95" t="str">
        <f t="shared" si="7"/>
        <v>ZM</v>
      </c>
      <c r="BK11" s="50" t="s">
        <v>195</v>
      </c>
      <c r="BL11" s="50" t="s">
        <v>195</v>
      </c>
      <c r="BM11" s="43" t="str">
        <f>IFERROR(IF(INDEX(Estrutura_P01[#All],MATCH($C11,Estrutura_P01[[#All],[txtMAKT-MAKTX]],0),MATCH(BM$3,Estrutura_P01[#Headers],0))=0,"",INDEX(Estrutura_P01[#All],MATCH($C11,Estrutura_P01[[#All],[txtMAKT-MAKTX]],0),MATCH(BM$3,Estrutura_P01[#Headers],0))),"")</f>
        <v/>
      </c>
      <c r="BN11" s="44"/>
      <c r="BO11" s="50">
        <v>0</v>
      </c>
      <c r="BP11" s="45" t="s">
        <v>374</v>
      </c>
      <c r="BQ11" s="43" t="str">
        <f>IFERROR(IF(INDEX(Estrutura_P01[#All],MATCH($C11,Estrutura_P01[[#All],[txtMAKT-MAKTX]],0),MATCH(BQ$3,Estrutura_P01[#Headers],0))=0,"",INDEX(Estrutura_P01[#All],MATCH($C11,Estrutura_P01[[#All],[txtMAKT-MAKTX]],0),MATCH(BQ$3,Estrutura_P01[#Headers],0))),"")</f>
        <v/>
      </c>
      <c r="BR11" s="43" t="str">
        <f t="shared" si="8"/>
        <v>581</v>
      </c>
      <c r="BS11" s="45" t="s">
        <v>40</v>
      </c>
      <c r="BT11" s="98">
        <v>25000</v>
      </c>
      <c r="BU11" s="43" t="str">
        <f>IFERROR(IF(INDEX(Estrutura_P01[#All],MATCH($C11,Estrutura_P01[[#All],[txtMAKT-MAKTX]],0),MATCH(BU$3,Estrutura_P01[#Headers],0))=0,"",INDEX(Estrutura_P01[#All],MATCH($C11,Estrutura_P01[[#All],[txtMAKT-MAKTX]],0),MATCH(BU$3,Estrutura_P01[#Headers],0))),"")</f>
        <v/>
      </c>
      <c r="BV11" s="45">
        <v>0</v>
      </c>
      <c r="BW11" s="45" t="s">
        <v>473</v>
      </c>
      <c r="BX11" s="45"/>
      <c r="BY11" s="44"/>
      <c r="BZ11" s="49" t="str">
        <f t="shared" si="9"/>
        <v>0011</v>
      </c>
      <c r="CA11" s="49" t="str">
        <f t="shared" si="10"/>
        <v>0011</v>
      </c>
      <c r="CB11" s="45">
        <v>75</v>
      </c>
      <c r="CC11" s="44">
        <v>1</v>
      </c>
      <c r="CD11" s="50" t="s">
        <v>490</v>
      </c>
      <c r="CE11" s="80">
        <v>2</v>
      </c>
      <c r="CF11" s="80">
        <v>7</v>
      </c>
      <c r="CG11" s="95" t="str">
        <f t="shared" si="11"/>
        <v>ZM</v>
      </c>
      <c r="CH11" s="95">
        <f t="shared" si="12"/>
        <v>2</v>
      </c>
      <c r="CI11" s="95">
        <f t="shared" si="13"/>
        <v>42</v>
      </c>
      <c r="CJ11" s="95">
        <f t="shared" si="14"/>
        <v>10</v>
      </c>
      <c r="CK11" s="43" t="str">
        <f t="shared" si="15"/>
        <v>K00_C_0581</v>
      </c>
      <c r="CL11" s="43" t="str">
        <f>IFERROR(IF(INDEX(Estrutura_P01[#All],MATCH($C11,Estrutura_P01[[#All],[txtMAKT-MAKTX]],0),MATCH(CL$3,Estrutura_P01[#Headers],0))=0,"",INDEX(Estrutura_P01[#All],MATCH($C11,Estrutura_P01[[#All],[txtMAKT-MAKTX]],0),MATCH(CL$3,Estrutura_P01[#Headers],0))),"")</f>
        <v/>
      </c>
      <c r="CM11" s="43" t="str">
        <f>IFERROR(IF(INDEX(Estrutura_P01[#All],MATCH($C11,Estrutura_P01[[#All],[txtMAKT-MAKTX]],0),MATCH(CM$3,Estrutura_P01[#Headers],0))=0,"",INDEX(Estrutura_P01[#All],MATCH($C11,Estrutura_P01[[#All],[txtMAKT-MAKTX]],0),MATCH(CM$3,Estrutura_P01[#Headers],0))),"")</f>
        <v/>
      </c>
      <c r="CN11" s="43" t="str">
        <f>IFERROR(IF(INDEX(Estrutura_P01[#All],MATCH($C11,Estrutura_P01[[#All],[txtMAKT-MAKTX]],0),MATCH(CN$3,Estrutura_P01[#Headers],0))=0,"",INDEX(Estrutura_P01[#All],MATCH($C11,Estrutura_P01[[#All],[txtMAKT-MAKTX]],0),MATCH(CN$3,Estrutura_P01[#Headers],0))),"")</f>
        <v/>
      </c>
      <c r="CO11" s="43" t="str">
        <f>IFERROR(IF(INDEX(Estrutura_P01[#All],MATCH($C11,Estrutura_P01[[#All],[txtMAKT-MAKTX]],0),MATCH(CO$3,Estrutura_P01[#Headers],0))=0,"",INDEX(Estrutura_P01[#All],MATCH($C11,Estrutura_P01[[#All],[txtMAKT-MAKTX]],0),MATCH(CO$3,Estrutura_P01[#Headers],0))),"")</f>
        <v/>
      </c>
      <c r="CP11" s="43" t="str">
        <f>IFERROR(IF(INDEX(Estrutura_P01[#All],MATCH($C11,Estrutura_P01[[#All],[txtMAKT-MAKTX]],0),MATCH(CP$3,Estrutura_P01[#Headers],0))=0,"",INDEX(Estrutura_P01[#All],MATCH($C11,Estrutura_P01[[#All],[txtMAKT-MAKTX]],0),MATCH(CP$3,Estrutura_P01[#Headers],0))),"")</f>
        <v/>
      </c>
      <c r="CQ11" s="43" t="str">
        <f>IFERROR(IF(INDEX(Estrutura_P01[#All],MATCH($C11,Estrutura_P01[[#All],[txtMAKT-MAKTX]],0),MATCH(CQ$3,Estrutura_P01[#Headers],0))=0,"",INDEX(Estrutura_P01[#All],MATCH($C11,Estrutura_P01[[#All],[txtMAKT-MAKTX]],0),MATCH(CQ$3,Estrutura_P01[#Headers],0))),"")</f>
        <v/>
      </c>
      <c r="CR11" s="43" t="str">
        <f>IFERROR(IF(INDEX(Estrutura_P01[#All],MATCH($C11,Estrutura_P01[[#All],[txtMAKT-MAKTX]],0),MATCH(CR$3,Estrutura_P01[#Headers],0))=0,"",INDEX(Estrutura_P01[#All],MATCH($C11,Estrutura_P01[[#All],[txtMAKT-MAKTX]],0),MATCH(CR$3,Estrutura_P01[#Headers],0))),"")</f>
        <v/>
      </c>
      <c r="CS11" s="43" t="str">
        <f>IFERROR(IF(INDEX(Estrutura_P01[#All],MATCH($C11,Estrutura_P01[[#All],[txtMAKT-MAKTX]],0),MATCH(CS$3,Estrutura_P01[#Headers],0))=0,"",INDEX(Estrutura_P01[#All],MATCH($C11,Estrutura_P01[[#All],[txtMAKT-MAKTX]],0),MATCH(CS$3,Estrutura_P01[#Headers],0))),"")</f>
        <v/>
      </c>
      <c r="CU11" s="43" t="str">
        <f t="shared" si="16"/>
        <v/>
      </c>
      <c r="CV11" s="55"/>
      <c r="CW11" s="43" t="str">
        <f t="shared" ca="1" si="17"/>
        <v/>
      </c>
      <c r="CX11" s="43" t="str">
        <f t="shared" si="18"/>
        <v/>
      </c>
      <c r="CZ11" s="44"/>
      <c r="DA11" s="44">
        <v>2</v>
      </c>
      <c r="DB11" s="44">
        <v>1</v>
      </c>
      <c r="DC11" s="44"/>
      <c r="DD11" s="90" t="str">
        <f t="shared" si="19"/>
        <v/>
      </c>
      <c r="DE11" s="43">
        <f t="shared" si="20"/>
        <v>0.01</v>
      </c>
      <c r="DF11" s="43" t="str">
        <f t="shared" si="21"/>
        <v>KG</v>
      </c>
      <c r="DG11" s="44">
        <v>1</v>
      </c>
      <c r="DH11" s="50" t="s">
        <v>223</v>
      </c>
      <c r="DI11" s="50" t="s">
        <v>902</v>
      </c>
      <c r="DJ11" s="43" t="str">
        <f>IFERROR(IF(INDEX(Estrutura_P01[#All],MATCH($C11,Estrutura_P01[[#All],[txtMAKT-MAKTX]],0),MATCH(DJ$3,Estrutura_P01[#Headers],0))=0,"",INDEX(Estrutura_P01[#All],MATCH($C11,Estrutura_P01[[#All],[txtMAKT-MAKTX]],0),MATCH(DJ$3,Estrutura_P01[#Headers],0))),"")</f>
        <v/>
      </c>
      <c r="DK11" s="44">
        <v>1000</v>
      </c>
      <c r="DL11" s="60">
        <v>0</v>
      </c>
      <c r="DM11" s="44"/>
      <c r="DN11" s="44">
        <v>1</v>
      </c>
      <c r="DO11" s="44">
        <v>0</v>
      </c>
      <c r="DP11" s="44" t="s">
        <v>862</v>
      </c>
      <c r="DQ11" s="45">
        <v>0</v>
      </c>
      <c r="DR11" s="44">
        <v>1000</v>
      </c>
      <c r="DS11" s="91" t="str">
        <f>IF(AQ11=68,1,IFERROR(VLOOKUP(CM11,'Listas de Dados'!BX:BY,2,0),""))</f>
        <v/>
      </c>
      <c r="DT11" s="90" t="str">
        <f t="shared" ca="1" si="22"/>
        <v/>
      </c>
      <c r="DU11" s="65"/>
    </row>
    <row r="12" spans="1:125" x14ac:dyDescent="0.2">
      <c r="A12" s="7" t="str">
        <f t="shared" si="0"/>
        <v>Execução 8</v>
      </c>
      <c r="B12" s="87"/>
      <c r="C12" s="42"/>
      <c r="D12" s="43" t="str">
        <f>IFERROR(IF(INDEX(Estrutura_P01[#All],MATCH($C12,Estrutura_P01[[#All],[txtMAKT-MAKTX]],0),MATCH(D$3,Estrutura_P01[#Headers],0))=0,"",INDEX(Estrutura_P01[#All],MATCH($C12,Estrutura_P01[[#All],[txtMAKT-MAKTX]],0),MATCH(D$3,Estrutura_P01[#Headers],0))),"")</f>
        <v/>
      </c>
      <c r="E12" s="44" t="s">
        <v>100</v>
      </c>
      <c r="F12" s="79" t="s">
        <v>4</v>
      </c>
      <c r="G12" s="79" t="s">
        <v>11</v>
      </c>
      <c r="H12" s="79" t="str">
        <f t="shared" si="1"/>
        <v>0581</v>
      </c>
      <c r="I12" s="79" t="s">
        <v>6</v>
      </c>
      <c r="J12" s="79"/>
      <c r="L12" s="45" t="s">
        <v>101</v>
      </c>
      <c r="M12" s="45" t="s">
        <v>102</v>
      </c>
      <c r="N12" s="45" t="s">
        <v>103</v>
      </c>
      <c r="O12" s="45"/>
      <c r="P12" s="45"/>
      <c r="Q12" s="45"/>
      <c r="R12" s="45"/>
      <c r="S12" s="45"/>
      <c r="T12" s="45" t="s">
        <v>109</v>
      </c>
      <c r="U12" s="45" t="s">
        <v>110</v>
      </c>
      <c r="V12" s="45" t="s">
        <v>111</v>
      </c>
      <c r="W12" s="45" t="s">
        <v>112</v>
      </c>
      <c r="X12" s="45" t="s">
        <v>113</v>
      </c>
      <c r="Y12" s="45" t="s">
        <v>114</v>
      </c>
      <c r="Z12" s="45" t="s">
        <v>115</v>
      </c>
      <c r="AA12" s="45"/>
      <c r="AB12" s="45" t="s">
        <v>118</v>
      </c>
      <c r="AC12" s="45" t="s">
        <v>119</v>
      </c>
      <c r="AD12" s="45"/>
      <c r="AE12" s="45"/>
      <c r="AF12" s="45" t="s">
        <v>122</v>
      </c>
      <c r="AG12" s="45" t="s">
        <v>123</v>
      </c>
      <c r="AH12" s="45" t="s">
        <v>124</v>
      </c>
      <c r="AI12" s="45" t="s">
        <v>125</v>
      </c>
      <c r="AJ12" s="45" t="s">
        <v>126</v>
      </c>
      <c r="AK12" s="45"/>
      <c r="AL12" s="45"/>
      <c r="AN12" s="44" t="s">
        <v>297</v>
      </c>
      <c r="AO12" s="43" t="str">
        <f>IFERROR(IF(INDEX(Estrutura_P01[#All],MATCH($C12,Estrutura_P01[[#All],[txtMAKT-MAKTX]],0),MATCH(AO$3,Estrutura_P01[#Headers],0))=0,"",INDEX(Estrutura_P01[#All],MATCH($C12,Estrutura_P01[[#All],[txtMAKT-MAKTX]],0),MATCH(AO$3,Estrutura_P01[#Headers],0))),"")</f>
        <v/>
      </c>
      <c r="AP12" s="45"/>
      <c r="AQ12" s="43" t="str">
        <f>IFERROR(IF(INDEX(Estrutura_P01[#All],MATCH($C12,Estrutura_P01[[#All],[txtMAKT-MAKTX]],0),MATCH(AQ$3,Estrutura_P01[#Headers],0))=0,"",INDEX(Estrutura_P01[#All],MATCH($C12,Estrutura_P01[[#All],[txtMAKT-MAKTX]],0),MATCH(AQ$3,Estrutura_P01[#Headers],0))),"")</f>
        <v/>
      </c>
      <c r="AR12" s="45"/>
      <c r="AS12" s="46" t="str">
        <f t="shared" ca="1" si="2"/>
        <v/>
      </c>
      <c r="AT12" s="47" t="s">
        <v>864</v>
      </c>
      <c r="AU12" s="44">
        <v>1</v>
      </c>
      <c r="AV12" s="43">
        <f t="shared" si="3"/>
        <v>1</v>
      </c>
      <c r="AW12" s="48" t="s">
        <v>297</v>
      </c>
      <c r="AX12" s="43" t="str">
        <f>IFERROR(IF(INDEX(Estrutura_P01[#All],MATCH($C12,Estrutura_P01[[#All],[txtMAKT-MAKTX]],0),MATCH(AX$3,Estrutura_P01[#Headers],0))=0,"",INDEX(Estrutura_P01[#All],MATCH($C12,Estrutura_P01[[#All],[txtMAKT-MAKTX]],0),MATCH(AX$3,Estrutura_P01[#Headers],0))),"")</f>
        <v/>
      </c>
      <c r="AY12" s="44"/>
      <c r="AZ12" s="99">
        <v>99</v>
      </c>
      <c r="BA12" s="95" t="str">
        <f t="shared" ca="1" si="4"/>
        <v>17.05.2022</v>
      </c>
      <c r="BB12" s="50"/>
      <c r="BC12" s="50">
        <v>1</v>
      </c>
      <c r="BD12" s="50" t="s">
        <v>192</v>
      </c>
      <c r="BE12" s="95" t="str">
        <f t="shared" si="5"/>
        <v>01</v>
      </c>
      <c r="BF12" s="95" t="str">
        <f t="shared" si="6"/>
        <v>NORM</v>
      </c>
      <c r="BG12" s="44">
        <v>1</v>
      </c>
      <c r="BH12" s="44">
        <v>1</v>
      </c>
      <c r="BI12" s="44">
        <v>1</v>
      </c>
      <c r="BJ12" s="95" t="str">
        <f t="shared" si="7"/>
        <v>ZM</v>
      </c>
      <c r="BK12" s="50" t="s">
        <v>195</v>
      </c>
      <c r="BL12" s="50" t="s">
        <v>195</v>
      </c>
      <c r="BM12" s="43" t="str">
        <f>IFERROR(IF(INDEX(Estrutura_P01[#All],MATCH($C12,Estrutura_P01[[#All],[txtMAKT-MAKTX]],0),MATCH(BM$3,Estrutura_P01[#Headers],0))=0,"",INDEX(Estrutura_P01[#All],MATCH($C12,Estrutura_P01[[#All],[txtMAKT-MAKTX]],0),MATCH(BM$3,Estrutura_P01[#Headers],0))),"")</f>
        <v/>
      </c>
      <c r="BN12" s="44"/>
      <c r="BO12" s="50">
        <v>0</v>
      </c>
      <c r="BP12" s="45" t="s">
        <v>374</v>
      </c>
      <c r="BQ12" s="43" t="str">
        <f>IFERROR(IF(INDEX(Estrutura_P01[#All],MATCH($C12,Estrutura_P01[[#All],[txtMAKT-MAKTX]],0),MATCH(BQ$3,Estrutura_P01[#Headers],0))=0,"",INDEX(Estrutura_P01[#All],MATCH($C12,Estrutura_P01[[#All],[txtMAKT-MAKTX]],0),MATCH(BQ$3,Estrutura_P01[#Headers],0))),"")</f>
        <v/>
      </c>
      <c r="BR12" s="43" t="str">
        <f t="shared" si="8"/>
        <v>581</v>
      </c>
      <c r="BS12" s="45" t="s">
        <v>40</v>
      </c>
      <c r="BT12" s="98">
        <v>25000</v>
      </c>
      <c r="BU12" s="43" t="str">
        <f>IFERROR(IF(INDEX(Estrutura_P01[#All],MATCH($C12,Estrutura_P01[[#All],[txtMAKT-MAKTX]],0),MATCH(BU$3,Estrutura_P01[#Headers],0))=0,"",INDEX(Estrutura_P01[#All],MATCH($C12,Estrutura_P01[[#All],[txtMAKT-MAKTX]],0),MATCH(BU$3,Estrutura_P01[#Headers],0))),"")</f>
        <v/>
      </c>
      <c r="BV12" s="45">
        <v>0</v>
      </c>
      <c r="BW12" s="45" t="s">
        <v>473</v>
      </c>
      <c r="BX12" s="45"/>
      <c r="BY12" s="44"/>
      <c r="BZ12" s="49" t="str">
        <f t="shared" si="9"/>
        <v>0011</v>
      </c>
      <c r="CA12" s="49" t="str">
        <f t="shared" si="10"/>
        <v>0011</v>
      </c>
      <c r="CB12" s="45">
        <v>75</v>
      </c>
      <c r="CC12" s="44">
        <v>1</v>
      </c>
      <c r="CD12" s="50" t="s">
        <v>490</v>
      </c>
      <c r="CE12" s="80">
        <v>2</v>
      </c>
      <c r="CF12" s="80">
        <v>7</v>
      </c>
      <c r="CG12" s="95" t="str">
        <f t="shared" si="11"/>
        <v>ZM</v>
      </c>
      <c r="CH12" s="95">
        <f t="shared" si="12"/>
        <v>2</v>
      </c>
      <c r="CI12" s="95">
        <f t="shared" si="13"/>
        <v>42</v>
      </c>
      <c r="CJ12" s="95">
        <f t="shared" si="14"/>
        <v>10</v>
      </c>
      <c r="CK12" s="43" t="str">
        <f t="shared" si="15"/>
        <v>K00_C_0581</v>
      </c>
      <c r="CL12" s="43" t="str">
        <f>IFERROR(IF(INDEX(Estrutura_P01[#All],MATCH($C12,Estrutura_P01[[#All],[txtMAKT-MAKTX]],0),MATCH(CL$3,Estrutura_P01[#Headers],0))=0,"",INDEX(Estrutura_P01[#All],MATCH($C12,Estrutura_P01[[#All],[txtMAKT-MAKTX]],0),MATCH(CL$3,Estrutura_P01[#Headers],0))),"")</f>
        <v/>
      </c>
      <c r="CM12" s="43" t="str">
        <f>IFERROR(IF(INDEX(Estrutura_P01[#All],MATCH($C12,Estrutura_P01[[#All],[txtMAKT-MAKTX]],0),MATCH(CM$3,Estrutura_P01[#Headers],0))=0,"",INDEX(Estrutura_P01[#All],MATCH($C12,Estrutura_P01[[#All],[txtMAKT-MAKTX]],0),MATCH(CM$3,Estrutura_P01[#Headers],0))),"")</f>
        <v/>
      </c>
      <c r="CN12" s="43" t="str">
        <f>IFERROR(IF(INDEX(Estrutura_P01[#All],MATCH($C12,Estrutura_P01[[#All],[txtMAKT-MAKTX]],0),MATCH(CN$3,Estrutura_P01[#Headers],0))=0,"",INDEX(Estrutura_P01[#All],MATCH($C12,Estrutura_P01[[#All],[txtMAKT-MAKTX]],0),MATCH(CN$3,Estrutura_P01[#Headers],0))),"")</f>
        <v/>
      </c>
      <c r="CO12" s="43" t="str">
        <f>IFERROR(IF(INDEX(Estrutura_P01[#All],MATCH($C12,Estrutura_P01[[#All],[txtMAKT-MAKTX]],0),MATCH(CO$3,Estrutura_P01[#Headers],0))=0,"",INDEX(Estrutura_P01[#All],MATCH($C12,Estrutura_P01[[#All],[txtMAKT-MAKTX]],0),MATCH(CO$3,Estrutura_P01[#Headers],0))),"")</f>
        <v/>
      </c>
      <c r="CP12" s="43" t="str">
        <f>IFERROR(IF(INDEX(Estrutura_P01[#All],MATCH($C12,Estrutura_P01[[#All],[txtMAKT-MAKTX]],0),MATCH(CP$3,Estrutura_P01[#Headers],0))=0,"",INDEX(Estrutura_P01[#All],MATCH($C12,Estrutura_P01[[#All],[txtMAKT-MAKTX]],0),MATCH(CP$3,Estrutura_P01[#Headers],0))),"")</f>
        <v/>
      </c>
      <c r="CQ12" s="43" t="str">
        <f>IFERROR(IF(INDEX(Estrutura_P01[#All],MATCH($C12,Estrutura_P01[[#All],[txtMAKT-MAKTX]],0),MATCH(CQ$3,Estrutura_P01[#Headers],0))=0,"",INDEX(Estrutura_P01[#All],MATCH($C12,Estrutura_P01[[#All],[txtMAKT-MAKTX]],0),MATCH(CQ$3,Estrutura_P01[#Headers],0))),"")</f>
        <v/>
      </c>
      <c r="CR12" s="43" t="str">
        <f>IFERROR(IF(INDEX(Estrutura_P01[#All],MATCH($C12,Estrutura_P01[[#All],[txtMAKT-MAKTX]],0),MATCH(CR$3,Estrutura_P01[#Headers],0))=0,"",INDEX(Estrutura_P01[#All],MATCH($C12,Estrutura_P01[[#All],[txtMAKT-MAKTX]],0),MATCH(CR$3,Estrutura_P01[#Headers],0))),"")</f>
        <v/>
      </c>
      <c r="CS12" s="43" t="str">
        <f>IFERROR(IF(INDEX(Estrutura_P01[#All],MATCH($C12,Estrutura_P01[[#All],[txtMAKT-MAKTX]],0),MATCH(CS$3,Estrutura_P01[#Headers],0))=0,"",INDEX(Estrutura_P01[#All],MATCH($C12,Estrutura_P01[[#All],[txtMAKT-MAKTX]],0),MATCH(CS$3,Estrutura_P01[#Headers],0))),"")</f>
        <v/>
      </c>
      <c r="CU12" s="43" t="str">
        <f t="shared" si="16"/>
        <v/>
      </c>
      <c r="CV12" s="55"/>
      <c r="CW12" s="43" t="str">
        <f t="shared" ca="1" si="17"/>
        <v/>
      </c>
      <c r="CX12" s="43" t="str">
        <f t="shared" si="18"/>
        <v/>
      </c>
      <c r="CZ12" s="44"/>
      <c r="DA12" s="44">
        <v>2</v>
      </c>
      <c r="DB12" s="44">
        <v>1</v>
      </c>
      <c r="DC12" s="44"/>
      <c r="DD12" s="90" t="str">
        <f t="shared" si="19"/>
        <v/>
      </c>
      <c r="DE12" s="43">
        <f t="shared" si="20"/>
        <v>0.01</v>
      </c>
      <c r="DF12" s="43" t="str">
        <f t="shared" si="21"/>
        <v>KG</v>
      </c>
      <c r="DG12" s="44">
        <v>1</v>
      </c>
      <c r="DH12" s="50" t="s">
        <v>223</v>
      </c>
      <c r="DI12" s="50" t="s">
        <v>902</v>
      </c>
      <c r="DJ12" s="43" t="str">
        <f>IFERROR(IF(INDEX(Estrutura_P01[#All],MATCH($C12,Estrutura_P01[[#All],[txtMAKT-MAKTX]],0),MATCH(DJ$3,Estrutura_P01[#Headers],0))=0,"",INDEX(Estrutura_P01[#All],MATCH($C12,Estrutura_P01[[#All],[txtMAKT-MAKTX]],0),MATCH(DJ$3,Estrutura_P01[#Headers],0))),"")</f>
        <v/>
      </c>
      <c r="DK12" s="44">
        <v>1000</v>
      </c>
      <c r="DL12" s="60">
        <v>0</v>
      </c>
      <c r="DM12" s="44"/>
      <c r="DN12" s="44">
        <v>1</v>
      </c>
      <c r="DO12" s="44">
        <v>0</v>
      </c>
      <c r="DP12" s="44" t="s">
        <v>862</v>
      </c>
      <c r="DQ12" s="45">
        <v>0</v>
      </c>
      <c r="DR12" s="44">
        <v>1000</v>
      </c>
      <c r="DS12" s="91" t="str">
        <f>IF(AQ12=68,1,IFERROR(VLOOKUP(CM12,'Listas de Dados'!BX:BY,2,0),""))</f>
        <v/>
      </c>
      <c r="DT12" s="90" t="str">
        <f t="shared" ca="1" si="22"/>
        <v/>
      </c>
      <c r="DU12" s="65"/>
    </row>
    <row r="13" spans="1:125" x14ac:dyDescent="0.2">
      <c r="A13" s="7" t="str">
        <f t="shared" si="0"/>
        <v>Execução 9</v>
      </c>
      <c r="B13" s="87"/>
      <c r="C13" s="42"/>
      <c r="D13" s="43" t="str">
        <f>IFERROR(IF(INDEX(Estrutura_P01[#All],MATCH($C13,Estrutura_P01[[#All],[txtMAKT-MAKTX]],0),MATCH(D$3,Estrutura_P01[#Headers],0))=0,"",INDEX(Estrutura_P01[#All],MATCH($C13,Estrutura_P01[[#All],[txtMAKT-MAKTX]],0),MATCH(D$3,Estrutura_P01[#Headers],0))),"")</f>
        <v/>
      </c>
      <c r="E13" s="44" t="s">
        <v>100</v>
      </c>
      <c r="F13" s="79" t="s">
        <v>4</v>
      </c>
      <c r="G13" s="79" t="s">
        <v>11</v>
      </c>
      <c r="H13" s="79" t="str">
        <f t="shared" si="1"/>
        <v>0581</v>
      </c>
      <c r="I13" s="79" t="s">
        <v>6</v>
      </c>
      <c r="J13" s="79"/>
      <c r="L13" s="45" t="s">
        <v>101</v>
      </c>
      <c r="M13" s="45" t="s">
        <v>102</v>
      </c>
      <c r="N13" s="45" t="s">
        <v>103</v>
      </c>
      <c r="O13" s="45"/>
      <c r="P13" s="45"/>
      <c r="Q13" s="45"/>
      <c r="R13" s="45"/>
      <c r="S13" s="45"/>
      <c r="T13" s="45" t="s">
        <v>109</v>
      </c>
      <c r="U13" s="45" t="s">
        <v>110</v>
      </c>
      <c r="V13" s="45" t="s">
        <v>111</v>
      </c>
      <c r="W13" s="45" t="s">
        <v>112</v>
      </c>
      <c r="X13" s="45" t="s">
        <v>113</v>
      </c>
      <c r="Y13" s="45" t="s">
        <v>114</v>
      </c>
      <c r="Z13" s="45" t="s">
        <v>115</v>
      </c>
      <c r="AA13" s="45"/>
      <c r="AB13" s="45" t="s">
        <v>118</v>
      </c>
      <c r="AC13" s="45" t="s">
        <v>119</v>
      </c>
      <c r="AD13" s="45"/>
      <c r="AE13" s="45"/>
      <c r="AF13" s="45" t="s">
        <v>122</v>
      </c>
      <c r="AG13" s="45" t="s">
        <v>123</v>
      </c>
      <c r="AH13" s="45" t="s">
        <v>124</v>
      </c>
      <c r="AI13" s="45" t="s">
        <v>125</v>
      </c>
      <c r="AJ13" s="45" t="s">
        <v>126</v>
      </c>
      <c r="AK13" s="45"/>
      <c r="AL13" s="45"/>
      <c r="AN13" s="44" t="s">
        <v>297</v>
      </c>
      <c r="AO13" s="43" t="str">
        <f>IFERROR(IF(INDEX(Estrutura_P01[#All],MATCH($C13,Estrutura_P01[[#All],[txtMAKT-MAKTX]],0),MATCH(AO$3,Estrutura_P01[#Headers],0))=0,"",INDEX(Estrutura_P01[#All],MATCH($C13,Estrutura_P01[[#All],[txtMAKT-MAKTX]],0),MATCH(AO$3,Estrutura_P01[#Headers],0))),"")</f>
        <v/>
      </c>
      <c r="AP13" s="45"/>
      <c r="AQ13" s="43" t="str">
        <f>IFERROR(IF(INDEX(Estrutura_P01[#All],MATCH($C13,Estrutura_P01[[#All],[txtMAKT-MAKTX]],0),MATCH(AQ$3,Estrutura_P01[#Headers],0))=0,"",INDEX(Estrutura_P01[#All],MATCH($C13,Estrutura_P01[[#All],[txtMAKT-MAKTX]],0),MATCH(AQ$3,Estrutura_P01[#Headers],0))),"")</f>
        <v/>
      </c>
      <c r="AR13" s="45"/>
      <c r="AS13" s="46" t="str">
        <f t="shared" ca="1" si="2"/>
        <v/>
      </c>
      <c r="AT13" s="47" t="s">
        <v>864</v>
      </c>
      <c r="AU13" s="44">
        <v>1</v>
      </c>
      <c r="AV13" s="43">
        <f t="shared" si="3"/>
        <v>1</v>
      </c>
      <c r="AW13" s="48" t="s">
        <v>297</v>
      </c>
      <c r="AX13" s="43" t="str">
        <f>IFERROR(IF(INDEX(Estrutura_P01[#All],MATCH($C13,Estrutura_P01[[#All],[txtMAKT-MAKTX]],0),MATCH(AX$3,Estrutura_P01[#Headers],0))=0,"",INDEX(Estrutura_P01[#All],MATCH($C13,Estrutura_P01[[#All],[txtMAKT-MAKTX]],0),MATCH(AX$3,Estrutura_P01[#Headers],0))),"")</f>
        <v/>
      </c>
      <c r="AY13" s="44"/>
      <c r="AZ13" s="99">
        <v>99</v>
      </c>
      <c r="BA13" s="95" t="str">
        <f t="shared" ca="1" si="4"/>
        <v>17.05.2022</v>
      </c>
      <c r="BB13" s="50"/>
      <c r="BC13" s="50">
        <v>1</v>
      </c>
      <c r="BD13" s="50" t="s">
        <v>192</v>
      </c>
      <c r="BE13" s="95" t="str">
        <f t="shared" si="5"/>
        <v>01</v>
      </c>
      <c r="BF13" s="95" t="str">
        <f t="shared" si="6"/>
        <v>NORM</v>
      </c>
      <c r="BG13" s="44">
        <v>1</v>
      </c>
      <c r="BH13" s="44">
        <v>1</v>
      </c>
      <c r="BI13" s="44">
        <v>1</v>
      </c>
      <c r="BJ13" s="95" t="str">
        <f t="shared" si="7"/>
        <v>ZM</v>
      </c>
      <c r="BK13" s="50" t="s">
        <v>195</v>
      </c>
      <c r="BL13" s="50" t="s">
        <v>195</v>
      </c>
      <c r="BM13" s="43" t="str">
        <f>IFERROR(IF(INDEX(Estrutura_P01[#All],MATCH($C13,Estrutura_P01[[#All],[txtMAKT-MAKTX]],0),MATCH(BM$3,Estrutura_P01[#Headers],0))=0,"",INDEX(Estrutura_P01[#All],MATCH($C13,Estrutura_P01[[#All],[txtMAKT-MAKTX]],0),MATCH(BM$3,Estrutura_P01[#Headers],0))),"")</f>
        <v/>
      </c>
      <c r="BN13" s="44"/>
      <c r="BO13" s="50">
        <v>0</v>
      </c>
      <c r="BP13" s="45" t="s">
        <v>374</v>
      </c>
      <c r="BQ13" s="43" t="str">
        <f>IFERROR(IF(INDEX(Estrutura_P01[#All],MATCH($C13,Estrutura_P01[[#All],[txtMAKT-MAKTX]],0),MATCH(BQ$3,Estrutura_P01[#Headers],0))=0,"",INDEX(Estrutura_P01[#All],MATCH($C13,Estrutura_P01[[#All],[txtMAKT-MAKTX]],0),MATCH(BQ$3,Estrutura_P01[#Headers],0))),"")</f>
        <v/>
      </c>
      <c r="BR13" s="43" t="str">
        <f t="shared" si="8"/>
        <v>581</v>
      </c>
      <c r="BS13" s="45" t="s">
        <v>40</v>
      </c>
      <c r="BT13" s="98">
        <v>25000</v>
      </c>
      <c r="BU13" s="43" t="str">
        <f>IFERROR(IF(INDEX(Estrutura_P01[#All],MATCH($C13,Estrutura_P01[[#All],[txtMAKT-MAKTX]],0),MATCH(BU$3,Estrutura_P01[#Headers],0))=0,"",INDEX(Estrutura_P01[#All],MATCH($C13,Estrutura_P01[[#All],[txtMAKT-MAKTX]],0),MATCH(BU$3,Estrutura_P01[#Headers],0))),"")</f>
        <v/>
      </c>
      <c r="BV13" s="45">
        <v>0</v>
      </c>
      <c r="BW13" s="45" t="s">
        <v>473</v>
      </c>
      <c r="BX13" s="45"/>
      <c r="BY13" s="44"/>
      <c r="BZ13" s="49" t="str">
        <f t="shared" si="9"/>
        <v>0011</v>
      </c>
      <c r="CA13" s="49" t="str">
        <f t="shared" si="10"/>
        <v>0011</v>
      </c>
      <c r="CB13" s="45">
        <v>75</v>
      </c>
      <c r="CC13" s="44">
        <v>1</v>
      </c>
      <c r="CD13" s="50" t="s">
        <v>490</v>
      </c>
      <c r="CE13" s="80">
        <v>2</v>
      </c>
      <c r="CF13" s="80">
        <v>7</v>
      </c>
      <c r="CG13" s="95" t="str">
        <f t="shared" si="11"/>
        <v>ZM</v>
      </c>
      <c r="CH13" s="95">
        <f t="shared" si="12"/>
        <v>2</v>
      </c>
      <c r="CI13" s="95">
        <f t="shared" si="13"/>
        <v>42</v>
      </c>
      <c r="CJ13" s="95">
        <f t="shared" si="14"/>
        <v>10</v>
      </c>
      <c r="CK13" s="43" t="str">
        <f t="shared" si="15"/>
        <v>K00_C_0581</v>
      </c>
      <c r="CL13" s="43" t="str">
        <f>IFERROR(IF(INDEX(Estrutura_P01[#All],MATCH($C13,Estrutura_P01[[#All],[txtMAKT-MAKTX]],0),MATCH(CL$3,Estrutura_P01[#Headers],0))=0,"",INDEX(Estrutura_P01[#All],MATCH($C13,Estrutura_P01[[#All],[txtMAKT-MAKTX]],0),MATCH(CL$3,Estrutura_P01[#Headers],0))),"")</f>
        <v/>
      </c>
      <c r="CM13" s="43" t="str">
        <f>IFERROR(IF(INDEX(Estrutura_P01[#All],MATCH($C13,Estrutura_P01[[#All],[txtMAKT-MAKTX]],0),MATCH(CM$3,Estrutura_P01[#Headers],0))=0,"",INDEX(Estrutura_P01[#All],MATCH($C13,Estrutura_P01[[#All],[txtMAKT-MAKTX]],0),MATCH(CM$3,Estrutura_P01[#Headers],0))),"")</f>
        <v/>
      </c>
      <c r="CN13" s="43" t="str">
        <f>IFERROR(IF(INDEX(Estrutura_P01[#All],MATCH($C13,Estrutura_P01[[#All],[txtMAKT-MAKTX]],0),MATCH(CN$3,Estrutura_P01[#Headers],0))=0,"",INDEX(Estrutura_P01[#All],MATCH($C13,Estrutura_P01[[#All],[txtMAKT-MAKTX]],0),MATCH(CN$3,Estrutura_P01[#Headers],0))),"")</f>
        <v/>
      </c>
      <c r="CO13" s="43" t="str">
        <f>IFERROR(IF(INDEX(Estrutura_P01[#All],MATCH($C13,Estrutura_P01[[#All],[txtMAKT-MAKTX]],0),MATCH(CO$3,Estrutura_P01[#Headers],0))=0,"",INDEX(Estrutura_P01[#All],MATCH($C13,Estrutura_P01[[#All],[txtMAKT-MAKTX]],0),MATCH(CO$3,Estrutura_P01[#Headers],0))),"")</f>
        <v/>
      </c>
      <c r="CP13" s="43" t="str">
        <f>IFERROR(IF(INDEX(Estrutura_P01[#All],MATCH($C13,Estrutura_P01[[#All],[txtMAKT-MAKTX]],0),MATCH(CP$3,Estrutura_P01[#Headers],0))=0,"",INDEX(Estrutura_P01[#All],MATCH($C13,Estrutura_P01[[#All],[txtMAKT-MAKTX]],0),MATCH(CP$3,Estrutura_P01[#Headers],0))),"")</f>
        <v/>
      </c>
      <c r="CQ13" s="43" t="str">
        <f>IFERROR(IF(INDEX(Estrutura_P01[#All],MATCH($C13,Estrutura_P01[[#All],[txtMAKT-MAKTX]],0),MATCH(CQ$3,Estrutura_P01[#Headers],0))=0,"",INDEX(Estrutura_P01[#All],MATCH($C13,Estrutura_P01[[#All],[txtMAKT-MAKTX]],0),MATCH(CQ$3,Estrutura_P01[#Headers],0))),"")</f>
        <v/>
      </c>
      <c r="CR13" s="43" t="str">
        <f>IFERROR(IF(INDEX(Estrutura_P01[#All],MATCH($C13,Estrutura_P01[[#All],[txtMAKT-MAKTX]],0),MATCH(CR$3,Estrutura_P01[#Headers],0))=0,"",INDEX(Estrutura_P01[#All],MATCH($C13,Estrutura_P01[[#All],[txtMAKT-MAKTX]],0),MATCH(CR$3,Estrutura_P01[#Headers],0))),"")</f>
        <v/>
      </c>
      <c r="CS13" s="43" t="str">
        <f>IFERROR(IF(INDEX(Estrutura_P01[#All],MATCH($C13,Estrutura_P01[[#All],[txtMAKT-MAKTX]],0),MATCH(CS$3,Estrutura_P01[#Headers],0))=0,"",INDEX(Estrutura_P01[#All],MATCH($C13,Estrutura_P01[[#All],[txtMAKT-MAKTX]],0),MATCH(CS$3,Estrutura_P01[#Headers],0))),"")</f>
        <v/>
      </c>
      <c r="CU13" s="43" t="str">
        <f t="shared" si="16"/>
        <v/>
      </c>
      <c r="CV13" s="55"/>
      <c r="CW13" s="43" t="str">
        <f t="shared" ca="1" si="17"/>
        <v/>
      </c>
      <c r="CX13" s="43" t="str">
        <f t="shared" si="18"/>
        <v/>
      </c>
      <c r="CZ13" s="44"/>
      <c r="DA13" s="44">
        <v>2</v>
      </c>
      <c r="DB13" s="44">
        <v>1</v>
      </c>
      <c r="DC13" s="44"/>
      <c r="DD13" s="90" t="str">
        <f t="shared" si="19"/>
        <v/>
      </c>
      <c r="DE13" s="43">
        <f t="shared" si="20"/>
        <v>0.01</v>
      </c>
      <c r="DF13" s="43" t="str">
        <f t="shared" si="21"/>
        <v>KG</v>
      </c>
      <c r="DG13" s="44">
        <v>1</v>
      </c>
      <c r="DH13" s="50" t="s">
        <v>223</v>
      </c>
      <c r="DI13" s="50" t="s">
        <v>902</v>
      </c>
      <c r="DJ13" s="43" t="str">
        <f>IFERROR(IF(INDEX(Estrutura_P01[#All],MATCH($C13,Estrutura_P01[[#All],[txtMAKT-MAKTX]],0),MATCH(DJ$3,Estrutura_P01[#Headers],0))=0,"",INDEX(Estrutura_P01[#All],MATCH($C13,Estrutura_P01[[#All],[txtMAKT-MAKTX]],0),MATCH(DJ$3,Estrutura_P01[#Headers],0))),"")</f>
        <v/>
      </c>
      <c r="DK13" s="44">
        <v>1000</v>
      </c>
      <c r="DL13" s="60">
        <v>0</v>
      </c>
      <c r="DM13" s="44"/>
      <c r="DN13" s="44">
        <v>1</v>
      </c>
      <c r="DO13" s="44">
        <v>0</v>
      </c>
      <c r="DP13" s="44" t="s">
        <v>862</v>
      </c>
      <c r="DQ13" s="45">
        <v>0</v>
      </c>
      <c r="DR13" s="44">
        <v>1000</v>
      </c>
      <c r="DS13" s="91" t="str">
        <f>IF(AQ13=68,1,IFERROR(VLOOKUP(CM13,'Listas de Dados'!BX:BY,2,0),""))</f>
        <v/>
      </c>
      <c r="DT13" s="90" t="str">
        <f t="shared" ca="1" si="22"/>
        <v/>
      </c>
      <c r="DU13" s="65"/>
    </row>
    <row r="14" spans="1:125" x14ac:dyDescent="0.2">
      <c r="A14" s="7" t="str">
        <f t="shared" si="0"/>
        <v>Execução 10</v>
      </c>
      <c r="B14" s="87"/>
      <c r="C14" s="42"/>
      <c r="D14" s="43" t="str">
        <f>IFERROR(IF(INDEX(Estrutura_P01[#All],MATCH($C14,Estrutura_P01[[#All],[txtMAKT-MAKTX]],0),MATCH(D$3,Estrutura_P01[#Headers],0))=0,"",INDEX(Estrutura_P01[#All],MATCH($C14,Estrutura_P01[[#All],[txtMAKT-MAKTX]],0),MATCH(D$3,Estrutura_P01[#Headers],0))),"")</f>
        <v/>
      </c>
      <c r="E14" s="44" t="s">
        <v>100</v>
      </c>
      <c r="F14" s="79" t="s">
        <v>4</v>
      </c>
      <c r="G14" s="79" t="s">
        <v>11</v>
      </c>
      <c r="H14" s="79" t="str">
        <f t="shared" si="1"/>
        <v>0581</v>
      </c>
      <c r="I14" s="79" t="s">
        <v>6</v>
      </c>
      <c r="J14" s="79"/>
      <c r="L14" s="45" t="s">
        <v>101</v>
      </c>
      <c r="M14" s="45" t="s">
        <v>102</v>
      </c>
      <c r="N14" s="45" t="s">
        <v>103</v>
      </c>
      <c r="O14" s="45"/>
      <c r="P14" s="45"/>
      <c r="Q14" s="45"/>
      <c r="R14" s="45"/>
      <c r="S14" s="45"/>
      <c r="T14" s="45" t="s">
        <v>109</v>
      </c>
      <c r="U14" s="45" t="s">
        <v>110</v>
      </c>
      <c r="V14" s="45" t="s">
        <v>111</v>
      </c>
      <c r="W14" s="45" t="s">
        <v>112</v>
      </c>
      <c r="X14" s="45" t="s">
        <v>113</v>
      </c>
      <c r="Y14" s="45" t="s">
        <v>114</v>
      </c>
      <c r="Z14" s="45" t="s">
        <v>115</v>
      </c>
      <c r="AA14" s="45"/>
      <c r="AB14" s="45" t="s">
        <v>118</v>
      </c>
      <c r="AC14" s="45" t="s">
        <v>119</v>
      </c>
      <c r="AD14" s="45"/>
      <c r="AE14" s="45"/>
      <c r="AF14" s="45" t="s">
        <v>122</v>
      </c>
      <c r="AG14" s="45" t="s">
        <v>123</v>
      </c>
      <c r="AH14" s="45" t="s">
        <v>124</v>
      </c>
      <c r="AI14" s="45" t="s">
        <v>125</v>
      </c>
      <c r="AJ14" s="45" t="s">
        <v>126</v>
      </c>
      <c r="AK14" s="45"/>
      <c r="AL14" s="45"/>
      <c r="AN14" s="44" t="s">
        <v>297</v>
      </c>
      <c r="AO14" s="43" t="str">
        <f>IFERROR(IF(INDEX(Estrutura_P01[#All],MATCH($C14,Estrutura_P01[[#All],[txtMAKT-MAKTX]],0),MATCH(AO$3,Estrutura_P01[#Headers],0))=0,"",INDEX(Estrutura_P01[#All],MATCH($C14,Estrutura_P01[[#All],[txtMAKT-MAKTX]],0),MATCH(AO$3,Estrutura_P01[#Headers],0))),"")</f>
        <v/>
      </c>
      <c r="AP14" s="45"/>
      <c r="AQ14" s="43" t="str">
        <f>IFERROR(IF(INDEX(Estrutura_P01[#All],MATCH($C14,Estrutura_P01[[#All],[txtMAKT-MAKTX]],0),MATCH(AQ$3,Estrutura_P01[#Headers],0))=0,"",INDEX(Estrutura_P01[#All],MATCH($C14,Estrutura_P01[[#All],[txtMAKT-MAKTX]],0),MATCH(AQ$3,Estrutura_P01[#Headers],0))),"")</f>
        <v/>
      </c>
      <c r="AR14" s="45"/>
      <c r="AS14" s="46" t="str">
        <f t="shared" ca="1" si="2"/>
        <v/>
      </c>
      <c r="AT14" s="47" t="s">
        <v>864</v>
      </c>
      <c r="AU14" s="44">
        <v>1</v>
      </c>
      <c r="AV14" s="43">
        <f t="shared" si="3"/>
        <v>1</v>
      </c>
      <c r="AW14" s="48" t="s">
        <v>297</v>
      </c>
      <c r="AX14" s="43" t="str">
        <f>IFERROR(IF(INDEX(Estrutura_P01[#All],MATCH($C14,Estrutura_P01[[#All],[txtMAKT-MAKTX]],0),MATCH(AX$3,Estrutura_P01[#Headers],0))=0,"",INDEX(Estrutura_P01[#All],MATCH($C14,Estrutura_P01[[#All],[txtMAKT-MAKTX]],0),MATCH(AX$3,Estrutura_P01[#Headers],0))),"")</f>
        <v/>
      </c>
      <c r="AY14" s="44"/>
      <c r="AZ14" s="99">
        <v>99</v>
      </c>
      <c r="BA14" s="95" t="str">
        <f t="shared" ca="1" si="4"/>
        <v>17.05.2022</v>
      </c>
      <c r="BB14" s="50"/>
      <c r="BC14" s="50">
        <v>1</v>
      </c>
      <c r="BD14" s="50" t="s">
        <v>192</v>
      </c>
      <c r="BE14" s="95" t="str">
        <f t="shared" si="5"/>
        <v>01</v>
      </c>
      <c r="BF14" s="95" t="str">
        <f t="shared" si="6"/>
        <v>NORM</v>
      </c>
      <c r="BG14" s="44">
        <v>1</v>
      </c>
      <c r="BH14" s="44">
        <v>1</v>
      </c>
      <c r="BI14" s="44">
        <v>1</v>
      </c>
      <c r="BJ14" s="95" t="str">
        <f t="shared" si="7"/>
        <v>ZM</v>
      </c>
      <c r="BK14" s="50" t="s">
        <v>195</v>
      </c>
      <c r="BL14" s="50" t="s">
        <v>195</v>
      </c>
      <c r="BM14" s="43" t="str">
        <f>IFERROR(IF(INDEX(Estrutura_P01[#All],MATCH($C14,Estrutura_P01[[#All],[txtMAKT-MAKTX]],0),MATCH(BM$3,Estrutura_P01[#Headers],0))=0,"",INDEX(Estrutura_P01[#All],MATCH($C14,Estrutura_P01[[#All],[txtMAKT-MAKTX]],0),MATCH(BM$3,Estrutura_P01[#Headers],0))),"")</f>
        <v/>
      </c>
      <c r="BN14" s="44"/>
      <c r="BO14" s="50">
        <v>0</v>
      </c>
      <c r="BP14" s="45" t="s">
        <v>374</v>
      </c>
      <c r="BQ14" s="43" t="str">
        <f>IFERROR(IF(INDEX(Estrutura_P01[#All],MATCH($C14,Estrutura_P01[[#All],[txtMAKT-MAKTX]],0),MATCH(BQ$3,Estrutura_P01[#Headers],0))=0,"",INDEX(Estrutura_P01[#All],MATCH($C14,Estrutura_P01[[#All],[txtMAKT-MAKTX]],0),MATCH(BQ$3,Estrutura_P01[#Headers],0))),"")</f>
        <v/>
      </c>
      <c r="BR14" s="43" t="str">
        <f t="shared" si="8"/>
        <v>581</v>
      </c>
      <c r="BS14" s="45" t="s">
        <v>40</v>
      </c>
      <c r="BT14" s="98">
        <v>25000</v>
      </c>
      <c r="BU14" s="43" t="str">
        <f>IFERROR(IF(INDEX(Estrutura_P01[#All],MATCH($C14,Estrutura_P01[[#All],[txtMAKT-MAKTX]],0),MATCH(BU$3,Estrutura_P01[#Headers],0))=0,"",INDEX(Estrutura_P01[#All],MATCH($C14,Estrutura_P01[[#All],[txtMAKT-MAKTX]],0),MATCH(BU$3,Estrutura_P01[#Headers],0))),"")</f>
        <v/>
      </c>
      <c r="BV14" s="45">
        <v>0</v>
      </c>
      <c r="BW14" s="45" t="s">
        <v>473</v>
      </c>
      <c r="BX14" s="45"/>
      <c r="BY14" s="44"/>
      <c r="BZ14" s="49" t="str">
        <f t="shared" si="9"/>
        <v>0011</v>
      </c>
      <c r="CA14" s="49" t="str">
        <f t="shared" si="10"/>
        <v>0011</v>
      </c>
      <c r="CB14" s="45">
        <v>75</v>
      </c>
      <c r="CC14" s="44">
        <v>1</v>
      </c>
      <c r="CD14" s="50" t="s">
        <v>490</v>
      </c>
      <c r="CE14" s="80">
        <v>2</v>
      </c>
      <c r="CF14" s="80">
        <v>7</v>
      </c>
      <c r="CG14" s="95" t="str">
        <f t="shared" si="11"/>
        <v>ZM</v>
      </c>
      <c r="CH14" s="95">
        <f t="shared" si="12"/>
        <v>2</v>
      </c>
      <c r="CI14" s="95">
        <f t="shared" si="13"/>
        <v>42</v>
      </c>
      <c r="CJ14" s="95">
        <f t="shared" si="14"/>
        <v>10</v>
      </c>
      <c r="CK14" s="43" t="str">
        <f t="shared" si="15"/>
        <v>K00_C_0581</v>
      </c>
      <c r="CL14" s="43" t="str">
        <f>IFERROR(IF(INDEX(Estrutura_P01[#All],MATCH($C14,Estrutura_P01[[#All],[txtMAKT-MAKTX]],0),MATCH(CL$3,Estrutura_P01[#Headers],0))=0,"",INDEX(Estrutura_P01[#All],MATCH($C14,Estrutura_P01[[#All],[txtMAKT-MAKTX]],0),MATCH(CL$3,Estrutura_P01[#Headers],0))),"")</f>
        <v/>
      </c>
      <c r="CM14" s="43" t="str">
        <f>IFERROR(IF(INDEX(Estrutura_P01[#All],MATCH($C14,Estrutura_P01[[#All],[txtMAKT-MAKTX]],0),MATCH(CM$3,Estrutura_P01[#Headers],0))=0,"",INDEX(Estrutura_P01[#All],MATCH($C14,Estrutura_P01[[#All],[txtMAKT-MAKTX]],0),MATCH(CM$3,Estrutura_P01[#Headers],0))),"")</f>
        <v/>
      </c>
      <c r="CN14" s="43" t="str">
        <f>IFERROR(IF(INDEX(Estrutura_P01[#All],MATCH($C14,Estrutura_P01[[#All],[txtMAKT-MAKTX]],0),MATCH(CN$3,Estrutura_P01[#Headers],0))=0,"",INDEX(Estrutura_P01[#All],MATCH($C14,Estrutura_P01[[#All],[txtMAKT-MAKTX]],0),MATCH(CN$3,Estrutura_P01[#Headers],0))),"")</f>
        <v/>
      </c>
      <c r="CO14" s="43" t="str">
        <f>IFERROR(IF(INDEX(Estrutura_P01[#All],MATCH($C14,Estrutura_P01[[#All],[txtMAKT-MAKTX]],0),MATCH(CO$3,Estrutura_P01[#Headers],0))=0,"",INDEX(Estrutura_P01[#All],MATCH($C14,Estrutura_P01[[#All],[txtMAKT-MAKTX]],0),MATCH(CO$3,Estrutura_P01[#Headers],0))),"")</f>
        <v/>
      </c>
      <c r="CP14" s="43" t="str">
        <f>IFERROR(IF(INDEX(Estrutura_P01[#All],MATCH($C14,Estrutura_P01[[#All],[txtMAKT-MAKTX]],0),MATCH(CP$3,Estrutura_P01[#Headers],0))=0,"",INDEX(Estrutura_P01[#All],MATCH($C14,Estrutura_P01[[#All],[txtMAKT-MAKTX]],0),MATCH(CP$3,Estrutura_P01[#Headers],0))),"")</f>
        <v/>
      </c>
      <c r="CQ14" s="43" t="str">
        <f>IFERROR(IF(INDEX(Estrutura_P01[#All],MATCH($C14,Estrutura_P01[[#All],[txtMAKT-MAKTX]],0),MATCH(CQ$3,Estrutura_P01[#Headers],0))=0,"",INDEX(Estrutura_P01[#All],MATCH($C14,Estrutura_P01[[#All],[txtMAKT-MAKTX]],0),MATCH(CQ$3,Estrutura_P01[#Headers],0))),"")</f>
        <v/>
      </c>
      <c r="CR14" s="43" t="str">
        <f>IFERROR(IF(INDEX(Estrutura_P01[#All],MATCH($C14,Estrutura_P01[[#All],[txtMAKT-MAKTX]],0),MATCH(CR$3,Estrutura_P01[#Headers],0))=0,"",INDEX(Estrutura_P01[#All],MATCH($C14,Estrutura_P01[[#All],[txtMAKT-MAKTX]],0),MATCH(CR$3,Estrutura_P01[#Headers],0))),"")</f>
        <v/>
      </c>
      <c r="CS14" s="43" t="str">
        <f>IFERROR(IF(INDEX(Estrutura_P01[#All],MATCH($C14,Estrutura_P01[[#All],[txtMAKT-MAKTX]],0),MATCH(CS$3,Estrutura_P01[#Headers],0))=0,"",INDEX(Estrutura_P01[#All],MATCH($C14,Estrutura_P01[[#All],[txtMAKT-MAKTX]],0),MATCH(CS$3,Estrutura_P01[#Headers],0))),"")</f>
        <v/>
      </c>
      <c r="CU14" s="43" t="str">
        <f t="shared" si="16"/>
        <v/>
      </c>
      <c r="CV14" s="55"/>
      <c r="CW14" s="43" t="str">
        <f t="shared" ca="1" si="17"/>
        <v/>
      </c>
      <c r="CX14" s="43" t="str">
        <f t="shared" si="18"/>
        <v/>
      </c>
      <c r="CZ14" s="44"/>
      <c r="DA14" s="44">
        <v>2</v>
      </c>
      <c r="DB14" s="44">
        <v>1</v>
      </c>
      <c r="DC14" s="44"/>
      <c r="DD14" s="90" t="str">
        <f t="shared" si="19"/>
        <v/>
      </c>
      <c r="DE14" s="43">
        <f t="shared" si="20"/>
        <v>0.01</v>
      </c>
      <c r="DF14" s="43" t="str">
        <f t="shared" si="21"/>
        <v>KG</v>
      </c>
      <c r="DG14" s="44">
        <v>1</v>
      </c>
      <c r="DH14" s="50" t="s">
        <v>223</v>
      </c>
      <c r="DI14" s="50" t="s">
        <v>902</v>
      </c>
      <c r="DJ14" s="43" t="str">
        <f>IFERROR(IF(INDEX(Estrutura_P01[#All],MATCH($C14,Estrutura_P01[[#All],[txtMAKT-MAKTX]],0),MATCH(DJ$3,Estrutura_P01[#Headers],0))=0,"",INDEX(Estrutura_P01[#All],MATCH($C14,Estrutura_P01[[#All],[txtMAKT-MAKTX]],0),MATCH(DJ$3,Estrutura_P01[#Headers],0))),"")</f>
        <v/>
      </c>
      <c r="DK14" s="44">
        <v>1000</v>
      </c>
      <c r="DL14" s="60">
        <v>0</v>
      </c>
      <c r="DM14" s="44"/>
      <c r="DN14" s="44">
        <v>1</v>
      </c>
      <c r="DO14" s="44">
        <v>0</v>
      </c>
      <c r="DP14" s="44" t="s">
        <v>862</v>
      </c>
      <c r="DQ14" s="45">
        <v>0</v>
      </c>
      <c r="DR14" s="44">
        <v>1000</v>
      </c>
      <c r="DS14" s="91" t="str">
        <f>IF(AQ14=68,1,IFERROR(VLOOKUP(CM14,'Listas de Dados'!BX:BY,2,0),""))</f>
        <v/>
      </c>
      <c r="DT14" s="90" t="str">
        <f t="shared" ca="1" si="22"/>
        <v/>
      </c>
      <c r="DU14" s="65"/>
    </row>
    <row r="15" spans="1:125" x14ac:dyDescent="0.2">
      <c r="A15" s="7" t="str">
        <f t="shared" si="0"/>
        <v>Execução 11</v>
      </c>
      <c r="B15" s="87"/>
      <c r="C15" s="42"/>
      <c r="D15" s="43" t="str">
        <f>IFERROR(IF(INDEX(Estrutura_P01[#All],MATCH($C15,Estrutura_P01[[#All],[txtMAKT-MAKTX]],0),MATCH(D$3,Estrutura_P01[#Headers],0))=0,"",INDEX(Estrutura_P01[#All],MATCH($C15,Estrutura_P01[[#All],[txtMAKT-MAKTX]],0),MATCH(D$3,Estrutura_P01[#Headers],0))),"")</f>
        <v/>
      </c>
      <c r="E15" s="44" t="s">
        <v>100</v>
      </c>
      <c r="F15" s="79" t="s">
        <v>4</v>
      </c>
      <c r="G15" s="79" t="s">
        <v>11</v>
      </c>
      <c r="H15" s="79" t="str">
        <f t="shared" si="1"/>
        <v>0581</v>
      </c>
      <c r="I15" s="79" t="s">
        <v>6</v>
      </c>
      <c r="J15" s="79"/>
      <c r="L15" s="45" t="s">
        <v>101</v>
      </c>
      <c r="M15" s="45" t="s">
        <v>102</v>
      </c>
      <c r="N15" s="45" t="s">
        <v>103</v>
      </c>
      <c r="O15" s="45"/>
      <c r="P15" s="45"/>
      <c r="Q15" s="45"/>
      <c r="R15" s="45"/>
      <c r="S15" s="45"/>
      <c r="T15" s="45" t="s">
        <v>109</v>
      </c>
      <c r="U15" s="45" t="s">
        <v>110</v>
      </c>
      <c r="V15" s="45" t="s">
        <v>111</v>
      </c>
      <c r="W15" s="45" t="s">
        <v>112</v>
      </c>
      <c r="X15" s="45" t="s">
        <v>113</v>
      </c>
      <c r="Y15" s="45" t="s">
        <v>114</v>
      </c>
      <c r="Z15" s="45" t="s">
        <v>115</v>
      </c>
      <c r="AA15" s="45"/>
      <c r="AB15" s="45" t="s">
        <v>118</v>
      </c>
      <c r="AC15" s="45" t="s">
        <v>119</v>
      </c>
      <c r="AD15" s="45"/>
      <c r="AE15" s="45"/>
      <c r="AF15" s="45" t="s">
        <v>122</v>
      </c>
      <c r="AG15" s="45" t="s">
        <v>123</v>
      </c>
      <c r="AH15" s="45" t="s">
        <v>124</v>
      </c>
      <c r="AI15" s="45" t="s">
        <v>125</v>
      </c>
      <c r="AJ15" s="45" t="s">
        <v>126</v>
      </c>
      <c r="AK15" s="45"/>
      <c r="AL15" s="45"/>
      <c r="AN15" s="44" t="s">
        <v>297</v>
      </c>
      <c r="AO15" s="43" t="str">
        <f>IFERROR(IF(INDEX(Estrutura_P01[#All],MATCH($C15,Estrutura_P01[[#All],[txtMAKT-MAKTX]],0),MATCH(AO$3,Estrutura_P01[#Headers],0))=0,"",INDEX(Estrutura_P01[#All],MATCH($C15,Estrutura_P01[[#All],[txtMAKT-MAKTX]],0),MATCH(AO$3,Estrutura_P01[#Headers],0))),"")</f>
        <v/>
      </c>
      <c r="AP15" s="45"/>
      <c r="AQ15" s="43" t="str">
        <f>IFERROR(IF(INDEX(Estrutura_P01[#All],MATCH($C15,Estrutura_P01[[#All],[txtMAKT-MAKTX]],0),MATCH(AQ$3,Estrutura_P01[#Headers],0))=0,"",INDEX(Estrutura_P01[#All],MATCH($C15,Estrutura_P01[[#All],[txtMAKT-MAKTX]],0),MATCH(AQ$3,Estrutura_P01[#Headers],0))),"")</f>
        <v/>
      </c>
      <c r="AR15" s="45"/>
      <c r="AS15" s="46" t="str">
        <f t="shared" ca="1" si="2"/>
        <v/>
      </c>
      <c r="AT15" s="47" t="s">
        <v>864</v>
      </c>
      <c r="AU15" s="44">
        <v>1</v>
      </c>
      <c r="AV15" s="43">
        <f t="shared" si="3"/>
        <v>1</v>
      </c>
      <c r="AW15" s="48" t="s">
        <v>297</v>
      </c>
      <c r="AX15" s="43" t="str">
        <f>IFERROR(IF(INDEX(Estrutura_P01[#All],MATCH($C15,Estrutura_P01[[#All],[txtMAKT-MAKTX]],0),MATCH(AX$3,Estrutura_P01[#Headers],0))=0,"",INDEX(Estrutura_P01[#All],MATCH($C15,Estrutura_P01[[#All],[txtMAKT-MAKTX]],0),MATCH(AX$3,Estrutura_P01[#Headers],0))),"")</f>
        <v/>
      </c>
      <c r="AY15" s="44"/>
      <c r="AZ15" s="99">
        <v>99</v>
      </c>
      <c r="BA15" s="95" t="str">
        <f t="shared" ca="1" si="4"/>
        <v>17.05.2022</v>
      </c>
      <c r="BB15" s="50"/>
      <c r="BC15" s="50">
        <v>1</v>
      </c>
      <c r="BD15" s="50" t="s">
        <v>192</v>
      </c>
      <c r="BE15" s="95" t="str">
        <f t="shared" si="5"/>
        <v>01</v>
      </c>
      <c r="BF15" s="95" t="str">
        <f t="shared" si="6"/>
        <v>NORM</v>
      </c>
      <c r="BG15" s="44">
        <v>1</v>
      </c>
      <c r="BH15" s="44">
        <v>1</v>
      </c>
      <c r="BI15" s="44">
        <v>1</v>
      </c>
      <c r="BJ15" s="95" t="str">
        <f t="shared" si="7"/>
        <v>ZM</v>
      </c>
      <c r="BK15" s="50" t="s">
        <v>195</v>
      </c>
      <c r="BL15" s="50" t="s">
        <v>195</v>
      </c>
      <c r="BM15" s="43" t="str">
        <f>IFERROR(IF(INDEX(Estrutura_P01[#All],MATCH($C15,Estrutura_P01[[#All],[txtMAKT-MAKTX]],0),MATCH(BM$3,Estrutura_P01[#Headers],0))=0,"",INDEX(Estrutura_P01[#All],MATCH($C15,Estrutura_P01[[#All],[txtMAKT-MAKTX]],0),MATCH(BM$3,Estrutura_P01[#Headers],0))),"")</f>
        <v/>
      </c>
      <c r="BN15" s="44"/>
      <c r="BO15" s="50">
        <v>0</v>
      </c>
      <c r="BP15" s="45" t="s">
        <v>374</v>
      </c>
      <c r="BQ15" s="43" t="str">
        <f>IFERROR(IF(INDEX(Estrutura_P01[#All],MATCH($C15,Estrutura_P01[[#All],[txtMAKT-MAKTX]],0),MATCH(BQ$3,Estrutura_P01[#Headers],0))=0,"",INDEX(Estrutura_P01[#All],MATCH($C15,Estrutura_P01[[#All],[txtMAKT-MAKTX]],0),MATCH(BQ$3,Estrutura_P01[#Headers],0))),"")</f>
        <v/>
      </c>
      <c r="BR15" s="43" t="str">
        <f t="shared" si="8"/>
        <v>581</v>
      </c>
      <c r="BS15" s="45" t="s">
        <v>40</v>
      </c>
      <c r="BT15" s="98">
        <v>25000</v>
      </c>
      <c r="BU15" s="43" t="str">
        <f>IFERROR(IF(INDEX(Estrutura_P01[#All],MATCH($C15,Estrutura_P01[[#All],[txtMAKT-MAKTX]],0),MATCH(BU$3,Estrutura_P01[#Headers],0))=0,"",INDEX(Estrutura_P01[#All],MATCH($C15,Estrutura_P01[[#All],[txtMAKT-MAKTX]],0),MATCH(BU$3,Estrutura_P01[#Headers],0))),"")</f>
        <v/>
      </c>
      <c r="BV15" s="45">
        <v>0</v>
      </c>
      <c r="BW15" s="45" t="s">
        <v>473</v>
      </c>
      <c r="BX15" s="45"/>
      <c r="BY15" s="44"/>
      <c r="BZ15" s="49" t="str">
        <f t="shared" si="9"/>
        <v>0011</v>
      </c>
      <c r="CA15" s="49" t="str">
        <f t="shared" si="10"/>
        <v>0011</v>
      </c>
      <c r="CB15" s="45">
        <v>75</v>
      </c>
      <c r="CC15" s="44">
        <v>1</v>
      </c>
      <c r="CD15" s="50" t="s">
        <v>490</v>
      </c>
      <c r="CE15" s="80">
        <v>2</v>
      </c>
      <c r="CF15" s="80">
        <v>7</v>
      </c>
      <c r="CG15" s="95" t="str">
        <f t="shared" si="11"/>
        <v>ZM</v>
      </c>
      <c r="CH15" s="95">
        <f t="shared" si="12"/>
        <v>2</v>
      </c>
      <c r="CI15" s="95">
        <f t="shared" si="13"/>
        <v>42</v>
      </c>
      <c r="CJ15" s="95">
        <f t="shared" si="14"/>
        <v>10</v>
      </c>
      <c r="CK15" s="43" t="str">
        <f t="shared" si="15"/>
        <v>K00_C_0581</v>
      </c>
      <c r="CL15" s="43" t="str">
        <f>IFERROR(IF(INDEX(Estrutura_P01[#All],MATCH($C15,Estrutura_P01[[#All],[txtMAKT-MAKTX]],0),MATCH(CL$3,Estrutura_P01[#Headers],0))=0,"",INDEX(Estrutura_P01[#All],MATCH($C15,Estrutura_P01[[#All],[txtMAKT-MAKTX]],0),MATCH(CL$3,Estrutura_P01[#Headers],0))),"")</f>
        <v/>
      </c>
      <c r="CM15" s="43" t="str">
        <f>IFERROR(IF(INDEX(Estrutura_P01[#All],MATCH($C15,Estrutura_P01[[#All],[txtMAKT-MAKTX]],0),MATCH(CM$3,Estrutura_P01[#Headers],0))=0,"",INDEX(Estrutura_P01[#All],MATCH($C15,Estrutura_P01[[#All],[txtMAKT-MAKTX]],0),MATCH(CM$3,Estrutura_P01[#Headers],0))),"")</f>
        <v/>
      </c>
      <c r="CN15" s="43" t="str">
        <f>IFERROR(IF(INDEX(Estrutura_P01[#All],MATCH($C15,Estrutura_P01[[#All],[txtMAKT-MAKTX]],0),MATCH(CN$3,Estrutura_P01[#Headers],0))=0,"",INDEX(Estrutura_P01[#All],MATCH($C15,Estrutura_P01[[#All],[txtMAKT-MAKTX]],0),MATCH(CN$3,Estrutura_P01[#Headers],0))),"")</f>
        <v/>
      </c>
      <c r="CO15" s="43" t="str">
        <f>IFERROR(IF(INDEX(Estrutura_P01[#All],MATCH($C15,Estrutura_P01[[#All],[txtMAKT-MAKTX]],0),MATCH(CO$3,Estrutura_P01[#Headers],0))=0,"",INDEX(Estrutura_P01[#All],MATCH($C15,Estrutura_P01[[#All],[txtMAKT-MAKTX]],0),MATCH(CO$3,Estrutura_P01[#Headers],0))),"")</f>
        <v/>
      </c>
      <c r="CP15" s="43" t="str">
        <f>IFERROR(IF(INDEX(Estrutura_P01[#All],MATCH($C15,Estrutura_P01[[#All],[txtMAKT-MAKTX]],0),MATCH(CP$3,Estrutura_P01[#Headers],0))=0,"",INDEX(Estrutura_P01[#All],MATCH($C15,Estrutura_P01[[#All],[txtMAKT-MAKTX]],0),MATCH(CP$3,Estrutura_P01[#Headers],0))),"")</f>
        <v/>
      </c>
      <c r="CQ15" s="43" t="str">
        <f>IFERROR(IF(INDEX(Estrutura_P01[#All],MATCH($C15,Estrutura_P01[[#All],[txtMAKT-MAKTX]],0),MATCH(CQ$3,Estrutura_P01[#Headers],0))=0,"",INDEX(Estrutura_P01[#All],MATCH($C15,Estrutura_P01[[#All],[txtMAKT-MAKTX]],0),MATCH(CQ$3,Estrutura_P01[#Headers],0))),"")</f>
        <v/>
      </c>
      <c r="CR15" s="43" t="str">
        <f>IFERROR(IF(INDEX(Estrutura_P01[#All],MATCH($C15,Estrutura_P01[[#All],[txtMAKT-MAKTX]],0),MATCH(CR$3,Estrutura_P01[#Headers],0))=0,"",INDEX(Estrutura_P01[#All],MATCH($C15,Estrutura_P01[[#All],[txtMAKT-MAKTX]],0),MATCH(CR$3,Estrutura_P01[#Headers],0))),"")</f>
        <v/>
      </c>
      <c r="CS15" s="43" t="str">
        <f>IFERROR(IF(INDEX(Estrutura_P01[#All],MATCH($C15,Estrutura_P01[[#All],[txtMAKT-MAKTX]],0),MATCH(CS$3,Estrutura_P01[#Headers],0))=0,"",INDEX(Estrutura_P01[#All],MATCH($C15,Estrutura_P01[[#All],[txtMAKT-MAKTX]],0),MATCH(CS$3,Estrutura_P01[#Headers],0))),"")</f>
        <v/>
      </c>
      <c r="CU15" s="43" t="str">
        <f t="shared" si="16"/>
        <v/>
      </c>
      <c r="CV15" s="55"/>
      <c r="CW15" s="43" t="str">
        <f t="shared" ca="1" si="17"/>
        <v/>
      </c>
      <c r="CX15" s="43" t="str">
        <f t="shared" si="18"/>
        <v/>
      </c>
      <c r="CZ15" s="44"/>
      <c r="DA15" s="44">
        <v>2</v>
      </c>
      <c r="DB15" s="44">
        <v>1</v>
      </c>
      <c r="DC15" s="44"/>
      <c r="DD15" s="90" t="str">
        <f t="shared" si="19"/>
        <v/>
      </c>
      <c r="DE15" s="43">
        <f t="shared" si="20"/>
        <v>0.01</v>
      </c>
      <c r="DF15" s="43" t="str">
        <f t="shared" si="21"/>
        <v>KG</v>
      </c>
      <c r="DG15" s="44">
        <v>1</v>
      </c>
      <c r="DH15" s="50" t="s">
        <v>223</v>
      </c>
      <c r="DI15" s="50" t="s">
        <v>902</v>
      </c>
      <c r="DJ15" s="43" t="str">
        <f>IFERROR(IF(INDEX(Estrutura_P01[#All],MATCH($C15,Estrutura_P01[[#All],[txtMAKT-MAKTX]],0),MATCH(DJ$3,Estrutura_P01[#Headers],0))=0,"",INDEX(Estrutura_P01[#All],MATCH($C15,Estrutura_P01[[#All],[txtMAKT-MAKTX]],0),MATCH(DJ$3,Estrutura_P01[#Headers],0))),"")</f>
        <v/>
      </c>
      <c r="DK15" s="44">
        <v>1000</v>
      </c>
      <c r="DL15" s="60">
        <v>0</v>
      </c>
      <c r="DM15" s="44"/>
      <c r="DN15" s="44">
        <v>1</v>
      </c>
      <c r="DO15" s="44">
        <v>0</v>
      </c>
      <c r="DP15" s="44" t="s">
        <v>862</v>
      </c>
      <c r="DQ15" s="45">
        <v>0</v>
      </c>
      <c r="DR15" s="44">
        <v>1000</v>
      </c>
      <c r="DS15" s="91" t="str">
        <f>IF(AQ15=68,1,IFERROR(VLOOKUP(CM15,'Listas de Dados'!BX:BY,2,0),""))</f>
        <v/>
      </c>
      <c r="DT15" s="90" t="str">
        <f t="shared" ca="1" si="22"/>
        <v/>
      </c>
      <c r="DU15" s="65"/>
    </row>
    <row r="16" spans="1:125" x14ac:dyDescent="0.2">
      <c r="A16" s="7" t="str">
        <f t="shared" si="0"/>
        <v>Execução 12</v>
      </c>
      <c r="B16" s="87"/>
      <c r="C16" s="42"/>
      <c r="D16" s="43" t="str">
        <f>IFERROR(IF(INDEX(Estrutura_P01[#All],MATCH($C16,Estrutura_P01[[#All],[txtMAKT-MAKTX]],0),MATCH(D$3,Estrutura_P01[#Headers],0))=0,"",INDEX(Estrutura_P01[#All],MATCH($C16,Estrutura_P01[[#All],[txtMAKT-MAKTX]],0),MATCH(D$3,Estrutura_P01[#Headers],0))),"")</f>
        <v/>
      </c>
      <c r="E16" s="44" t="s">
        <v>100</v>
      </c>
      <c r="F16" s="79" t="s">
        <v>4</v>
      </c>
      <c r="G16" s="79" t="s">
        <v>11</v>
      </c>
      <c r="H16" s="79" t="str">
        <f t="shared" si="1"/>
        <v>0581</v>
      </c>
      <c r="I16" s="79" t="s">
        <v>6</v>
      </c>
      <c r="J16" s="79"/>
      <c r="L16" s="45" t="s">
        <v>101</v>
      </c>
      <c r="M16" s="45" t="s">
        <v>102</v>
      </c>
      <c r="N16" s="45" t="s">
        <v>103</v>
      </c>
      <c r="O16" s="45"/>
      <c r="P16" s="45"/>
      <c r="Q16" s="45"/>
      <c r="R16" s="45"/>
      <c r="S16" s="45"/>
      <c r="T16" s="45" t="s">
        <v>109</v>
      </c>
      <c r="U16" s="45" t="s">
        <v>110</v>
      </c>
      <c r="V16" s="45" t="s">
        <v>111</v>
      </c>
      <c r="W16" s="45" t="s">
        <v>112</v>
      </c>
      <c r="X16" s="45" t="s">
        <v>113</v>
      </c>
      <c r="Y16" s="45" t="s">
        <v>114</v>
      </c>
      <c r="Z16" s="45" t="s">
        <v>115</v>
      </c>
      <c r="AA16" s="45"/>
      <c r="AB16" s="45" t="s">
        <v>118</v>
      </c>
      <c r="AC16" s="45" t="s">
        <v>119</v>
      </c>
      <c r="AD16" s="45"/>
      <c r="AE16" s="45"/>
      <c r="AF16" s="45" t="s">
        <v>122</v>
      </c>
      <c r="AG16" s="45" t="s">
        <v>123</v>
      </c>
      <c r="AH16" s="45" t="s">
        <v>124</v>
      </c>
      <c r="AI16" s="45" t="s">
        <v>125</v>
      </c>
      <c r="AJ16" s="45" t="s">
        <v>126</v>
      </c>
      <c r="AK16" s="45"/>
      <c r="AL16" s="45"/>
      <c r="AN16" s="44" t="s">
        <v>297</v>
      </c>
      <c r="AO16" s="43" t="str">
        <f>IFERROR(IF(INDEX(Estrutura_P01[#All],MATCH($C16,Estrutura_P01[[#All],[txtMAKT-MAKTX]],0),MATCH(AO$3,Estrutura_P01[#Headers],0))=0,"",INDEX(Estrutura_P01[#All],MATCH($C16,Estrutura_P01[[#All],[txtMAKT-MAKTX]],0),MATCH(AO$3,Estrutura_P01[#Headers],0))),"")</f>
        <v/>
      </c>
      <c r="AP16" s="45"/>
      <c r="AQ16" s="43" t="str">
        <f>IFERROR(IF(INDEX(Estrutura_P01[#All],MATCH($C16,Estrutura_P01[[#All],[txtMAKT-MAKTX]],0),MATCH(AQ$3,Estrutura_P01[#Headers],0))=0,"",INDEX(Estrutura_P01[#All],MATCH($C16,Estrutura_P01[[#All],[txtMAKT-MAKTX]],0),MATCH(AQ$3,Estrutura_P01[#Headers],0))),"")</f>
        <v/>
      </c>
      <c r="AR16" s="45"/>
      <c r="AS16" s="46" t="str">
        <f t="shared" ca="1" si="2"/>
        <v/>
      </c>
      <c r="AT16" s="47" t="s">
        <v>864</v>
      </c>
      <c r="AU16" s="44">
        <v>1</v>
      </c>
      <c r="AV16" s="43">
        <f t="shared" si="3"/>
        <v>1</v>
      </c>
      <c r="AW16" s="48" t="s">
        <v>297</v>
      </c>
      <c r="AX16" s="43" t="str">
        <f>IFERROR(IF(INDEX(Estrutura_P01[#All],MATCH($C16,Estrutura_P01[[#All],[txtMAKT-MAKTX]],0),MATCH(AX$3,Estrutura_P01[#Headers],0))=0,"",INDEX(Estrutura_P01[#All],MATCH($C16,Estrutura_P01[[#All],[txtMAKT-MAKTX]],0),MATCH(AX$3,Estrutura_P01[#Headers],0))),"")</f>
        <v/>
      </c>
      <c r="AY16" s="44"/>
      <c r="AZ16" s="99">
        <v>99</v>
      </c>
      <c r="BA16" s="95" t="str">
        <f t="shared" ca="1" si="4"/>
        <v>17.05.2022</v>
      </c>
      <c r="BB16" s="50"/>
      <c r="BC16" s="50">
        <v>1</v>
      </c>
      <c r="BD16" s="50" t="s">
        <v>192</v>
      </c>
      <c r="BE16" s="95" t="str">
        <f t="shared" si="5"/>
        <v>01</v>
      </c>
      <c r="BF16" s="95" t="str">
        <f t="shared" si="6"/>
        <v>NORM</v>
      </c>
      <c r="BG16" s="44">
        <v>1</v>
      </c>
      <c r="BH16" s="44">
        <v>1</v>
      </c>
      <c r="BI16" s="44">
        <v>1</v>
      </c>
      <c r="BJ16" s="95" t="str">
        <f t="shared" si="7"/>
        <v>ZM</v>
      </c>
      <c r="BK16" s="50" t="s">
        <v>195</v>
      </c>
      <c r="BL16" s="50" t="s">
        <v>195</v>
      </c>
      <c r="BM16" s="43" t="str">
        <f>IFERROR(IF(INDEX(Estrutura_P01[#All],MATCH($C16,Estrutura_P01[[#All],[txtMAKT-MAKTX]],0),MATCH(BM$3,Estrutura_P01[#Headers],0))=0,"",INDEX(Estrutura_P01[#All],MATCH($C16,Estrutura_P01[[#All],[txtMAKT-MAKTX]],0),MATCH(BM$3,Estrutura_P01[#Headers],0))),"")</f>
        <v/>
      </c>
      <c r="BN16" s="44"/>
      <c r="BO16" s="50">
        <v>0</v>
      </c>
      <c r="BP16" s="45" t="s">
        <v>374</v>
      </c>
      <c r="BQ16" s="43" t="str">
        <f>IFERROR(IF(INDEX(Estrutura_P01[#All],MATCH($C16,Estrutura_P01[[#All],[txtMAKT-MAKTX]],0),MATCH(BQ$3,Estrutura_P01[#Headers],0))=0,"",INDEX(Estrutura_P01[#All],MATCH($C16,Estrutura_P01[[#All],[txtMAKT-MAKTX]],0),MATCH(BQ$3,Estrutura_P01[#Headers],0))),"")</f>
        <v/>
      </c>
      <c r="BR16" s="43" t="str">
        <f t="shared" si="8"/>
        <v>581</v>
      </c>
      <c r="BS16" s="45" t="s">
        <v>40</v>
      </c>
      <c r="BT16" s="98">
        <v>25000</v>
      </c>
      <c r="BU16" s="43" t="str">
        <f>IFERROR(IF(INDEX(Estrutura_P01[#All],MATCH($C16,Estrutura_P01[[#All],[txtMAKT-MAKTX]],0),MATCH(BU$3,Estrutura_P01[#Headers],0))=0,"",INDEX(Estrutura_P01[#All],MATCH($C16,Estrutura_P01[[#All],[txtMAKT-MAKTX]],0),MATCH(BU$3,Estrutura_P01[#Headers],0))),"")</f>
        <v/>
      </c>
      <c r="BV16" s="45">
        <v>0</v>
      </c>
      <c r="BW16" s="45" t="s">
        <v>473</v>
      </c>
      <c r="BX16" s="45"/>
      <c r="BY16" s="44"/>
      <c r="BZ16" s="49" t="str">
        <f t="shared" si="9"/>
        <v>0011</v>
      </c>
      <c r="CA16" s="49" t="str">
        <f t="shared" si="10"/>
        <v>0011</v>
      </c>
      <c r="CB16" s="45">
        <v>75</v>
      </c>
      <c r="CC16" s="44">
        <v>1</v>
      </c>
      <c r="CD16" s="50" t="s">
        <v>490</v>
      </c>
      <c r="CE16" s="80">
        <v>2</v>
      </c>
      <c r="CF16" s="80">
        <v>7</v>
      </c>
      <c r="CG16" s="95" t="str">
        <f t="shared" si="11"/>
        <v>ZM</v>
      </c>
      <c r="CH16" s="95">
        <f t="shared" si="12"/>
        <v>2</v>
      </c>
      <c r="CI16" s="95">
        <f t="shared" si="13"/>
        <v>42</v>
      </c>
      <c r="CJ16" s="95">
        <f t="shared" si="14"/>
        <v>10</v>
      </c>
      <c r="CK16" s="43" t="str">
        <f t="shared" si="15"/>
        <v>K00_C_0581</v>
      </c>
      <c r="CL16" s="43" t="str">
        <f>IFERROR(IF(INDEX(Estrutura_P01[#All],MATCH($C16,Estrutura_P01[[#All],[txtMAKT-MAKTX]],0),MATCH(CL$3,Estrutura_P01[#Headers],0))=0,"",INDEX(Estrutura_P01[#All],MATCH($C16,Estrutura_P01[[#All],[txtMAKT-MAKTX]],0),MATCH(CL$3,Estrutura_P01[#Headers],0))),"")</f>
        <v/>
      </c>
      <c r="CM16" s="43" t="str">
        <f>IFERROR(IF(INDEX(Estrutura_P01[#All],MATCH($C16,Estrutura_P01[[#All],[txtMAKT-MAKTX]],0),MATCH(CM$3,Estrutura_P01[#Headers],0))=0,"",INDEX(Estrutura_P01[#All],MATCH($C16,Estrutura_P01[[#All],[txtMAKT-MAKTX]],0),MATCH(CM$3,Estrutura_P01[#Headers],0))),"")</f>
        <v/>
      </c>
      <c r="CN16" s="43" t="str">
        <f>IFERROR(IF(INDEX(Estrutura_P01[#All],MATCH($C16,Estrutura_P01[[#All],[txtMAKT-MAKTX]],0),MATCH(CN$3,Estrutura_P01[#Headers],0))=0,"",INDEX(Estrutura_P01[#All],MATCH($C16,Estrutura_P01[[#All],[txtMAKT-MAKTX]],0),MATCH(CN$3,Estrutura_P01[#Headers],0))),"")</f>
        <v/>
      </c>
      <c r="CO16" s="43" t="str">
        <f>IFERROR(IF(INDEX(Estrutura_P01[#All],MATCH($C16,Estrutura_P01[[#All],[txtMAKT-MAKTX]],0),MATCH(CO$3,Estrutura_P01[#Headers],0))=0,"",INDEX(Estrutura_P01[#All],MATCH($C16,Estrutura_P01[[#All],[txtMAKT-MAKTX]],0),MATCH(CO$3,Estrutura_P01[#Headers],0))),"")</f>
        <v/>
      </c>
      <c r="CP16" s="43" t="str">
        <f>IFERROR(IF(INDEX(Estrutura_P01[#All],MATCH($C16,Estrutura_P01[[#All],[txtMAKT-MAKTX]],0),MATCH(CP$3,Estrutura_P01[#Headers],0))=0,"",INDEX(Estrutura_P01[#All],MATCH($C16,Estrutura_P01[[#All],[txtMAKT-MAKTX]],0),MATCH(CP$3,Estrutura_P01[#Headers],0))),"")</f>
        <v/>
      </c>
      <c r="CQ16" s="43" t="str">
        <f>IFERROR(IF(INDEX(Estrutura_P01[#All],MATCH($C16,Estrutura_P01[[#All],[txtMAKT-MAKTX]],0),MATCH(CQ$3,Estrutura_P01[#Headers],0))=0,"",INDEX(Estrutura_P01[#All],MATCH($C16,Estrutura_P01[[#All],[txtMAKT-MAKTX]],0),MATCH(CQ$3,Estrutura_P01[#Headers],0))),"")</f>
        <v/>
      </c>
      <c r="CR16" s="43" t="str">
        <f>IFERROR(IF(INDEX(Estrutura_P01[#All],MATCH($C16,Estrutura_P01[[#All],[txtMAKT-MAKTX]],0),MATCH(CR$3,Estrutura_P01[#Headers],0))=0,"",INDEX(Estrutura_P01[#All],MATCH($C16,Estrutura_P01[[#All],[txtMAKT-MAKTX]],0),MATCH(CR$3,Estrutura_P01[#Headers],0))),"")</f>
        <v/>
      </c>
      <c r="CS16" s="43" t="str">
        <f>IFERROR(IF(INDEX(Estrutura_P01[#All],MATCH($C16,Estrutura_P01[[#All],[txtMAKT-MAKTX]],0),MATCH(CS$3,Estrutura_P01[#Headers],0))=0,"",INDEX(Estrutura_P01[#All],MATCH($C16,Estrutura_P01[[#All],[txtMAKT-MAKTX]],0),MATCH(CS$3,Estrutura_P01[#Headers],0))),"")</f>
        <v/>
      </c>
      <c r="CU16" s="43" t="str">
        <f t="shared" si="16"/>
        <v/>
      </c>
      <c r="CV16" s="55"/>
      <c r="CW16" s="43" t="str">
        <f t="shared" ca="1" si="17"/>
        <v/>
      </c>
      <c r="CX16" s="43" t="str">
        <f t="shared" si="18"/>
        <v/>
      </c>
      <c r="CZ16" s="44"/>
      <c r="DA16" s="44">
        <v>2</v>
      </c>
      <c r="DB16" s="44">
        <v>1</v>
      </c>
      <c r="DC16" s="44"/>
      <c r="DD16" s="90" t="str">
        <f t="shared" si="19"/>
        <v/>
      </c>
      <c r="DE16" s="43">
        <f t="shared" si="20"/>
        <v>0.01</v>
      </c>
      <c r="DF16" s="43" t="str">
        <f t="shared" si="21"/>
        <v>KG</v>
      </c>
      <c r="DG16" s="44">
        <v>1</v>
      </c>
      <c r="DH16" s="50" t="s">
        <v>223</v>
      </c>
      <c r="DI16" s="50" t="s">
        <v>902</v>
      </c>
      <c r="DJ16" s="43" t="str">
        <f>IFERROR(IF(INDEX(Estrutura_P01[#All],MATCH($C16,Estrutura_P01[[#All],[txtMAKT-MAKTX]],0),MATCH(DJ$3,Estrutura_P01[#Headers],0))=0,"",INDEX(Estrutura_P01[#All],MATCH($C16,Estrutura_P01[[#All],[txtMAKT-MAKTX]],0),MATCH(DJ$3,Estrutura_P01[#Headers],0))),"")</f>
        <v/>
      </c>
      <c r="DK16" s="44">
        <v>1000</v>
      </c>
      <c r="DL16" s="60">
        <v>0</v>
      </c>
      <c r="DM16" s="44"/>
      <c r="DN16" s="44">
        <v>1</v>
      </c>
      <c r="DO16" s="44">
        <v>0</v>
      </c>
      <c r="DP16" s="44" t="s">
        <v>862</v>
      </c>
      <c r="DQ16" s="45">
        <v>0</v>
      </c>
      <c r="DR16" s="44">
        <v>1000</v>
      </c>
      <c r="DS16" s="91" t="str">
        <f>IF(AQ16=68,1,IFERROR(VLOOKUP(CM16,'Listas de Dados'!BX:BY,2,0),""))</f>
        <v/>
      </c>
      <c r="DT16" s="90" t="str">
        <f t="shared" ca="1" si="22"/>
        <v/>
      </c>
      <c r="DU16" s="65"/>
    </row>
    <row r="17" spans="1:125" x14ac:dyDescent="0.2">
      <c r="A17" s="7" t="str">
        <f t="shared" si="0"/>
        <v>Execução 13</v>
      </c>
      <c r="B17" s="87"/>
      <c r="C17" s="42"/>
      <c r="D17" s="43" t="str">
        <f>IFERROR(IF(INDEX(Estrutura_P01[#All],MATCH($C17,Estrutura_P01[[#All],[txtMAKT-MAKTX]],0),MATCH(D$3,Estrutura_P01[#Headers],0))=0,"",INDEX(Estrutura_P01[#All],MATCH($C17,Estrutura_P01[[#All],[txtMAKT-MAKTX]],0),MATCH(D$3,Estrutura_P01[#Headers],0))),"")</f>
        <v/>
      </c>
      <c r="E17" s="44" t="s">
        <v>100</v>
      </c>
      <c r="F17" s="79" t="s">
        <v>4</v>
      </c>
      <c r="G17" s="79" t="s">
        <v>11</v>
      </c>
      <c r="H17" s="79" t="str">
        <f t="shared" si="1"/>
        <v>0581</v>
      </c>
      <c r="I17" s="79" t="s">
        <v>6</v>
      </c>
      <c r="J17" s="79"/>
      <c r="L17" s="45" t="s">
        <v>101</v>
      </c>
      <c r="M17" s="45" t="s">
        <v>102</v>
      </c>
      <c r="N17" s="45" t="s">
        <v>103</v>
      </c>
      <c r="O17" s="45"/>
      <c r="P17" s="45"/>
      <c r="Q17" s="45"/>
      <c r="R17" s="45"/>
      <c r="S17" s="45"/>
      <c r="T17" s="45" t="s">
        <v>109</v>
      </c>
      <c r="U17" s="45" t="s">
        <v>110</v>
      </c>
      <c r="V17" s="45" t="s">
        <v>111</v>
      </c>
      <c r="W17" s="45" t="s">
        <v>112</v>
      </c>
      <c r="X17" s="45" t="s">
        <v>113</v>
      </c>
      <c r="Y17" s="45" t="s">
        <v>114</v>
      </c>
      <c r="Z17" s="45" t="s">
        <v>115</v>
      </c>
      <c r="AA17" s="45"/>
      <c r="AB17" s="45" t="s">
        <v>118</v>
      </c>
      <c r="AC17" s="45" t="s">
        <v>119</v>
      </c>
      <c r="AD17" s="45"/>
      <c r="AE17" s="45"/>
      <c r="AF17" s="45" t="s">
        <v>122</v>
      </c>
      <c r="AG17" s="45" t="s">
        <v>123</v>
      </c>
      <c r="AH17" s="45" t="s">
        <v>124</v>
      </c>
      <c r="AI17" s="45" t="s">
        <v>125</v>
      </c>
      <c r="AJ17" s="45" t="s">
        <v>126</v>
      </c>
      <c r="AK17" s="45"/>
      <c r="AL17" s="45"/>
      <c r="AN17" s="44" t="s">
        <v>297</v>
      </c>
      <c r="AO17" s="43" t="str">
        <f>IFERROR(IF(INDEX(Estrutura_P01[#All],MATCH($C17,Estrutura_P01[[#All],[txtMAKT-MAKTX]],0),MATCH(AO$3,Estrutura_P01[#Headers],0))=0,"",INDEX(Estrutura_P01[#All],MATCH($C17,Estrutura_P01[[#All],[txtMAKT-MAKTX]],0),MATCH(AO$3,Estrutura_P01[#Headers],0))),"")</f>
        <v/>
      </c>
      <c r="AP17" s="45"/>
      <c r="AQ17" s="43" t="str">
        <f>IFERROR(IF(INDEX(Estrutura_P01[#All],MATCH($C17,Estrutura_P01[[#All],[txtMAKT-MAKTX]],0),MATCH(AQ$3,Estrutura_P01[#Headers],0))=0,"",INDEX(Estrutura_P01[#All],MATCH($C17,Estrutura_P01[[#All],[txtMAKT-MAKTX]],0),MATCH(AQ$3,Estrutura_P01[#Headers],0))),"")</f>
        <v/>
      </c>
      <c r="AR17" s="45"/>
      <c r="AS17" s="46" t="str">
        <f t="shared" ca="1" si="2"/>
        <v/>
      </c>
      <c r="AT17" s="47" t="s">
        <v>864</v>
      </c>
      <c r="AU17" s="44">
        <v>1</v>
      </c>
      <c r="AV17" s="43">
        <f t="shared" si="3"/>
        <v>1</v>
      </c>
      <c r="AW17" s="48" t="s">
        <v>297</v>
      </c>
      <c r="AX17" s="43" t="str">
        <f>IFERROR(IF(INDEX(Estrutura_P01[#All],MATCH($C17,Estrutura_P01[[#All],[txtMAKT-MAKTX]],0),MATCH(AX$3,Estrutura_P01[#Headers],0))=0,"",INDEX(Estrutura_P01[#All],MATCH($C17,Estrutura_P01[[#All],[txtMAKT-MAKTX]],0),MATCH(AX$3,Estrutura_P01[#Headers],0))),"")</f>
        <v/>
      </c>
      <c r="AY17" s="44"/>
      <c r="AZ17" s="99">
        <v>99</v>
      </c>
      <c r="BA17" s="95" t="str">
        <f t="shared" ca="1" si="4"/>
        <v>17.05.2022</v>
      </c>
      <c r="BB17" s="50"/>
      <c r="BC17" s="50">
        <v>1</v>
      </c>
      <c r="BD17" s="50" t="s">
        <v>192</v>
      </c>
      <c r="BE17" s="95" t="str">
        <f t="shared" si="5"/>
        <v>01</v>
      </c>
      <c r="BF17" s="95" t="str">
        <f t="shared" si="6"/>
        <v>NORM</v>
      </c>
      <c r="BG17" s="44">
        <v>1</v>
      </c>
      <c r="BH17" s="44">
        <v>1</v>
      </c>
      <c r="BI17" s="44">
        <v>1</v>
      </c>
      <c r="BJ17" s="95" t="str">
        <f t="shared" si="7"/>
        <v>ZM</v>
      </c>
      <c r="BK17" s="50" t="s">
        <v>195</v>
      </c>
      <c r="BL17" s="50" t="s">
        <v>195</v>
      </c>
      <c r="BM17" s="43" t="str">
        <f>IFERROR(IF(INDEX(Estrutura_P01[#All],MATCH($C17,Estrutura_P01[[#All],[txtMAKT-MAKTX]],0),MATCH(BM$3,Estrutura_P01[#Headers],0))=0,"",INDEX(Estrutura_P01[#All],MATCH($C17,Estrutura_P01[[#All],[txtMAKT-MAKTX]],0),MATCH(BM$3,Estrutura_P01[#Headers],0))),"")</f>
        <v/>
      </c>
      <c r="BN17" s="44"/>
      <c r="BO17" s="50">
        <v>0</v>
      </c>
      <c r="BP17" s="45" t="s">
        <v>374</v>
      </c>
      <c r="BQ17" s="43" t="str">
        <f>IFERROR(IF(INDEX(Estrutura_P01[#All],MATCH($C17,Estrutura_P01[[#All],[txtMAKT-MAKTX]],0),MATCH(BQ$3,Estrutura_P01[#Headers],0))=0,"",INDEX(Estrutura_P01[#All],MATCH($C17,Estrutura_P01[[#All],[txtMAKT-MAKTX]],0),MATCH(BQ$3,Estrutura_P01[#Headers],0))),"")</f>
        <v/>
      </c>
      <c r="BR17" s="43" t="str">
        <f t="shared" si="8"/>
        <v>581</v>
      </c>
      <c r="BS17" s="45" t="s">
        <v>40</v>
      </c>
      <c r="BT17" s="98">
        <v>25000</v>
      </c>
      <c r="BU17" s="43" t="str">
        <f>IFERROR(IF(INDEX(Estrutura_P01[#All],MATCH($C17,Estrutura_P01[[#All],[txtMAKT-MAKTX]],0),MATCH(BU$3,Estrutura_P01[#Headers],0))=0,"",INDEX(Estrutura_P01[#All],MATCH($C17,Estrutura_P01[[#All],[txtMAKT-MAKTX]],0),MATCH(BU$3,Estrutura_P01[#Headers],0))),"")</f>
        <v/>
      </c>
      <c r="BV17" s="45">
        <v>0</v>
      </c>
      <c r="BW17" s="45" t="s">
        <v>473</v>
      </c>
      <c r="BX17" s="45"/>
      <c r="BY17" s="44"/>
      <c r="BZ17" s="49" t="str">
        <f t="shared" si="9"/>
        <v>0011</v>
      </c>
      <c r="CA17" s="49" t="str">
        <f t="shared" si="10"/>
        <v>0011</v>
      </c>
      <c r="CB17" s="45">
        <v>75</v>
      </c>
      <c r="CC17" s="44">
        <v>1</v>
      </c>
      <c r="CD17" s="50" t="s">
        <v>490</v>
      </c>
      <c r="CE17" s="80">
        <v>2</v>
      </c>
      <c r="CF17" s="80">
        <v>7</v>
      </c>
      <c r="CG17" s="95" t="str">
        <f t="shared" si="11"/>
        <v>ZM</v>
      </c>
      <c r="CH17" s="95">
        <f t="shared" si="12"/>
        <v>2</v>
      </c>
      <c r="CI17" s="95">
        <f t="shared" si="13"/>
        <v>42</v>
      </c>
      <c r="CJ17" s="95">
        <f t="shared" si="14"/>
        <v>10</v>
      </c>
      <c r="CK17" s="43" t="str">
        <f t="shared" si="15"/>
        <v>K00_C_0581</v>
      </c>
      <c r="CL17" s="43" t="str">
        <f>IFERROR(IF(INDEX(Estrutura_P01[#All],MATCH($C17,Estrutura_P01[[#All],[txtMAKT-MAKTX]],0),MATCH(CL$3,Estrutura_P01[#Headers],0))=0,"",INDEX(Estrutura_P01[#All],MATCH($C17,Estrutura_P01[[#All],[txtMAKT-MAKTX]],0),MATCH(CL$3,Estrutura_P01[#Headers],0))),"")</f>
        <v/>
      </c>
      <c r="CM17" s="43" t="str">
        <f>IFERROR(IF(INDEX(Estrutura_P01[#All],MATCH($C17,Estrutura_P01[[#All],[txtMAKT-MAKTX]],0),MATCH(CM$3,Estrutura_P01[#Headers],0))=0,"",INDEX(Estrutura_P01[#All],MATCH($C17,Estrutura_P01[[#All],[txtMAKT-MAKTX]],0),MATCH(CM$3,Estrutura_P01[#Headers],0))),"")</f>
        <v/>
      </c>
      <c r="CN17" s="43" t="str">
        <f>IFERROR(IF(INDEX(Estrutura_P01[#All],MATCH($C17,Estrutura_P01[[#All],[txtMAKT-MAKTX]],0),MATCH(CN$3,Estrutura_P01[#Headers],0))=0,"",INDEX(Estrutura_P01[#All],MATCH($C17,Estrutura_P01[[#All],[txtMAKT-MAKTX]],0),MATCH(CN$3,Estrutura_P01[#Headers],0))),"")</f>
        <v/>
      </c>
      <c r="CO17" s="43" t="str">
        <f>IFERROR(IF(INDEX(Estrutura_P01[#All],MATCH($C17,Estrutura_P01[[#All],[txtMAKT-MAKTX]],0),MATCH(CO$3,Estrutura_P01[#Headers],0))=0,"",INDEX(Estrutura_P01[#All],MATCH($C17,Estrutura_P01[[#All],[txtMAKT-MAKTX]],0),MATCH(CO$3,Estrutura_P01[#Headers],0))),"")</f>
        <v/>
      </c>
      <c r="CP17" s="43" t="str">
        <f>IFERROR(IF(INDEX(Estrutura_P01[#All],MATCH($C17,Estrutura_P01[[#All],[txtMAKT-MAKTX]],0),MATCH(CP$3,Estrutura_P01[#Headers],0))=0,"",INDEX(Estrutura_P01[#All],MATCH($C17,Estrutura_P01[[#All],[txtMAKT-MAKTX]],0),MATCH(CP$3,Estrutura_P01[#Headers],0))),"")</f>
        <v/>
      </c>
      <c r="CQ17" s="43" t="str">
        <f>IFERROR(IF(INDEX(Estrutura_P01[#All],MATCH($C17,Estrutura_P01[[#All],[txtMAKT-MAKTX]],0),MATCH(CQ$3,Estrutura_P01[#Headers],0))=0,"",INDEX(Estrutura_P01[#All],MATCH($C17,Estrutura_P01[[#All],[txtMAKT-MAKTX]],0),MATCH(CQ$3,Estrutura_P01[#Headers],0))),"")</f>
        <v/>
      </c>
      <c r="CR17" s="43" t="str">
        <f>IFERROR(IF(INDEX(Estrutura_P01[#All],MATCH($C17,Estrutura_P01[[#All],[txtMAKT-MAKTX]],0),MATCH(CR$3,Estrutura_P01[#Headers],0))=0,"",INDEX(Estrutura_P01[#All],MATCH($C17,Estrutura_P01[[#All],[txtMAKT-MAKTX]],0),MATCH(CR$3,Estrutura_P01[#Headers],0))),"")</f>
        <v/>
      </c>
      <c r="CS17" s="43" t="str">
        <f>IFERROR(IF(INDEX(Estrutura_P01[#All],MATCH($C17,Estrutura_P01[[#All],[txtMAKT-MAKTX]],0),MATCH(CS$3,Estrutura_P01[#Headers],0))=0,"",INDEX(Estrutura_P01[#All],MATCH($C17,Estrutura_P01[[#All],[txtMAKT-MAKTX]],0),MATCH(CS$3,Estrutura_P01[#Headers],0))),"")</f>
        <v/>
      </c>
      <c r="CU17" s="43" t="str">
        <f t="shared" si="16"/>
        <v/>
      </c>
      <c r="CV17" s="55"/>
      <c r="CW17" s="43" t="str">
        <f t="shared" ca="1" si="17"/>
        <v/>
      </c>
      <c r="CX17" s="43" t="str">
        <f t="shared" si="18"/>
        <v/>
      </c>
      <c r="CZ17" s="44"/>
      <c r="DA17" s="44">
        <v>2</v>
      </c>
      <c r="DB17" s="44">
        <v>1</v>
      </c>
      <c r="DC17" s="44"/>
      <c r="DD17" s="90" t="str">
        <f t="shared" si="19"/>
        <v/>
      </c>
      <c r="DE17" s="43">
        <f t="shared" si="20"/>
        <v>0.01</v>
      </c>
      <c r="DF17" s="43" t="str">
        <f t="shared" si="21"/>
        <v>KG</v>
      </c>
      <c r="DG17" s="44">
        <v>1</v>
      </c>
      <c r="DH17" s="50" t="s">
        <v>223</v>
      </c>
      <c r="DI17" s="50" t="s">
        <v>902</v>
      </c>
      <c r="DJ17" s="43" t="str">
        <f>IFERROR(IF(INDEX(Estrutura_P01[#All],MATCH($C17,Estrutura_P01[[#All],[txtMAKT-MAKTX]],0),MATCH(DJ$3,Estrutura_P01[#Headers],0))=0,"",INDEX(Estrutura_P01[#All],MATCH($C17,Estrutura_P01[[#All],[txtMAKT-MAKTX]],0),MATCH(DJ$3,Estrutura_P01[#Headers],0))),"")</f>
        <v/>
      </c>
      <c r="DK17" s="44">
        <v>1000</v>
      </c>
      <c r="DL17" s="60">
        <v>0</v>
      </c>
      <c r="DM17" s="44"/>
      <c r="DN17" s="44">
        <v>1</v>
      </c>
      <c r="DO17" s="44">
        <v>0</v>
      </c>
      <c r="DP17" s="44" t="s">
        <v>862</v>
      </c>
      <c r="DQ17" s="45">
        <v>0</v>
      </c>
      <c r="DR17" s="44">
        <v>1000</v>
      </c>
      <c r="DS17" s="91" t="str">
        <f>IF(AQ17=68,1,IFERROR(VLOOKUP(CM17,'Listas de Dados'!BX:BY,2,0),""))</f>
        <v/>
      </c>
      <c r="DT17" s="90" t="str">
        <f t="shared" ca="1" si="22"/>
        <v/>
      </c>
      <c r="DU17" s="65"/>
    </row>
    <row r="18" spans="1:125" x14ac:dyDescent="0.2">
      <c r="A18" s="7" t="str">
        <f t="shared" si="0"/>
        <v>Execução 14</v>
      </c>
      <c r="B18" s="87"/>
      <c r="C18" s="42"/>
      <c r="D18" s="43" t="str">
        <f>IFERROR(IF(INDEX(Estrutura_P01[#All],MATCH($C18,Estrutura_P01[[#All],[txtMAKT-MAKTX]],0),MATCH(D$3,Estrutura_P01[#Headers],0))=0,"",INDEX(Estrutura_P01[#All],MATCH($C18,Estrutura_P01[[#All],[txtMAKT-MAKTX]],0),MATCH(D$3,Estrutura_P01[#Headers],0))),"")</f>
        <v/>
      </c>
      <c r="E18" s="44" t="s">
        <v>100</v>
      </c>
      <c r="F18" s="79" t="s">
        <v>4</v>
      </c>
      <c r="G18" s="79" t="s">
        <v>11</v>
      </c>
      <c r="H18" s="79" t="str">
        <f t="shared" si="1"/>
        <v>0581</v>
      </c>
      <c r="I18" s="79" t="s">
        <v>6</v>
      </c>
      <c r="J18" s="79"/>
      <c r="L18" s="45" t="s">
        <v>101</v>
      </c>
      <c r="M18" s="45" t="s">
        <v>102</v>
      </c>
      <c r="N18" s="45" t="s">
        <v>103</v>
      </c>
      <c r="O18" s="45"/>
      <c r="P18" s="45"/>
      <c r="Q18" s="45"/>
      <c r="R18" s="45"/>
      <c r="S18" s="45"/>
      <c r="T18" s="45" t="s">
        <v>109</v>
      </c>
      <c r="U18" s="45" t="s">
        <v>110</v>
      </c>
      <c r="V18" s="45" t="s">
        <v>111</v>
      </c>
      <c r="W18" s="45" t="s">
        <v>112</v>
      </c>
      <c r="X18" s="45" t="s">
        <v>113</v>
      </c>
      <c r="Y18" s="45" t="s">
        <v>114</v>
      </c>
      <c r="Z18" s="45" t="s">
        <v>115</v>
      </c>
      <c r="AA18" s="45"/>
      <c r="AB18" s="45" t="s">
        <v>118</v>
      </c>
      <c r="AC18" s="45" t="s">
        <v>119</v>
      </c>
      <c r="AD18" s="45"/>
      <c r="AE18" s="45"/>
      <c r="AF18" s="45" t="s">
        <v>122</v>
      </c>
      <c r="AG18" s="45" t="s">
        <v>123</v>
      </c>
      <c r="AH18" s="45" t="s">
        <v>124</v>
      </c>
      <c r="AI18" s="45" t="s">
        <v>125</v>
      </c>
      <c r="AJ18" s="45" t="s">
        <v>126</v>
      </c>
      <c r="AK18" s="45"/>
      <c r="AL18" s="45"/>
      <c r="AN18" s="44" t="s">
        <v>297</v>
      </c>
      <c r="AO18" s="43" t="str">
        <f>IFERROR(IF(INDEX(Estrutura_P01[#All],MATCH($C18,Estrutura_P01[[#All],[txtMAKT-MAKTX]],0),MATCH(AO$3,Estrutura_P01[#Headers],0))=0,"",INDEX(Estrutura_P01[#All],MATCH($C18,Estrutura_P01[[#All],[txtMAKT-MAKTX]],0),MATCH(AO$3,Estrutura_P01[#Headers],0))),"")</f>
        <v/>
      </c>
      <c r="AP18" s="45"/>
      <c r="AQ18" s="43" t="str">
        <f>IFERROR(IF(INDEX(Estrutura_P01[#All],MATCH($C18,Estrutura_P01[[#All],[txtMAKT-MAKTX]],0),MATCH(AQ$3,Estrutura_P01[#Headers],0))=0,"",INDEX(Estrutura_P01[#All],MATCH($C18,Estrutura_P01[[#All],[txtMAKT-MAKTX]],0),MATCH(AQ$3,Estrutura_P01[#Headers],0))),"")</f>
        <v/>
      </c>
      <c r="AR18" s="45"/>
      <c r="AS18" s="46" t="str">
        <f t="shared" ca="1" si="2"/>
        <v/>
      </c>
      <c r="AT18" s="47" t="s">
        <v>864</v>
      </c>
      <c r="AU18" s="44">
        <v>1</v>
      </c>
      <c r="AV18" s="43">
        <f t="shared" si="3"/>
        <v>1</v>
      </c>
      <c r="AW18" s="48" t="s">
        <v>297</v>
      </c>
      <c r="AX18" s="43" t="str">
        <f>IFERROR(IF(INDEX(Estrutura_P01[#All],MATCH($C18,Estrutura_P01[[#All],[txtMAKT-MAKTX]],0),MATCH(AX$3,Estrutura_P01[#Headers],0))=0,"",INDEX(Estrutura_P01[#All],MATCH($C18,Estrutura_P01[[#All],[txtMAKT-MAKTX]],0),MATCH(AX$3,Estrutura_P01[#Headers],0))),"")</f>
        <v/>
      </c>
      <c r="AY18" s="44"/>
      <c r="AZ18" s="99">
        <v>99</v>
      </c>
      <c r="BA18" s="95" t="str">
        <f t="shared" ca="1" si="4"/>
        <v>17.05.2022</v>
      </c>
      <c r="BB18" s="50"/>
      <c r="BC18" s="50">
        <v>1</v>
      </c>
      <c r="BD18" s="50" t="s">
        <v>192</v>
      </c>
      <c r="BE18" s="95" t="str">
        <f t="shared" si="5"/>
        <v>01</v>
      </c>
      <c r="BF18" s="95" t="str">
        <f t="shared" si="6"/>
        <v>NORM</v>
      </c>
      <c r="BG18" s="44">
        <v>1</v>
      </c>
      <c r="BH18" s="44">
        <v>1</v>
      </c>
      <c r="BI18" s="44">
        <v>1</v>
      </c>
      <c r="BJ18" s="95" t="str">
        <f t="shared" si="7"/>
        <v>ZM</v>
      </c>
      <c r="BK18" s="50" t="s">
        <v>195</v>
      </c>
      <c r="BL18" s="50" t="s">
        <v>195</v>
      </c>
      <c r="BM18" s="43" t="str">
        <f>IFERROR(IF(INDEX(Estrutura_P01[#All],MATCH($C18,Estrutura_P01[[#All],[txtMAKT-MAKTX]],0),MATCH(BM$3,Estrutura_P01[#Headers],0))=0,"",INDEX(Estrutura_P01[#All],MATCH($C18,Estrutura_P01[[#All],[txtMAKT-MAKTX]],0),MATCH(BM$3,Estrutura_P01[#Headers],0))),"")</f>
        <v/>
      </c>
      <c r="BN18" s="44"/>
      <c r="BO18" s="50">
        <v>0</v>
      </c>
      <c r="BP18" s="45" t="s">
        <v>374</v>
      </c>
      <c r="BQ18" s="43" t="str">
        <f>IFERROR(IF(INDEX(Estrutura_P01[#All],MATCH($C18,Estrutura_P01[[#All],[txtMAKT-MAKTX]],0),MATCH(BQ$3,Estrutura_P01[#Headers],0))=0,"",INDEX(Estrutura_P01[#All],MATCH($C18,Estrutura_P01[[#All],[txtMAKT-MAKTX]],0),MATCH(BQ$3,Estrutura_P01[#Headers],0))),"")</f>
        <v/>
      </c>
      <c r="BR18" s="43" t="str">
        <f t="shared" si="8"/>
        <v>581</v>
      </c>
      <c r="BS18" s="45" t="s">
        <v>40</v>
      </c>
      <c r="BT18" s="98">
        <v>25000</v>
      </c>
      <c r="BU18" s="43" t="str">
        <f>IFERROR(IF(INDEX(Estrutura_P01[#All],MATCH($C18,Estrutura_P01[[#All],[txtMAKT-MAKTX]],0),MATCH(BU$3,Estrutura_P01[#Headers],0))=0,"",INDEX(Estrutura_P01[#All],MATCH($C18,Estrutura_P01[[#All],[txtMAKT-MAKTX]],0),MATCH(BU$3,Estrutura_P01[#Headers],0))),"")</f>
        <v/>
      </c>
      <c r="BV18" s="45">
        <v>0</v>
      </c>
      <c r="BW18" s="45" t="s">
        <v>473</v>
      </c>
      <c r="BX18" s="45"/>
      <c r="BY18" s="44"/>
      <c r="BZ18" s="49" t="str">
        <f t="shared" si="9"/>
        <v>0011</v>
      </c>
      <c r="CA18" s="49" t="str">
        <f t="shared" si="10"/>
        <v>0011</v>
      </c>
      <c r="CB18" s="45">
        <v>75</v>
      </c>
      <c r="CC18" s="44">
        <v>1</v>
      </c>
      <c r="CD18" s="50" t="s">
        <v>490</v>
      </c>
      <c r="CE18" s="80">
        <v>2</v>
      </c>
      <c r="CF18" s="80">
        <v>7</v>
      </c>
      <c r="CG18" s="95" t="str">
        <f t="shared" si="11"/>
        <v>ZM</v>
      </c>
      <c r="CH18" s="95">
        <f t="shared" si="12"/>
        <v>2</v>
      </c>
      <c r="CI18" s="95">
        <f t="shared" si="13"/>
        <v>42</v>
      </c>
      <c r="CJ18" s="95">
        <f t="shared" si="14"/>
        <v>10</v>
      </c>
      <c r="CK18" s="43" t="str">
        <f t="shared" si="15"/>
        <v>K00_C_0581</v>
      </c>
      <c r="CL18" s="43" t="str">
        <f>IFERROR(IF(INDEX(Estrutura_P01[#All],MATCH($C18,Estrutura_P01[[#All],[txtMAKT-MAKTX]],0),MATCH(CL$3,Estrutura_P01[#Headers],0))=0,"",INDEX(Estrutura_P01[#All],MATCH($C18,Estrutura_P01[[#All],[txtMAKT-MAKTX]],0),MATCH(CL$3,Estrutura_P01[#Headers],0))),"")</f>
        <v/>
      </c>
      <c r="CM18" s="43" t="str">
        <f>IFERROR(IF(INDEX(Estrutura_P01[#All],MATCH($C18,Estrutura_P01[[#All],[txtMAKT-MAKTX]],0),MATCH(CM$3,Estrutura_P01[#Headers],0))=0,"",INDEX(Estrutura_P01[#All],MATCH($C18,Estrutura_P01[[#All],[txtMAKT-MAKTX]],0),MATCH(CM$3,Estrutura_P01[#Headers],0))),"")</f>
        <v/>
      </c>
      <c r="CN18" s="43" t="str">
        <f>IFERROR(IF(INDEX(Estrutura_P01[#All],MATCH($C18,Estrutura_P01[[#All],[txtMAKT-MAKTX]],0),MATCH(CN$3,Estrutura_P01[#Headers],0))=0,"",INDEX(Estrutura_P01[#All],MATCH($C18,Estrutura_P01[[#All],[txtMAKT-MAKTX]],0),MATCH(CN$3,Estrutura_P01[#Headers],0))),"")</f>
        <v/>
      </c>
      <c r="CO18" s="43" t="str">
        <f>IFERROR(IF(INDEX(Estrutura_P01[#All],MATCH($C18,Estrutura_P01[[#All],[txtMAKT-MAKTX]],0),MATCH(CO$3,Estrutura_P01[#Headers],0))=0,"",INDEX(Estrutura_P01[#All],MATCH($C18,Estrutura_P01[[#All],[txtMAKT-MAKTX]],0),MATCH(CO$3,Estrutura_P01[#Headers],0))),"")</f>
        <v/>
      </c>
      <c r="CP18" s="43" t="str">
        <f>IFERROR(IF(INDEX(Estrutura_P01[#All],MATCH($C18,Estrutura_P01[[#All],[txtMAKT-MAKTX]],0),MATCH(CP$3,Estrutura_P01[#Headers],0))=0,"",INDEX(Estrutura_P01[#All],MATCH($C18,Estrutura_P01[[#All],[txtMAKT-MAKTX]],0),MATCH(CP$3,Estrutura_P01[#Headers],0))),"")</f>
        <v/>
      </c>
      <c r="CQ18" s="43" t="str">
        <f>IFERROR(IF(INDEX(Estrutura_P01[#All],MATCH($C18,Estrutura_P01[[#All],[txtMAKT-MAKTX]],0),MATCH(CQ$3,Estrutura_P01[#Headers],0))=0,"",INDEX(Estrutura_P01[#All],MATCH($C18,Estrutura_P01[[#All],[txtMAKT-MAKTX]],0),MATCH(CQ$3,Estrutura_P01[#Headers],0))),"")</f>
        <v/>
      </c>
      <c r="CR18" s="43" t="str">
        <f>IFERROR(IF(INDEX(Estrutura_P01[#All],MATCH($C18,Estrutura_P01[[#All],[txtMAKT-MAKTX]],0),MATCH(CR$3,Estrutura_P01[#Headers],0))=0,"",INDEX(Estrutura_P01[#All],MATCH($C18,Estrutura_P01[[#All],[txtMAKT-MAKTX]],0),MATCH(CR$3,Estrutura_P01[#Headers],0))),"")</f>
        <v/>
      </c>
      <c r="CS18" s="43" t="str">
        <f>IFERROR(IF(INDEX(Estrutura_P01[#All],MATCH($C18,Estrutura_P01[[#All],[txtMAKT-MAKTX]],0),MATCH(CS$3,Estrutura_P01[#Headers],0))=0,"",INDEX(Estrutura_P01[#All],MATCH($C18,Estrutura_P01[[#All],[txtMAKT-MAKTX]],0),MATCH(CS$3,Estrutura_P01[#Headers],0))),"")</f>
        <v/>
      </c>
      <c r="CU18" s="43" t="str">
        <f t="shared" si="16"/>
        <v/>
      </c>
      <c r="CV18" s="55"/>
      <c r="CW18" s="43" t="str">
        <f t="shared" ca="1" si="17"/>
        <v/>
      </c>
      <c r="CX18" s="43" t="str">
        <f t="shared" si="18"/>
        <v/>
      </c>
      <c r="CZ18" s="44"/>
      <c r="DA18" s="44">
        <v>2</v>
      </c>
      <c r="DB18" s="44">
        <v>1</v>
      </c>
      <c r="DC18" s="44"/>
      <c r="DD18" s="90" t="str">
        <f t="shared" si="19"/>
        <v/>
      </c>
      <c r="DE18" s="43">
        <f t="shared" si="20"/>
        <v>0.01</v>
      </c>
      <c r="DF18" s="43" t="str">
        <f t="shared" si="21"/>
        <v>KG</v>
      </c>
      <c r="DG18" s="44">
        <v>1</v>
      </c>
      <c r="DH18" s="50" t="s">
        <v>223</v>
      </c>
      <c r="DI18" s="50" t="s">
        <v>902</v>
      </c>
      <c r="DJ18" s="43" t="str">
        <f>IFERROR(IF(INDEX(Estrutura_P01[#All],MATCH($C18,Estrutura_P01[[#All],[txtMAKT-MAKTX]],0),MATCH(DJ$3,Estrutura_P01[#Headers],0))=0,"",INDEX(Estrutura_P01[#All],MATCH($C18,Estrutura_P01[[#All],[txtMAKT-MAKTX]],0),MATCH(DJ$3,Estrutura_P01[#Headers],0))),"")</f>
        <v/>
      </c>
      <c r="DK18" s="44">
        <v>1000</v>
      </c>
      <c r="DL18" s="60">
        <v>0</v>
      </c>
      <c r="DM18" s="44"/>
      <c r="DN18" s="44">
        <v>1</v>
      </c>
      <c r="DO18" s="44">
        <v>0</v>
      </c>
      <c r="DP18" s="44" t="s">
        <v>862</v>
      </c>
      <c r="DQ18" s="45">
        <v>0</v>
      </c>
      <c r="DR18" s="44">
        <v>1000</v>
      </c>
      <c r="DS18" s="91" t="str">
        <f>IF(AQ18=68,1,IFERROR(VLOOKUP(CM18,'Listas de Dados'!BX:BY,2,0),""))</f>
        <v/>
      </c>
      <c r="DT18" s="90" t="str">
        <f t="shared" ca="1" si="22"/>
        <v/>
      </c>
      <c r="DU18" s="65"/>
    </row>
    <row r="19" spans="1:125" x14ac:dyDescent="0.2">
      <c r="A19" s="7" t="str">
        <f t="shared" si="0"/>
        <v>Execução 15</v>
      </c>
      <c r="B19" s="87"/>
      <c r="C19" s="42"/>
      <c r="D19" s="43" t="str">
        <f>IFERROR(IF(INDEX(Estrutura_P01[#All],MATCH($C19,Estrutura_P01[[#All],[txtMAKT-MAKTX]],0),MATCH(D$3,Estrutura_P01[#Headers],0))=0,"",INDEX(Estrutura_P01[#All],MATCH($C19,Estrutura_P01[[#All],[txtMAKT-MAKTX]],0),MATCH(D$3,Estrutura_P01[#Headers],0))),"")</f>
        <v/>
      </c>
      <c r="E19" s="44" t="s">
        <v>100</v>
      </c>
      <c r="F19" s="79" t="s">
        <v>4</v>
      </c>
      <c r="G19" s="79" t="s">
        <v>11</v>
      </c>
      <c r="H19" s="79" t="str">
        <f t="shared" si="1"/>
        <v>0581</v>
      </c>
      <c r="I19" s="79" t="s">
        <v>6</v>
      </c>
      <c r="J19" s="79"/>
      <c r="L19" s="45" t="s">
        <v>101</v>
      </c>
      <c r="M19" s="45" t="s">
        <v>102</v>
      </c>
      <c r="N19" s="45" t="s">
        <v>103</v>
      </c>
      <c r="O19" s="45"/>
      <c r="P19" s="45"/>
      <c r="Q19" s="45"/>
      <c r="R19" s="45"/>
      <c r="S19" s="45"/>
      <c r="T19" s="45" t="s">
        <v>109</v>
      </c>
      <c r="U19" s="45" t="s">
        <v>110</v>
      </c>
      <c r="V19" s="45" t="s">
        <v>111</v>
      </c>
      <c r="W19" s="45" t="s">
        <v>112</v>
      </c>
      <c r="X19" s="45" t="s">
        <v>113</v>
      </c>
      <c r="Y19" s="45" t="s">
        <v>114</v>
      </c>
      <c r="Z19" s="45" t="s">
        <v>115</v>
      </c>
      <c r="AA19" s="45"/>
      <c r="AB19" s="45" t="s">
        <v>118</v>
      </c>
      <c r="AC19" s="45" t="s">
        <v>119</v>
      </c>
      <c r="AD19" s="45"/>
      <c r="AE19" s="45"/>
      <c r="AF19" s="45" t="s">
        <v>122</v>
      </c>
      <c r="AG19" s="45" t="s">
        <v>123</v>
      </c>
      <c r="AH19" s="45" t="s">
        <v>124</v>
      </c>
      <c r="AI19" s="45" t="s">
        <v>125</v>
      </c>
      <c r="AJ19" s="45" t="s">
        <v>126</v>
      </c>
      <c r="AK19" s="45"/>
      <c r="AL19" s="45"/>
      <c r="AN19" s="44" t="s">
        <v>297</v>
      </c>
      <c r="AO19" s="43" t="str">
        <f>IFERROR(IF(INDEX(Estrutura_P01[#All],MATCH($C19,Estrutura_P01[[#All],[txtMAKT-MAKTX]],0),MATCH(AO$3,Estrutura_P01[#Headers],0))=0,"",INDEX(Estrutura_P01[#All],MATCH($C19,Estrutura_P01[[#All],[txtMAKT-MAKTX]],0),MATCH(AO$3,Estrutura_P01[#Headers],0))),"")</f>
        <v/>
      </c>
      <c r="AP19" s="45"/>
      <c r="AQ19" s="43" t="str">
        <f>IFERROR(IF(INDEX(Estrutura_P01[#All],MATCH($C19,Estrutura_P01[[#All],[txtMAKT-MAKTX]],0),MATCH(AQ$3,Estrutura_P01[#Headers],0))=0,"",INDEX(Estrutura_P01[#All],MATCH($C19,Estrutura_P01[[#All],[txtMAKT-MAKTX]],0),MATCH(AQ$3,Estrutura_P01[#Headers],0))),"")</f>
        <v/>
      </c>
      <c r="AR19" s="45"/>
      <c r="AS19" s="46" t="str">
        <f t="shared" ca="1" si="2"/>
        <v/>
      </c>
      <c r="AT19" s="47" t="s">
        <v>864</v>
      </c>
      <c r="AU19" s="44">
        <v>1</v>
      </c>
      <c r="AV19" s="43">
        <f t="shared" si="3"/>
        <v>1</v>
      </c>
      <c r="AW19" s="48" t="s">
        <v>297</v>
      </c>
      <c r="AX19" s="43" t="str">
        <f>IFERROR(IF(INDEX(Estrutura_P01[#All],MATCH($C19,Estrutura_P01[[#All],[txtMAKT-MAKTX]],0),MATCH(AX$3,Estrutura_P01[#Headers],0))=0,"",INDEX(Estrutura_P01[#All],MATCH($C19,Estrutura_P01[[#All],[txtMAKT-MAKTX]],0),MATCH(AX$3,Estrutura_P01[#Headers],0))),"")</f>
        <v/>
      </c>
      <c r="AY19" s="44"/>
      <c r="AZ19" s="99">
        <v>99</v>
      </c>
      <c r="BA19" s="95" t="str">
        <f t="shared" ca="1" si="4"/>
        <v>17.05.2022</v>
      </c>
      <c r="BB19" s="50"/>
      <c r="BC19" s="50">
        <v>1</v>
      </c>
      <c r="BD19" s="50" t="s">
        <v>192</v>
      </c>
      <c r="BE19" s="95" t="str">
        <f t="shared" si="5"/>
        <v>01</v>
      </c>
      <c r="BF19" s="95" t="str">
        <f t="shared" si="6"/>
        <v>NORM</v>
      </c>
      <c r="BG19" s="44">
        <v>1</v>
      </c>
      <c r="BH19" s="44">
        <v>1</v>
      </c>
      <c r="BI19" s="44">
        <v>1</v>
      </c>
      <c r="BJ19" s="95" t="str">
        <f t="shared" si="7"/>
        <v>ZM</v>
      </c>
      <c r="BK19" s="50" t="s">
        <v>195</v>
      </c>
      <c r="BL19" s="50" t="s">
        <v>195</v>
      </c>
      <c r="BM19" s="43" t="str">
        <f>IFERROR(IF(INDEX(Estrutura_P01[#All],MATCH($C19,Estrutura_P01[[#All],[txtMAKT-MAKTX]],0),MATCH(BM$3,Estrutura_P01[#Headers],0))=0,"",INDEX(Estrutura_P01[#All],MATCH($C19,Estrutura_P01[[#All],[txtMAKT-MAKTX]],0),MATCH(BM$3,Estrutura_P01[#Headers],0))),"")</f>
        <v/>
      </c>
      <c r="BN19" s="44"/>
      <c r="BO19" s="50">
        <v>0</v>
      </c>
      <c r="BP19" s="45" t="s">
        <v>374</v>
      </c>
      <c r="BQ19" s="43" t="str">
        <f>IFERROR(IF(INDEX(Estrutura_P01[#All],MATCH($C19,Estrutura_P01[[#All],[txtMAKT-MAKTX]],0),MATCH(BQ$3,Estrutura_P01[#Headers],0))=0,"",INDEX(Estrutura_P01[#All],MATCH($C19,Estrutura_P01[[#All],[txtMAKT-MAKTX]],0),MATCH(BQ$3,Estrutura_P01[#Headers],0))),"")</f>
        <v/>
      </c>
      <c r="BR19" s="43" t="str">
        <f t="shared" si="8"/>
        <v>581</v>
      </c>
      <c r="BS19" s="45" t="s">
        <v>40</v>
      </c>
      <c r="BT19" s="98">
        <v>25000</v>
      </c>
      <c r="BU19" s="43" t="str">
        <f>IFERROR(IF(INDEX(Estrutura_P01[#All],MATCH($C19,Estrutura_P01[[#All],[txtMAKT-MAKTX]],0),MATCH(BU$3,Estrutura_P01[#Headers],0))=0,"",INDEX(Estrutura_P01[#All],MATCH($C19,Estrutura_P01[[#All],[txtMAKT-MAKTX]],0),MATCH(BU$3,Estrutura_P01[#Headers],0))),"")</f>
        <v/>
      </c>
      <c r="BV19" s="45">
        <v>0</v>
      </c>
      <c r="BW19" s="45" t="s">
        <v>473</v>
      </c>
      <c r="BX19" s="45"/>
      <c r="BY19" s="44"/>
      <c r="BZ19" s="49" t="str">
        <f t="shared" si="9"/>
        <v>0011</v>
      </c>
      <c r="CA19" s="49" t="str">
        <f t="shared" si="10"/>
        <v>0011</v>
      </c>
      <c r="CB19" s="45">
        <v>75</v>
      </c>
      <c r="CC19" s="44">
        <v>1</v>
      </c>
      <c r="CD19" s="50" t="s">
        <v>490</v>
      </c>
      <c r="CE19" s="80">
        <v>2</v>
      </c>
      <c r="CF19" s="80">
        <v>7</v>
      </c>
      <c r="CG19" s="95" t="str">
        <f t="shared" si="11"/>
        <v>ZM</v>
      </c>
      <c r="CH19" s="95">
        <f t="shared" si="12"/>
        <v>2</v>
      </c>
      <c r="CI19" s="95">
        <f t="shared" si="13"/>
        <v>42</v>
      </c>
      <c r="CJ19" s="95">
        <f t="shared" si="14"/>
        <v>10</v>
      </c>
      <c r="CK19" s="43" t="str">
        <f t="shared" si="15"/>
        <v>K00_C_0581</v>
      </c>
      <c r="CL19" s="43" t="str">
        <f>IFERROR(IF(INDEX(Estrutura_P01[#All],MATCH($C19,Estrutura_P01[[#All],[txtMAKT-MAKTX]],0),MATCH(CL$3,Estrutura_P01[#Headers],0))=0,"",INDEX(Estrutura_P01[#All],MATCH($C19,Estrutura_P01[[#All],[txtMAKT-MAKTX]],0),MATCH(CL$3,Estrutura_P01[#Headers],0))),"")</f>
        <v/>
      </c>
      <c r="CM19" s="43" t="str">
        <f>IFERROR(IF(INDEX(Estrutura_P01[#All],MATCH($C19,Estrutura_P01[[#All],[txtMAKT-MAKTX]],0),MATCH(CM$3,Estrutura_P01[#Headers],0))=0,"",INDEX(Estrutura_P01[#All],MATCH($C19,Estrutura_P01[[#All],[txtMAKT-MAKTX]],0),MATCH(CM$3,Estrutura_P01[#Headers],0))),"")</f>
        <v/>
      </c>
      <c r="CN19" s="43" t="str">
        <f>IFERROR(IF(INDEX(Estrutura_P01[#All],MATCH($C19,Estrutura_P01[[#All],[txtMAKT-MAKTX]],0),MATCH(CN$3,Estrutura_P01[#Headers],0))=0,"",INDEX(Estrutura_P01[#All],MATCH($C19,Estrutura_P01[[#All],[txtMAKT-MAKTX]],0),MATCH(CN$3,Estrutura_P01[#Headers],0))),"")</f>
        <v/>
      </c>
      <c r="CO19" s="43" t="str">
        <f>IFERROR(IF(INDEX(Estrutura_P01[#All],MATCH($C19,Estrutura_P01[[#All],[txtMAKT-MAKTX]],0),MATCH(CO$3,Estrutura_P01[#Headers],0))=0,"",INDEX(Estrutura_P01[#All],MATCH($C19,Estrutura_P01[[#All],[txtMAKT-MAKTX]],0),MATCH(CO$3,Estrutura_P01[#Headers],0))),"")</f>
        <v/>
      </c>
      <c r="CP19" s="43" t="str">
        <f>IFERROR(IF(INDEX(Estrutura_P01[#All],MATCH($C19,Estrutura_P01[[#All],[txtMAKT-MAKTX]],0),MATCH(CP$3,Estrutura_P01[#Headers],0))=0,"",INDEX(Estrutura_P01[#All],MATCH($C19,Estrutura_P01[[#All],[txtMAKT-MAKTX]],0),MATCH(CP$3,Estrutura_P01[#Headers],0))),"")</f>
        <v/>
      </c>
      <c r="CQ19" s="43" t="str">
        <f>IFERROR(IF(INDEX(Estrutura_P01[#All],MATCH($C19,Estrutura_P01[[#All],[txtMAKT-MAKTX]],0),MATCH(CQ$3,Estrutura_P01[#Headers],0))=0,"",INDEX(Estrutura_P01[#All],MATCH($C19,Estrutura_P01[[#All],[txtMAKT-MAKTX]],0),MATCH(CQ$3,Estrutura_P01[#Headers],0))),"")</f>
        <v/>
      </c>
      <c r="CR19" s="43" t="str">
        <f>IFERROR(IF(INDEX(Estrutura_P01[#All],MATCH($C19,Estrutura_P01[[#All],[txtMAKT-MAKTX]],0),MATCH(CR$3,Estrutura_P01[#Headers],0))=0,"",INDEX(Estrutura_P01[#All],MATCH($C19,Estrutura_P01[[#All],[txtMAKT-MAKTX]],0),MATCH(CR$3,Estrutura_P01[#Headers],0))),"")</f>
        <v/>
      </c>
      <c r="CS19" s="43" t="str">
        <f>IFERROR(IF(INDEX(Estrutura_P01[#All],MATCH($C19,Estrutura_P01[[#All],[txtMAKT-MAKTX]],0),MATCH(CS$3,Estrutura_P01[#Headers],0))=0,"",INDEX(Estrutura_P01[#All],MATCH($C19,Estrutura_P01[[#All],[txtMAKT-MAKTX]],0),MATCH(CS$3,Estrutura_P01[#Headers],0))),"")</f>
        <v/>
      </c>
      <c r="CU19" s="43" t="str">
        <f t="shared" si="16"/>
        <v/>
      </c>
      <c r="CV19" s="55"/>
      <c r="CW19" s="43" t="str">
        <f t="shared" ca="1" si="17"/>
        <v/>
      </c>
      <c r="CX19" s="43" t="str">
        <f t="shared" si="18"/>
        <v/>
      </c>
      <c r="CZ19" s="44"/>
      <c r="DA19" s="44">
        <v>2</v>
      </c>
      <c r="DB19" s="44">
        <v>1</v>
      </c>
      <c r="DC19" s="44"/>
      <c r="DD19" s="90" t="str">
        <f t="shared" si="19"/>
        <v/>
      </c>
      <c r="DE19" s="43">
        <f t="shared" si="20"/>
        <v>0.01</v>
      </c>
      <c r="DF19" s="43" t="str">
        <f t="shared" si="21"/>
        <v>KG</v>
      </c>
      <c r="DG19" s="44">
        <v>1</v>
      </c>
      <c r="DH19" s="50" t="s">
        <v>223</v>
      </c>
      <c r="DI19" s="50" t="s">
        <v>902</v>
      </c>
      <c r="DJ19" s="43" t="str">
        <f>IFERROR(IF(INDEX(Estrutura_P01[#All],MATCH($C19,Estrutura_P01[[#All],[txtMAKT-MAKTX]],0),MATCH(DJ$3,Estrutura_P01[#Headers],0))=0,"",INDEX(Estrutura_P01[#All],MATCH($C19,Estrutura_P01[[#All],[txtMAKT-MAKTX]],0),MATCH(DJ$3,Estrutura_P01[#Headers],0))),"")</f>
        <v/>
      </c>
      <c r="DK19" s="44">
        <v>1000</v>
      </c>
      <c r="DL19" s="60">
        <v>0</v>
      </c>
      <c r="DM19" s="44"/>
      <c r="DN19" s="44">
        <v>1</v>
      </c>
      <c r="DO19" s="44">
        <v>0</v>
      </c>
      <c r="DP19" s="44" t="s">
        <v>862</v>
      </c>
      <c r="DQ19" s="45">
        <v>0</v>
      </c>
      <c r="DR19" s="44">
        <v>1000</v>
      </c>
      <c r="DS19" s="91" t="str">
        <f>IF(AQ19=68,1,IFERROR(VLOOKUP(CM19,'Listas de Dados'!BX:BY,2,0),""))</f>
        <v/>
      </c>
      <c r="DT19" s="90" t="str">
        <f t="shared" ca="1" si="22"/>
        <v/>
      </c>
      <c r="DU19" s="65"/>
    </row>
    <row r="20" spans="1:125" x14ac:dyDescent="0.2">
      <c r="A20" s="7" t="str">
        <f t="shared" si="0"/>
        <v>Execução 16</v>
      </c>
      <c r="B20" s="87"/>
      <c r="C20" s="42"/>
      <c r="D20" s="43" t="str">
        <f>IFERROR(IF(INDEX(Estrutura_P01[#All],MATCH($C20,Estrutura_P01[[#All],[txtMAKT-MAKTX]],0),MATCH(D$3,Estrutura_P01[#Headers],0))=0,"",INDEX(Estrutura_P01[#All],MATCH($C20,Estrutura_P01[[#All],[txtMAKT-MAKTX]],0),MATCH(D$3,Estrutura_P01[#Headers],0))),"")</f>
        <v/>
      </c>
      <c r="E20" s="44" t="s">
        <v>100</v>
      </c>
      <c r="F20" s="79" t="s">
        <v>4</v>
      </c>
      <c r="G20" s="79" t="s">
        <v>11</v>
      </c>
      <c r="H20" s="79" t="str">
        <f t="shared" si="1"/>
        <v>0581</v>
      </c>
      <c r="I20" s="79" t="s">
        <v>6</v>
      </c>
      <c r="J20" s="79"/>
      <c r="L20" s="45" t="s">
        <v>101</v>
      </c>
      <c r="M20" s="45" t="s">
        <v>102</v>
      </c>
      <c r="N20" s="45" t="s">
        <v>103</v>
      </c>
      <c r="O20" s="45"/>
      <c r="P20" s="45"/>
      <c r="Q20" s="45"/>
      <c r="R20" s="45"/>
      <c r="S20" s="45"/>
      <c r="T20" s="45" t="s">
        <v>109</v>
      </c>
      <c r="U20" s="45" t="s">
        <v>110</v>
      </c>
      <c r="V20" s="45" t="s">
        <v>111</v>
      </c>
      <c r="W20" s="45" t="s">
        <v>112</v>
      </c>
      <c r="X20" s="45" t="s">
        <v>113</v>
      </c>
      <c r="Y20" s="45" t="s">
        <v>114</v>
      </c>
      <c r="Z20" s="45" t="s">
        <v>115</v>
      </c>
      <c r="AA20" s="45"/>
      <c r="AB20" s="45" t="s">
        <v>118</v>
      </c>
      <c r="AC20" s="45" t="s">
        <v>119</v>
      </c>
      <c r="AD20" s="45"/>
      <c r="AE20" s="45"/>
      <c r="AF20" s="45" t="s">
        <v>122</v>
      </c>
      <c r="AG20" s="45" t="s">
        <v>123</v>
      </c>
      <c r="AH20" s="45" t="s">
        <v>124</v>
      </c>
      <c r="AI20" s="45" t="s">
        <v>125</v>
      </c>
      <c r="AJ20" s="45" t="s">
        <v>126</v>
      </c>
      <c r="AK20" s="45"/>
      <c r="AL20" s="45"/>
      <c r="AN20" s="44" t="s">
        <v>297</v>
      </c>
      <c r="AO20" s="43" t="str">
        <f>IFERROR(IF(INDEX(Estrutura_P01[#All],MATCH($C20,Estrutura_P01[[#All],[txtMAKT-MAKTX]],0),MATCH(AO$3,Estrutura_P01[#Headers],0))=0,"",INDEX(Estrutura_P01[#All],MATCH($C20,Estrutura_P01[[#All],[txtMAKT-MAKTX]],0),MATCH(AO$3,Estrutura_P01[#Headers],0))),"")</f>
        <v/>
      </c>
      <c r="AP20" s="45"/>
      <c r="AQ20" s="43" t="str">
        <f>IFERROR(IF(INDEX(Estrutura_P01[#All],MATCH($C20,Estrutura_P01[[#All],[txtMAKT-MAKTX]],0),MATCH(AQ$3,Estrutura_P01[#Headers],0))=0,"",INDEX(Estrutura_P01[#All],MATCH($C20,Estrutura_P01[[#All],[txtMAKT-MAKTX]],0),MATCH(AQ$3,Estrutura_P01[#Headers],0))),"")</f>
        <v/>
      </c>
      <c r="AR20" s="45"/>
      <c r="AS20" s="46" t="str">
        <f t="shared" ca="1" si="2"/>
        <v/>
      </c>
      <c r="AT20" s="47" t="s">
        <v>864</v>
      </c>
      <c r="AU20" s="44">
        <v>1</v>
      </c>
      <c r="AV20" s="43">
        <f t="shared" si="3"/>
        <v>1</v>
      </c>
      <c r="AW20" s="48" t="s">
        <v>297</v>
      </c>
      <c r="AX20" s="43" t="str">
        <f>IFERROR(IF(INDEX(Estrutura_P01[#All],MATCH($C20,Estrutura_P01[[#All],[txtMAKT-MAKTX]],0),MATCH(AX$3,Estrutura_P01[#Headers],0))=0,"",INDEX(Estrutura_P01[#All],MATCH($C20,Estrutura_P01[[#All],[txtMAKT-MAKTX]],0),MATCH(AX$3,Estrutura_P01[#Headers],0))),"")</f>
        <v/>
      </c>
      <c r="AY20" s="44"/>
      <c r="AZ20" s="99">
        <v>99</v>
      </c>
      <c r="BA20" s="95" t="str">
        <f t="shared" ca="1" si="4"/>
        <v>17.05.2022</v>
      </c>
      <c r="BB20" s="50"/>
      <c r="BC20" s="50">
        <v>1</v>
      </c>
      <c r="BD20" s="50" t="s">
        <v>192</v>
      </c>
      <c r="BE20" s="95" t="str">
        <f t="shared" si="5"/>
        <v>01</v>
      </c>
      <c r="BF20" s="95" t="str">
        <f t="shared" si="6"/>
        <v>NORM</v>
      </c>
      <c r="BG20" s="44">
        <v>1</v>
      </c>
      <c r="BH20" s="44">
        <v>1</v>
      </c>
      <c r="BI20" s="44">
        <v>1</v>
      </c>
      <c r="BJ20" s="95" t="str">
        <f t="shared" si="7"/>
        <v>ZM</v>
      </c>
      <c r="BK20" s="50" t="s">
        <v>195</v>
      </c>
      <c r="BL20" s="50" t="s">
        <v>195</v>
      </c>
      <c r="BM20" s="43" t="str">
        <f>IFERROR(IF(INDEX(Estrutura_P01[#All],MATCH($C20,Estrutura_P01[[#All],[txtMAKT-MAKTX]],0),MATCH(BM$3,Estrutura_P01[#Headers],0))=0,"",INDEX(Estrutura_P01[#All],MATCH($C20,Estrutura_P01[[#All],[txtMAKT-MAKTX]],0),MATCH(BM$3,Estrutura_P01[#Headers],0))),"")</f>
        <v/>
      </c>
      <c r="BN20" s="44"/>
      <c r="BO20" s="50">
        <v>0</v>
      </c>
      <c r="BP20" s="45" t="s">
        <v>374</v>
      </c>
      <c r="BQ20" s="43" t="str">
        <f>IFERROR(IF(INDEX(Estrutura_P01[#All],MATCH($C20,Estrutura_P01[[#All],[txtMAKT-MAKTX]],0),MATCH(BQ$3,Estrutura_P01[#Headers],0))=0,"",INDEX(Estrutura_P01[#All],MATCH($C20,Estrutura_P01[[#All],[txtMAKT-MAKTX]],0),MATCH(BQ$3,Estrutura_P01[#Headers],0))),"")</f>
        <v/>
      </c>
      <c r="BR20" s="43" t="str">
        <f t="shared" si="8"/>
        <v>581</v>
      </c>
      <c r="BS20" s="45" t="s">
        <v>40</v>
      </c>
      <c r="BT20" s="98">
        <v>25000</v>
      </c>
      <c r="BU20" s="43" t="str">
        <f>IFERROR(IF(INDEX(Estrutura_P01[#All],MATCH($C20,Estrutura_P01[[#All],[txtMAKT-MAKTX]],0),MATCH(BU$3,Estrutura_P01[#Headers],0))=0,"",INDEX(Estrutura_P01[#All],MATCH($C20,Estrutura_P01[[#All],[txtMAKT-MAKTX]],0),MATCH(BU$3,Estrutura_P01[#Headers],0))),"")</f>
        <v/>
      </c>
      <c r="BV20" s="45">
        <v>0</v>
      </c>
      <c r="BW20" s="45" t="s">
        <v>473</v>
      </c>
      <c r="BX20" s="45"/>
      <c r="BY20" s="44"/>
      <c r="BZ20" s="49" t="str">
        <f t="shared" si="9"/>
        <v>0011</v>
      </c>
      <c r="CA20" s="49" t="str">
        <f t="shared" si="10"/>
        <v>0011</v>
      </c>
      <c r="CB20" s="45">
        <v>75</v>
      </c>
      <c r="CC20" s="44">
        <v>1</v>
      </c>
      <c r="CD20" s="50" t="s">
        <v>490</v>
      </c>
      <c r="CE20" s="80">
        <v>2</v>
      </c>
      <c r="CF20" s="80">
        <v>7</v>
      </c>
      <c r="CG20" s="95" t="str">
        <f t="shared" si="11"/>
        <v>ZM</v>
      </c>
      <c r="CH20" s="95">
        <f t="shared" si="12"/>
        <v>2</v>
      </c>
      <c r="CI20" s="95">
        <f t="shared" si="13"/>
        <v>42</v>
      </c>
      <c r="CJ20" s="95">
        <f t="shared" si="14"/>
        <v>10</v>
      </c>
      <c r="CK20" s="43" t="str">
        <f t="shared" si="15"/>
        <v>K00_C_0581</v>
      </c>
      <c r="CL20" s="43" t="str">
        <f>IFERROR(IF(INDEX(Estrutura_P01[#All],MATCH($C20,Estrutura_P01[[#All],[txtMAKT-MAKTX]],0),MATCH(CL$3,Estrutura_P01[#Headers],0))=0,"",INDEX(Estrutura_P01[#All],MATCH($C20,Estrutura_P01[[#All],[txtMAKT-MAKTX]],0),MATCH(CL$3,Estrutura_P01[#Headers],0))),"")</f>
        <v/>
      </c>
      <c r="CM20" s="43" t="str">
        <f>IFERROR(IF(INDEX(Estrutura_P01[#All],MATCH($C20,Estrutura_P01[[#All],[txtMAKT-MAKTX]],0),MATCH(CM$3,Estrutura_P01[#Headers],0))=0,"",INDEX(Estrutura_P01[#All],MATCH($C20,Estrutura_P01[[#All],[txtMAKT-MAKTX]],0),MATCH(CM$3,Estrutura_P01[#Headers],0))),"")</f>
        <v/>
      </c>
      <c r="CN20" s="43" t="str">
        <f>IFERROR(IF(INDEX(Estrutura_P01[#All],MATCH($C20,Estrutura_P01[[#All],[txtMAKT-MAKTX]],0),MATCH(CN$3,Estrutura_P01[#Headers],0))=0,"",INDEX(Estrutura_P01[#All],MATCH($C20,Estrutura_P01[[#All],[txtMAKT-MAKTX]],0),MATCH(CN$3,Estrutura_P01[#Headers],0))),"")</f>
        <v/>
      </c>
      <c r="CO20" s="43" t="str">
        <f>IFERROR(IF(INDEX(Estrutura_P01[#All],MATCH($C20,Estrutura_P01[[#All],[txtMAKT-MAKTX]],0),MATCH(CO$3,Estrutura_P01[#Headers],0))=0,"",INDEX(Estrutura_P01[#All],MATCH($C20,Estrutura_P01[[#All],[txtMAKT-MAKTX]],0),MATCH(CO$3,Estrutura_P01[#Headers],0))),"")</f>
        <v/>
      </c>
      <c r="CP20" s="43" t="str">
        <f>IFERROR(IF(INDEX(Estrutura_P01[#All],MATCH($C20,Estrutura_P01[[#All],[txtMAKT-MAKTX]],0),MATCH(CP$3,Estrutura_P01[#Headers],0))=0,"",INDEX(Estrutura_P01[#All],MATCH($C20,Estrutura_P01[[#All],[txtMAKT-MAKTX]],0),MATCH(CP$3,Estrutura_P01[#Headers],0))),"")</f>
        <v/>
      </c>
      <c r="CQ20" s="43" t="str">
        <f>IFERROR(IF(INDEX(Estrutura_P01[#All],MATCH($C20,Estrutura_P01[[#All],[txtMAKT-MAKTX]],0),MATCH(CQ$3,Estrutura_P01[#Headers],0))=0,"",INDEX(Estrutura_P01[#All],MATCH($C20,Estrutura_P01[[#All],[txtMAKT-MAKTX]],0),MATCH(CQ$3,Estrutura_P01[#Headers],0))),"")</f>
        <v/>
      </c>
      <c r="CR20" s="43" t="str">
        <f>IFERROR(IF(INDEX(Estrutura_P01[#All],MATCH($C20,Estrutura_P01[[#All],[txtMAKT-MAKTX]],0),MATCH(CR$3,Estrutura_P01[#Headers],0))=0,"",INDEX(Estrutura_P01[#All],MATCH($C20,Estrutura_P01[[#All],[txtMAKT-MAKTX]],0),MATCH(CR$3,Estrutura_P01[#Headers],0))),"")</f>
        <v/>
      </c>
      <c r="CS20" s="43" t="str">
        <f>IFERROR(IF(INDEX(Estrutura_P01[#All],MATCH($C20,Estrutura_P01[[#All],[txtMAKT-MAKTX]],0),MATCH(CS$3,Estrutura_P01[#Headers],0))=0,"",INDEX(Estrutura_P01[#All],MATCH($C20,Estrutura_P01[[#All],[txtMAKT-MAKTX]],0),MATCH(CS$3,Estrutura_P01[#Headers],0))),"")</f>
        <v/>
      </c>
      <c r="CU20" s="43" t="str">
        <f t="shared" si="16"/>
        <v/>
      </c>
      <c r="CV20" s="55"/>
      <c r="CW20" s="43" t="str">
        <f t="shared" ca="1" si="17"/>
        <v/>
      </c>
      <c r="CX20" s="43" t="str">
        <f t="shared" si="18"/>
        <v/>
      </c>
      <c r="CZ20" s="44"/>
      <c r="DA20" s="44">
        <v>2</v>
      </c>
      <c r="DB20" s="44">
        <v>1</v>
      </c>
      <c r="DC20" s="44"/>
      <c r="DD20" s="90" t="str">
        <f t="shared" si="19"/>
        <v/>
      </c>
      <c r="DE20" s="43">
        <f t="shared" si="20"/>
        <v>0.01</v>
      </c>
      <c r="DF20" s="43" t="str">
        <f t="shared" si="21"/>
        <v>KG</v>
      </c>
      <c r="DG20" s="44">
        <v>1</v>
      </c>
      <c r="DH20" s="50" t="s">
        <v>223</v>
      </c>
      <c r="DI20" s="50" t="s">
        <v>902</v>
      </c>
      <c r="DJ20" s="43" t="str">
        <f>IFERROR(IF(INDEX(Estrutura_P01[#All],MATCH($C20,Estrutura_P01[[#All],[txtMAKT-MAKTX]],0),MATCH(DJ$3,Estrutura_P01[#Headers],0))=0,"",INDEX(Estrutura_P01[#All],MATCH($C20,Estrutura_P01[[#All],[txtMAKT-MAKTX]],0),MATCH(DJ$3,Estrutura_P01[#Headers],0))),"")</f>
        <v/>
      </c>
      <c r="DK20" s="44">
        <v>1000</v>
      </c>
      <c r="DL20" s="60">
        <v>0</v>
      </c>
      <c r="DM20" s="44"/>
      <c r="DN20" s="44">
        <v>1</v>
      </c>
      <c r="DO20" s="44">
        <v>0</v>
      </c>
      <c r="DP20" s="44" t="s">
        <v>862</v>
      </c>
      <c r="DQ20" s="45">
        <v>0</v>
      </c>
      <c r="DR20" s="44">
        <v>1000</v>
      </c>
      <c r="DS20" s="91" t="str">
        <f>IF(AQ20=68,1,IFERROR(VLOOKUP(CM20,'Listas de Dados'!BX:BY,2,0),""))</f>
        <v/>
      </c>
      <c r="DT20" s="90" t="str">
        <f t="shared" ca="1" si="22"/>
        <v/>
      </c>
      <c r="DU20" s="65"/>
    </row>
    <row r="21" spans="1:125" x14ac:dyDescent="0.2">
      <c r="A21" s="7" t="str">
        <f t="shared" si="0"/>
        <v>Execução 17</v>
      </c>
      <c r="B21" s="87"/>
      <c r="C21" s="42"/>
      <c r="D21" s="43" t="str">
        <f>IFERROR(IF(INDEX(Estrutura_P01[#All],MATCH($C21,Estrutura_P01[[#All],[txtMAKT-MAKTX]],0),MATCH(D$3,Estrutura_P01[#Headers],0))=0,"",INDEX(Estrutura_P01[#All],MATCH($C21,Estrutura_P01[[#All],[txtMAKT-MAKTX]],0),MATCH(D$3,Estrutura_P01[#Headers],0))),"")</f>
        <v/>
      </c>
      <c r="E21" s="44" t="s">
        <v>100</v>
      </c>
      <c r="F21" s="79" t="s">
        <v>4</v>
      </c>
      <c r="G21" s="79" t="s">
        <v>11</v>
      </c>
      <c r="H21" s="79" t="str">
        <f t="shared" si="1"/>
        <v>0581</v>
      </c>
      <c r="I21" s="79" t="s">
        <v>6</v>
      </c>
      <c r="J21" s="79"/>
      <c r="L21" s="45" t="s">
        <v>101</v>
      </c>
      <c r="M21" s="45" t="s">
        <v>102</v>
      </c>
      <c r="N21" s="45" t="s">
        <v>103</v>
      </c>
      <c r="O21" s="45"/>
      <c r="P21" s="45"/>
      <c r="Q21" s="45"/>
      <c r="R21" s="45"/>
      <c r="S21" s="45"/>
      <c r="T21" s="45" t="s">
        <v>109</v>
      </c>
      <c r="U21" s="45" t="s">
        <v>110</v>
      </c>
      <c r="V21" s="45" t="s">
        <v>111</v>
      </c>
      <c r="W21" s="45" t="s">
        <v>112</v>
      </c>
      <c r="X21" s="45" t="s">
        <v>113</v>
      </c>
      <c r="Y21" s="45" t="s">
        <v>114</v>
      </c>
      <c r="Z21" s="45" t="s">
        <v>115</v>
      </c>
      <c r="AA21" s="45"/>
      <c r="AB21" s="45" t="s">
        <v>118</v>
      </c>
      <c r="AC21" s="45" t="s">
        <v>119</v>
      </c>
      <c r="AD21" s="45"/>
      <c r="AE21" s="45"/>
      <c r="AF21" s="45" t="s">
        <v>122</v>
      </c>
      <c r="AG21" s="45" t="s">
        <v>123</v>
      </c>
      <c r="AH21" s="45" t="s">
        <v>124</v>
      </c>
      <c r="AI21" s="45" t="s">
        <v>125</v>
      </c>
      <c r="AJ21" s="45" t="s">
        <v>126</v>
      </c>
      <c r="AK21" s="45"/>
      <c r="AL21" s="45"/>
      <c r="AN21" s="44" t="s">
        <v>297</v>
      </c>
      <c r="AO21" s="43" t="str">
        <f>IFERROR(IF(INDEX(Estrutura_P01[#All],MATCH($C21,Estrutura_P01[[#All],[txtMAKT-MAKTX]],0),MATCH(AO$3,Estrutura_P01[#Headers],0))=0,"",INDEX(Estrutura_P01[#All],MATCH($C21,Estrutura_P01[[#All],[txtMAKT-MAKTX]],0),MATCH(AO$3,Estrutura_P01[#Headers],0))),"")</f>
        <v/>
      </c>
      <c r="AP21" s="45"/>
      <c r="AQ21" s="43" t="str">
        <f>IFERROR(IF(INDEX(Estrutura_P01[#All],MATCH($C21,Estrutura_P01[[#All],[txtMAKT-MAKTX]],0),MATCH(AQ$3,Estrutura_P01[#Headers],0))=0,"",INDEX(Estrutura_P01[#All],MATCH($C21,Estrutura_P01[[#All],[txtMAKT-MAKTX]],0),MATCH(AQ$3,Estrutura_P01[#Headers],0))),"")</f>
        <v/>
      </c>
      <c r="AR21" s="45"/>
      <c r="AS21" s="46" t="str">
        <f t="shared" ca="1" si="2"/>
        <v/>
      </c>
      <c r="AT21" s="47" t="s">
        <v>864</v>
      </c>
      <c r="AU21" s="44">
        <v>1</v>
      </c>
      <c r="AV21" s="43">
        <f t="shared" si="3"/>
        <v>1</v>
      </c>
      <c r="AW21" s="48" t="s">
        <v>297</v>
      </c>
      <c r="AX21" s="43" t="str">
        <f>IFERROR(IF(INDEX(Estrutura_P01[#All],MATCH($C21,Estrutura_P01[[#All],[txtMAKT-MAKTX]],0),MATCH(AX$3,Estrutura_P01[#Headers],0))=0,"",INDEX(Estrutura_P01[#All],MATCH($C21,Estrutura_P01[[#All],[txtMAKT-MAKTX]],0),MATCH(AX$3,Estrutura_P01[#Headers],0))),"")</f>
        <v/>
      </c>
      <c r="AY21" s="44"/>
      <c r="AZ21" s="99">
        <v>99</v>
      </c>
      <c r="BA21" s="95" t="str">
        <f t="shared" ca="1" si="4"/>
        <v>17.05.2022</v>
      </c>
      <c r="BB21" s="50"/>
      <c r="BC21" s="50">
        <v>1</v>
      </c>
      <c r="BD21" s="50" t="s">
        <v>192</v>
      </c>
      <c r="BE21" s="95" t="str">
        <f t="shared" si="5"/>
        <v>01</v>
      </c>
      <c r="BF21" s="95" t="str">
        <f t="shared" si="6"/>
        <v>NORM</v>
      </c>
      <c r="BG21" s="44">
        <v>1</v>
      </c>
      <c r="BH21" s="44">
        <v>1</v>
      </c>
      <c r="BI21" s="44">
        <v>1</v>
      </c>
      <c r="BJ21" s="95" t="str">
        <f t="shared" si="7"/>
        <v>ZM</v>
      </c>
      <c r="BK21" s="50" t="s">
        <v>195</v>
      </c>
      <c r="BL21" s="50" t="s">
        <v>195</v>
      </c>
      <c r="BM21" s="43" t="str">
        <f>IFERROR(IF(INDEX(Estrutura_P01[#All],MATCH($C21,Estrutura_P01[[#All],[txtMAKT-MAKTX]],0),MATCH(BM$3,Estrutura_P01[#Headers],0))=0,"",INDEX(Estrutura_P01[#All],MATCH($C21,Estrutura_P01[[#All],[txtMAKT-MAKTX]],0),MATCH(BM$3,Estrutura_P01[#Headers],0))),"")</f>
        <v/>
      </c>
      <c r="BN21" s="44"/>
      <c r="BO21" s="50">
        <v>0</v>
      </c>
      <c r="BP21" s="45" t="s">
        <v>374</v>
      </c>
      <c r="BQ21" s="43" t="str">
        <f>IFERROR(IF(INDEX(Estrutura_P01[#All],MATCH($C21,Estrutura_P01[[#All],[txtMAKT-MAKTX]],0),MATCH(BQ$3,Estrutura_P01[#Headers],0))=0,"",INDEX(Estrutura_P01[#All],MATCH($C21,Estrutura_P01[[#All],[txtMAKT-MAKTX]],0),MATCH(BQ$3,Estrutura_P01[#Headers],0))),"")</f>
        <v/>
      </c>
      <c r="BR21" s="43" t="str">
        <f t="shared" si="8"/>
        <v>581</v>
      </c>
      <c r="BS21" s="45" t="s">
        <v>40</v>
      </c>
      <c r="BT21" s="98">
        <v>25000</v>
      </c>
      <c r="BU21" s="43" t="str">
        <f>IFERROR(IF(INDEX(Estrutura_P01[#All],MATCH($C21,Estrutura_P01[[#All],[txtMAKT-MAKTX]],0),MATCH(BU$3,Estrutura_P01[#Headers],0))=0,"",INDEX(Estrutura_P01[#All],MATCH($C21,Estrutura_P01[[#All],[txtMAKT-MAKTX]],0),MATCH(BU$3,Estrutura_P01[#Headers],0))),"")</f>
        <v/>
      </c>
      <c r="BV21" s="45">
        <v>0</v>
      </c>
      <c r="BW21" s="45" t="s">
        <v>473</v>
      </c>
      <c r="BX21" s="45"/>
      <c r="BY21" s="44"/>
      <c r="BZ21" s="49" t="str">
        <f t="shared" si="9"/>
        <v>0011</v>
      </c>
      <c r="CA21" s="49" t="str">
        <f t="shared" si="10"/>
        <v>0011</v>
      </c>
      <c r="CB21" s="45">
        <v>75</v>
      </c>
      <c r="CC21" s="44">
        <v>1</v>
      </c>
      <c r="CD21" s="50" t="s">
        <v>490</v>
      </c>
      <c r="CE21" s="80">
        <v>2</v>
      </c>
      <c r="CF21" s="80">
        <v>7</v>
      </c>
      <c r="CG21" s="95" t="str">
        <f t="shared" si="11"/>
        <v>ZM</v>
      </c>
      <c r="CH21" s="95">
        <f t="shared" si="12"/>
        <v>2</v>
      </c>
      <c r="CI21" s="95">
        <f t="shared" si="13"/>
        <v>42</v>
      </c>
      <c r="CJ21" s="95">
        <f t="shared" si="14"/>
        <v>10</v>
      </c>
      <c r="CK21" s="43" t="str">
        <f t="shared" si="15"/>
        <v>K00_C_0581</v>
      </c>
      <c r="CL21" s="43" t="str">
        <f>IFERROR(IF(INDEX(Estrutura_P01[#All],MATCH($C21,Estrutura_P01[[#All],[txtMAKT-MAKTX]],0),MATCH(CL$3,Estrutura_P01[#Headers],0))=0,"",INDEX(Estrutura_P01[#All],MATCH($C21,Estrutura_P01[[#All],[txtMAKT-MAKTX]],0),MATCH(CL$3,Estrutura_P01[#Headers],0))),"")</f>
        <v/>
      </c>
      <c r="CM21" s="43" t="str">
        <f>IFERROR(IF(INDEX(Estrutura_P01[#All],MATCH($C21,Estrutura_P01[[#All],[txtMAKT-MAKTX]],0),MATCH(CM$3,Estrutura_P01[#Headers],0))=0,"",INDEX(Estrutura_P01[#All],MATCH($C21,Estrutura_P01[[#All],[txtMAKT-MAKTX]],0),MATCH(CM$3,Estrutura_P01[#Headers],0))),"")</f>
        <v/>
      </c>
      <c r="CN21" s="43" t="str">
        <f>IFERROR(IF(INDEX(Estrutura_P01[#All],MATCH($C21,Estrutura_P01[[#All],[txtMAKT-MAKTX]],0),MATCH(CN$3,Estrutura_P01[#Headers],0))=0,"",INDEX(Estrutura_P01[#All],MATCH($C21,Estrutura_P01[[#All],[txtMAKT-MAKTX]],0),MATCH(CN$3,Estrutura_P01[#Headers],0))),"")</f>
        <v/>
      </c>
      <c r="CO21" s="43" t="str">
        <f>IFERROR(IF(INDEX(Estrutura_P01[#All],MATCH($C21,Estrutura_P01[[#All],[txtMAKT-MAKTX]],0),MATCH(CO$3,Estrutura_P01[#Headers],0))=0,"",INDEX(Estrutura_P01[#All],MATCH($C21,Estrutura_P01[[#All],[txtMAKT-MAKTX]],0),MATCH(CO$3,Estrutura_P01[#Headers],0))),"")</f>
        <v/>
      </c>
      <c r="CP21" s="43" t="str">
        <f>IFERROR(IF(INDEX(Estrutura_P01[#All],MATCH($C21,Estrutura_P01[[#All],[txtMAKT-MAKTX]],0),MATCH(CP$3,Estrutura_P01[#Headers],0))=0,"",INDEX(Estrutura_P01[#All],MATCH($C21,Estrutura_P01[[#All],[txtMAKT-MAKTX]],0),MATCH(CP$3,Estrutura_P01[#Headers],0))),"")</f>
        <v/>
      </c>
      <c r="CQ21" s="43" t="str">
        <f>IFERROR(IF(INDEX(Estrutura_P01[#All],MATCH($C21,Estrutura_P01[[#All],[txtMAKT-MAKTX]],0),MATCH(CQ$3,Estrutura_P01[#Headers],0))=0,"",INDEX(Estrutura_P01[#All],MATCH($C21,Estrutura_P01[[#All],[txtMAKT-MAKTX]],0),MATCH(CQ$3,Estrutura_P01[#Headers],0))),"")</f>
        <v/>
      </c>
      <c r="CR21" s="43" t="str">
        <f>IFERROR(IF(INDEX(Estrutura_P01[#All],MATCH($C21,Estrutura_P01[[#All],[txtMAKT-MAKTX]],0),MATCH(CR$3,Estrutura_P01[#Headers],0))=0,"",INDEX(Estrutura_P01[#All],MATCH($C21,Estrutura_P01[[#All],[txtMAKT-MAKTX]],0),MATCH(CR$3,Estrutura_P01[#Headers],0))),"")</f>
        <v/>
      </c>
      <c r="CS21" s="43" t="str">
        <f>IFERROR(IF(INDEX(Estrutura_P01[#All],MATCH($C21,Estrutura_P01[[#All],[txtMAKT-MAKTX]],0),MATCH(CS$3,Estrutura_P01[#Headers],0))=0,"",INDEX(Estrutura_P01[#All],MATCH($C21,Estrutura_P01[[#All],[txtMAKT-MAKTX]],0),MATCH(CS$3,Estrutura_P01[#Headers],0))),"")</f>
        <v/>
      </c>
      <c r="CU21" s="43" t="str">
        <f t="shared" si="16"/>
        <v/>
      </c>
      <c r="CV21" s="55"/>
      <c r="CW21" s="43" t="str">
        <f t="shared" ca="1" si="17"/>
        <v/>
      </c>
      <c r="CX21" s="43" t="str">
        <f t="shared" si="18"/>
        <v/>
      </c>
      <c r="CZ21" s="44"/>
      <c r="DA21" s="44">
        <v>2</v>
      </c>
      <c r="DB21" s="44">
        <v>1</v>
      </c>
      <c r="DC21" s="44"/>
      <c r="DD21" s="90" t="str">
        <f t="shared" si="19"/>
        <v/>
      </c>
      <c r="DE21" s="43">
        <f t="shared" si="20"/>
        <v>0.01</v>
      </c>
      <c r="DF21" s="43" t="str">
        <f t="shared" si="21"/>
        <v>KG</v>
      </c>
      <c r="DG21" s="44">
        <v>1</v>
      </c>
      <c r="DH21" s="50" t="s">
        <v>223</v>
      </c>
      <c r="DI21" s="50" t="s">
        <v>902</v>
      </c>
      <c r="DJ21" s="43" t="str">
        <f>IFERROR(IF(INDEX(Estrutura_P01[#All],MATCH($C21,Estrutura_P01[[#All],[txtMAKT-MAKTX]],0),MATCH(DJ$3,Estrutura_P01[#Headers],0))=0,"",INDEX(Estrutura_P01[#All],MATCH($C21,Estrutura_P01[[#All],[txtMAKT-MAKTX]],0),MATCH(DJ$3,Estrutura_P01[#Headers],0))),"")</f>
        <v/>
      </c>
      <c r="DK21" s="44">
        <v>1000</v>
      </c>
      <c r="DL21" s="60">
        <v>0</v>
      </c>
      <c r="DM21" s="44"/>
      <c r="DN21" s="44">
        <v>1</v>
      </c>
      <c r="DO21" s="44">
        <v>0</v>
      </c>
      <c r="DP21" s="44" t="s">
        <v>862</v>
      </c>
      <c r="DQ21" s="45">
        <v>0</v>
      </c>
      <c r="DR21" s="44">
        <v>1000</v>
      </c>
      <c r="DS21" s="91" t="str">
        <f>IF(AQ21=68,1,IFERROR(VLOOKUP(CM21,'Listas de Dados'!BX:BY,2,0),""))</f>
        <v/>
      </c>
      <c r="DT21" s="90" t="str">
        <f t="shared" ca="1" si="22"/>
        <v/>
      </c>
      <c r="DU21" s="65"/>
    </row>
    <row r="22" spans="1:125" x14ac:dyDescent="0.2">
      <c r="A22" s="7" t="str">
        <f t="shared" si="0"/>
        <v>Execução 18</v>
      </c>
      <c r="B22" s="87"/>
      <c r="C22" s="42"/>
      <c r="D22" s="43" t="str">
        <f>IFERROR(IF(INDEX(Estrutura_P01[#All],MATCH($C22,Estrutura_P01[[#All],[txtMAKT-MAKTX]],0),MATCH(D$3,Estrutura_P01[#Headers],0))=0,"",INDEX(Estrutura_P01[#All],MATCH($C22,Estrutura_P01[[#All],[txtMAKT-MAKTX]],0),MATCH(D$3,Estrutura_P01[#Headers],0))),"")</f>
        <v/>
      </c>
      <c r="E22" s="44" t="s">
        <v>100</v>
      </c>
      <c r="F22" s="79" t="s">
        <v>4</v>
      </c>
      <c r="G22" s="79" t="s">
        <v>11</v>
      </c>
      <c r="H22" s="79" t="str">
        <f t="shared" si="1"/>
        <v>0581</v>
      </c>
      <c r="I22" s="79" t="s">
        <v>6</v>
      </c>
      <c r="J22" s="79"/>
      <c r="L22" s="45" t="s">
        <v>101</v>
      </c>
      <c r="M22" s="45" t="s">
        <v>102</v>
      </c>
      <c r="N22" s="45" t="s">
        <v>103</v>
      </c>
      <c r="O22" s="45"/>
      <c r="P22" s="45"/>
      <c r="Q22" s="45"/>
      <c r="R22" s="45"/>
      <c r="S22" s="45"/>
      <c r="T22" s="45" t="s">
        <v>109</v>
      </c>
      <c r="U22" s="45" t="s">
        <v>110</v>
      </c>
      <c r="V22" s="45" t="s">
        <v>111</v>
      </c>
      <c r="W22" s="45" t="s">
        <v>112</v>
      </c>
      <c r="X22" s="45" t="s">
        <v>113</v>
      </c>
      <c r="Y22" s="45" t="s">
        <v>114</v>
      </c>
      <c r="Z22" s="45" t="s">
        <v>115</v>
      </c>
      <c r="AA22" s="45"/>
      <c r="AB22" s="45" t="s">
        <v>118</v>
      </c>
      <c r="AC22" s="45" t="s">
        <v>119</v>
      </c>
      <c r="AD22" s="45"/>
      <c r="AE22" s="45"/>
      <c r="AF22" s="45" t="s">
        <v>122</v>
      </c>
      <c r="AG22" s="45" t="s">
        <v>123</v>
      </c>
      <c r="AH22" s="45" t="s">
        <v>124</v>
      </c>
      <c r="AI22" s="45" t="s">
        <v>125</v>
      </c>
      <c r="AJ22" s="45" t="s">
        <v>126</v>
      </c>
      <c r="AK22" s="45"/>
      <c r="AL22" s="45"/>
      <c r="AN22" s="44" t="s">
        <v>297</v>
      </c>
      <c r="AO22" s="43" t="str">
        <f>IFERROR(IF(INDEX(Estrutura_P01[#All],MATCH($C22,Estrutura_P01[[#All],[txtMAKT-MAKTX]],0),MATCH(AO$3,Estrutura_P01[#Headers],0))=0,"",INDEX(Estrutura_P01[#All],MATCH($C22,Estrutura_P01[[#All],[txtMAKT-MAKTX]],0),MATCH(AO$3,Estrutura_P01[#Headers],0))),"")</f>
        <v/>
      </c>
      <c r="AP22" s="45"/>
      <c r="AQ22" s="43" t="str">
        <f>IFERROR(IF(INDEX(Estrutura_P01[#All],MATCH($C22,Estrutura_P01[[#All],[txtMAKT-MAKTX]],0),MATCH(AQ$3,Estrutura_P01[#Headers],0))=0,"",INDEX(Estrutura_P01[#All],MATCH($C22,Estrutura_P01[[#All],[txtMAKT-MAKTX]],0),MATCH(AQ$3,Estrutura_P01[#Headers],0))),"")</f>
        <v/>
      </c>
      <c r="AR22" s="45"/>
      <c r="AS22" s="46" t="str">
        <f t="shared" ca="1" si="2"/>
        <v/>
      </c>
      <c r="AT22" s="47" t="s">
        <v>864</v>
      </c>
      <c r="AU22" s="44">
        <v>1</v>
      </c>
      <c r="AV22" s="43">
        <f t="shared" si="3"/>
        <v>1</v>
      </c>
      <c r="AW22" s="48" t="s">
        <v>297</v>
      </c>
      <c r="AX22" s="43" t="str">
        <f>IFERROR(IF(INDEX(Estrutura_P01[#All],MATCH($C22,Estrutura_P01[[#All],[txtMAKT-MAKTX]],0),MATCH(AX$3,Estrutura_P01[#Headers],0))=0,"",INDEX(Estrutura_P01[#All],MATCH($C22,Estrutura_P01[[#All],[txtMAKT-MAKTX]],0),MATCH(AX$3,Estrutura_P01[#Headers],0))),"")</f>
        <v/>
      </c>
      <c r="AY22" s="44"/>
      <c r="AZ22" s="99">
        <v>99</v>
      </c>
      <c r="BA22" s="95" t="str">
        <f t="shared" ca="1" si="4"/>
        <v>17.05.2022</v>
      </c>
      <c r="BB22" s="50"/>
      <c r="BC22" s="50">
        <v>1</v>
      </c>
      <c r="BD22" s="50" t="s">
        <v>192</v>
      </c>
      <c r="BE22" s="95" t="str">
        <f t="shared" si="5"/>
        <v>01</v>
      </c>
      <c r="BF22" s="95" t="str">
        <f t="shared" si="6"/>
        <v>NORM</v>
      </c>
      <c r="BG22" s="44">
        <v>1</v>
      </c>
      <c r="BH22" s="44">
        <v>1</v>
      </c>
      <c r="BI22" s="44">
        <v>1</v>
      </c>
      <c r="BJ22" s="95" t="str">
        <f t="shared" si="7"/>
        <v>ZM</v>
      </c>
      <c r="BK22" s="50" t="s">
        <v>195</v>
      </c>
      <c r="BL22" s="50" t="s">
        <v>195</v>
      </c>
      <c r="BM22" s="43" t="str">
        <f>IFERROR(IF(INDEX(Estrutura_P01[#All],MATCH($C22,Estrutura_P01[[#All],[txtMAKT-MAKTX]],0),MATCH(BM$3,Estrutura_P01[#Headers],0))=0,"",INDEX(Estrutura_P01[#All],MATCH($C22,Estrutura_P01[[#All],[txtMAKT-MAKTX]],0),MATCH(BM$3,Estrutura_P01[#Headers],0))),"")</f>
        <v/>
      </c>
      <c r="BN22" s="44"/>
      <c r="BO22" s="50">
        <v>0</v>
      </c>
      <c r="BP22" s="45" t="s">
        <v>374</v>
      </c>
      <c r="BQ22" s="43" t="str">
        <f>IFERROR(IF(INDEX(Estrutura_P01[#All],MATCH($C22,Estrutura_P01[[#All],[txtMAKT-MAKTX]],0),MATCH(BQ$3,Estrutura_P01[#Headers],0))=0,"",INDEX(Estrutura_P01[#All],MATCH($C22,Estrutura_P01[[#All],[txtMAKT-MAKTX]],0),MATCH(BQ$3,Estrutura_P01[#Headers],0))),"")</f>
        <v/>
      </c>
      <c r="BR22" s="43" t="str">
        <f t="shared" si="8"/>
        <v>581</v>
      </c>
      <c r="BS22" s="45" t="s">
        <v>40</v>
      </c>
      <c r="BT22" s="98">
        <v>25000</v>
      </c>
      <c r="BU22" s="43" t="str">
        <f>IFERROR(IF(INDEX(Estrutura_P01[#All],MATCH($C22,Estrutura_P01[[#All],[txtMAKT-MAKTX]],0),MATCH(BU$3,Estrutura_P01[#Headers],0))=0,"",INDEX(Estrutura_P01[#All],MATCH($C22,Estrutura_P01[[#All],[txtMAKT-MAKTX]],0),MATCH(BU$3,Estrutura_P01[#Headers],0))),"")</f>
        <v/>
      </c>
      <c r="BV22" s="45">
        <v>0</v>
      </c>
      <c r="BW22" s="45" t="s">
        <v>473</v>
      </c>
      <c r="BX22" s="45"/>
      <c r="BY22" s="44"/>
      <c r="BZ22" s="49" t="str">
        <f t="shared" si="9"/>
        <v>0011</v>
      </c>
      <c r="CA22" s="49" t="str">
        <f t="shared" si="10"/>
        <v>0011</v>
      </c>
      <c r="CB22" s="45">
        <v>75</v>
      </c>
      <c r="CC22" s="44">
        <v>1</v>
      </c>
      <c r="CD22" s="50" t="s">
        <v>490</v>
      </c>
      <c r="CE22" s="80">
        <v>2</v>
      </c>
      <c r="CF22" s="80">
        <v>7</v>
      </c>
      <c r="CG22" s="95" t="str">
        <f t="shared" si="11"/>
        <v>ZM</v>
      </c>
      <c r="CH22" s="95">
        <f t="shared" si="12"/>
        <v>2</v>
      </c>
      <c r="CI22" s="95">
        <f t="shared" si="13"/>
        <v>42</v>
      </c>
      <c r="CJ22" s="95">
        <f t="shared" si="14"/>
        <v>10</v>
      </c>
      <c r="CK22" s="43" t="str">
        <f t="shared" si="15"/>
        <v>K00_C_0581</v>
      </c>
      <c r="CL22" s="43" t="str">
        <f>IFERROR(IF(INDEX(Estrutura_P01[#All],MATCH($C22,Estrutura_P01[[#All],[txtMAKT-MAKTX]],0),MATCH(CL$3,Estrutura_P01[#Headers],0))=0,"",INDEX(Estrutura_P01[#All],MATCH($C22,Estrutura_P01[[#All],[txtMAKT-MAKTX]],0),MATCH(CL$3,Estrutura_P01[#Headers],0))),"")</f>
        <v/>
      </c>
      <c r="CM22" s="43" t="str">
        <f>IFERROR(IF(INDEX(Estrutura_P01[#All],MATCH($C22,Estrutura_P01[[#All],[txtMAKT-MAKTX]],0),MATCH(CM$3,Estrutura_P01[#Headers],0))=0,"",INDEX(Estrutura_P01[#All],MATCH($C22,Estrutura_P01[[#All],[txtMAKT-MAKTX]],0),MATCH(CM$3,Estrutura_P01[#Headers],0))),"")</f>
        <v/>
      </c>
      <c r="CN22" s="43" t="str">
        <f>IFERROR(IF(INDEX(Estrutura_P01[#All],MATCH($C22,Estrutura_P01[[#All],[txtMAKT-MAKTX]],0),MATCH(CN$3,Estrutura_P01[#Headers],0))=0,"",INDEX(Estrutura_P01[#All],MATCH($C22,Estrutura_P01[[#All],[txtMAKT-MAKTX]],0),MATCH(CN$3,Estrutura_P01[#Headers],0))),"")</f>
        <v/>
      </c>
      <c r="CO22" s="43" t="str">
        <f>IFERROR(IF(INDEX(Estrutura_P01[#All],MATCH($C22,Estrutura_P01[[#All],[txtMAKT-MAKTX]],0),MATCH(CO$3,Estrutura_P01[#Headers],0))=0,"",INDEX(Estrutura_P01[#All],MATCH($C22,Estrutura_P01[[#All],[txtMAKT-MAKTX]],0),MATCH(CO$3,Estrutura_P01[#Headers],0))),"")</f>
        <v/>
      </c>
      <c r="CP22" s="43" t="str">
        <f>IFERROR(IF(INDEX(Estrutura_P01[#All],MATCH($C22,Estrutura_P01[[#All],[txtMAKT-MAKTX]],0),MATCH(CP$3,Estrutura_P01[#Headers],0))=0,"",INDEX(Estrutura_P01[#All],MATCH($C22,Estrutura_P01[[#All],[txtMAKT-MAKTX]],0),MATCH(CP$3,Estrutura_P01[#Headers],0))),"")</f>
        <v/>
      </c>
      <c r="CQ22" s="43" t="str">
        <f>IFERROR(IF(INDEX(Estrutura_P01[#All],MATCH($C22,Estrutura_P01[[#All],[txtMAKT-MAKTX]],0),MATCH(CQ$3,Estrutura_P01[#Headers],0))=0,"",INDEX(Estrutura_P01[#All],MATCH($C22,Estrutura_P01[[#All],[txtMAKT-MAKTX]],0),MATCH(CQ$3,Estrutura_P01[#Headers],0))),"")</f>
        <v/>
      </c>
      <c r="CR22" s="43" t="str">
        <f>IFERROR(IF(INDEX(Estrutura_P01[#All],MATCH($C22,Estrutura_P01[[#All],[txtMAKT-MAKTX]],0),MATCH(CR$3,Estrutura_P01[#Headers],0))=0,"",INDEX(Estrutura_P01[#All],MATCH($C22,Estrutura_P01[[#All],[txtMAKT-MAKTX]],0),MATCH(CR$3,Estrutura_P01[#Headers],0))),"")</f>
        <v/>
      </c>
      <c r="CS22" s="43" t="str">
        <f>IFERROR(IF(INDEX(Estrutura_P01[#All],MATCH($C22,Estrutura_P01[[#All],[txtMAKT-MAKTX]],0),MATCH(CS$3,Estrutura_P01[#Headers],0))=0,"",INDEX(Estrutura_P01[#All],MATCH($C22,Estrutura_P01[[#All],[txtMAKT-MAKTX]],0),MATCH(CS$3,Estrutura_P01[#Headers],0))),"")</f>
        <v/>
      </c>
      <c r="CU22" s="43" t="str">
        <f t="shared" si="16"/>
        <v/>
      </c>
      <c r="CV22" s="55"/>
      <c r="CW22" s="43" t="str">
        <f t="shared" ca="1" si="17"/>
        <v/>
      </c>
      <c r="CX22" s="43" t="str">
        <f t="shared" si="18"/>
        <v/>
      </c>
      <c r="CZ22" s="44"/>
      <c r="DA22" s="44">
        <v>2</v>
      </c>
      <c r="DB22" s="44">
        <v>1</v>
      </c>
      <c r="DC22" s="44"/>
      <c r="DD22" s="90" t="str">
        <f t="shared" si="19"/>
        <v/>
      </c>
      <c r="DE22" s="43">
        <f t="shared" si="20"/>
        <v>0.01</v>
      </c>
      <c r="DF22" s="43" t="str">
        <f t="shared" si="21"/>
        <v>KG</v>
      </c>
      <c r="DG22" s="44">
        <v>1</v>
      </c>
      <c r="DH22" s="50" t="s">
        <v>223</v>
      </c>
      <c r="DI22" s="50" t="s">
        <v>902</v>
      </c>
      <c r="DJ22" s="43" t="str">
        <f>IFERROR(IF(INDEX(Estrutura_P01[#All],MATCH($C22,Estrutura_P01[[#All],[txtMAKT-MAKTX]],0),MATCH(DJ$3,Estrutura_P01[#Headers],0))=0,"",INDEX(Estrutura_P01[#All],MATCH($C22,Estrutura_P01[[#All],[txtMAKT-MAKTX]],0),MATCH(DJ$3,Estrutura_P01[#Headers],0))),"")</f>
        <v/>
      </c>
      <c r="DK22" s="44">
        <v>1000</v>
      </c>
      <c r="DL22" s="60">
        <v>0</v>
      </c>
      <c r="DM22" s="44"/>
      <c r="DN22" s="44">
        <v>1</v>
      </c>
      <c r="DO22" s="44">
        <v>0</v>
      </c>
      <c r="DP22" s="44" t="s">
        <v>862</v>
      </c>
      <c r="DQ22" s="45">
        <v>0</v>
      </c>
      <c r="DR22" s="44">
        <v>1000</v>
      </c>
      <c r="DS22" s="91" t="str">
        <f>IF(AQ22=68,1,IFERROR(VLOOKUP(CM22,'Listas de Dados'!BX:BY,2,0),""))</f>
        <v/>
      </c>
      <c r="DT22" s="90" t="str">
        <f t="shared" ca="1" si="22"/>
        <v/>
      </c>
      <c r="DU22" s="65"/>
    </row>
    <row r="23" spans="1:125" x14ac:dyDescent="0.2">
      <c r="A23" s="7" t="str">
        <f t="shared" si="0"/>
        <v>Execução 19</v>
      </c>
      <c r="B23" s="87"/>
      <c r="C23" s="42"/>
      <c r="D23" s="43" t="str">
        <f>IFERROR(IF(INDEX(Estrutura_P01[#All],MATCH($C23,Estrutura_P01[[#All],[txtMAKT-MAKTX]],0),MATCH(D$3,Estrutura_P01[#Headers],0))=0,"",INDEX(Estrutura_P01[#All],MATCH($C23,Estrutura_P01[[#All],[txtMAKT-MAKTX]],0),MATCH(D$3,Estrutura_P01[#Headers],0))),"")</f>
        <v/>
      </c>
      <c r="E23" s="44" t="s">
        <v>100</v>
      </c>
      <c r="F23" s="79" t="s">
        <v>4</v>
      </c>
      <c r="G23" s="79" t="s">
        <v>11</v>
      </c>
      <c r="H23" s="79" t="str">
        <f t="shared" si="1"/>
        <v>0581</v>
      </c>
      <c r="I23" s="79" t="s">
        <v>6</v>
      </c>
      <c r="J23" s="79"/>
      <c r="L23" s="45" t="s">
        <v>101</v>
      </c>
      <c r="M23" s="45" t="s">
        <v>102</v>
      </c>
      <c r="N23" s="45" t="s">
        <v>103</v>
      </c>
      <c r="O23" s="45"/>
      <c r="P23" s="45"/>
      <c r="Q23" s="45"/>
      <c r="R23" s="45"/>
      <c r="S23" s="45"/>
      <c r="T23" s="45" t="s">
        <v>109</v>
      </c>
      <c r="U23" s="45" t="s">
        <v>110</v>
      </c>
      <c r="V23" s="45" t="s">
        <v>111</v>
      </c>
      <c r="W23" s="45" t="s">
        <v>112</v>
      </c>
      <c r="X23" s="45" t="s">
        <v>113</v>
      </c>
      <c r="Y23" s="45" t="s">
        <v>114</v>
      </c>
      <c r="Z23" s="45" t="s">
        <v>115</v>
      </c>
      <c r="AA23" s="45"/>
      <c r="AB23" s="45" t="s">
        <v>118</v>
      </c>
      <c r="AC23" s="45" t="s">
        <v>119</v>
      </c>
      <c r="AD23" s="45"/>
      <c r="AE23" s="45"/>
      <c r="AF23" s="45" t="s">
        <v>122</v>
      </c>
      <c r="AG23" s="45" t="s">
        <v>123</v>
      </c>
      <c r="AH23" s="45" t="s">
        <v>124</v>
      </c>
      <c r="AI23" s="45" t="s">
        <v>125</v>
      </c>
      <c r="AJ23" s="45" t="s">
        <v>126</v>
      </c>
      <c r="AK23" s="45"/>
      <c r="AL23" s="45"/>
      <c r="AN23" s="44" t="s">
        <v>297</v>
      </c>
      <c r="AO23" s="43" t="str">
        <f>IFERROR(IF(INDEX(Estrutura_P01[#All],MATCH($C23,Estrutura_P01[[#All],[txtMAKT-MAKTX]],0),MATCH(AO$3,Estrutura_P01[#Headers],0))=0,"",INDEX(Estrutura_P01[#All],MATCH($C23,Estrutura_P01[[#All],[txtMAKT-MAKTX]],0),MATCH(AO$3,Estrutura_P01[#Headers],0))),"")</f>
        <v/>
      </c>
      <c r="AP23" s="45"/>
      <c r="AQ23" s="43" t="str">
        <f>IFERROR(IF(INDEX(Estrutura_P01[#All],MATCH($C23,Estrutura_P01[[#All],[txtMAKT-MAKTX]],0),MATCH(AQ$3,Estrutura_P01[#Headers],0))=0,"",INDEX(Estrutura_P01[#All],MATCH($C23,Estrutura_P01[[#All],[txtMAKT-MAKTX]],0),MATCH(AQ$3,Estrutura_P01[#Headers],0))),"")</f>
        <v/>
      </c>
      <c r="AR23" s="45"/>
      <c r="AS23" s="46" t="str">
        <f t="shared" ca="1" si="2"/>
        <v/>
      </c>
      <c r="AT23" s="47" t="s">
        <v>864</v>
      </c>
      <c r="AU23" s="44">
        <v>1</v>
      </c>
      <c r="AV23" s="43">
        <f t="shared" si="3"/>
        <v>1</v>
      </c>
      <c r="AW23" s="48" t="s">
        <v>297</v>
      </c>
      <c r="AX23" s="43" t="str">
        <f>IFERROR(IF(INDEX(Estrutura_P01[#All],MATCH($C23,Estrutura_P01[[#All],[txtMAKT-MAKTX]],0),MATCH(AX$3,Estrutura_P01[#Headers],0))=0,"",INDEX(Estrutura_P01[#All],MATCH($C23,Estrutura_P01[[#All],[txtMAKT-MAKTX]],0),MATCH(AX$3,Estrutura_P01[#Headers],0))),"")</f>
        <v/>
      </c>
      <c r="AY23" s="44"/>
      <c r="AZ23" s="99">
        <v>99</v>
      </c>
      <c r="BA23" s="95" t="str">
        <f t="shared" ca="1" si="4"/>
        <v>17.05.2022</v>
      </c>
      <c r="BB23" s="50"/>
      <c r="BC23" s="50">
        <v>1</v>
      </c>
      <c r="BD23" s="50" t="s">
        <v>192</v>
      </c>
      <c r="BE23" s="95" t="str">
        <f t="shared" si="5"/>
        <v>01</v>
      </c>
      <c r="BF23" s="95" t="str">
        <f t="shared" si="6"/>
        <v>NORM</v>
      </c>
      <c r="BG23" s="44">
        <v>1</v>
      </c>
      <c r="BH23" s="44">
        <v>1</v>
      </c>
      <c r="BI23" s="44">
        <v>1</v>
      </c>
      <c r="BJ23" s="95" t="str">
        <f t="shared" si="7"/>
        <v>ZM</v>
      </c>
      <c r="BK23" s="50" t="s">
        <v>195</v>
      </c>
      <c r="BL23" s="50" t="s">
        <v>195</v>
      </c>
      <c r="BM23" s="43" t="str">
        <f>IFERROR(IF(INDEX(Estrutura_P01[#All],MATCH($C23,Estrutura_P01[[#All],[txtMAKT-MAKTX]],0),MATCH(BM$3,Estrutura_P01[#Headers],0))=0,"",INDEX(Estrutura_P01[#All],MATCH($C23,Estrutura_P01[[#All],[txtMAKT-MAKTX]],0),MATCH(BM$3,Estrutura_P01[#Headers],0))),"")</f>
        <v/>
      </c>
      <c r="BN23" s="44"/>
      <c r="BO23" s="50">
        <v>0</v>
      </c>
      <c r="BP23" s="45" t="s">
        <v>374</v>
      </c>
      <c r="BQ23" s="43" t="str">
        <f>IFERROR(IF(INDEX(Estrutura_P01[#All],MATCH($C23,Estrutura_P01[[#All],[txtMAKT-MAKTX]],0),MATCH(BQ$3,Estrutura_P01[#Headers],0))=0,"",INDEX(Estrutura_P01[#All],MATCH($C23,Estrutura_P01[[#All],[txtMAKT-MAKTX]],0),MATCH(BQ$3,Estrutura_P01[#Headers],0))),"")</f>
        <v/>
      </c>
      <c r="BR23" s="43" t="str">
        <f t="shared" si="8"/>
        <v>581</v>
      </c>
      <c r="BS23" s="45" t="s">
        <v>40</v>
      </c>
      <c r="BT23" s="98">
        <v>25000</v>
      </c>
      <c r="BU23" s="43" t="str">
        <f>IFERROR(IF(INDEX(Estrutura_P01[#All],MATCH($C23,Estrutura_P01[[#All],[txtMAKT-MAKTX]],0),MATCH(BU$3,Estrutura_P01[#Headers],0))=0,"",INDEX(Estrutura_P01[#All],MATCH($C23,Estrutura_P01[[#All],[txtMAKT-MAKTX]],0),MATCH(BU$3,Estrutura_P01[#Headers],0))),"")</f>
        <v/>
      </c>
      <c r="BV23" s="45">
        <v>0</v>
      </c>
      <c r="BW23" s="45" t="s">
        <v>473</v>
      </c>
      <c r="BX23" s="45"/>
      <c r="BY23" s="44"/>
      <c r="BZ23" s="49" t="str">
        <f t="shared" si="9"/>
        <v>0011</v>
      </c>
      <c r="CA23" s="49" t="str">
        <f t="shared" si="10"/>
        <v>0011</v>
      </c>
      <c r="CB23" s="45">
        <v>75</v>
      </c>
      <c r="CC23" s="44">
        <v>1</v>
      </c>
      <c r="CD23" s="50" t="s">
        <v>490</v>
      </c>
      <c r="CE23" s="80">
        <v>2</v>
      </c>
      <c r="CF23" s="80">
        <v>7</v>
      </c>
      <c r="CG23" s="95" t="str">
        <f t="shared" si="11"/>
        <v>ZM</v>
      </c>
      <c r="CH23" s="95">
        <f t="shared" si="12"/>
        <v>2</v>
      </c>
      <c r="CI23" s="95">
        <f t="shared" si="13"/>
        <v>42</v>
      </c>
      <c r="CJ23" s="95">
        <f t="shared" si="14"/>
        <v>10</v>
      </c>
      <c r="CK23" s="43" t="str">
        <f t="shared" si="15"/>
        <v>K00_C_0581</v>
      </c>
      <c r="CL23" s="43" t="str">
        <f>IFERROR(IF(INDEX(Estrutura_P01[#All],MATCH($C23,Estrutura_P01[[#All],[txtMAKT-MAKTX]],0),MATCH(CL$3,Estrutura_P01[#Headers],0))=0,"",INDEX(Estrutura_P01[#All],MATCH($C23,Estrutura_P01[[#All],[txtMAKT-MAKTX]],0),MATCH(CL$3,Estrutura_P01[#Headers],0))),"")</f>
        <v/>
      </c>
      <c r="CM23" s="43" t="str">
        <f>IFERROR(IF(INDEX(Estrutura_P01[#All],MATCH($C23,Estrutura_P01[[#All],[txtMAKT-MAKTX]],0),MATCH(CM$3,Estrutura_P01[#Headers],0))=0,"",INDEX(Estrutura_P01[#All],MATCH($C23,Estrutura_P01[[#All],[txtMAKT-MAKTX]],0),MATCH(CM$3,Estrutura_P01[#Headers],0))),"")</f>
        <v/>
      </c>
      <c r="CN23" s="43" t="str">
        <f>IFERROR(IF(INDEX(Estrutura_P01[#All],MATCH($C23,Estrutura_P01[[#All],[txtMAKT-MAKTX]],0),MATCH(CN$3,Estrutura_P01[#Headers],0))=0,"",INDEX(Estrutura_P01[#All],MATCH($C23,Estrutura_P01[[#All],[txtMAKT-MAKTX]],0),MATCH(CN$3,Estrutura_P01[#Headers],0))),"")</f>
        <v/>
      </c>
      <c r="CO23" s="43" t="str">
        <f>IFERROR(IF(INDEX(Estrutura_P01[#All],MATCH($C23,Estrutura_P01[[#All],[txtMAKT-MAKTX]],0),MATCH(CO$3,Estrutura_P01[#Headers],0))=0,"",INDEX(Estrutura_P01[#All],MATCH($C23,Estrutura_P01[[#All],[txtMAKT-MAKTX]],0),MATCH(CO$3,Estrutura_P01[#Headers],0))),"")</f>
        <v/>
      </c>
      <c r="CP23" s="43" t="str">
        <f>IFERROR(IF(INDEX(Estrutura_P01[#All],MATCH($C23,Estrutura_P01[[#All],[txtMAKT-MAKTX]],0),MATCH(CP$3,Estrutura_P01[#Headers],0))=0,"",INDEX(Estrutura_P01[#All],MATCH($C23,Estrutura_P01[[#All],[txtMAKT-MAKTX]],0),MATCH(CP$3,Estrutura_P01[#Headers],0))),"")</f>
        <v/>
      </c>
      <c r="CQ23" s="43" t="str">
        <f>IFERROR(IF(INDEX(Estrutura_P01[#All],MATCH($C23,Estrutura_P01[[#All],[txtMAKT-MAKTX]],0),MATCH(CQ$3,Estrutura_P01[#Headers],0))=0,"",INDEX(Estrutura_P01[#All],MATCH($C23,Estrutura_P01[[#All],[txtMAKT-MAKTX]],0),MATCH(CQ$3,Estrutura_P01[#Headers],0))),"")</f>
        <v/>
      </c>
      <c r="CR23" s="43" t="str">
        <f>IFERROR(IF(INDEX(Estrutura_P01[#All],MATCH($C23,Estrutura_P01[[#All],[txtMAKT-MAKTX]],0),MATCH(CR$3,Estrutura_P01[#Headers],0))=0,"",INDEX(Estrutura_P01[#All],MATCH($C23,Estrutura_P01[[#All],[txtMAKT-MAKTX]],0),MATCH(CR$3,Estrutura_P01[#Headers],0))),"")</f>
        <v/>
      </c>
      <c r="CS23" s="43" t="str">
        <f>IFERROR(IF(INDEX(Estrutura_P01[#All],MATCH($C23,Estrutura_P01[[#All],[txtMAKT-MAKTX]],0),MATCH(CS$3,Estrutura_P01[#Headers],0))=0,"",INDEX(Estrutura_P01[#All],MATCH($C23,Estrutura_P01[[#All],[txtMAKT-MAKTX]],0),MATCH(CS$3,Estrutura_P01[#Headers],0))),"")</f>
        <v/>
      </c>
      <c r="CU23" s="43" t="str">
        <f t="shared" si="16"/>
        <v/>
      </c>
      <c r="CV23" s="55"/>
      <c r="CW23" s="43" t="str">
        <f t="shared" ca="1" si="17"/>
        <v/>
      </c>
      <c r="CX23" s="43" t="str">
        <f t="shared" si="18"/>
        <v/>
      </c>
      <c r="CZ23" s="44"/>
      <c r="DA23" s="44">
        <v>2</v>
      </c>
      <c r="DB23" s="44">
        <v>1</v>
      </c>
      <c r="DC23" s="44"/>
      <c r="DD23" s="90" t="str">
        <f t="shared" si="19"/>
        <v/>
      </c>
      <c r="DE23" s="43">
        <f t="shared" si="20"/>
        <v>0.01</v>
      </c>
      <c r="DF23" s="43" t="str">
        <f t="shared" si="21"/>
        <v>KG</v>
      </c>
      <c r="DG23" s="44">
        <v>1</v>
      </c>
      <c r="DH23" s="50" t="s">
        <v>223</v>
      </c>
      <c r="DI23" s="50" t="s">
        <v>902</v>
      </c>
      <c r="DJ23" s="43" t="str">
        <f>IFERROR(IF(INDEX(Estrutura_P01[#All],MATCH($C23,Estrutura_P01[[#All],[txtMAKT-MAKTX]],0),MATCH(DJ$3,Estrutura_P01[#Headers],0))=0,"",INDEX(Estrutura_P01[#All],MATCH($C23,Estrutura_P01[[#All],[txtMAKT-MAKTX]],0),MATCH(DJ$3,Estrutura_P01[#Headers],0))),"")</f>
        <v/>
      </c>
      <c r="DK23" s="44">
        <v>1000</v>
      </c>
      <c r="DL23" s="60">
        <v>0</v>
      </c>
      <c r="DM23" s="44"/>
      <c r="DN23" s="44">
        <v>1</v>
      </c>
      <c r="DO23" s="44">
        <v>0</v>
      </c>
      <c r="DP23" s="44" t="s">
        <v>862</v>
      </c>
      <c r="DQ23" s="45">
        <v>0</v>
      </c>
      <c r="DR23" s="44">
        <v>1000</v>
      </c>
      <c r="DS23" s="91" t="str">
        <f>IF(AQ23=68,1,IFERROR(VLOOKUP(CM23,'Listas de Dados'!BX:BY,2,0),""))</f>
        <v/>
      </c>
      <c r="DT23" s="90" t="str">
        <f t="shared" ca="1" si="22"/>
        <v/>
      </c>
      <c r="DU23" s="65"/>
    </row>
    <row r="24" spans="1:125" x14ac:dyDescent="0.2">
      <c r="A24" s="7" t="str">
        <f t="shared" si="0"/>
        <v>Execução 20</v>
      </c>
      <c r="B24" s="87"/>
      <c r="C24" s="42"/>
      <c r="D24" s="43" t="str">
        <f>IFERROR(IF(INDEX(Estrutura_P01[#All],MATCH($C24,Estrutura_P01[[#All],[txtMAKT-MAKTX]],0),MATCH(D$3,Estrutura_P01[#Headers],0))=0,"",INDEX(Estrutura_P01[#All],MATCH($C24,Estrutura_P01[[#All],[txtMAKT-MAKTX]],0),MATCH(D$3,Estrutura_P01[#Headers],0))),"")</f>
        <v/>
      </c>
      <c r="E24" s="44" t="s">
        <v>100</v>
      </c>
      <c r="F24" s="79" t="s">
        <v>4</v>
      </c>
      <c r="G24" s="79" t="s">
        <v>11</v>
      </c>
      <c r="H24" s="79" t="str">
        <f t="shared" si="1"/>
        <v>0581</v>
      </c>
      <c r="I24" s="79" t="s">
        <v>6</v>
      </c>
      <c r="J24" s="79"/>
      <c r="L24" s="45" t="s">
        <v>101</v>
      </c>
      <c r="M24" s="45" t="s">
        <v>102</v>
      </c>
      <c r="N24" s="45" t="s">
        <v>103</v>
      </c>
      <c r="O24" s="45"/>
      <c r="P24" s="45"/>
      <c r="Q24" s="45"/>
      <c r="R24" s="45"/>
      <c r="S24" s="45"/>
      <c r="T24" s="45" t="s">
        <v>109</v>
      </c>
      <c r="U24" s="45" t="s">
        <v>110</v>
      </c>
      <c r="V24" s="45" t="s">
        <v>111</v>
      </c>
      <c r="W24" s="45" t="s">
        <v>112</v>
      </c>
      <c r="X24" s="45" t="s">
        <v>113</v>
      </c>
      <c r="Y24" s="45" t="s">
        <v>114</v>
      </c>
      <c r="Z24" s="45" t="s">
        <v>115</v>
      </c>
      <c r="AA24" s="45"/>
      <c r="AB24" s="45" t="s">
        <v>118</v>
      </c>
      <c r="AC24" s="45" t="s">
        <v>119</v>
      </c>
      <c r="AD24" s="45"/>
      <c r="AE24" s="45"/>
      <c r="AF24" s="45" t="s">
        <v>122</v>
      </c>
      <c r="AG24" s="45" t="s">
        <v>123</v>
      </c>
      <c r="AH24" s="45" t="s">
        <v>124</v>
      </c>
      <c r="AI24" s="45" t="s">
        <v>125</v>
      </c>
      <c r="AJ24" s="45" t="s">
        <v>126</v>
      </c>
      <c r="AK24" s="45"/>
      <c r="AL24" s="45"/>
      <c r="AN24" s="44" t="s">
        <v>297</v>
      </c>
      <c r="AO24" s="43" t="str">
        <f>IFERROR(IF(INDEX(Estrutura_P01[#All],MATCH($C24,Estrutura_P01[[#All],[txtMAKT-MAKTX]],0),MATCH(AO$3,Estrutura_P01[#Headers],0))=0,"",INDEX(Estrutura_P01[#All],MATCH($C24,Estrutura_P01[[#All],[txtMAKT-MAKTX]],0),MATCH(AO$3,Estrutura_P01[#Headers],0))),"")</f>
        <v/>
      </c>
      <c r="AP24" s="45"/>
      <c r="AQ24" s="43" t="str">
        <f>IFERROR(IF(INDEX(Estrutura_P01[#All],MATCH($C24,Estrutura_P01[[#All],[txtMAKT-MAKTX]],0),MATCH(AQ$3,Estrutura_P01[#Headers],0))=0,"",INDEX(Estrutura_P01[#All],MATCH($C24,Estrutura_P01[[#All],[txtMAKT-MAKTX]],0),MATCH(AQ$3,Estrutura_P01[#Headers],0))),"")</f>
        <v/>
      </c>
      <c r="AR24" s="45"/>
      <c r="AS24" s="46" t="str">
        <f t="shared" ca="1" si="2"/>
        <v/>
      </c>
      <c r="AT24" s="47" t="s">
        <v>864</v>
      </c>
      <c r="AU24" s="44">
        <v>1</v>
      </c>
      <c r="AV24" s="43">
        <f t="shared" si="3"/>
        <v>1</v>
      </c>
      <c r="AW24" s="48" t="s">
        <v>297</v>
      </c>
      <c r="AX24" s="43" t="str">
        <f>IFERROR(IF(INDEX(Estrutura_P01[#All],MATCH($C24,Estrutura_P01[[#All],[txtMAKT-MAKTX]],0),MATCH(AX$3,Estrutura_P01[#Headers],0))=0,"",INDEX(Estrutura_P01[#All],MATCH($C24,Estrutura_P01[[#All],[txtMAKT-MAKTX]],0),MATCH(AX$3,Estrutura_P01[#Headers],0))),"")</f>
        <v/>
      </c>
      <c r="AY24" s="44"/>
      <c r="AZ24" s="99">
        <v>99</v>
      </c>
      <c r="BA24" s="95" t="str">
        <f t="shared" ca="1" si="4"/>
        <v>17.05.2022</v>
      </c>
      <c r="BB24" s="50"/>
      <c r="BC24" s="50">
        <v>1</v>
      </c>
      <c r="BD24" s="50" t="s">
        <v>192</v>
      </c>
      <c r="BE24" s="95" t="str">
        <f t="shared" si="5"/>
        <v>01</v>
      </c>
      <c r="BF24" s="95" t="str">
        <f t="shared" si="6"/>
        <v>NORM</v>
      </c>
      <c r="BG24" s="44">
        <v>1</v>
      </c>
      <c r="BH24" s="44">
        <v>1</v>
      </c>
      <c r="BI24" s="44">
        <v>1</v>
      </c>
      <c r="BJ24" s="95" t="str">
        <f t="shared" si="7"/>
        <v>ZM</v>
      </c>
      <c r="BK24" s="50" t="s">
        <v>195</v>
      </c>
      <c r="BL24" s="50" t="s">
        <v>195</v>
      </c>
      <c r="BM24" s="43" t="str">
        <f>IFERROR(IF(INDEX(Estrutura_P01[#All],MATCH($C24,Estrutura_P01[[#All],[txtMAKT-MAKTX]],0),MATCH(BM$3,Estrutura_P01[#Headers],0))=0,"",INDEX(Estrutura_P01[#All],MATCH($C24,Estrutura_P01[[#All],[txtMAKT-MAKTX]],0),MATCH(BM$3,Estrutura_P01[#Headers],0))),"")</f>
        <v/>
      </c>
      <c r="BN24" s="44"/>
      <c r="BO24" s="50">
        <v>0</v>
      </c>
      <c r="BP24" s="45" t="s">
        <v>374</v>
      </c>
      <c r="BQ24" s="43" t="str">
        <f>IFERROR(IF(INDEX(Estrutura_P01[#All],MATCH($C24,Estrutura_P01[[#All],[txtMAKT-MAKTX]],0),MATCH(BQ$3,Estrutura_P01[#Headers],0))=0,"",INDEX(Estrutura_P01[#All],MATCH($C24,Estrutura_P01[[#All],[txtMAKT-MAKTX]],0),MATCH(BQ$3,Estrutura_P01[#Headers],0))),"")</f>
        <v/>
      </c>
      <c r="BR24" s="43" t="str">
        <f t="shared" si="8"/>
        <v>581</v>
      </c>
      <c r="BS24" s="45" t="s">
        <v>40</v>
      </c>
      <c r="BT24" s="98">
        <v>25000</v>
      </c>
      <c r="BU24" s="43" t="str">
        <f>IFERROR(IF(INDEX(Estrutura_P01[#All],MATCH($C24,Estrutura_P01[[#All],[txtMAKT-MAKTX]],0),MATCH(BU$3,Estrutura_P01[#Headers],0))=0,"",INDEX(Estrutura_P01[#All],MATCH($C24,Estrutura_P01[[#All],[txtMAKT-MAKTX]],0),MATCH(BU$3,Estrutura_P01[#Headers],0))),"")</f>
        <v/>
      </c>
      <c r="BV24" s="45">
        <v>0</v>
      </c>
      <c r="BW24" s="45" t="s">
        <v>473</v>
      </c>
      <c r="BX24" s="45"/>
      <c r="BY24" s="44"/>
      <c r="BZ24" s="49" t="str">
        <f t="shared" si="9"/>
        <v>0011</v>
      </c>
      <c r="CA24" s="49" t="str">
        <f t="shared" si="10"/>
        <v>0011</v>
      </c>
      <c r="CB24" s="45">
        <v>75</v>
      </c>
      <c r="CC24" s="44">
        <v>1</v>
      </c>
      <c r="CD24" s="50" t="s">
        <v>490</v>
      </c>
      <c r="CE24" s="80">
        <v>2</v>
      </c>
      <c r="CF24" s="80">
        <v>7</v>
      </c>
      <c r="CG24" s="95" t="str">
        <f t="shared" si="11"/>
        <v>ZM</v>
      </c>
      <c r="CH24" s="95">
        <f t="shared" si="12"/>
        <v>2</v>
      </c>
      <c r="CI24" s="95">
        <f t="shared" si="13"/>
        <v>42</v>
      </c>
      <c r="CJ24" s="95">
        <f t="shared" si="14"/>
        <v>10</v>
      </c>
      <c r="CK24" s="43" t="str">
        <f t="shared" si="15"/>
        <v>K00_C_0581</v>
      </c>
      <c r="CL24" s="43" t="str">
        <f>IFERROR(IF(INDEX(Estrutura_P01[#All],MATCH($C24,Estrutura_P01[[#All],[txtMAKT-MAKTX]],0),MATCH(CL$3,Estrutura_P01[#Headers],0))=0,"",INDEX(Estrutura_P01[#All],MATCH($C24,Estrutura_P01[[#All],[txtMAKT-MAKTX]],0),MATCH(CL$3,Estrutura_P01[#Headers],0))),"")</f>
        <v/>
      </c>
      <c r="CM24" s="43" t="str">
        <f>IFERROR(IF(INDEX(Estrutura_P01[#All],MATCH($C24,Estrutura_P01[[#All],[txtMAKT-MAKTX]],0),MATCH(CM$3,Estrutura_P01[#Headers],0))=0,"",INDEX(Estrutura_P01[#All],MATCH($C24,Estrutura_P01[[#All],[txtMAKT-MAKTX]],0),MATCH(CM$3,Estrutura_P01[#Headers],0))),"")</f>
        <v/>
      </c>
      <c r="CN24" s="43" t="str">
        <f>IFERROR(IF(INDEX(Estrutura_P01[#All],MATCH($C24,Estrutura_P01[[#All],[txtMAKT-MAKTX]],0),MATCH(CN$3,Estrutura_P01[#Headers],0))=0,"",INDEX(Estrutura_P01[#All],MATCH($C24,Estrutura_P01[[#All],[txtMAKT-MAKTX]],0),MATCH(CN$3,Estrutura_P01[#Headers],0))),"")</f>
        <v/>
      </c>
      <c r="CO24" s="43" t="str">
        <f>IFERROR(IF(INDEX(Estrutura_P01[#All],MATCH($C24,Estrutura_P01[[#All],[txtMAKT-MAKTX]],0),MATCH(CO$3,Estrutura_P01[#Headers],0))=0,"",INDEX(Estrutura_P01[#All],MATCH($C24,Estrutura_P01[[#All],[txtMAKT-MAKTX]],0),MATCH(CO$3,Estrutura_P01[#Headers],0))),"")</f>
        <v/>
      </c>
      <c r="CP24" s="43" t="str">
        <f>IFERROR(IF(INDEX(Estrutura_P01[#All],MATCH($C24,Estrutura_P01[[#All],[txtMAKT-MAKTX]],0),MATCH(CP$3,Estrutura_P01[#Headers],0))=0,"",INDEX(Estrutura_P01[#All],MATCH($C24,Estrutura_P01[[#All],[txtMAKT-MAKTX]],0),MATCH(CP$3,Estrutura_P01[#Headers],0))),"")</f>
        <v/>
      </c>
      <c r="CQ24" s="43" t="str">
        <f>IFERROR(IF(INDEX(Estrutura_P01[#All],MATCH($C24,Estrutura_P01[[#All],[txtMAKT-MAKTX]],0),MATCH(CQ$3,Estrutura_P01[#Headers],0))=0,"",INDEX(Estrutura_P01[#All],MATCH($C24,Estrutura_P01[[#All],[txtMAKT-MAKTX]],0),MATCH(CQ$3,Estrutura_P01[#Headers],0))),"")</f>
        <v/>
      </c>
      <c r="CR24" s="43" t="str">
        <f>IFERROR(IF(INDEX(Estrutura_P01[#All],MATCH($C24,Estrutura_P01[[#All],[txtMAKT-MAKTX]],0),MATCH(CR$3,Estrutura_P01[#Headers],0))=0,"",INDEX(Estrutura_P01[#All],MATCH($C24,Estrutura_P01[[#All],[txtMAKT-MAKTX]],0),MATCH(CR$3,Estrutura_P01[#Headers],0))),"")</f>
        <v/>
      </c>
      <c r="CS24" s="43" t="str">
        <f>IFERROR(IF(INDEX(Estrutura_P01[#All],MATCH($C24,Estrutura_P01[[#All],[txtMAKT-MAKTX]],0),MATCH(CS$3,Estrutura_P01[#Headers],0))=0,"",INDEX(Estrutura_P01[#All],MATCH($C24,Estrutura_P01[[#All],[txtMAKT-MAKTX]],0),MATCH(CS$3,Estrutura_P01[#Headers],0))),"")</f>
        <v/>
      </c>
      <c r="CU24" s="43" t="str">
        <f t="shared" si="16"/>
        <v/>
      </c>
      <c r="CV24" s="55"/>
      <c r="CW24" s="43" t="str">
        <f t="shared" ca="1" si="17"/>
        <v/>
      </c>
      <c r="CX24" s="43" t="str">
        <f t="shared" si="18"/>
        <v/>
      </c>
      <c r="CZ24" s="44"/>
      <c r="DA24" s="44">
        <v>2</v>
      </c>
      <c r="DB24" s="44">
        <v>1</v>
      </c>
      <c r="DC24" s="44"/>
      <c r="DD24" s="90" t="str">
        <f t="shared" si="19"/>
        <v/>
      </c>
      <c r="DE24" s="43">
        <f t="shared" si="20"/>
        <v>0.01</v>
      </c>
      <c r="DF24" s="43" t="str">
        <f t="shared" si="21"/>
        <v>KG</v>
      </c>
      <c r="DG24" s="44">
        <v>1</v>
      </c>
      <c r="DH24" s="50" t="s">
        <v>223</v>
      </c>
      <c r="DI24" s="50" t="s">
        <v>902</v>
      </c>
      <c r="DJ24" s="43" t="str">
        <f>IFERROR(IF(INDEX(Estrutura_P01[#All],MATCH($C24,Estrutura_P01[[#All],[txtMAKT-MAKTX]],0),MATCH(DJ$3,Estrutura_P01[#Headers],0))=0,"",INDEX(Estrutura_P01[#All],MATCH($C24,Estrutura_P01[[#All],[txtMAKT-MAKTX]],0),MATCH(DJ$3,Estrutura_P01[#Headers],0))),"")</f>
        <v/>
      </c>
      <c r="DK24" s="44">
        <v>1000</v>
      </c>
      <c r="DL24" s="60">
        <v>0</v>
      </c>
      <c r="DM24" s="44"/>
      <c r="DN24" s="44">
        <v>1</v>
      </c>
      <c r="DO24" s="44">
        <v>0</v>
      </c>
      <c r="DP24" s="44" t="s">
        <v>862</v>
      </c>
      <c r="DQ24" s="45">
        <v>0</v>
      </c>
      <c r="DR24" s="44">
        <v>1000</v>
      </c>
      <c r="DS24" s="91" t="str">
        <f>IF(AQ24=68,1,IFERROR(VLOOKUP(CM24,'Listas de Dados'!BX:BY,2,0),""))</f>
        <v/>
      </c>
      <c r="DT24" s="90" t="str">
        <f t="shared" ca="1" si="22"/>
        <v/>
      </c>
      <c r="DU24" s="65"/>
    </row>
    <row r="25" spans="1:125" x14ac:dyDescent="0.2">
      <c r="A25" s="7" t="str">
        <f t="shared" si="0"/>
        <v>Execução 21</v>
      </c>
      <c r="B25" s="87"/>
      <c r="C25" s="42"/>
      <c r="D25" s="43" t="str">
        <f>IFERROR(IF(INDEX(Estrutura_P01[#All],MATCH($C25,Estrutura_P01[[#All],[txtMAKT-MAKTX]],0),MATCH(D$3,Estrutura_P01[#Headers],0))=0,"",INDEX(Estrutura_P01[#All],MATCH($C25,Estrutura_P01[[#All],[txtMAKT-MAKTX]],0),MATCH(D$3,Estrutura_P01[#Headers],0))),"")</f>
        <v/>
      </c>
      <c r="E25" s="44" t="s">
        <v>100</v>
      </c>
      <c r="F25" s="79" t="s">
        <v>4</v>
      </c>
      <c r="G25" s="79" t="s">
        <v>11</v>
      </c>
      <c r="H25" s="79" t="str">
        <f t="shared" si="1"/>
        <v>0581</v>
      </c>
      <c r="I25" s="79" t="s">
        <v>6</v>
      </c>
      <c r="J25" s="79"/>
      <c r="L25" s="45" t="s">
        <v>101</v>
      </c>
      <c r="M25" s="45" t="s">
        <v>102</v>
      </c>
      <c r="N25" s="45" t="s">
        <v>103</v>
      </c>
      <c r="O25" s="45"/>
      <c r="P25" s="45"/>
      <c r="Q25" s="45"/>
      <c r="R25" s="45"/>
      <c r="S25" s="45"/>
      <c r="T25" s="45" t="s">
        <v>109</v>
      </c>
      <c r="U25" s="45" t="s">
        <v>110</v>
      </c>
      <c r="V25" s="45" t="s">
        <v>111</v>
      </c>
      <c r="W25" s="45" t="s">
        <v>112</v>
      </c>
      <c r="X25" s="45" t="s">
        <v>113</v>
      </c>
      <c r="Y25" s="45" t="s">
        <v>114</v>
      </c>
      <c r="Z25" s="45" t="s">
        <v>115</v>
      </c>
      <c r="AA25" s="45"/>
      <c r="AB25" s="45" t="s">
        <v>118</v>
      </c>
      <c r="AC25" s="45" t="s">
        <v>119</v>
      </c>
      <c r="AD25" s="45"/>
      <c r="AE25" s="45"/>
      <c r="AF25" s="45" t="s">
        <v>122</v>
      </c>
      <c r="AG25" s="45" t="s">
        <v>123</v>
      </c>
      <c r="AH25" s="45" t="s">
        <v>124</v>
      </c>
      <c r="AI25" s="45" t="s">
        <v>125</v>
      </c>
      <c r="AJ25" s="45" t="s">
        <v>126</v>
      </c>
      <c r="AK25" s="45"/>
      <c r="AL25" s="45"/>
      <c r="AN25" s="44" t="s">
        <v>297</v>
      </c>
      <c r="AO25" s="43" t="str">
        <f>IFERROR(IF(INDEX(Estrutura_P01[#All],MATCH($C25,Estrutura_P01[[#All],[txtMAKT-MAKTX]],0),MATCH(AO$3,Estrutura_P01[#Headers],0))=0,"",INDEX(Estrutura_P01[#All],MATCH($C25,Estrutura_P01[[#All],[txtMAKT-MAKTX]],0),MATCH(AO$3,Estrutura_P01[#Headers],0))),"")</f>
        <v/>
      </c>
      <c r="AP25" s="45"/>
      <c r="AQ25" s="43" t="str">
        <f>IFERROR(IF(INDEX(Estrutura_P01[#All],MATCH($C25,Estrutura_P01[[#All],[txtMAKT-MAKTX]],0),MATCH(AQ$3,Estrutura_P01[#Headers],0))=0,"",INDEX(Estrutura_P01[#All],MATCH($C25,Estrutura_P01[[#All],[txtMAKT-MAKTX]],0),MATCH(AQ$3,Estrutura_P01[#Headers],0))),"")</f>
        <v/>
      </c>
      <c r="AR25" s="45"/>
      <c r="AS25" s="46" t="str">
        <f t="shared" ca="1" si="2"/>
        <v/>
      </c>
      <c r="AT25" s="47" t="s">
        <v>864</v>
      </c>
      <c r="AU25" s="44">
        <v>1</v>
      </c>
      <c r="AV25" s="43">
        <f t="shared" si="3"/>
        <v>1</v>
      </c>
      <c r="AW25" s="48" t="s">
        <v>297</v>
      </c>
      <c r="AX25" s="43" t="str">
        <f>IFERROR(IF(INDEX(Estrutura_P01[#All],MATCH($C25,Estrutura_P01[[#All],[txtMAKT-MAKTX]],0),MATCH(AX$3,Estrutura_P01[#Headers],0))=0,"",INDEX(Estrutura_P01[#All],MATCH($C25,Estrutura_P01[[#All],[txtMAKT-MAKTX]],0),MATCH(AX$3,Estrutura_P01[#Headers],0))),"")</f>
        <v/>
      </c>
      <c r="AY25" s="44"/>
      <c r="AZ25" s="99">
        <v>99</v>
      </c>
      <c r="BA25" s="95" t="str">
        <f t="shared" ca="1" si="4"/>
        <v>17.05.2022</v>
      </c>
      <c r="BB25" s="50"/>
      <c r="BC25" s="50">
        <v>1</v>
      </c>
      <c r="BD25" s="50" t="s">
        <v>192</v>
      </c>
      <c r="BE25" s="95" t="str">
        <f t="shared" si="5"/>
        <v>01</v>
      </c>
      <c r="BF25" s="95" t="str">
        <f t="shared" si="6"/>
        <v>NORM</v>
      </c>
      <c r="BG25" s="44">
        <v>1</v>
      </c>
      <c r="BH25" s="44">
        <v>1</v>
      </c>
      <c r="BI25" s="44">
        <v>1</v>
      </c>
      <c r="BJ25" s="95" t="str">
        <f t="shared" si="7"/>
        <v>ZM</v>
      </c>
      <c r="BK25" s="50" t="s">
        <v>195</v>
      </c>
      <c r="BL25" s="50" t="s">
        <v>195</v>
      </c>
      <c r="BM25" s="43" t="str">
        <f>IFERROR(IF(INDEX(Estrutura_P01[#All],MATCH($C25,Estrutura_P01[[#All],[txtMAKT-MAKTX]],0),MATCH(BM$3,Estrutura_P01[#Headers],0))=0,"",INDEX(Estrutura_P01[#All],MATCH($C25,Estrutura_P01[[#All],[txtMAKT-MAKTX]],0),MATCH(BM$3,Estrutura_P01[#Headers],0))),"")</f>
        <v/>
      </c>
      <c r="BN25" s="44"/>
      <c r="BO25" s="50">
        <v>0</v>
      </c>
      <c r="BP25" s="45" t="s">
        <v>374</v>
      </c>
      <c r="BQ25" s="43" t="str">
        <f>IFERROR(IF(INDEX(Estrutura_P01[#All],MATCH($C25,Estrutura_P01[[#All],[txtMAKT-MAKTX]],0),MATCH(BQ$3,Estrutura_P01[#Headers],0))=0,"",INDEX(Estrutura_P01[#All],MATCH($C25,Estrutura_P01[[#All],[txtMAKT-MAKTX]],0),MATCH(BQ$3,Estrutura_P01[#Headers],0))),"")</f>
        <v/>
      </c>
      <c r="BR25" s="43" t="str">
        <f t="shared" si="8"/>
        <v>581</v>
      </c>
      <c r="BS25" s="45" t="s">
        <v>40</v>
      </c>
      <c r="BT25" s="98">
        <v>25000</v>
      </c>
      <c r="BU25" s="43" t="str">
        <f>IFERROR(IF(INDEX(Estrutura_P01[#All],MATCH($C25,Estrutura_P01[[#All],[txtMAKT-MAKTX]],0),MATCH(BU$3,Estrutura_P01[#Headers],0))=0,"",INDEX(Estrutura_P01[#All],MATCH($C25,Estrutura_P01[[#All],[txtMAKT-MAKTX]],0),MATCH(BU$3,Estrutura_P01[#Headers],0))),"")</f>
        <v/>
      </c>
      <c r="BV25" s="45">
        <v>0</v>
      </c>
      <c r="BW25" s="45" t="s">
        <v>473</v>
      </c>
      <c r="BX25" s="45"/>
      <c r="BY25" s="44"/>
      <c r="BZ25" s="49" t="str">
        <f t="shared" si="9"/>
        <v>0011</v>
      </c>
      <c r="CA25" s="49" t="str">
        <f t="shared" si="10"/>
        <v>0011</v>
      </c>
      <c r="CB25" s="45">
        <v>75</v>
      </c>
      <c r="CC25" s="44">
        <v>1</v>
      </c>
      <c r="CD25" s="50" t="s">
        <v>490</v>
      </c>
      <c r="CE25" s="80">
        <v>2</v>
      </c>
      <c r="CF25" s="80">
        <v>7</v>
      </c>
      <c r="CG25" s="95" t="str">
        <f t="shared" si="11"/>
        <v>ZM</v>
      </c>
      <c r="CH25" s="95">
        <f t="shared" si="12"/>
        <v>2</v>
      </c>
      <c r="CI25" s="95">
        <f t="shared" si="13"/>
        <v>42</v>
      </c>
      <c r="CJ25" s="95">
        <f t="shared" si="14"/>
        <v>10</v>
      </c>
      <c r="CK25" s="43" t="str">
        <f t="shared" si="15"/>
        <v>K00_C_0581</v>
      </c>
      <c r="CL25" s="43" t="str">
        <f>IFERROR(IF(INDEX(Estrutura_P01[#All],MATCH($C25,Estrutura_P01[[#All],[txtMAKT-MAKTX]],0),MATCH(CL$3,Estrutura_P01[#Headers],0))=0,"",INDEX(Estrutura_P01[#All],MATCH($C25,Estrutura_P01[[#All],[txtMAKT-MAKTX]],0),MATCH(CL$3,Estrutura_P01[#Headers],0))),"")</f>
        <v/>
      </c>
      <c r="CM25" s="43" t="str">
        <f>IFERROR(IF(INDEX(Estrutura_P01[#All],MATCH($C25,Estrutura_P01[[#All],[txtMAKT-MAKTX]],0),MATCH(CM$3,Estrutura_P01[#Headers],0))=0,"",INDEX(Estrutura_P01[#All],MATCH($C25,Estrutura_P01[[#All],[txtMAKT-MAKTX]],0),MATCH(CM$3,Estrutura_P01[#Headers],0))),"")</f>
        <v/>
      </c>
      <c r="CN25" s="43" t="str">
        <f>IFERROR(IF(INDEX(Estrutura_P01[#All],MATCH($C25,Estrutura_P01[[#All],[txtMAKT-MAKTX]],0),MATCH(CN$3,Estrutura_P01[#Headers],0))=0,"",INDEX(Estrutura_P01[#All],MATCH($C25,Estrutura_P01[[#All],[txtMAKT-MAKTX]],0),MATCH(CN$3,Estrutura_P01[#Headers],0))),"")</f>
        <v/>
      </c>
      <c r="CO25" s="43" t="str">
        <f>IFERROR(IF(INDEX(Estrutura_P01[#All],MATCH($C25,Estrutura_P01[[#All],[txtMAKT-MAKTX]],0),MATCH(CO$3,Estrutura_P01[#Headers],0))=0,"",INDEX(Estrutura_P01[#All],MATCH($C25,Estrutura_P01[[#All],[txtMAKT-MAKTX]],0),MATCH(CO$3,Estrutura_P01[#Headers],0))),"")</f>
        <v/>
      </c>
      <c r="CP25" s="43" t="str">
        <f>IFERROR(IF(INDEX(Estrutura_P01[#All],MATCH($C25,Estrutura_P01[[#All],[txtMAKT-MAKTX]],0),MATCH(CP$3,Estrutura_P01[#Headers],0))=0,"",INDEX(Estrutura_P01[#All],MATCH($C25,Estrutura_P01[[#All],[txtMAKT-MAKTX]],0),MATCH(CP$3,Estrutura_P01[#Headers],0))),"")</f>
        <v/>
      </c>
      <c r="CQ25" s="43" t="str">
        <f>IFERROR(IF(INDEX(Estrutura_P01[#All],MATCH($C25,Estrutura_P01[[#All],[txtMAKT-MAKTX]],0),MATCH(CQ$3,Estrutura_P01[#Headers],0))=0,"",INDEX(Estrutura_P01[#All],MATCH($C25,Estrutura_P01[[#All],[txtMAKT-MAKTX]],0),MATCH(CQ$3,Estrutura_P01[#Headers],0))),"")</f>
        <v/>
      </c>
      <c r="CR25" s="43" t="str">
        <f>IFERROR(IF(INDEX(Estrutura_P01[#All],MATCH($C25,Estrutura_P01[[#All],[txtMAKT-MAKTX]],0),MATCH(CR$3,Estrutura_P01[#Headers],0))=0,"",INDEX(Estrutura_P01[#All],MATCH($C25,Estrutura_P01[[#All],[txtMAKT-MAKTX]],0),MATCH(CR$3,Estrutura_P01[#Headers],0))),"")</f>
        <v/>
      </c>
      <c r="CS25" s="43" t="str">
        <f>IFERROR(IF(INDEX(Estrutura_P01[#All],MATCH($C25,Estrutura_P01[[#All],[txtMAKT-MAKTX]],0),MATCH(CS$3,Estrutura_P01[#Headers],0))=0,"",INDEX(Estrutura_P01[#All],MATCH($C25,Estrutura_P01[[#All],[txtMAKT-MAKTX]],0),MATCH(CS$3,Estrutura_P01[#Headers],0))),"")</f>
        <v/>
      </c>
      <c r="CU25" s="43" t="str">
        <f t="shared" si="16"/>
        <v/>
      </c>
      <c r="CV25" s="55"/>
      <c r="CW25" s="43" t="str">
        <f t="shared" ca="1" si="17"/>
        <v/>
      </c>
      <c r="CX25" s="43" t="str">
        <f t="shared" si="18"/>
        <v/>
      </c>
      <c r="CZ25" s="44"/>
      <c r="DA25" s="44">
        <v>2</v>
      </c>
      <c r="DB25" s="44">
        <v>1</v>
      </c>
      <c r="DC25" s="44"/>
      <c r="DD25" s="90" t="str">
        <f t="shared" si="19"/>
        <v/>
      </c>
      <c r="DE25" s="43">
        <f t="shared" si="20"/>
        <v>0.01</v>
      </c>
      <c r="DF25" s="43" t="str">
        <f t="shared" si="21"/>
        <v>KG</v>
      </c>
      <c r="DG25" s="44">
        <v>1</v>
      </c>
      <c r="DH25" s="50" t="s">
        <v>223</v>
      </c>
      <c r="DI25" s="50" t="s">
        <v>902</v>
      </c>
      <c r="DJ25" s="43" t="str">
        <f>IFERROR(IF(INDEX(Estrutura_P01[#All],MATCH($C25,Estrutura_P01[[#All],[txtMAKT-MAKTX]],0),MATCH(DJ$3,Estrutura_P01[#Headers],0))=0,"",INDEX(Estrutura_P01[#All],MATCH($C25,Estrutura_P01[[#All],[txtMAKT-MAKTX]],0),MATCH(DJ$3,Estrutura_P01[#Headers],0))),"")</f>
        <v/>
      </c>
      <c r="DK25" s="44">
        <v>1000</v>
      </c>
      <c r="DL25" s="60">
        <v>0</v>
      </c>
      <c r="DM25" s="44"/>
      <c r="DN25" s="44">
        <v>1</v>
      </c>
      <c r="DO25" s="44">
        <v>0</v>
      </c>
      <c r="DP25" s="44" t="s">
        <v>862</v>
      </c>
      <c r="DQ25" s="45">
        <v>0</v>
      </c>
      <c r="DR25" s="44">
        <v>1000</v>
      </c>
      <c r="DS25" s="91" t="str">
        <f>IF(AQ25=68,1,IFERROR(VLOOKUP(CM25,'Listas de Dados'!BX:BY,2,0),""))</f>
        <v/>
      </c>
      <c r="DT25" s="90" t="str">
        <f t="shared" ca="1" si="22"/>
        <v/>
      </c>
      <c r="DU25" s="65"/>
    </row>
    <row r="26" spans="1:125" x14ac:dyDescent="0.2">
      <c r="A26" s="7" t="str">
        <f t="shared" si="0"/>
        <v>Execução 22</v>
      </c>
      <c r="B26" s="87"/>
      <c r="C26" s="42"/>
      <c r="D26" s="43" t="str">
        <f>IFERROR(IF(INDEX(Estrutura_P01[#All],MATCH($C26,Estrutura_P01[[#All],[txtMAKT-MAKTX]],0),MATCH(D$3,Estrutura_P01[#Headers],0))=0,"",INDEX(Estrutura_P01[#All],MATCH($C26,Estrutura_P01[[#All],[txtMAKT-MAKTX]],0),MATCH(D$3,Estrutura_P01[#Headers],0))),"")</f>
        <v/>
      </c>
      <c r="E26" s="44" t="s">
        <v>100</v>
      </c>
      <c r="F26" s="79" t="s">
        <v>4</v>
      </c>
      <c r="G26" s="79" t="s">
        <v>11</v>
      </c>
      <c r="H26" s="79" t="str">
        <f t="shared" si="1"/>
        <v>0581</v>
      </c>
      <c r="I26" s="79" t="s">
        <v>6</v>
      </c>
      <c r="J26" s="79"/>
      <c r="L26" s="45" t="s">
        <v>101</v>
      </c>
      <c r="M26" s="45" t="s">
        <v>102</v>
      </c>
      <c r="N26" s="45" t="s">
        <v>103</v>
      </c>
      <c r="O26" s="45"/>
      <c r="P26" s="45"/>
      <c r="Q26" s="45"/>
      <c r="R26" s="45"/>
      <c r="S26" s="45"/>
      <c r="T26" s="45" t="s">
        <v>109</v>
      </c>
      <c r="U26" s="45" t="s">
        <v>110</v>
      </c>
      <c r="V26" s="45" t="s">
        <v>111</v>
      </c>
      <c r="W26" s="45" t="s">
        <v>112</v>
      </c>
      <c r="X26" s="45" t="s">
        <v>113</v>
      </c>
      <c r="Y26" s="45" t="s">
        <v>114</v>
      </c>
      <c r="Z26" s="45" t="s">
        <v>115</v>
      </c>
      <c r="AA26" s="45"/>
      <c r="AB26" s="45" t="s">
        <v>118</v>
      </c>
      <c r="AC26" s="45" t="s">
        <v>119</v>
      </c>
      <c r="AD26" s="45"/>
      <c r="AE26" s="45"/>
      <c r="AF26" s="45" t="s">
        <v>122</v>
      </c>
      <c r="AG26" s="45" t="s">
        <v>123</v>
      </c>
      <c r="AH26" s="45" t="s">
        <v>124</v>
      </c>
      <c r="AI26" s="45" t="s">
        <v>125</v>
      </c>
      <c r="AJ26" s="45" t="s">
        <v>126</v>
      </c>
      <c r="AK26" s="45"/>
      <c r="AL26" s="45"/>
      <c r="AN26" s="44" t="s">
        <v>297</v>
      </c>
      <c r="AO26" s="43" t="str">
        <f>IFERROR(IF(INDEX(Estrutura_P01[#All],MATCH($C26,Estrutura_P01[[#All],[txtMAKT-MAKTX]],0),MATCH(AO$3,Estrutura_P01[#Headers],0))=0,"",INDEX(Estrutura_P01[#All],MATCH($C26,Estrutura_P01[[#All],[txtMAKT-MAKTX]],0),MATCH(AO$3,Estrutura_P01[#Headers],0))),"")</f>
        <v/>
      </c>
      <c r="AP26" s="45"/>
      <c r="AQ26" s="43" t="str">
        <f>IFERROR(IF(INDEX(Estrutura_P01[#All],MATCH($C26,Estrutura_P01[[#All],[txtMAKT-MAKTX]],0),MATCH(AQ$3,Estrutura_P01[#Headers],0))=0,"",INDEX(Estrutura_P01[#All],MATCH($C26,Estrutura_P01[[#All],[txtMAKT-MAKTX]],0),MATCH(AQ$3,Estrutura_P01[#Headers],0))),"")</f>
        <v/>
      </c>
      <c r="AR26" s="45"/>
      <c r="AS26" s="46" t="str">
        <f t="shared" ca="1" si="2"/>
        <v/>
      </c>
      <c r="AT26" s="47" t="s">
        <v>864</v>
      </c>
      <c r="AU26" s="44">
        <v>1</v>
      </c>
      <c r="AV26" s="43">
        <f t="shared" si="3"/>
        <v>1</v>
      </c>
      <c r="AW26" s="48" t="s">
        <v>297</v>
      </c>
      <c r="AX26" s="43" t="str">
        <f>IFERROR(IF(INDEX(Estrutura_P01[#All],MATCH($C26,Estrutura_P01[[#All],[txtMAKT-MAKTX]],0),MATCH(AX$3,Estrutura_P01[#Headers],0))=0,"",INDEX(Estrutura_P01[#All],MATCH($C26,Estrutura_P01[[#All],[txtMAKT-MAKTX]],0),MATCH(AX$3,Estrutura_P01[#Headers],0))),"")</f>
        <v/>
      </c>
      <c r="AY26" s="44"/>
      <c r="AZ26" s="99">
        <v>99</v>
      </c>
      <c r="BA26" s="95" t="str">
        <f t="shared" ca="1" si="4"/>
        <v>17.05.2022</v>
      </c>
      <c r="BB26" s="50"/>
      <c r="BC26" s="50">
        <v>1</v>
      </c>
      <c r="BD26" s="50" t="s">
        <v>192</v>
      </c>
      <c r="BE26" s="95" t="str">
        <f t="shared" si="5"/>
        <v>01</v>
      </c>
      <c r="BF26" s="95" t="str">
        <f t="shared" si="6"/>
        <v>NORM</v>
      </c>
      <c r="BG26" s="44">
        <v>1</v>
      </c>
      <c r="BH26" s="44">
        <v>1</v>
      </c>
      <c r="BI26" s="44">
        <v>1</v>
      </c>
      <c r="BJ26" s="95" t="str">
        <f t="shared" si="7"/>
        <v>ZM</v>
      </c>
      <c r="BK26" s="50" t="s">
        <v>195</v>
      </c>
      <c r="BL26" s="50" t="s">
        <v>195</v>
      </c>
      <c r="BM26" s="43" t="str">
        <f>IFERROR(IF(INDEX(Estrutura_P01[#All],MATCH($C26,Estrutura_P01[[#All],[txtMAKT-MAKTX]],0),MATCH(BM$3,Estrutura_P01[#Headers],0))=0,"",INDEX(Estrutura_P01[#All],MATCH($C26,Estrutura_P01[[#All],[txtMAKT-MAKTX]],0),MATCH(BM$3,Estrutura_P01[#Headers],0))),"")</f>
        <v/>
      </c>
      <c r="BN26" s="44"/>
      <c r="BO26" s="50">
        <v>0</v>
      </c>
      <c r="BP26" s="45" t="s">
        <v>374</v>
      </c>
      <c r="BQ26" s="43" t="str">
        <f>IFERROR(IF(INDEX(Estrutura_P01[#All],MATCH($C26,Estrutura_P01[[#All],[txtMAKT-MAKTX]],0),MATCH(BQ$3,Estrutura_P01[#Headers],0))=0,"",INDEX(Estrutura_P01[#All],MATCH($C26,Estrutura_P01[[#All],[txtMAKT-MAKTX]],0),MATCH(BQ$3,Estrutura_P01[#Headers],0))),"")</f>
        <v/>
      </c>
      <c r="BR26" s="43" t="str">
        <f t="shared" si="8"/>
        <v>581</v>
      </c>
      <c r="BS26" s="45" t="s">
        <v>40</v>
      </c>
      <c r="BT26" s="98">
        <v>25000</v>
      </c>
      <c r="BU26" s="43" t="str">
        <f>IFERROR(IF(INDEX(Estrutura_P01[#All],MATCH($C26,Estrutura_P01[[#All],[txtMAKT-MAKTX]],0),MATCH(BU$3,Estrutura_P01[#Headers],0))=0,"",INDEX(Estrutura_P01[#All],MATCH($C26,Estrutura_P01[[#All],[txtMAKT-MAKTX]],0),MATCH(BU$3,Estrutura_P01[#Headers],0))),"")</f>
        <v/>
      </c>
      <c r="BV26" s="45">
        <v>0</v>
      </c>
      <c r="BW26" s="45" t="s">
        <v>473</v>
      </c>
      <c r="BX26" s="45"/>
      <c r="BY26" s="44"/>
      <c r="BZ26" s="49" t="str">
        <f t="shared" si="9"/>
        <v>0011</v>
      </c>
      <c r="CA26" s="49" t="str">
        <f t="shared" si="10"/>
        <v>0011</v>
      </c>
      <c r="CB26" s="45">
        <v>75</v>
      </c>
      <c r="CC26" s="44">
        <v>1</v>
      </c>
      <c r="CD26" s="50" t="s">
        <v>490</v>
      </c>
      <c r="CE26" s="80">
        <v>2</v>
      </c>
      <c r="CF26" s="80">
        <v>7</v>
      </c>
      <c r="CG26" s="95" t="str">
        <f t="shared" si="11"/>
        <v>ZM</v>
      </c>
      <c r="CH26" s="95">
        <f t="shared" si="12"/>
        <v>2</v>
      </c>
      <c r="CI26" s="95">
        <f t="shared" si="13"/>
        <v>42</v>
      </c>
      <c r="CJ26" s="95">
        <f t="shared" si="14"/>
        <v>10</v>
      </c>
      <c r="CK26" s="43" t="str">
        <f t="shared" si="15"/>
        <v>K00_C_0581</v>
      </c>
      <c r="CL26" s="43" t="str">
        <f>IFERROR(IF(INDEX(Estrutura_P01[#All],MATCH($C26,Estrutura_P01[[#All],[txtMAKT-MAKTX]],0),MATCH(CL$3,Estrutura_P01[#Headers],0))=0,"",INDEX(Estrutura_P01[#All],MATCH($C26,Estrutura_P01[[#All],[txtMAKT-MAKTX]],0),MATCH(CL$3,Estrutura_P01[#Headers],0))),"")</f>
        <v/>
      </c>
      <c r="CM26" s="43" t="str">
        <f>IFERROR(IF(INDEX(Estrutura_P01[#All],MATCH($C26,Estrutura_P01[[#All],[txtMAKT-MAKTX]],0),MATCH(CM$3,Estrutura_P01[#Headers],0))=0,"",INDEX(Estrutura_P01[#All],MATCH($C26,Estrutura_P01[[#All],[txtMAKT-MAKTX]],0),MATCH(CM$3,Estrutura_P01[#Headers],0))),"")</f>
        <v/>
      </c>
      <c r="CN26" s="43" t="str">
        <f>IFERROR(IF(INDEX(Estrutura_P01[#All],MATCH($C26,Estrutura_P01[[#All],[txtMAKT-MAKTX]],0),MATCH(CN$3,Estrutura_P01[#Headers],0))=0,"",INDEX(Estrutura_P01[#All],MATCH($C26,Estrutura_P01[[#All],[txtMAKT-MAKTX]],0),MATCH(CN$3,Estrutura_P01[#Headers],0))),"")</f>
        <v/>
      </c>
      <c r="CO26" s="43" t="str">
        <f>IFERROR(IF(INDEX(Estrutura_P01[#All],MATCH($C26,Estrutura_P01[[#All],[txtMAKT-MAKTX]],0),MATCH(CO$3,Estrutura_P01[#Headers],0))=0,"",INDEX(Estrutura_P01[#All],MATCH($C26,Estrutura_P01[[#All],[txtMAKT-MAKTX]],0),MATCH(CO$3,Estrutura_P01[#Headers],0))),"")</f>
        <v/>
      </c>
      <c r="CP26" s="43" t="str">
        <f>IFERROR(IF(INDEX(Estrutura_P01[#All],MATCH($C26,Estrutura_P01[[#All],[txtMAKT-MAKTX]],0),MATCH(CP$3,Estrutura_P01[#Headers],0))=0,"",INDEX(Estrutura_P01[#All],MATCH($C26,Estrutura_P01[[#All],[txtMAKT-MAKTX]],0),MATCH(CP$3,Estrutura_P01[#Headers],0))),"")</f>
        <v/>
      </c>
      <c r="CQ26" s="43" t="str">
        <f>IFERROR(IF(INDEX(Estrutura_P01[#All],MATCH($C26,Estrutura_P01[[#All],[txtMAKT-MAKTX]],0),MATCH(CQ$3,Estrutura_P01[#Headers],0))=0,"",INDEX(Estrutura_P01[#All],MATCH($C26,Estrutura_P01[[#All],[txtMAKT-MAKTX]],0),MATCH(CQ$3,Estrutura_P01[#Headers],0))),"")</f>
        <v/>
      </c>
      <c r="CR26" s="43" t="str">
        <f>IFERROR(IF(INDEX(Estrutura_P01[#All],MATCH($C26,Estrutura_P01[[#All],[txtMAKT-MAKTX]],0),MATCH(CR$3,Estrutura_P01[#Headers],0))=0,"",INDEX(Estrutura_P01[#All],MATCH($C26,Estrutura_P01[[#All],[txtMAKT-MAKTX]],0),MATCH(CR$3,Estrutura_P01[#Headers],0))),"")</f>
        <v/>
      </c>
      <c r="CS26" s="43" t="str">
        <f>IFERROR(IF(INDEX(Estrutura_P01[#All],MATCH($C26,Estrutura_P01[[#All],[txtMAKT-MAKTX]],0),MATCH(CS$3,Estrutura_P01[#Headers],0))=0,"",INDEX(Estrutura_P01[#All],MATCH($C26,Estrutura_P01[[#All],[txtMAKT-MAKTX]],0),MATCH(CS$3,Estrutura_P01[#Headers],0))),"")</f>
        <v/>
      </c>
      <c r="CU26" s="43" t="str">
        <f t="shared" si="16"/>
        <v/>
      </c>
      <c r="CV26" s="55"/>
      <c r="CW26" s="43" t="str">
        <f t="shared" ca="1" si="17"/>
        <v/>
      </c>
      <c r="CX26" s="43" t="str">
        <f t="shared" si="18"/>
        <v/>
      </c>
      <c r="CZ26" s="44"/>
      <c r="DA26" s="44">
        <v>2</v>
      </c>
      <c r="DB26" s="44">
        <v>1</v>
      </c>
      <c r="DC26" s="44"/>
      <c r="DD26" s="90" t="str">
        <f t="shared" si="19"/>
        <v/>
      </c>
      <c r="DE26" s="43">
        <f t="shared" si="20"/>
        <v>0.01</v>
      </c>
      <c r="DF26" s="43" t="str">
        <f t="shared" si="21"/>
        <v>KG</v>
      </c>
      <c r="DG26" s="44">
        <v>1</v>
      </c>
      <c r="DH26" s="50" t="s">
        <v>223</v>
      </c>
      <c r="DI26" s="50" t="s">
        <v>902</v>
      </c>
      <c r="DJ26" s="43" t="str">
        <f>IFERROR(IF(INDEX(Estrutura_P01[#All],MATCH($C26,Estrutura_P01[[#All],[txtMAKT-MAKTX]],0),MATCH(DJ$3,Estrutura_P01[#Headers],0))=0,"",INDEX(Estrutura_P01[#All],MATCH($C26,Estrutura_P01[[#All],[txtMAKT-MAKTX]],0),MATCH(DJ$3,Estrutura_P01[#Headers],0))),"")</f>
        <v/>
      </c>
      <c r="DK26" s="44">
        <v>1000</v>
      </c>
      <c r="DL26" s="60">
        <v>0</v>
      </c>
      <c r="DM26" s="44"/>
      <c r="DN26" s="44">
        <v>1</v>
      </c>
      <c r="DO26" s="44">
        <v>0</v>
      </c>
      <c r="DP26" s="44" t="s">
        <v>862</v>
      </c>
      <c r="DQ26" s="45">
        <v>0</v>
      </c>
      <c r="DR26" s="44">
        <v>1000</v>
      </c>
      <c r="DS26" s="91" t="str">
        <f>IF(AQ26=68,1,IFERROR(VLOOKUP(CM26,'Listas de Dados'!BX:BY,2,0),""))</f>
        <v/>
      </c>
      <c r="DT26" s="90" t="str">
        <f t="shared" ca="1" si="22"/>
        <v/>
      </c>
      <c r="DU26" s="65"/>
    </row>
    <row r="27" spans="1:125" x14ac:dyDescent="0.2">
      <c r="A27" s="7" t="str">
        <f t="shared" si="0"/>
        <v>Execução 23</v>
      </c>
      <c r="B27" s="87"/>
      <c r="C27" s="42"/>
      <c r="D27" s="43" t="str">
        <f>IFERROR(IF(INDEX(Estrutura_P01[#All],MATCH($C27,Estrutura_P01[[#All],[txtMAKT-MAKTX]],0),MATCH(D$3,Estrutura_P01[#Headers],0))=0,"",INDEX(Estrutura_P01[#All],MATCH($C27,Estrutura_P01[[#All],[txtMAKT-MAKTX]],0),MATCH(D$3,Estrutura_P01[#Headers],0))),"")</f>
        <v/>
      </c>
      <c r="E27" s="44" t="s">
        <v>100</v>
      </c>
      <c r="F27" s="79" t="s">
        <v>4</v>
      </c>
      <c r="G27" s="79" t="s">
        <v>11</v>
      </c>
      <c r="H27" s="79" t="str">
        <f t="shared" si="1"/>
        <v>0581</v>
      </c>
      <c r="I27" s="79" t="s">
        <v>6</v>
      </c>
      <c r="J27" s="79"/>
      <c r="L27" s="45" t="s">
        <v>101</v>
      </c>
      <c r="M27" s="45" t="s">
        <v>102</v>
      </c>
      <c r="N27" s="45" t="s">
        <v>103</v>
      </c>
      <c r="O27" s="45"/>
      <c r="P27" s="45"/>
      <c r="Q27" s="45"/>
      <c r="R27" s="45"/>
      <c r="S27" s="45"/>
      <c r="T27" s="45" t="s">
        <v>109</v>
      </c>
      <c r="U27" s="45" t="s">
        <v>110</v>
      </c>
      <c r="V27" s="45" t="s">
        <v>111</v>
      </c>
      <c r="W27" s="45" t="s">
        <v>112</v>
      </c>
      <c r="X27" s="45" t="s">
        <v>113</v>
      </c>
      <c r="Y27" s="45" t="s">
        <v>114</v>
      </c>
      <c r="Z27" s="45" t="s">
        <v>115</v>
      </c>
      <c r="AA27" s="45"/>
      <c r="AB27" s="45" t="s">
        <v>118</v>
      </c>
      <c r="AC27" s="45" t="s">
        <v>119</v>
      </c>
      <c r="AD27" s="45"/>
      <c r="AE27" s="45"/>
      <c r="AF27" s="45" t="s">
        <v>122</v>
      </c>
      <c r="AG27" s="45" t="s">
        <v>123</v>
      </c>
      <c r="AH27" s="45" t="s">
        <v>124</v>
      </c>
      <c r="AI27" s="45" t="s">
        <v>125</v>
      </c>
      <c r="AJ27" s="45" t="s">
        <v>126</v>
      </c>
      <c r="AK27" s="45"/>
      <c r="AL27" s="45"/>
      <c r="AN27" s="44" t="s">
        <v>297</v>
      </c>
      <c r="AO27" s="43" t="str">
        <f>IFERROR(IF(INDEX(Estrutura_P01[#All],MATCH($C27,Estrutura_P01[[#All],[txtMAKT-MAKTX]],0),MATCH(AO$3,Estrutura_P01[#Headers],0))=0,"",INDEX(Estrutura_P01[#All],MATCH($C27,Estrutura_P01[[#All],[txtMAKT-MAKTX]],0),MATCH(AO$3,Estrutura_P01[#Headers],0))),"")</f>
        <v/>
      </c>
      <c r="AP27" s="45"/>
      <c r="AQ27" s="43" t="str">
        <f>IFERROR(IF(INDEX(Estrutura_P01[#All],MATCH($C27,Estrutura_P01[[#All],[txtMAKT-MAKTX]],0),MATCH(AQ$3,Estrutura_P01[#Headers],0))=0,"",INDEX(Estrutura_P01[#All],MATCH($C27,Estrutura_P01[[#All],[txtMAKT-MAKTX]],0),MATCH(AQ$3,Estrutura_P01[#Headers],0))),"")</f>
        <v/>
      </c>
      <c r="AR27" s="45"/>
      <c r="AS27" s="46" t="str">
        <f t="shared" ca="1" si="2"/>
        <v/>
      </c>
      <c r="AT27" s="47" t="s">
        <v>864</v>
      </c>
      <c r="AU27" s="44">
        <v>1</v>
      </c>
      <c r="AV27" s="43">
        <f t="shared" si="3"/>
        <v>1</v>
      </c>
      <c r="AW27" s="48" t="s">
        <v>297</v>
      </c>
      <c r="AX27" s="43" t="str">
        <f>IFERROR(IF(INDEX(Estrutura_P01[#All],MATCH($C27,Estrutura_P01[[#All],[txtMAKT-MAKTX]],0),MATCH(AX$3,Estrutura_P01[#Headers],0))=0,"",INDEX(Estrutura_P01[#All],MATCH($C27,Estrutura_P01[[#All],[txtMAKT-MAKTX]],0),MATCH(AX$3,Estrutura_P01[#Headers],0))),"")</f>
        <v/>
      </c>
      <c r="AY27" s="44"/>
      <c r="AZ27" s="99">
        <v>99</v>
      </c>
      <c r="BA27" s="95" t="str">
        <f t="shared" ca="1" si="4"/>
        <v>17.05.2022</v>
      </c>
      <c r="BB27" s="50"/>
      <c r="BC27" s="50">
        <v>1</v>
      </c>
      <c r="BD27" s="50" t="s">
        <v>192</v>
      </c>
      <c r="BE27" s="95" t="str">
        <f t="shared" si="5"/>
        <v>01</v>
      </c>
      <c r="BF27" s="95" t="str">
        <f t="shared" si="6"/>
        <v>NORM</v>
      </c>
      <c r="BG27" s="44">
        <v>1</v>
      </c>
      <c r="BH27" s="44">
        <v>1</v>
      </c>
      <c r="BI27" s="44">
        <v>1</v>
      </c>
      <c r="BJ27" s="95" t="str">
        <f t="shared" si="7"/>
        <v>ZM</v>
      </c>
      <c r="BK27" s="50" t="s">
        <v>195</v>
      </c>
      <c r="BL27" s="50" t="s">
        <v>195</v>
      </c>
      <c r="BM27" s="43" t="str">
        <f>IFERROR(IF(INDEX(Estrutura_P01[#All],MATCH($C27,Estrutura_P01[[#All],[txtMAKT-MAKTX]],0),MATCH(BM$3,Estrutura_P01[#Headers],0))=0,"",INDEX(Estrutura_P01[#All],MATCH($C27,Estrutura_P01[[#All],[txtMAKT-MAKTX]],0),MATCH(BM$3,Estrutura_P01[#Headers],0))),"")</f>
        <v/>
      </c>
      <c r="BN27" s="44"/>
      <c r="BO27" s="50">
        <v>0</v>
      </c>
      <c r="BP27" s="45" t="s">
        <v>374</v>
      </c>
      <c r="BQ27" s="43" t="str">
        <f>IFERROR(IF(INDEX(Estrutura_P01[#All],MATCH($C27,Estrutura_P01[[#All],[txtMAKT-MAKTX]],0),MATCH(BQ$3,Estrutura_P01[#Headers],0))=0,"",INDEX(Estrutura_P01[#All],MATCH($C27,Estrutura_P01[[#All],[txtMAKT-MAKTX]],0),MATCH(BQ$3,Estrutura_P01[#Headers],0))),"")</f>
        <v/>
      </c>
      <c r="BR27" s="43" t="str">
        <f t="shared" si="8"/>
        <v>581</v>
      </c>
      <c r="BS27" s="45" t="s">
        <v>40</v>
      </c>
      <c r="BT27" s="98">
        <v>25000</v>
      </c>
      <c r="BU27" s="43" t="str">
        <f>IFERROR(IF(INDEX(Estrutura_P01[#All],MATCH($C27,Estrutura_P01[[#All],[txtMAKT-MAKTX]],0),MATCH(BU$3,Estrutura_P01[#Headers],0))=0,"",INDEX(Estrutura_P01[#All],MATCH($C27,Estrutura_P01[[#All],[txtMAKT-MAKTX]],0),MATCH(BU$3,Estrutura_P01[#Headers],0))),"")</f>
        <v/>
      </c>
      <c r="BV27" s="45">
        <v>0</v>
      </c>
      <c r="BW27" s="45" t="s">
        <v>473</v>
      </c>
      <c r="BX27" s="45"/>
      <c r="BY27" s="44"/>
      <c r="BZ27" s="49" t="str">
        <f t="shared" si="9"/>
        <v>0011</v>
      </c>
      <c r="CA27" s="49" t="str">
        <f t="shared" si="10"/>
        <v>0011</v>
      </c>
      <c r="CB27" s="45">
        <v>75</v>
      </c>
      <c r="CC27" s="44">
        <v>1</v>
      </c>
      <c r="CD27" s="50" t="s">
        <v>490</v>
      </c>
      <c r="CE27" s="80">
        <v>2</v>
      </c>
      <c r="CF27" s="80">
        <v>7</v>
      </c>
      <c r="CG27" s="95" t="str">
        <f t="shared" si="11"/>
        <v>ZM</v>
      </c>
      <c r="CH27" s="95">
        <f t="shared" si="12"/>
        <v>2</v>
      </c>
      <c r="CI27" s="95">
        <f t="shared" si="13"/>
        <v>42</v>
      </c>
      <c r="CJ27" s="95">
        <f t="shared" si="14"/>
        <v>10</v>
      </c>
      <c r="CK27" s="43" t="str">
        <f t="shared" si="15"/>
        <v>K00_C_0581</v>
      </c>
      <c r="CL27" s="43" t="str">
        <f>IFERROR(IF(INDEX(Estrutura_P01[#All],MATCH($C27,Estrutura_P01[[#All],[txtMAKT-MAKTX]],0),MATCH(CL$3,Estrutura_P01[#Headers],0))=0,"",INDEX(Estrutura_P01[#All],MATCH($C27,Estrutura_P01[[#All],[txtMAKT-MAKTX]],0),MATCH(CL$3,Estrutura_P01[#Headers],0))),"")</f>
        <v/>
      </c>
      <c r="CM27" s="43" t="str">
        <f>IFERROR(IF(INDEX(Estrutura_P01[#All],MATCH($C27,Estrutura_P01[[#All],[txtMAKT-MAKTX]],0),MATCH(CM$3,Estrutura_P01[#Headers],0))=0,"",INDEX(Estrutura_P01[#All],MATCH($C27,Estrutura_P01[[#All],[txtMAKT-MAKTX]],0),MATCH(CM$3,Estrutura_P01[#Headers],0))),"")</f>
        <v/>
      </c>
      <c r="CN27" s="43" t="str">
        <f>IFERROR(IF(INDEX(Estrutura_P01[#All],MATCH($C27,Estrutura_P01[[#All],[txtMAKT-MAKTX]],0),MATCH(CN$3,Estrutura_P01[#Headers],0))=0,"",INDEX(Estrutura_P01[#All],MATCH($C27,Estrutura_P01[[#All],[txtMAKT-MAKTX]],0),MATCH(CN$3,Estrutura_P01[#Headers],0))),"")</f>
        <v/>
      </c>
      <c r="CO27" s="43" t="str">
        <f>IFERROR(IF(INDEX(Estrutura_P01[#All],MATCH($C27,Estrutura_P01[[#All],[txtMAKT-MAKTX]],0),MATCH(CO$3,Estrutura_P01[#Headers],0))=0,"",INDEX(Estrutura_P01[#All],MATCH($C27,Estrutura_P01[[#All],[txtMAKT-MAKTX]],0),MATCH(CO$3,Estrutura_P01[#Headers],0))),"")</f>
        <v/>
      </c>
      <c r="CP27" s="43" t="str">
        <f>IFERROR(IF(INDEX(Estrutura_P01[#All],MATCH($C27,Estrutura_P01[[#All],[txtMAKT-MAKTX]],0),MATCH(CP$3,Estrutura_P01[#Headers],0))=0,"",INDEX(Estrutura_P01[#All],MATCH($C27,Estrutura_P01[[#All],[txtMAKT-MAKTX]],0),MATCH(CP$3,Estrutura_P01[#Headers],0))),"")</f>
        <v/>
      </c>
      <c r="CQ27" s="43" t="str">
        <f>IFERROR(IF(INDEX(Estrutura_P01[#All],MATCH($C27,Estrutura_P01[[#All],[txtMAKT-MAKTX]],0),MATCH(CQ$3,Estrutura_P01[#Headers],0))=0,"",INDEX(Estrutura_P01[#All],MATCH($C27,Estrutura_P01[[#All],[txtMAKT-MAKTX]],0),MATCH(CQ$3,Estrutura_P01[#Headers],0))),"")</f>
        <v/>
      </c>
      <c r="CR27" s="43" t="str">
        <f>IFERROR(IF(INDEX(Estrutura_P01[#All],MATCH($C27,Estrutura_P01[[#All],[txtMAKT-MAKTX]],0),MATCH(CR$3,Estrutura_P01[#Headers],0))=0,"",INDEX(Estrutura_P01[#All],MATCH($C27,Estrutura_P01[[#All],[txtMAKT-MAKTX]],0),MATCH(CR$3,Estrutura_P01[#Headers],0))),"")</f>
        <v/>
      </c>
      <c r="CS27" s="43" t="str">
        <f>IFERROR(IF(INDEX(Estrutura_P01[#All],MATCH($C27,Estrutura_P01[[#All],[txtMAKT-MAKTX]],0),MATCH(CS$3,Estrutura_P01[#Headers],0))=0,"",INDEX(Estrutura_P01[#All],MATCH($C27,Estrutura_P01[[#All],[txtMAKT-MAKTX]],0),MATCH(CS$3,Estrutura_P01[#Headers],0))),"")</f>
        <v/>
      </c>
      <c r="CU27" s="43" t="str">
        <f t="shared" si="16"/>
        <v/>
      </c>
      <c r="CV27" s="55"/>
      <c r="CW27" s="43" t="str">
        <f t="shared" ca="1" si="17"/>
        <v/>
      </c>
      <c r="CX27" s="43" t="str">
        <f t="shared" si="18"/>
        <v/>
      </c>
      <c r="CZ27" s="44"/>
      <c r="DA27" s="44">
        <v>2</v>
      </c>
      <c r="DB27" s="44">
        <v>1</v>
      </c>
      <c r="DC27" s="44"/>
      <c r="DD27" s="90" t="str">
        <f t="shared" si="19"/>
        <v/>
      </c>
      <c r="DE27" s="43">
        <f t="shared" si="20"/>
        <v>0.01</v>
      </c>
      <c r="DF27" s="43" t="str">
        <f t="shared" si="21"/>
        <v>KG</v>
      </c>
      <c r="DG27" s="44">
        <v>1</v>
      </c>
      <c r="DH27" s="50" t="s">
        <v>223</v>
      </c>
      <c r="DI27" s="50" t="s">
        <v>902</v>
      </c>
      <c r="DJ27" s="43" t="str">
        <f>IFERROR(IF(INDEX(Estrutura_P01[#All],MATCH($C27,Estrutura_P01[[#All],[txtMAKT-MAKTX]],0),MATCH(DJ$3,Estrutura_P01[#Headers],0))=0,"",INDEX(Estrutura_P01[#All],MATCH($C27,Estrutura_P01[[#All],[txtMAKT-MAKTX]],0),MATCH(DJ$3,Estrutura_P01[#Headers],0))),"")</f>
        <v/>
      </c>
      <c r="DK27" s="44">
        <v>1000</v>
      </c>
      <c r="DL27" s="60">
        <v>0</v>
      </c>
      <c r="DM27" s="44"/>
      <c r="DN27" s="44">
        <v>1</v>
      </c>
      <c r="DO27" s="44">
        <v>0</v>
      </c>
      <c r="DP27" s="44" t="s">
        <v>862</v>
      </c>
      <c r="DQ27" s="45">
        <v>0</v>
      </c>
      <c r="DR27" s="44">
        <v>1000</v>
      </c>
      <c r="DS27" s="91" t="str">
        <f>IF(AQ27=68,1,IFERROR(VLOOKUP(CM27,'Listas de Dados'!BX:BY,2,0),""))</f>
        <v/>
      </c>
      <c r="DT27" s="90" t="str">
        <f t="shared" ca="1" si="22"/>
        <v/>
      </c>
      <c r="DU27" s="65"/>
    </row>
    <row r="28" spans="1:125" x14ac:dyDescent="0.2">
      <c r="A28" s="7" t="str">
        <f t="shared" si="0"/>
        <v>Execução 24</v>
      </c>
      <c r="B28" s="87"/>
      <c r="C28" s="42"/>
      <c r="D28" s="43" t="str">
        <f>IFERROR(IF(INDEX(Estrutura_P01[#All],MATCH($C28,Estrutura_P01[[#All],[txtMAKT-MAKTX]],0),MATCH(D$3,Estrutura_P01[#Headers],0))=0,"",INDEX(Estrutura_P01[#All],MATCH($C28,Estrutura_P01[[#All],[txtMAKT-MAKTX]],0),MATCH(D$3,Estrutura_P01[#Headers],0))),"")</f>
        <v/>
      </c>
      <c r="E28" s="44" t="s">
        <v>100</v>
      </c>
      <c r="F28" s="79" t="s">
        <v>4</v>
      </c>
      <c r="G28" s="79" t="s">
        <v>11</v>
      </c>
      <c r="H28" s="79" t="str">
        <f t="shared" si="1"/>
        <v>0581</v>
      </c>
      <c r="I28" s="79" t="s">
        <v>6</v>
      </c>
      <c r="J28" s="79"/>
      <c r="L28" s="45" t="s">
        <v>101</v>
      </c>
      <c r="M28" s="45" t="s">
        <v>102</v>
      </c>
      <c r="N28" s="45" t="s">
        <v>103</v>
      </c>
      <c r="O28" s="45"/>
      <c r="P28" s="45"/>
      <c r="Q28" s="45"/>
      <c r="R28" s="45"/>
      <c r="S28" s="45"/>
      <c r="T28" s="45" t="s">
        <v>109</v>
      </c>
      <c r="U28" s="45" t="s">
        <v>110</v>
      </c>
      <c r="V28" s="45" t="s">
        <v>111</v>
      </c>
      <c r="W28" s="45" t="s">
        <v>112</v>
      </c>
      <c r="X28" s="45" t="s">
        <v>113</v>
      </c>
      <c r="Y28" s="45" t="s">
        <v>114</v>
      </c>
      <c r="Z28" s="45" t="s">
        <v>115</v>
      </c>
      <c r="AA28" s="45"/>
      <c r="AB28" s="45" t="s">
        <v>118</v>
      </c>
      <c r="AC28" s="45" t="s">
        <v>119</v>
      </c>
      <c r="AD28" s="45"/>
      <c r="AE28" s="45"/>
      <c r="AF28" s="45" t="s">
        <v>122</v>
      </c>
      <c r="AG28" s="45" t="s">
        <v>123</v>
      </c>
      <c r="AH28" s="45" t="s">
        <v>124</v>
      </c>
      <c r="AI28" s="45" t="s">
        <v>125</v>
      </c>
      <c r="AJ28" s="45" t="s">
        <v>126</v>
      </c>
      <c r="AK28" s="45"/>
      <c r="AL28" s="45"/>
      <c r="AN28" s="44" t="s">
        <v>297</v>
      </c>
      <c r="AO28" s="43" t="str">
        <f>IFERROR(IF(INDEX(Estrutura_P01[#All],MATCH($C28,Estrutura_P01[[#All],[txtMAKT-MAKTX]],0),MATCH(AO$3,Estrutura_P01[#Headers],0))=0,"",INDEX(Estrutura_P01[#All],MATCH($C28,Estrutura_P01[[#All],[txtMAKT-MAKTX]],0),MATCH(AO$3,Estrutura_P01[#Headers],0))),"")</f>
        <v/>
      </c>
      <c r="AP28" s="45"/>
      <c r="AQ28" s="43" t="str">
        <f>IFERROR(IF(INDEX(Estrutura_P01[#All],MATCH($C28,Estrutura_P01[[#All],[txtMAKT-MAKTX]],0),MATCH(AQ$3,Estrutura_P01[#Headers],0))=0,"",INDEX(Estrutura_P01[#All],MATCH($C28,Estrutura_P01[[#All],[txtMAKT-MAKTX]],0),MATCH(AQ$3,Estrutura_P01[#Headers],0))),"")</f>
        <v/>
      </c>
      <c r="AR28" s="45"/>
      <c r="AS28" s="46" t="str">
        <f t="shared" ca="1" si="2"/>
        <v/>
      </c>
      <c r="AT28" s="47" t="s">
        <v>864</v>
      </c>
      <c r="AU28" s="44">
        <v>1</v>
      </c>
      <c r="AV28" s="43">
        <f t="shared" si="3"/>
        <v>1</v>
      </c>
      <c r="AW28" s="48" t="s">
        <v>297</v>
      </c>
      <c r="AX28" s="43" t="str">
        <f>IFERROR(IF(INDEX(Estrutura_P01[#All],MATCH($C28,Estrutura_P01[[#All],[txtMAKT-MAKTX]],0),MATCH(AX$3,Estrutura_P01[#Headers],0))=0,"",INDEX(Estrutura_P01[#All],MATCH($C28,Estrutura_P01[[#All],[txtMAKT-MAKTX]],0),MATCH(AX$3,Estrutura_P01[#Headers],0))),"")</f>
        <v/>
      </c>
      <c r="AY28" s="44"/>
      <c r="AZ28" s="99">
        <v>99</v>
      </c>
      <c r="BA28" s="95" t="str">
        <f t="shared" ca="1" si="4"/>
        <v>17.05.2022</v>
      </c>
      <c r="BB28" s="50"/>
      <c r="BC28" s="50">
        <v>1</v>
      </c>
      <c r="BD28" s="50" t="s">
        <v>192</v>
      </c>
      <c r="BE28" s="95" t="str">
        <f t="shared" si="5"/>
        <v>01</v>
      </c>
      <c r="BF28" s="95" t="str">
        <f t="shared" si="6"/>
        <v>NORM</v>
      </c>
      <c r="BG28" s="44">
        <v>1</v>
      </c>
      <c r="BH28" s="44">
        <v>1</v>
      </c>
      <c r="BI28" s="44">
        <v>1</v>
      </c>
      <c r="BJ28" s="95" t="str">
        <f t="shared" si="7"/>
        <v>ZM</v>
      </c>
      <c r="BK28" s="50" t="s">
        <v>195</v>
      </c>
      <c r="BL28" s="50" t="s">
        <v>195</v>
      </c>
      <c r="BM28" s="43" t="str">
        <f>IFERROR(IF(INDEX(Estrutura_P01[#All],MATCH($C28,Estrutura_P01[[#All],[txtMAKT-MAKTX]],0),MATCH(BM$3,Estrutura_P01[#Headers],0))=0,"",INDEX(Estrutura_P01[#All],MATCH($C28,Estrutura_P01[[#All],[txtMAKT-MAKTX]],0),MATCH(BM$3,Estrutura_P01[#Headers],0))),"")</f>
        <v/>
      </c>
      <c r="BN28" s="44"/>
      <c r="BO28" s="50">
        <v>0</v>
      </c>
      <c r="BP28" s="45" t="s">
        <v>374</v>
      </c>
      <c r="BQ28" s="43" t="str">
        <f>IFERROR(IF(INDEX(Estrutura_P01[#All],MATCH($C28,Estrutura_P01[[#All],[txtMAKT-MAKTX]],0),MATCH(BQ$3,Estrutura_P01[#Headers],0))=0,"",INDEX(Estrutura_P01[#All],MATCH($C28,Estrutura_P01[[#All],[txtMAKT-MAKTX]],0),MATCH(BQ$3,Estrutura_P01[#Headers],0))),"")</f>
        <v/>
      </c>
      <c r="BR28" s="43" t="str">
        <f t="shared" si="8"/>
        <v>581</v>
      </c>
      <c r="BS28" s="45" t="s">
        <v>40</v>
      </c>
      <c r="BT28" s="98">
        <v>25000</v>
      </c>
      <c r="BU28" s="43" t="str">
        <f>IFERROR(IF(INDEX(Estrutura_P01[#All],MATCH($C28,Estrutura_P01[[#All],[txtMAKT-MAKTX]],0),MATCH(BU$3,Estrutura_P01[#Headers],0))=0,"",INDEX(Estrutura_P01[#All],MATCH($C28,Estrutura_P01[[#All],[txtMAKT-MAKTX]],0),MATCH(BU$3,Estrutura_P01[#Headers],0))),"")</f>
        <v/>
      </c>
      <c r="BV28" s="45">
        <v>0</v>
      </c>
      <c r="BW28" s="45" t="s">
        <v>473</v>
      </c>
      <c r="BX28" s="45"/>
      <c r="BY28" s="44"/>
      <c r="BZ28" s="49" t="str">
        <f t="shared" si="9"/>
        <v>0011</v>
      </c>
      <c r="CA28" s="49" t="str">
        <f t="shared" si="10"/>
        <v>0011</v>
      </c>
      <c r="CB28" s="45">
        <v>75</v>
      </c>
      <c r="CC28" s="44">
        <v>1</v>
      </c>
      <c r="CD28" s="50" t="s">
        <v>490</v>
      </c>
      <c r="CE28" s="80">
        <v>2</v>
      </c>
      <c r="CF28" s="80">
        <v>7</v>
      </c>
      <c r="CG28" s="95" t="str">
        <f t="shared" si="11"/>
        <v>ZM</v>
      </c>
      <c r="CH28" s="95">
        <f t="shared" si="12"/>
        <v>2</v>
      </c>
      <c r="CI28" s="95">
        <f t="shared" si="13"/>
        <v>42</v>
      </c>
      <c r="CJ28" s="95">
        <f t="shared" si="14"/>
        <v>10</v>
      </c>
      <c r="CK28" s="43" t="str">
        <f t="shared" si="15"/>
        <v>K00_C_0581</v>
      </c>
      <c r="CL28" s="43" t="str">
        <f>IFERROR(IF(INDEX(Estrutura_P01[#All],MATCH($C28,Estrutura_P01[[#All],[txtMAKT-MAKTX]],0),MATCH(CL$3,Estrutura_P01[#Headers],0))=0,"",INDEX(Estrutura_P01[#All],MATCH($C28,Estrutura_P01[[#All],[txtMAKT-MAKTX]],0),MATCH(CL$3,Estrutura_P01[#Headers],0))),"")</f>
        <v/>
      </c>
      <c r="CM28" s="43" t="str">
        <f>IFERROR(IF(INDEX(Estrutura_P01[#All],MATCH($C28,Estrutura_P01[[#All],[txtMAKT-MAKTX]],0),MATCH(CM$3,Estrutura_P01[#Headers],0))=0,"",INDEX(Estrutura_P01[#All],MATCH($C28,Estrutura_P01[[#All],[txtMAKT-MAKTX]],0),MATCH(CM$3,Estrutura_P01[#Headers],0))),"")</f>
        <v/>
      </c>
      <c r="CN28" s="43" t="str">
        <f>IFERROR(IF(INDEX(Estrutura_P01[#All],MATCH($C28,Estrutura_P01[[#All],[txtMAKT-MAKTX]],0),MATCH(CN$3,Estrutura_P01[#Headers],0))=0,"",INDEX(Estrutura_P01[#All],MATCH($C28,Estrutura_P01[[#All],[txtMAKT-MAKTX]],0),MATCH(CN$3,Estrutura_P01[#Headers],0))),"")</f>
        <v/>
      </c>
      <c r="CO28" s="43" t="str">
        <f>IFERROR(IF(INDEX(Estrutura_P01[#All],MATCH($C28,Estrutura_P01[[#All],[txtMAKT-MAKTX]],0),MATCH(CO$3,Estrutura_P01[#Headers],0))=0,"",INDEX(Estrutura_P01[#All],MATCH($C28,Estrutura_P01[[#All],[txtMAKT-MAKTX]],0),MATCH(CO$3,Estrutura_P01[#Headers],0))),"")</f>
        <v/>
      </c>
      <c r="CP28" s="43" t="str">
        <f>IFERROR(IF(INDEX(Estrutura_P01[#All],MATCH($C28,Estrutura_P01[[#All],[txtMAKT-MAKTX]],0),MATCH(CP$3,Estrutura_P01[#Headers],0))=0,"",INDEX(Estrutura_P01[#All],MATCH($C28,Estrutura_P01[[#All],[txtMAKT-MAKTX]],0),MATCH(CP$3,Estrutura_P01[#Headers],0))),"")</f>
        <v/>
      </c>
      <c r="CQ28" s="43" t="str">
        <f>IFERROR(IF(INDEX(Estrutura_P01[#All],MATCH($C28,Estrutura_P01[[#All],[txtMAKT-MAKTX]],0),MATCH(CQ$3,Estrutura_P01[#Headers],0))=0,"",INDEX(Estrutura_P01[#All],MATCH($C28,Estrutura_P01[[#All],[txtMAKT-MAKTX]],0),MATCH(CQ$3,Estrutura_P01[#Headers],0))),"")</f>
        <v/>
      </c>
      <c r="CR28" s="43" t="str">
        <f>IFERROR(IF(INDEX(Estrutura_P01[#All],MATCH($C28,Estrutura_P01[[#All],[txtMAKT-MAKTX]],0),MATCH(CR$3,Estrutura_P01[#Headers],0))=0,"",INDEX(Estrutura_P01[#All],MATCH($C28,Estrutura_P01[[#All],[txtMAKT-MAKTX]],0),MATCH(CR$3,Estrutura_P01[#Headers],0))),"")</f>
        <v/>
      </c>
      <c r="CS28" s="43" t="str">
        <f>IFERROR(IF(INDEX(Estrutura_P01[#All],MATCH($C28,Estrutura_P01[[#All],[txtMAKT-MAKTX]],0),MATCH(CS$3,Estrutura_P01[#Headers],0))=0,"",INDEX(Estrutura_P01[#All],MATCH($C28,Estrutura_P01[[#All],[txtMAKT-MAKTX]],0),MATCH(CS$3,Estrutura_P01[#Headers],0))),"")</f>
        <v/>
      </c>
      <c r="CU28" s="43" t="str">
        <f t="shared" si="16"/>
        <v/>
      </c>
      <c r="CV28" s="55"/>
      <c r="CW28" s="43" t="str">
        <f t="shared" ca="1" si="17"/>
        <v/>
      </c>
      <c r="CX28" s="43" t="str">
        <f t="shared" si="18"/>
        <v/>
      </c>
      <c r="CZ28" s="44"/>
      <c r="DA28" s="44">
        <v>2</v>
      </c>
      <c r="DB28" s="44">
        <v>1</v>
      </c>
      <c r="DC28" s="44"/>
      <c r="DD28" s="90" t="str">
        <f t="shared" si="19"/>
        <v/>
      </c>
      <c r="DE28" s="43">
        <f t="shared" si="20"/>
        <v>0.01</v>
      </c>
      <c r="DF28" s="43" t="str">
        <f t="shared" si="21"/>
        <v>KG</v>
      </c>
      <c r="DG28" s="44">
        <v>1</v>
      </c>
      <c r="DH28" s="50" t="s">
        <v>223</v>
      </c>
      <c r="DI28" s="50" t="s">
        <v>902</v>
      </c>
      <c r="DJ28" s="43" t="str">
        <f>IFERROR(IF(INDEX(Estrutura_P01[#All],MATCH($C28,Estrutura_P01[[#All],[txtMAKT-MAKTX]],0),MATCH(DJ$3,Estrutura_P01[#Headers],0))=0,"",INDEX(Estrutura_P01[#All],MATCH($C28,Estrutura_P01[[#All],[txtMAKT-MAKTX]],0),MATCH(DJ$3,Estrutura_P01[#Headers],0))),"")</f>
        <v/>
      </c>
      <c r="DK28" s="44">
        <v>1000</v>
      </c>
      <c r="DL28" s="60">
        <v>0</v>
      </c>
      <c r="DM28" s="44"/>
      <c r="DN28" s="44">
        <v>1</v>
      </c>
      <c r="DO28" s="44">
        <v>0</v>
      </c>
      <c r="DP28" s="44" t="s">
        <v>862</v>
      </c>
      <c r="DQ28" s="45">
        <v>0</v>
      </c>
      <c r="DR28" s="44">
        <v>1000</v>
      </c>
      <c r="DS28" s="91" t="str">
        <f>IF(AQ28=68,1,IFERROR(VLOOKUP(CM28,'Listas de Dados'!BX:BY,2,0),""))</f>
        <v/>
      </c>
      <c r="DT28" s="90" t="str">
        <f t="shared" ca="1" si="22"/>
        <v/>
      </c>
      <c r="DU28" s="65"/>
    </row>
    <row r="29" spans="1:125" x14ac:dyDescent="0.2">
      <c r="A29" s="7" t="str">
        <f t="shared" si="0"/>
        <v>Execução 25</v>
      </c>
      <c r="B29" s="87"/>
      <c r="C29" s="42"/>
      <c r="D29" s="43" t="str">
        <f>IFERROR(IF(INDEX(Estrutura_P01[#All],MATCH($C29,Estrutura_P01[[#All],[txtMAKT-MAKTX]],0),MATCH(D$3,Estrutura_P01[#Headers],0))=0,"",INDEX(Estrutura_P01[#All],MATCH($C29,Estrutura_P01[[#All],[txtMAKT-MAKTX]],0),MATCH(D$3,Estrutura_P01[#Headers],0))),"")</f>
        <v/>
      </c>
      <c r="E29" s="44" t="s">
        <v>100</v>
      </c>
      <c r="F29" s="79" t="s">
        <v>4</v>
      </c>
      <c r="G29" s="79" t="s">
        <v>11</v>
      </c>
      <c r="H29" s="79" t="str">
        <f t="shared" si="1"/>
        <v>0581</v>
      </c>
      <c r="I29" s="79" t="s">
        <v>6</v>
      </c>
      <c r="J29" s="79"/>
      <c r="L29" s="45" t="s">
        <v>101</v>
      </c>
      <c r="M29" s="45" t="s">
        <v>102</v>
      </c>
      <c r="N29" s="45" t="s">
        <v>103</v>
      </c>
      <c r="O29" s="45"/>
      <c r="P29" s="45"/>
      <c r="Q29" s="45"/>
      <c r="R29" s="45"/>
      <c r="S29" s="45"/>
      <c r="T29" s="45" t="s">
        <v>109</v>
      </c>
      <c r="U29" s="45" t="s">
        <v>110</v>
      </c>
      <c r="V29" s="45" t="s">
        <v>111</v>
      </c>
      <c r="W29" s="45" t="s">
        <v>112</v>
      </c>
      <c r="X29" s="45" t="s">
        <v>113</v>
      </c>
      <c r="Y29" s="45" t="s">
        <v>114</v>
      </c>
      <c r="Z29" s="45" t="s">
        <v>115</v>
      </c>
      <c r="AA29" s="45"/>
      <c r="AB29" s="45" t="s">
        <v>118</v>
      </c>
      <c r="AC29" s="45" t="s">
        <v>119</v>
      </c>
      <c r="AD29" s="45"/>
      <c r="AE29" s="45"/>
      <c r="AF29" s="45" t="s">
        <v>122</v>
      </c>
      <c r="AG29" s="45" t="s">
        <v>123</v>
      </c>
      <c r="AH29" s="45" t="s">
        <v>124</v>
      </c>
      <c r="AI29" s="45" t="s">
        <v>125</v>
      </c>
      <c r="AJ29" s="45" t="s">
        <v>126</v>
      </c>
      <c r="AK29" s="45"/>
      <c r="AL29" s="45"/>
      <c r="AN29" s="44" t="s">
        <v>297</v>
      </c>
      <c r="AO29" s="43" t="str">
        <f>IFERROR(IF(INDEX(Estrutura_P01[#All],MATCH($C29,Estrutura_P01[[#All],[txtMAKT-MAKTX]],0),MATCH(AO$3,Estrutura_P01[#Headers],0))=0,"",INDEX(Estrutura_P01[#All],MATCH($C29,Estrutura_P01[[#All],[txtMAKT-MAKTX]],0),MATCH(AO$3,Estrutura_P01[#Headers],0))),"")</f>
        <v/>
      </c>
      <c r="AP29" s="45"/>
      <c r="AQ29" s="43" t="str">
        <f>IFERROR(IF(INDEX(Estrutura_P01[#All],MATCH($C29,Estrutura_P01[[#All],[txtMAKT-MAKTX]],0),MATCH(AQ$3,Estrutura_P01[#Headers],0))=0,"",INDEX(Estrutura_P01[#All],MATCH($C29,Estrutura_P01[[#All],[txtMAKT-MAKTX]],0),MATCH(AQ$3,Estrutura_P01[#Headers],0))),"")</f>
        <v/>
      </c>
      <c r="AR29" s="45"/>
      <c r="AS29" s="46" t="str">
        <f t="shared" ca="1" si="2"/>
        <v/>
      </c>
      <c r="AT29" s="47" t="s">
        <v>864</v>
      </c>
      <c r="AU29" s="44">
        <v>1</v>
      </c>
      <c r="AV29" s="43">
        <f t="shared" si="3"/>
        <v>1</v>
      </c>
      <c r="AW29" s="48" t="s">
        <v>297</v>
      </c>
      <c r="AX29" s="43" t="str">
        <f>IFERROR(IF(INDEX(Estrutura_P01[#All],MATCH($C29,Estrutura_P01[[#All],[txtMAKT-MAKTX]],0),MATCH(AX$3,Estrutura_P01[#Headers],0))=0,"",INDEX(Estrutura_P01[#All],MATCH($C29,Estrutura_P01[[#All],[txtMAKT-MAKTX]],0),MATCH(AX$3,Estrutura_P01[#Headers],0))),"")</f>
        <v/>
      </c>
      <c r="AY29" s="44"/>
      <c r="AZ29" s="99">
        <v>99</v>
      </c>
      <c r="BA29" s="95" t="str">
        <f t="shared" ca="1" si="4"/>
        <v>17.05.2022</v>
      </c>
      <c r="BB29" s="50"/>
      <c r="BC29" s="50">
        <v>1</v>
      </c>
      <c r="BD29" s="50" t="s">
        <v>192</v>
      </c>
      <c r="BE29" s="95" t="str">
        <f t="shared" si="5"/>
        <v>01</v>
      </c>
      <c r="BF29" s="95" t="str">
        <f t="shared" si="6"/>
        <v>NORM</v>
      </c>
      <c r="BG29" s="44">
        <v>1</v>
      </c>
      <c r="BH29" s="44">
        <v>1</v>
      </c>
      <c r="BI29" s="44">
        <v>1</v>
      </c>
      <c r="BJ29" s="95" t="str">
        <f t="shared" si="7"/>
        <v>ZM</v>
      </c>
      <c r="BK29" s="50" t="s">
        <v>195</v>
      </c>
      <c r="BL29" s="50" t="s">
        <v>195</v>
      </c>
      <c r="BM29" s="43" t="str">
        <f>IFERROR(IF(INDEX(Estrutura_P01[#All],MATCH($C29,Estrutura_P01[[#All],[txtMAKT-MAKTX]],0),MATCH(BM$3,Estrutura_P01[#Headers],0))=0,"",INDEX(Estrutura_P01[#All],MATCH($C29,Estrutura_P01[[#All],[txtMAKT-MAKTX]],0),MATCH(BM$3,Estrutura_P01[#Headers],0))),"")</f>
        <v/>
      </c>
      <c r="BN29" s="44"/>
      <c r="BO29" s="50">
        <v>0</v>
      </c>
      <c r="BP29" s="45" t="s">
        <v>374</v>
      </c>
      <c r="BQ29" s="43" t="str">
        <f>IFERROR(IF(INDEX(Estrutura_P01[#All],MATCH($C29,Estrutura_P01[[#All],[txtMAKT-MAKTX]],0),MATCH(BQ$3,Estrutura_P01[#Headers],0))=0,"",INDEX(Estrutura_P01[#All],MATCH($C29,Estrutura_P01[[#All],[txtMAKT-MAKTX]],0),MATCH(BQ$3,Estrutura_P01[#Headers],0))),"")</f>
        <v/>
      </c>
      <c r="BR29" s="43" t="str">
        <f t="shared" si="8"/>
        <v>581</v>
      </c>
      <c r="BS29" s="45" t="s">
        <v>40</v>
      </c>
      <c r="BT29" s="98">
        <v>25000</v>
      </c>
      <c r="BU29" s="43" t="str">
        <f>IFERROR(IF(INDEX(Estrutura_P01[#All],MATCH($C29,Estrutura_P01[[#All],[txtMAKT-MAKTX]],0),MATCH(BU$3,Estrutura_P01[#Headers],0))=0,"",INDEX(Estrutura_P01[#All],MATCH($C29,Estrutura_P01[[#All],[txtMAKT-MAKTX]],0),MATCH(BU$3,Estrutura_P01[#Headers],0))),"")</f>
        <v/>
      </c>
      <c r="BV29" s="45">
        <v>0</v>
      </c>
      <c r="BW29" s="45" t="s">
        <v>473</v>
      </c>
      <c r="BX29" s="45"/>
      <c r="BY29" s="44"/>
      <c r="BZ29" s="49" t="str">
        <f t="shared" si="9"/>
        <v>0011</v>
      </c>
      <c r="CA29" s="49" t="str">
        <f t="shared" si="10"/>
        <v>0011</v>
      </c>
      <c r="CB29" s="45">
        <v>75</v>
      </c>
      <c r="CC29" s="44">
        <v>1</v>
      </c>
      <c r="CD29" s="50" t="s">
        <v>490</v>
      </c>
      <c r="CE29" s="80">
        <v>2</v>
      </c>
      <c r="CF29" s="80">
        <v>7</v>
      </c>
      <c r="CG29" s="95" t="str">
        <f t="shared" si="11"/>
        <v>ZM</v>
      </c>
      <c r="CH29" s="95">
        <f t="shared" si="12"/>
        <v>2</v>
      </c>
      <c r="CI29" s="95">
        <f t="shared" si="13"/>
        <v>42</v>
      </c>
      <c r="CJ29" s="95">
        <f t="shared" si="14"/>
        <v>10</v>
      </c>
      <c r="CK29" s="43" t="str">
        <f t="shared" si="15"/>
        <v>K00_C_0581</v>
      </c>
      <c r="CL29" s="43" t="str">
        <f>IFERROR(IF(INDEX(Estrutura_P01[#All],MATCH($C29,Estrutura_P01[[#All],[txtMAKT-MAKTX]],0),MATCH(CL$3,Estrutura_P01[#Headers],0))=0,"",INDEX(Estrutura_P01[#All],MATCH($C29,Estrutura_P01[[#All],[txtMAKT-MAKTX]],0),MATCH(CL$3,Estrutura_P01[#Headers],0))),"")</f>
        <v/>
      </c>
      <c r="CM29" s="43" t="str">
        <f>IFERROR(IF(INDEX(Estrutura_P01[#All],MATCH($C29,Estrutura_P01[[#All],[txtMAKT-MAKTX]],0),MATCH(CM$3,Estrutura_P01[#Headers],0))=0,"",INDEX(Estrutura_P01[#All],MATCH($C29,Estrutura_P01[[#All],[txtMAKT-MAKTX]],0),MATCH(CM$3,Estrutura_P01[#Headers],0))),"")</f>
        <v/>
      </c>
      <c r="CN29" s="43" t="str">
        <f>IFERROR(IF(INDEX(Estrutura_P01[#All],MATCH($C29,Estrutura_P01[[#All],[txtMAKT-MAKTX]],0),MATCH(CN$3,Estrutura_P01[#Headers],0))=0,"",INDEX(Estrutura_P01[#All],MATCH($C29,Estrutura_P01[[#All],[txtMAKT-MAKTX]],0),MATCH(CN$3,Estrutura_P01[#Headers],0))),"")</f>
        <v/>
      </c>
      <c r="CO29" s="43" t="str">
        <f>IFERROR(IF(INDEX(Estrutura_P01[#All],MATCH($C29,Estrutura_P01[[#All],[txtMAKT-MAKTX]],0),MATCH(CO$3,Estrutura_P01[#Headers],0))=0,"",INDEX(Estrutura_P01[#All],MATCH($C29,Estrutura_P01[[#All],[txtMAKT-MAKTX]],0),MATCH(CO$3,Estrutura_P01[#Headers],0))),"")</f>
        <v/>
      </c>
      <c r="CP29" s="43" t="str">
        <f>IFERROR(IF(INDEX(Estrutura_P01[#All],MATCH($C29,Estrutura_P01[[#All],[txtMAKT-MAKTX]],0),MATCH(CP$3,Estrutura_P01[#Headers],0))=0,"",INDEX(Estrutura_P01[#All],MATCH($C29,Estrutura_P01[[#All],[txtMAKT-MAKTX]],0),MATCH(CP$3,Estrutura_P01[#Headers],0))),"")</f>
        <v/>
      </c>
      <c r="CQ29" s="43" t="str">
        <f>IFERROR(IF(INDEX(Estrutura_P01[#All],MATCH($C29,Estrutura_P01[[#All],[txtMAKT-MAKTX]],0),MATCH(CQ$3,Estrutura_P01[#Headers],0))=0,"",INDEX(Estrutura_P01[#All],MATCH($C29,Estrutura_P01[[#All],[txtMAKT-MAKTX]],0),MATCH(CQ$3,Estrutura_P01[#Headers],0))),"")</f>
        <v/>
      </c>
      <c r="CR29" s="43" t="str">
        <f>IFERROR(IF(INDEX(Estrutura_P01[#All],MATCH($C29,Estrutura_P01[[#All],[txtMAKT-MAKTX]],0),MATCH(CR$3,Estrutura_P01[#Headers],0))=0,"",INDEX(Estrutura_P01[#All],MATCH($C29,Estrutura_P01[[#All],[txtMAKT-MAKTX]],0),MATCH(CR$3,Estrutura_P01[#Headers],0))),"")</f>
        <v/>
      </c>
      <c r="CS29" s="43" t="str">
        <f>IFERROR(IF(INDEX(Estrutura_P01[#All],MATCH($C29,Estrutura_P01[[#All],[txtMAKT-MAKTX]],0),MATCH(CS$3,Estrutura_P01[#Headers],0))=0,"",INDEX(Estrutura_P01[#All],MATCH($C29,Estrutura_P01[[#All],[txtMAKT-MAKTX]],0),MATCH(CS$3,Estrutura_P01[#Headers],0))),"")</f>
        <v/>
      </c>
      <c r="CU29" s="43" t="str">
        <f t="shared" si="16"/>
        <v/>
      </c>
      <c r="CV29" s="55"/>
      <c r="CW29" s="43" t="str">
        <f t="shared" ca="1" si="17"/>
        <v/>
      </c>
      <c r="CX29" s="43" t="str">
        <f t="shared" si="18"/>
        <v/>
      </c>
      <c r="CZ29" s="44"/>
      <c r="DA29" s="44">
        <v>2</v>
      </c>
      <c r="DB29" s="44">
        <v>1</v>
      </c>
      <c r="DC29" s="44"/>
      <c r="DD29" s="90" t="str">
        <f t="shared" si="19"/>
        <v/>
      </c>
      <c r="DE29" s="43">
        <f t="shared" si="20"/>
        <v>0.01</v>
      </c>
      <c r="DF29" s="43" t="str">
        <f t="shared" si="21"/>
        <v>KG</v>
      </c>
      <c r="DG29" s="44">
        <v>1</v>
      </c>
      <c r="DH29" s="50" t="s">
        <v>223</v>
      </c>
      <c r="DI29" s="50" t="s">
        <v>902</v>
      </c>
      <c r="DJ29" s="43" t="str">
        <f>IFERROR(IF(INDEX(Estrutura_P01[#All],MATCH($C29,Estrutura_P01[[#All],[txtMAKT-MAKTX]],0),MATCH(DJ$3,Estrutura_P01[#Headers],0))=0,"",INDEX(Estrutura_P01[#All],MATCH($C29,Estrutura_P01[[#All],[txtMAKT-MAKTX]],0),MATCH(DJ$3,Estrutura_P01[#Headers],0))),"")</f>
        <v/>
      </c>
      <c r="DK29" s="44">
        <v>1000</v>
      </c>
      <c r="DL29" s="60">
        <v>0</v>
      </c>
      <c r="DM29" s="44"/>
      <c r="DN29" s="44">
        <v>1</v>
      </c>
      <c r="DO29" s="44">
        <v>0</v>
      </c>
      <c r="DP29" s="44" t="s">
        <v>862</v>
      </c>
      <c r="DQ29" s="45">
        <v>0</v>
      </c>
      <c r="DR29" s="44">
        <v>1000</v>
      </c>
      <c r="DS29" s="91" t="str">
        <f>IF(AQ29=68,1,IFERROR(VLOOKUP(CM29,'Listas de Dados'!BX:BY,2,0),""))</f>
        <v/>
      </c>
      <c r="DT29" s="90" t="str">
        <f t="shared" ca="1" si="22"/>
        <v/>
      </c>
      <c r="DU29" s="65"/>
    </row>
    <row r="30" spans="1:125" x14ac:dyDescent="0.2">
      <c r="A30" s="7" t="str">
        <f t="shared" si="0"/>
        <v>Execução 26</v>
      </c>
      <c r="B30" s="87"/>
      <c r="C30" s="42"/>
      <c r="D30" s="43" t="str">
        <f>IFERROR(IF(INDEX(Estrutura_P01[#All],MATCH($C30,Estrutura_P01[[#All],[txtMAKT-MAKTX]],0),MATCH(D$3,Estrutura_P01[#Headers],0))=0,"",INDEX(Estrutura_P01[#All],MATCH($C30,Estrutura_P01[[#All],[txtMAKT-MAKTX]],0),MATCH(D$3,Estrutura_P01[#Headers],0))),"")</f>
        <v/>
      </c>
      <c r="E30" s="44" t="s">
        <v>100</v>
      </c>
      <c r="F30" s="79" t="s">
        <v>4</v>
      </c>
      <c r="G30" s="79" t="s">
        <v>11</v>
      </c>
      <c r="H30" s="79" t="str">
        <f t="shared" si="1"/>
        <v>0581</v>
      </c>
      <c r="I30" s="79" t="s">
        <v>6</v>
      </c>
      <c r="J30" s="79"/>
      <c r="L30" s="45" t="s">
        <v>101</v>
      </c>
      <c r="M30" s="45" t="s">
        <v>102</v>
      </c>
      <c r="N30" s="45" t="s">
        <v>103</v>
      </c>
      <c r="O30" s="45"/>
      <c r="P30" s="45"/>
      <c r="Q30" s="45"/>
      <c r="R30" s="45"/>
      <c r="S30" s="45"/>
      <c r="T30" s="45" t="s">
        <v>109</v>
      </c>
      <c r="U30" s="45" t="s">
        <v>110</v>
      </c>
      <c r="V30" s="45" t="s">
        <v>111</v>
      </c>
      <c r="W30" s="45" t="s">
        <v>112</v>
      </c>
      <c r="X30" s="45" t="s">
        <v>113</v>
      </c>
      <c r="Y30" s="45" t="s">
        <v>114</v>
      </c>
      <c r="Z30" s="45" t="s">
        <v>115</v>
      </c>
      <c r="AA30" s="45"/>
      <c r="AB30" s="45" t="s">
        <v>118</v>
      </c>
      <c r="AC30" s="45" t="s">
        <v>119</v>
      </c>
      <c r="AD30" s="45"/>
      <c r="AE30" s="45"/>
      <c r="AF30" s="45" t="s">
        <v>122</v>
      </c>
      <c r="AG30" s="45" t="s">
        <v>123</v>
      </c>
      <c r="AH30" s="45" t="s">
        <v>124</v>
      </c>
      <c r="AI30" s="45" t="s">
        <v>125</v>
      </c>
      <c r="AJ30" s="45" t="s">
        <v>126</v>
      </c>
      <c r="AK30" s="45"/>
      <c r="AL30" s="45"/>
      <c r="AN30" s="44" t="s">
        <v>297</v>
      </c>
      <c r="AO30" s="43" t="str">
        <f>IFERROR(IF(INDEX(Estrutura_P01[#All],MATCH($C30,Estrutura_P01[[#All],[txtMAKT-MAKTX]],0),MATCH(AO$3,Estrutura_P01[#Headers],0))=0,"",INDEX(Estrutura_P01[#All],MATCH($C30,Estrutura_P01[[#All],[txtMAKT-MAKTX]],0),MATCH(AO$3,Estrutura_P01[#Headers],0))),"")</f>
        <v/>
      </c>
      <c r="AP30" s="45"/>
      <c r="AQ30" s="43" t="str">
        <f>IFERROR(IF(INDEX(Estrutura_P01[#All],MATCH($C30,Estrutura_P01[[#All],[txtMAKT-MAKTX]],0),MATCH(AQ$3,Estrutura_P01[#Headers],0))=0,"",INDEX(Estrutura_P01[#All],MATCH($C30,Estrutura_P01[[#All],[txtMAKT-MAKTX]],0),MATCH(AQ$3,Estrutura_P01[#Headers],0))),"")</f>
        <v/>
      </c>
      <c r="AR30" s="45"/>
      <c r="AS30" s="46" t="str">
        <f t="shared" ca="1" si="2"/>
        <v/>
      </c>
      <c r="AT30" s="47" t="s">
        <v>864</v>
      </c>
      <c r="AU30" s="44">
        <v>1</v>
      </c>
      <c r="AV30" s="43">
        <f t="shared" si="3"/>
        <v>1</v>
      </c>
      <c r="AW30" s="48" t="s">
        <v>297</v>
      </c>
      <c r="AX30" s="43" t="str">
        <f>IFERROR(IF(INDEX(Estrutura_P01[#All],MATCH($C30,Estrutura_P01[[#All],[txtMAKT-MAKTX]],0),MATCH(AX$3,Estrutura_P01[#Headers],0))=0,"",INDEX(Estrutura_P01[#All],MATCH($C30,Estrutura_P01[[#All],[txtMAKT-MAKTX]],0),MATCH(AX$3,Estrutura_P01[#Headers],0))),"")</f>
        <v/>
      </c>
      <c r="AY30" s="44"/>
      <c r="AZ30" s="99">
        <v>99</v>
      </c>
      <c r="BA30" s="95" t="str">
        <f t="shared" ca="1" si="4"/>
        <v>17.05.2022</v>
      </c>
      <c r="BB30" s="50"/>
      <c r="BC30" s="50">
        <v>1</v>
      </c>
      <c r="BD30" s="50" t="s">
        <v>192</v>
      </c>
      <c r="BE30" s="95" t="str">
        <f t="shared" si="5"/>
        <v>01</v>
      </c>
      <c r="BF30" s="95" t="str">
        <f t="shared" si="6"/>
        <v>NORM</v>
      </c>
      <c r="BG30" s="44">
        <v>1</v>
      </c>
      <c r="BH30" s="44">
        <v>1</v>
      </c>
      <c r="BI30" s="44">
        <v>1</v>
      </c>
      <c r="BJ30" s="95" t="str">
        <f t="shared" si="7"/>
        <v>ZM</v>
      </c>
      <c r="BK30" s="50" t="s">
        <v>195</v>
      </c>
      <c r="BL30" s="50" t="s">
        <v>195</v>
      </c>
      <c r="BM30" s="43" t="str">
        <f>IFERROR(IF(INDEX(Estrutura_P01[#All],MATCH($C30,Estrutura_P01[[#All],[txtMAKT-MAKTX]],0),MATCH(BM$3,Estrutura_P01[#Headers],0))=0,"",INDEX(Estrutura_P01[#All],MATCH($C30,Estrutura_P01[[#All],[txtMAKT-MAKTX]],0),MATCH(BM$3,Estrutura_P01[#Headers],0))),"")</f>
        <v/>
      </c>
      <c r="BN30" s="44"/>
      <c r="BO30" s="50">
        <v>0</v>
      </c>
      <c r="BP30" s="45" t="s">
        <v>374</v>
      </c>
      <c r="BQ30" s="43" t="str">
        <f>IFERROR(IF(INDEX(Estrutura_P01[#All],MATCH($C30,Estrutura_P01[[#All],[txtMAKT-MAKTX]],0),MATCH(BQ$3,Estrutura_P01[#Headers],0))=0,"",INDEX(Estrutura_P01[#All],MATCH($C30,Estrutura_P01[[#All],[txtMAKT-MAKTX]],0),MATCH(BQ$3,Estrutura_P01[#Headers],0))),"")</f>
        <v/>
      </c>
      <c r="BR30" s="43" t="str">
        <f t="shared" si="8"/>
        <v>581</v>
      </c>
      <c r="BS30" s="45" t="s">
        <v>40</v>
      </c>
      <c r="BT30" s="98">
        <v>25000</v>
      </c>
      <c r="BU30" s="43" t="str">
        <f>IFERROR(IF(INDEX(Estrutura_P01[#All],MATCH($C30,Estrutura_P01[[#All],[txtMAKT-MAKTX]],0),MATCH(BU$3,Estrutura_P01[#Headers],0))=0,"",INDEX(Estrutura_P01[#All],MATCH($C30,Estrutura_P01[[#All],[txtMAKT-MAKTX]],0),MATCH(BU$3,Estrutura_P01[#Headers],0))),"")</f>
        <v/>
      </c>
      <c r="BV30" s="45">
        <v>0</v>
      </c>
      <c r="BW30" s="45" t="s">
        <v>473</v>
      </c>
      <c r="BX30" s="45"/>
      <c r="BY30" s="44"/>
      <c r="BZ30" s="49" t="str">
        <f t="shared" si="9"/>
        <v>0011</v>
      </c>
      <c r="CA30" s="49" t="str">
        <f t="shared" si="10"/>
        <v>0011</v>
      </c>
      <c r="CB30" s="45">
        <v>75</v>
      </c>
      <c r="CC30" s="44">
        <v>1</v>
      </c>
      <c r="CD30" s="50" t="s">
        <v>490</v>
      </c>
      <c r="CE30" s="80">
        <v>2</v>
      </c>
      <c r="CF30" s="80">
        <v>7</v>
      </c>
      <c r="CG30" s="95" t="str">
        <f t="shared" si="11"/>
        <v>ZM</v>
      </c>
      <c r="CH30" s="95">
        <f t="shared" si="12"/>
        <v>2</v>
      </c>
      <c r="CI30" s="95">
        <f t="shared" si="13"/>
        <v>42</v>
      </c>
      <c r="CJ30" s="95">
        <f t="shared" si="14"/>
        <v>10</v>
      </c>
      <c r="CK30" s="43" t="str">
        <f t="shared" si="15"/>
        <v>K00_C_0581</v>
      </c>
      <c r="CL30" s="43" t="str">
        <f>IFERROR(IF(INDEX(Estrutura_P01[#All],MATCH($C30,Estrutura_P01[[#All],[txtMAKT-MAKTX]],0),MATCH(CL$3,Estrutura_P01[#Headers],0))=0,"",INDEX(Estrutura_P01[#All],MATCH($C30,Estrutura_P01[[#All],[txtMAKT-MAKTX]],0),MATCH(CL$3,Estrutura_P01[#Headers],0))),"")</f>
        <v/>
      </c>
      <c r="CM30" s="43" t="str">
        <f>IFERROR(IF(INDEX(Estrutura_P01[#All],MATCH($C30,Estrutura_P01[[#All],[txtMAKT-MAKTX]],0),MATCH(CM$3,Estrutura_P01[#Headers],0))=0,"",INDEX(Estrutura_P01[#All],MATCH($C30,Estrutura_P01[[#All],[txtMAKT-MAKTX]],0),MATCH(CM$3,Estrutura_P01[#Headers],0))),"")</f>
        <v/>
      </c>
      <c r="CN30" s="43" t="str">
        <f>IFERROR(IF(INDEX(Estrutura_P01[#All],MATCH($C30,Estrutura_P01[[#All],[txtMAKT-MAKTX]],0),MATCH(CN$3,Estrutura_P01[#Headers],0))=0,"",INDEX(Estrutura_P01[#All],MATCH($C30,Estrutura_P01[[#All],[txtMAKT-MAKTX]],0),MATCH(CN$3,Estrutura_P01[#Headers],0))),"")</f>
        <v/>
      </c>
      <c r="CO30" s="43" t="str">
        <f>IFERROR(IF(INDEX(Estrutura_P01[#All],MATCH($C30,Estrutura_P01[[#All],[txtMAKT-MAKTX]],0),MATCH(CO$3,Estrutura_P01[#Headers],0))=0,"",INDEX(Estrutura_P01[#All],MATCH($C30,Estrutura_P01[[#All],[txtMAKT-MAKTX]],0),MATCH(CO$3,Estrutura_P01[#Headers],0))),"")</f>
        <v/>
      </c>
      <c r="CP30" s="43" t="str">
        <f>IFERROR(IF(INDEX(Estrutura_P01[#All],MATCH($C30,Estrutura_P01[[#All],[txtMAKT-MAKTX]],0),MATCH(CP$3,Estrutura_P01[#Headers],0))=0,"",INDEX(Estrutura_P01[#All],MATCH($C30,Estrutura_P01[[#All],[txtMAKT-MAKTX]],0),MATCH(CP$3,Estrutura_P01[#Headers],0))),"")</f>
        <v/>
      </c>
      <c r="CQ30" s="43" t="str">
        <f>IFERROR(IF(INDEX(Estrutura_P01[#All],MATCH($C30,Estrutura_P01[[#All],[txtMAKT-MAKTX]],0),MATCH(CQ$3,Estrutura_P01[#Headers],0))=0,"",INDEX(Estrutura_P01[#All],MATCH($C30,Estrutura_P01[[#All],[txtMAKT-MAKTX]],0),MATCH(CQ$3,Estrutura_P01[#Headers],0))),"")</f>
        <v/>
      </c>
      <c r="CR30" s="43" t="str">
        <f>IFERROR(IF(INDEX(Estrutura_P01[#All],MATCH($C30,Estrutura_P01[[#All],[txtMAKT-MAKTX]],0),MATCH(CR$3,Estrutura_P01[#Headers],0))=0,"",INDEX(Estrutura_P01[#All],MATCH($C30,Estrutura_P01[[#All],[txtMAKT-MAKTX]],0),MATCH(CR$3,Estrutura_P01[#Headers],0))),"")</f>
        <v/>
      </c>
      <c r="CS30" s="43" t="str">
        <f>IFERROR(IF(INDEX(Estrutura_P01[#All],MATCH($C30,Estrutura_P01[[#All],[txtMAKT-MAKTX]],0),MATCH(CS$3,Estrutura_P01[#Headers],0))=0,"",INDEX(Estrutura_P01[#All],MATCH($C30,Estrutura_P01[[#All],[txtMAKT-MAKTX]],0),MATCH(CS$3,Estrutura_P01[#Headers],0))),"")</f>
        <v/>
      </c>
      <c r="CU30" s="43" t="str">
        <f t="shared" si="16"/>
        <v/>
      </c>
      <c r="CV30" s="55"/>
      <c r="CW30" s="43" t="str">
        <f t="shared" ca="1" si="17"/>
        <v/>
      </c>
      <c r="CX30" s="43" t="str">
        <f t="shared" si="18"/>
        <v/>
      </c>
      <c r="CZ30" s="44"/>
      <c r="DA30" s="44">
        <v>2</v>
      </c>
      <c r="DB30" s="44">
        <v>1</v>
      </c>
      <c r="DC30" s="44"/>
      <c r="DD30" s="90" t="str">
        <f t="shared" si="19"/>
        <v/>
      </c>
      <c r="DE30" s="43">
        <f t="shared" si="20"/>
        <v>0.01</v>
      </c>
      <c r="DF30" s="43" t="str">
        <f t="shared" si="21"/>
        <v>KG</v>
      </c>
      <c r="DG30" s="44">
        <v>1</v>
      </c>
      <c r="DH30" s="50" t="s">
        <v>223</v>
      </c>
      <c r="DI30" s="50" t="s">
        <v>902</v>
      </c>
      <c r="DJ30" s="43" t="str">
        <f>IFERROR(IF(INDEX(Estrutura_P01[#All],MATCH($C30,Estrutura_P01[[#All],[txtMAKT-MAKTX]],0),MATCH(DJ$3,Estrutura_P01[#Headers],0))=0,"",INDEX(Estrutura_P01[#All],MATCH($C30,Estrutura_P01[[#All],[txtMAKT-MAKTX]],0),MATCH(DJ$3,Estrutura_P01[#Headers],0))),"")</f>
        <v/>
      </c>
      <c r="DK30" s="44">
        <v>1000</v>
      </c>
      <c r="DL30" s="60">
        <v>0</v>
      </c>
      <c r="DM30" s="44"/>
      <c r="DN30" s="44">
        <v>1</v>
      </c>
      <c r="DO30" s="44">
        <v>0</v>
      </c>
      <c r="DP30" s="44" t="s">
        <v>862</v>
      </c>
      <c r="DQ30" s="45">
        <v>0</v>
      </c>
      <c r="DR30" s="44">
        <v>1000</v>
      </c>
      <c r="DS30" s="91" t="str">
        <f>IF(AQ30=68,1,IFERROR(VLOOKUP(CM30,'Listas de Dados'!BX:BY,2,0),""))</f>
        <v/>
      </c>
      <c r="DT30" s="90" t="str">
        <f t="shared" ca="1" si="22"/>
        <v/>
      </c>
      <c r="DU30" s="65"/>
    </row>
    <row r="31" spans="1:125" x14ac:dyDescent="0.2">
      <c r="A31" s="7" t="str">
        <f t="shared" si="0"/>
        <v>Execução 27</v>
      </c>
      <c r="B31" s="87"/>
      <c r="C31" s="42"/>
      <c r="D31" s="43" t="str">
        <f>IFERROR(IF(INDEX(Estrutura_P01[#All],MATCH($C31,Estrutura_P01[[#All],[txtMAKT-MAKTX]],0),MATCH(D$3,Estrutura_P01[#Headers],0))=0,"",INDEX(Estrutura_P01[#All],MATCH($C31,Estrutura_P01[[#All],[txtMAKT-MAKTX]],0),MATCH(D$3,Estrutura_P01[#Headers],0))),"")</f>
        <v/>
      </c>
      <c r="E31" s="44" t="s">
        <v>100</v>
      </c>
      <c r="F31" s="79" t="s">
        <v>4</v>
      </c>
      <c r="G31" s="79" t="s">
        <v>11</v>
      </c>
      <c r="H31" s="79" t="str">
        <f t="shared" si="1"/>
        <v>0581</v>
      </c>
      <c r="I31" s="79" t="s">
        <v>6</v>
      </c>
      <c r="J31" s="79"/>
      <c r="L31" s="45" t="s">
        <v>101</v>
      </c>
      <c r="M31" s="45" t="s">
        <v>102</v>
      </c>
      <c r="N31" s="45" t="s">
        <v>103</v>
      </c>
      <c r="O31" s="45"/>
      <c r="P31" s="45"/>
      <c r="Q31" s="45"/>
      <c r="R31" s="45"/>
      <c r="S31" s="45"/>
      <c r="T31" s="45" t="s">
        <v>109</v>
      </c>
      <c r="U31" s="45" t="s">
        <v>110</v>
      </c>
      <c r="V31" s="45" t="s">
        <v>111</v>
      </c>
      <c r="W31" s="45" t="s">
        <v>112</v>
      </c>
      <c r="X31" s="45" t="s">
        <v>113</v>
      </c>
      <c r="Y31" s="45" t="s">
        <v>114</v>
      </c>
      <c r="Z31" s="45" t="s">
        <v>115</v>
      </c>
      <c r="AA31" s="45"/>
      <c r="AB31" s="45" t="s">
        <v>118</v>
      </c>
      <c r="AC31" s="45" t="s">
        <v>119</v>
      </c>
      <c r="AD31" s="45"/>
      <c r="AE31" s="45"/>
      <c r="AF31" s="45" t="s">
        <v>122</v>
      </c>
      <c r="AG31" s="45" t="s">
        <v>123</v>
      </c>
      <c r="AH31" s="45" t="s">
        <v>124</v>
      </c>
      <c r="AI31" s="45" t="s">
        <v>125</v>
      </c>
      <c r="AJ31" s="45" t="s">
        <v>126</v>
      </c>
      <c r="AK31" s="45"/>
      <c r="AL31" s="45"/>
      <c r="AN31" s="44" t="s">
        <v>297</v>
      </c>
      <c r="AO31" s="43" t="str">
        <f>IFERROR(IF(INDEX(Estrutura_P01[#All],MATCH($C31,Estrutura_P01[[#All],[txtMAKT-MAKTX]],0),MATCH(AO$3,Estrutura_P01[#Headers],0))=0,"",INDEX(Estrutura_P01[#All],MATCH($C31,Estrutura_P01[[#All],[txtMAKT-MAKTX]],0),MATCH(AO$3,Estrutura_P01[#Headers],0))),"")</f>
        <v/>
      </c>
      <c r="AP31" s="45"/>
      <c r="AQ31" s="43" t="str">
        <f>IFERROR(IF(INDEX(Estrutura_P01[#All],MATCH($C31,Estrutura_P01[[#All],[txtMAKT-MAKTX]],0),MATCH(AQ$3,Estrutura_P01[#Headers],0))=0,"",INDEX(Estrutura_P01[#All],MATCH($C31,Estrutura_P01[[#All],[txtMAKT-MAKTX]],0),MATCH(AQ$3,Estrutura_P01[#Headers],0))),"")</f>
        <v/>
      </c>
      <c r="AR31" s="45"/>
      <c r="AS31" s="46" t="str">
        <f t="shared" ca="1" si="2"/>
        <v/>
      </c>
      <c r="AT31" s="47" t="s">
        <v>864</v>
      </c>
      <c r="AU31" s="44">
        <v>1</v>
      </c>
      <c r="AV31" s="43">
        <f t="shared" si="3"/>
        <v>1</v>
      </c>
      <c r="AW31" s="48" t="s">
        <v>297</v>
      </c>
      <c r="AX31" s="43" t="str">
        <f>IFERROR(IF(INDEX(Estrutura_P01[#All],MATCH($C31,Estrutura_P01[[#All],[txtMAKT-MAKTX]],0),MATCH(AX$3,Estrutura_P01[#Headers],0))=0,"",INDEX(Estrutura_P01[#All],MATCH($C31,Estrutura_P01[[#All],[txtMAKT-MAKTX]],0),MATCH(AX$3,Estrutura_P01[#Headers],0))),"")</f>
        <v/>
      </c>
      <c r="AY31" s="44"/>
      <c r="AZ31" s="99">
        <v>99</v>
      </c>
      <c r="BA31" s="95" t="str">
        <f t="shared" ca="1" si="4"/>
        <v>17.05.2022</v>
      </c>
      <c r="BB31" s="50"/>
      <c r="BC31" s="50">
        <v>1</v>
      </c>
      <c r="BD31" s="50" t="s">
        <v>192</v>
      </c>
      <c r="BE31" s="95" t="str">
        <f t="shared" si="5"/>
        <v>01</v>
      </c>
      <c r="BF31" s="95" t="str">
        <f t="shared" si="6"/>
        <v>NORM</v>
      </c>
      <c r="BG31" s="44">
        <v>1</v>
      </c>
      <c r="BH31" s="44">
        <v>1</v>
      </c>
      <c r="BI31" s="44">
        <v>1</v>
      </c>
      <c r="BJ31" s="95" t="str">
        <f t="shared" si="7"/>
        <v>ZM</v>
      </c>
      <c r="BK31" s="50" t="s">
        <v>195</v>
      </c>
      <c r="BL31" s="50" t="s">
        <v>195</v>
      </c>
      <c r="BM31" s="43" t="str">
        <f>IFERROR(IF(INDEX(Estrutura_P01[#All],MATCH($C31,Estrutura_P01[[#All],[txtMAKT-MAKTX]],0),MATCH(BM$3,Estrutura_P01[#Headers],0))=0,"",INDEX(Estrutura_P01[#All],MATCH($C31,Estrutura_P01[[#All],[txtMAKT-MAKTX]],0),MATCH(BM$3,Estrutura_P01[#Headers],0))),"")</f>
        <v/>
      </c>
      <c r="BN31" s="44"/>
      <c r="BO31" s="50">
        <v>0</v>
      </c>
      <c r="BP31" s="45" t="s">
        <v>374</v>
      </c>
      <c r="BQ31" s="43" t="str">
        <f>IFERROR(IF(INDEX(Estrutura_P01[#All],MATCH($C31,Estrutura_P01[[#All],[txtMAKT-MAKTX]],0),MATCH(BQ$3,Estrutura_P01[#Headers],0))=0,"",INDEX(Estrutura_P01[#All],MATCH($C31,Estrutura_P01[[#All],[txtMAKT-MAKTX]],0),MATCH(BQ$3,Estrutura_P01[#Headers],0))),"")</f>
        <v/>
      </c>
      <c r="BR31" s="43" t="str">
        <f t="shared" si="8"/>
        <v>581</v>
      </c>
      <c r="BS31" s="45" t="s">
        <v>40</v>
      </c>
      <c r="BT31" s="98">
        <v>25000</v>
      </c>
      <c r="BU31" s="43" t="str">
        <f>IFERROR(IF(INDEX(Estrutura_P01[#All],MATCH($C31,Estrutura_P01[[#All],[txtMAKT-MAKTX]],0),MATCH(BU$3,Estrutura_P01[#Headers],0))=0,"",INDEX(Estrutura_P01[#All],MATCH($C31,Estrutura_P01[[#All],[txtMAKT-MAKTX]],0),MATCH(BU$3,Estrutura_P01[#Headers],0))),"")</f>
        <v/>
      </c>
      <c r="BV31" s="45">
        <v>0</v>
      </c>
      <c r="BW31" s="45" t="s">
        <v>473</v>
      </c>
      <c r="BX31" s="45"/>
      <c r="BY31" s="44"/>
      <c r="BZ31" s="49" t="str">
        <f t="shared" si="9"/>
        <v>0011</v>
      </c>
      <c r="CA31" s="49" t="str">
        <f t="shared" si="10"/>
        <v>0011</v>
      </c>
      <c r="CB31" s="45">
        <v>75</v>
      </c>
      <c r="CC31" s="44">
        <v>1</v>
      </c>
      <c r="CD31" s="50" t="s">
        <v>490</v>
      </c>
      <c r="CE31" s="80">
        <v>2</v>
      </c>
      <c r="CF31" s="80">
        <v>7</v>
      </c>
      <c r="CG31" s="95" t="str">
        <f t="shared" si="11"/>
        <v>ZM</v>
      </c>
      <c r="CH31" s="95">
        <f t="shared" si="12"/>
        <v>2</v>
      </c>
      <c r="CI31" s="95">
        <f t="shared" si="13"/>
        <v>42</v>
      </c>
      <c r="CJ31" s="95">
        <f t="shared" si="14"/>
        <v>10</v>
      </c>
      <c r="CK31" s="43" t="str">
        <f t="shared" si="15"/>
        <v>K00_C_0581</v>
      </c>
      <c r="CL31" s="43" t="str">
        <f>IFERROR(IF(INDEX(Estrutura_P01[#All],MATCH($C31,Estrutura_P01[[#All],[txtMAKT-MAKTX]],0),MATCH(CL$3,Estrutura_P01[#Headers],0))=0,"",INDEX(Estrutura_P01[#All],MATCH($C31,Estrutura_P01[[#All],[txtMAKT-MAKTX]],0),MATCH(CL$3,Estrutura_P01[#Headers],0))),"")</f>
        <v/>
      </c>
      <c r="CM31" s="43" t="str">
        <f>IFERROR(IF(INDEX(Estrutura_P01[#All],MATCH($C31,Estrutura_P01[[#All],[txtMAKT-MAKTX]],0),MATCH(CM$3,Estrutura_P01[#Headers],0))=0,"",INDEX(Estrutura_P01[#All],MATCH($C31,Estrutura_P01[[#All],[txtMAKT-MAKTX]],0),MATCH(CM$3,Estrutura_P01[#Headers],0))),"")</f>
        <v/>
      </c>
      <c r="CN31" s="43" t="str">
        <f>IFERROR(IF(INDEX(Estrutura_P01[#All],MATCH($C31,Estrutura_P01[[#All],[txtMAKT-MAKTX]],0),MATCH(CN$3,Estrutura_P01[#Headers],0))=0,"",INDEX(Estrutura_P01[#All],MATCH($C31,Estrutura_P01[[#All],[txtMAKT-MAKTX]],0),MATCH(CN$3,Estrutura_P01[#Headers],0))),"")</f>
        <v/>
      </c>
      <c r="CO31" s="43" t="str">
        <f>IFERROR(IF(INDEX(Estrutura_P01[#All],MATCH($C31,Estrutura_P01[[#All],[txtMAKT-MAKTX]],0),MATCH(CO$3,Estrutura_P01[#Headers],0))=0,"",INDEX(Estrutura_P01[#All],MATCH($C31,Estrutura_P01[[#All],[txtMAKT-MAKTX]],0),MATCH(CO$3,Estrutura_P01[#Headers],0))),"")</f>
        <v/>
      </c>
      <c r="CP31" s="43" t="str">
        <f>IFERROR(IF(INDEX(Estrutura_P01[#All],MATCH($C31,Estrutura_P01[[#All],[txtMAKT-MAKTX]],0),MATCH(CP$3,Estrutura_P01[#Headers],0))=0,"",INDEX(Estrutura_P01[#All],MATCH($C31,Estrutura_P01[[#All],[txtMAKT-MAKTX]],0),MATCH(CP$3,Estrutura_P01[#Headers],0))),"")</f>
        <v/>
      </c>
      <c r="CQ31" s="43" t="str">
        <f>IFERROR(IF(INDEX(Estrutura_P01[#All],MATCH($C31,Estrutura_P01[[#All],[txtMAKT-MAKTX]],0),MATCH(CQ$3,Estrutura_P01[#Headers],0))=0,"",INDEX(Estrutura_P01[#All],MATCH($C31,Estrutura_P01[[#All],[txtMAKT-MAKTX]],0),MATCH(CQ$3,Estrutura_P01[#Headers],0))),"")</f>
        <v/>
      </c>
      <c r="CR31" s="43" t="str">
        <f>IFERROR(IF(INDEX(Estrutura_P01[#All],MATCH($C31,Estrutura_P01[[#All],[txtMAKT-MAKTX]],0),MATCH(CR$3,Estrutura_P01[#Headers],0))=0,"",INDEX(Estrutura_P01[#All],MATCH($C31,Estrutura_P01[[#All],[txtMAKT-MAKTX]],0),MATCH(CR$3,Estrutura_P01[#Headers],0))),"")</f>
        <v/>
      </c>
      <c r="CS31" s="43" t="str">
        <f>IFERROR(IF(INDEX(Estrutura_P01[#All],MATCH($C31,Estrutura_P01[[#All],[txtMAKT-MAKTX]],0),MATCH(CS$3,Estrutura_P01[#Headers],0))=0,"",INDEX(Estrutura_P01[#All],MATCH($C31,Estrutura_P01[[#All],[txtMAKT-MAKTX]],0),MATCH(CS$3,Estrutura_P01[#Headers],0))),"")</f>
        <v/>
      </c>
      <c r="CU31" s="43" t="str">
        <f t="shared" si="16"/>
        <v/>
      </c>
      <c r="CV31" s="55"/>
      <c r="CW31" s="43" t="str">
        <f t="shared" ca="1" si="17"/>
        <v/>
      </c>
      <c r="CX31" s="43" t="str">
        <f t="shared" si="18"/>
        <v/>
      </c>
      <c r="CZ31" s="44"/>
      <c r="DA31" s="44">
        <v>2</v>
      </c>
      <c r="DB31" s="44">
        <v>1</v>
      </c>
      <c r="DC31" s="44"/>
      <c r="DD31" s="90" t="str">
        <f t="shared" si="19"/>
        <v/>
      </c>
      <c r="DE31" s="43">
        <f t="shared" si="20"/>
        <v>0.01</v>
      </c>
      <c r="DF31" s="43" t="str">
        <f t="shared" si="21"/>
        <v>KG</v>
      </c>
      <c r="DG31" s="44">
        <v>1</v>
      </c>
      <c r="DH31" s="50" t="s">
        <v>223</v>
      </c>
      <c r="DI31" s="50" t="s">
        <v>902</v>
      </c>
      <c r="DJ31" s="43" t="str">
        <f>IFERROR(IF(INDEX(Estrutura_P01[#All],MATCH($C31,Estrutura_P01[[#All],[txtMAKT-MAKTX]],0),MATCH(DJ$3,Estrutura_P01[#Headers],0))=0,"",INDEX(Estrutura_P01[#All],MATCH($C31,Estrutura_P01[[#All],[txtMAKT-MAKTX]],0),MATCH(DJ$3,Estrutura_P01[#Headers],0))),"")</f>
        <v/>
      </c>
      <c r="DK31" s="44">
        <v>1000</v>
      </c>
      <c r="DL31" s="60">
        <v>0</v>
      </c>
      <c r="DM31" s="44"/>
      <c r="DN31" s="44">
        <v>1</v>
      </c>
      <c r="DO31" s="44">
        <v>0</v>
      </c>
      <c r="DP31" s="44" t="s">
        <v>862</v>
      </c>
      <c r="DQ31" s="45">
        <v>0</v>
      </c>
      <c r="DR31" s="44">
        <v>1000</v>
      </c>
      <c r="DS31" s="91" t="str">
        <f>IF(AQ31=68,1,IFERROR(VLOOKUP(CM31,'Listas de Dados'!BX:BY,2,0),""))</f>
        <v/>
      </c>
      <c r="DT31" s="90" t="str">
        <f t="shared" ca="1" si="22"/>
        <v/>
      </c>
      <c r="DU31" s="65"/>
    </row>
    <row r="32" spans="1:125" x14ac:dyDescent="0.2">
      <c r="A32" s="7" t="str">
        <f t="shared" si="0"/>
        <v>Execução 28</v>
      </c>
      <c r="B32" s="87"/>
      <c r="C32" s="42"/>
      <c r="D32" s="43" t="str">
        <f>IFERROR(IF(INDEX(Estrutura_P01[#All],MATCH($C32,Estrutura_P01[[#All],[txtMAKT-MAKTX]],0),MATCH(D$3,Estrutura_P01[#Headers],0))=0,"",INDEX(Estrutura_P01[#All],MATCH($C32,Estrutura_P01[[#All],[txtMAKT-MAKTX]],0),MATCH(D$3,Estrutura_P01[#Headers],0))),"")</f>
        <v/>
      </c>
      <c r="E32" s="44" t="s">
        <v>100</v>
      </c>
      <c r="F32" s="79" t="s">
        <v>4</v>
      </c>
      <c r="G32" s="79" t="s">
        <v>11</v>
      </c>
      <c r="H32" s="79" t="str">
        <f t="shared" si="1"/>
        <v>0581</v>
      </c>
      <c r="I32" s="79" t="s">
        <v>6</v>
      </c>
      <c r="J32" s="79"/>
      <c r="L32" s="45" t="s">
        <v>101</v>
      </c>
      <c r="M32" s="45" t="s">
        <v>102</v>
      </c>
      <c r="N32" s="45" t="s">
        <v>103</v>
      </c>
      <c r="O32" s="45"/>
      <c r="P32" s="45"/>
      <c r="Q32" s="45"/>
      <c r="R32" s="45"/>
      <c r="S32" s="45"/>
      <c r="T32" s="45" t="s">
        <v>109</v>
      </c>
      <c r="U32" s="45" t="s">
        <v>110</v>
      </c>
      <c r="V32" s="45" t="s">
        <v>111</v>
      </c>
      <c r="W32" s="45" t="s">
        <v>112</v>
      </c>
      <c r="X32" s="45" t="s">
        <v>113</v>
      </c>
      <c r="Y32" s="45" t="s">
        <v>114</v>
      </c>
      <c r="Z32" s="45" t="s">
        <v>115</v>
      </c>
      <c r="AA32" s="45"/>
      <c r="AB32" s="45" t="s">
        <v>118</v>
      </c>
      <c r="AC32" s="45" t="s">
        <v>119</v>
      </c>
      <c r="AD32" s="45"/>
      <c r="AE32" s="45"/>
      <c r="AF32" s="45" t="s">
        <v>122</v>
      </c>
      <c r="AG32" s="45" t="s">
        <v>123</v>
      </c>
      <c r="AH32" s="45" t="s">
        <v>124</v>
      </c>
      <c r="AI32" s="45" t="s">
        <v>125</v>
      </c>
      <c r="AJ32" s="45" t="s">
        <v>126</v>
      </c>
      <c r="AK32" s="45"/>
      <c r="AL32" s="45"/>
      <c r="AN32" s="44" t="s">
        <v>297</v>
      </c>
      <c r="AO32" s="43" t="str">
        <f>IFERROR(IF(INDEX(Estrutura_P01[#All],MATCH($C32,Estrutura_P01[[#All],[txtMAKT-MAKTX]],0),MATCH(AO$3,Estrutura_P01[#Headers],0))=0,"",INDEX(Estrutura_P01[#All],MATCH($C32,Estrutura_P01[[#All],[txtMAKT-MAKTX]],0),MATCH(AO$3,Estrutura_P01[#Headers],0))),"")</f>
        <v/>
      </c>
      <c r="AP32" s="45"/>
      <c r="AQ32" s="43" t="str">
        <f>IFERROR(IF(INDEX(Estrutura_P01[#All],MATCH($C32,Estrutura_P01[[#All],[txtMAKT-MAKTX]],0),MATCH(AQ$3,Estrutura_P01[#Headers],0))=0,"",INDEX(Estrutura_P01[#All],MATCH($C32,Estrutura_P01[[#All],[txtMAKT-MAKTX]],0),MATCH(AQ$3,Estrutura_P01[#Headers],0))),"")</f>
        <v/>
      </c>
      <c r="AR32" s="45"/>
      <c r="AS32" s="46" t="str">
        <f t="shared" ca="1" si="2"/>
        <v/>
      </c>
      <c r="AT32" s="47" t="s">
        <v>864</v>
      </c>
      <c r="AU32" s="44">
        <v>1</v>
      </c>
      <c r="AV32" s="43">
        <f t="shared" si="3"/>
        <v>1</v>
      </c>
      <c r="AW32" s="48" t="s">
        <v>297</v>
      </c>
      <c r="AX32" s="43" t="str">
        <f>IFERROR(IF(INDEX(Estrutura_P01[#All],MATCH($C32,Estrutura_P01[[#All],[txtMAKT-MAKTX]],0),MATCH(AX$3,Estrutura_P01[#Headers],0))=0,"",INDEX(Estrutura_P01[#All],MATCH($C32,Estrutura_P01[[#All],[txtMAKT-MAKTX]],0),MATCH(AX$3,Estrutura_P01[#Headers],0))),"")</f>
        <v/>
      </c>
      <c r="AY32" s="44"/>
      <c r="AZ32" s="99">
        <v>99</v>
      </c>
      <c r="BA32" s="95" t="str">
        <f t="shared" ca="1" si="4"/>
        <v>17.05.2022</v>
      </c>
      <c r="BB32" s="50"/>
      <c r="BC32" s="50">
        <v>1</v>
      </c>
      <c r="BD32" s="50" t="s">
        <v>192</v>
      </c>
      <c r="BE32" s="95" t="str">
        <f t="shared" si="5"/>
        <v>01</v>
      </c>
      <c r="BF32" s="95" t="str">
        <f t="shared" si="6"/>
        <v>NORM</v>
      </c>
      <c r="BG32" s="44">
        <v>1</v>
      </c>
      <c r="BH32" s="44">
        <v>1</v>
      </c>
      <c r="BI32" s="44">
        <v>1</v>
      </c>
      <c r="BJ32" s="95" t="str">
        <f t="shared" si="7"/>
        <v>ZM</v>
      </c>
      <c r="BK32" s="50" t="s">
        <v>195</v>
      </c>
      <c r="BL32" s="50" t="s">
        <v>195</v>
      </c>
      <c r="BM32" s="43" t="str">
        <f>IFERROR(IF(INDEX(Estrutura_P01[#All],MATCH($C32,Estrutura_P01[[#All],[txtMAKT-MAKTX]],0),MATCH(BM$3,Estrutura_P01[#Headers],0))=0,"",INDEX(Estrutura_P01[#All],MATCH($C32,Estrutura_P01[[#All],[txtMAKT-MAKTX]],0),MATCH(BM$3,Estrutura_P01[#Headers],0))),"")</f>
        <v/>
      </c>
      <c r="BN32" s="44"/>
      <c r="BO32" s="50">
        <v>0</v>
      </c>
      <c r="BP32" s="45" t="s">
        <v>374</v>
      </c>
      <c r="BQ32" s="43" t="str">
        <f>IFERROR(IF(INDEX(Estrutura_P01[#All],MATCH($C32,Estrutura_P01[[#All],[txtMAKT-MAKTX]],0),MATCH(BQ$3,Estrutura_P01[#Headers],0))=0,"",INDEX(Estrutura_P01[#All],MATCH($C32,Estrutura_P01[[#All],[txtMAKT-MAKTX]],0),MATCH(BQ$3,Estrutura_P01[#Headers],0))),"")</f>
        <v/>
      </c>
      <c r="BR32" s="43" t="str">
        <f t="shared" si="8"/>
        <v>581</v>
      </c>
      <c r="BS32" s="45" t="s">
        <v>40</v>
      </c>
      <c r="BT32" s="98">
        <v>25000</v>
      </c>
      <c r="BU32" s="43" t="str">
        <f>IFERROR(IF(INDEX(Estrutura_P01[#All],MATCH($C32,Estrutura_P01[[#All],[txtMAKT-MAKTX]],0),MATCH(BU$3,Estrutura_P01[#Headers],0))=0,"",INDEX(Estrutura_P01[#All],MATCH($C32,Estrutura_P01[[#All],[txtMAKT-MAKTX]],0),MATCH(BU$3,Estrutura_P01[#Headers],0))),"")</f>
        <v/>
      </c>
      <c r="BV32" s="45">
        <v>0</v>
      </c>
      <c r="BW32" s="45" t="s">
        <v>473</v>
      </c>
      <c r="BX32" s="45"/>
      <c r="BY32" s="44"/>
      <c r="BZ32" s="49" t="str">
        <f t="shared" si="9"/>
        <v>0011</v>
      </c>
      <c r="CA32" s="49" t="str">
        <f t="shared" si="10"/>
        <v>0011</v>
      </c>
      <c r="CB32" s="45">
        <v>75</v>
      </c>
      <c r="CC32" s="44">
        <v>1</v>
      </c>
      <c r="CD32" s="50" t="s">
        <v>490</v>
      </c>
      <c r="CE32" s="80">
        <v>2</v>
      </c>
      <c r="CF32" s="80">
        <v>7</v>
      </c>
      <c r="CG32" s="95" t="str">
        <f t="shared" si="11"/>
        <v>ZM</v>
      </c>
      <c r="CH32" s="95">
        <f t="shared" si="12"/>
        <v>2</v>
      </c>
      <c r="CI32" s="95">
        <f t="shared" si="13"/>
        <v>42</v>
      </c>
      <c r="CJ32" s="95">
        <f t="shared" si="14"/>
        <v>10</v>
      </c>
      <c r="CK32" s="43" t="str">
        <f t="shared" si="15"/>
        <v>K00_C_0581</v>
      </c>
      <c r="CL32" s="43" t="str">
        <f>IFERROR(IF(INDEX(Estrutura_P01[#All],MATCH($C32,Estrutura_P01[[#All],[txtMAKT-MAKTX]],0),MATCH(CL$3,Estrutura_P01[#Headers],0))=0,"",INDEX(Estrutura_P01[#All],MATCH($C32,Estrutura_P01[[#All],[txtMAKT-MAKTX]],0),MATCH(CL$3,Estrutura_P01[#Headers],0))),"")</f>
        <v/>
      </c>
      <c r="CM32" s="43" t="str">
        <f>IFERROR(IF(INDEX(Estrutura_P01[#All],MATCH($C32,Estrutura_P01[[#All],[txtMAKT-MAKTX]],0),MATCH(CM$3,Estrutura_P01[#Headers],0))=0,"",INDEX(Estrutura_P01[#All],MATCH($C32,Estrutura_P01[[#All],[txtMAKT-MAKTX]],0),MATCH(CM$3,Estrutura_P01[#Headers],0))),"")</f>
        <v/>
      </c>
      <c r="CN32" s="43" t="str">
        <f>IFERROR(IF(INDEX(Estrutura_P01[#All],MATCH($C32,Estrutura_P01[[#All],[txtMAKT-MAKTX]],0),MATCH(CN$3,Estrutura_P01[#Headers],0))=0,"",INDEX(Estrutura_P01[#All],MATCH($C32,Estrutura_P01[[#All],[txtMAKT-MAKTX]],0),MATCH(CN$3,Estrutura_P01[#Headers],0))),"")</f>
        <v/>
      </c>
      <c r="CO32" s="43" t="str">
        <f>IFERROR(IF(INDEX(Estrutura_P01[#All],MATCH($C32,Estrutura_P01[[#All],[txtMAKT-MAKTX]],0),MATCH(CO$3,Estrutura_P01[#Headers],0))=0,"",INDEX(Estrutura_P01[#All],MATCH($C32,Estrutura_P01[[#All],[txtMAKT-MAKTX]],0),MATCH(CO$3,Estrutura_P01[#Headers],0))),"")</f>
        <v/>
      </c>
      <c r="CP32" s="43" t="str">
        <f>IFERROR(IF(INDEX(Estrutura_P01[#All],MATCH($C32,Estrutura_P01[[#All],[txtMAKT-MAKTX]],0),MATCH(CP$3,Estrutura_P01[#Headers],0))=0,"",INDEX(Estrutura_P01[#All],MATCH($C32,Estrutura_P01[[#All],[txtMAKT-MAKTX]],0),MATCH(CP$3,Estrutura_P01[#Headers],0))),"")</f>
        <v/>
      </c>
      <c r="CQ32" s="43" t="str">
        <f>IFERROR(IF(INDEX(Estrutura_P01[#All],MATCH($C32,Estrutura_P01[[#All],[txtMAKT-MAKTX]],0),MATCH(CQ$3,Estrutura_P01[#Headers],0))=0,"",INDEX(Estrutura_P01[#All],MATCH($C32,Estrutura_P01[[#All],[txtMAKT-MAKTX]],0),MATCH(CQ$3,Estrutura_P01[#Headers],0))),"")</f>
        <v/>
      </c>
      <c r="CR32" s="43" t="str">
        <f>IFERROR(IF(INDEX(Estrutura_P01[#All],MATCH($C32,Estrutura_P01[[#All],[txtMAKT-MAKTX]],0),MATCH(CR$3,Estrutura_P01[#Headers],0))=0,"",INDEX(Estrutura_P01[#All],MATCH($C32,Estrutura_P01[[#All],[txtMAKT-MAKTX]],0),MATCH(CR$3,Estrutura_P01[#Headers],0))),"")</f>
        <v/>
      </c>
      <c r="CS32" s="43" t="str">
        <f>IFERROR(IF(INDEX(Estrutura_P01[#All],MATCH($C32,Estrutura_P01[[#All],[txtMAKT-MAKTX]],0),MATCH(CS$3,Estrutura_P01[#Headers],0))=0,"",INDEX(Estrutura_P01[#All],MATCH($C32,Estrutura_P01[[#All],[txtMAKT-MAKTX]],0),MATCH(CS$3,Estrutura_P01[#Headers],0))),"")</f>
        <v/>
      </c>
      <c r="CU32" s="43" t="str">
        <f t="shared" si="16"/>
        <v/>
      </c>
      <c r="CV32" s="55"/>
      <c r="CW32" s="43" t="str">
        <f t="shared" ca="1" si="17"/>
        <v/>
      </c>
      <c r="CX32" s="43" t="str">
        <f t="shared" si="18"/>
        <v/>
      </c>
      <c r="CZ32" s="44"/>
      <c r="DA32" s="44">
        <v>2</v>
      </c>
      <c r="DB32" s="44">
        <v>1</v>
      </c>
      <c r="DC32" s="44"/>
      <c r="DD32" s="90" t="str">
        <f t="shared" si="19"/>
        <v/>
      </c>
      <c r="DE32" s="43">
        <f t="shared" si="20"/>
        <v>0.01</v>
      </c>
      <c r="DF32" s="43" t="str">
        <f t="shared" si="21"/>
        <v>KG</v>
      </c>
      <c r="DG32" s="44">
        <v>1</v>
      </c>
      <c r="DH32" s="50" t="s">
        <v>223</v>
      </c>
      <c r="DI32" s="50" t="s">
        <v>902</v>
      </c>
      <c r="DJ32" s="43" t="str">
        <f>IFERROR(IF(INDEX(Estrutura_P01[#All],MATCH($C32,Estrutura_P01[[#All],[txtMAKT-MAKTX]],0),MATCH(DJ$3,Estrutura_P01[#Headers],0))=0,"",INDEX(Estrutura_P01[#All],MATCH($C32,Estrutura_P01[[#All],[txtMAKT-MAKTX]],0),MATCH(DJ$3,Estrutura_P01[#Headers],0))),"")</f>
        <v/>
      </c>
      <c r="DK32" s="44">
        <v>1000</v>
      </c>
      <c r="DL32" s="60">
        <v>0</v>
      </c>
      <c r="DM32" s="44"/>
      <c r="DN32" s="44">
        <v>1</v>
      </c>
      <c r="DO32" s="44">
        <v>0</v>
      </c>
      <c r="DP32" s="44" t="s">
        <v>862</v>
      </c>
      <c r="DQ32" s="45">
        <v>0</v>
      </c>
      <c r="DR32" s="44">
        <v>1000</v>
      </c>
      <c r="DS32" s="91" t="str">
        <f>IF(AQ32=68,1,IFERROR(VLOOKUP(CM32,'Listas de Dados'!BX:BY,2,0),""))</f>
        <v/>
      </c>
      <c r="DT32" s="90" t="str">
        <f t="shared" ca="1" si="22"/>
        <v/>
      </c>
      <c r="DU32" s="65"/>
    </row>
    <row r="33" spans="1:125" x14ac:dyDescent="0.2">
      <c r="A33" s="7" t="str">
        <f t="shared" si="0"/>
        <v>Execução 29</v>
      </c>
      <c r="B33" s="87"/>
      <c r="C33" s="42"/>
      <c r="D33" s="43" t="str">
        <f>IFERROR(IF(INDEX(Estrutura_P01[#All],MATCH($C33,Estrutura_P01[[#All],[txtMAKT-MAKTX]],0),MATCH(D$3,Estrutura_P01[#Headers],0))=0,"",INDEX(Estrutura_P01[#All],MATCH($C33,Estrutura_P01[[#All],[txtMAKT-MAKTX]],0),MATCH(D$3,Estrutura_P01[#Headers],0))),"")</f>
        <v/>
      </c>
      <c r="E33" s="44" t="s">
        <v>100</v>
      </c>
      <c r="F33" s="79" t="s">
        <v>4</v>
      </c>
      <c r="G33" s="79" t="s">
        <v>11</v>
      </c>
      <c r="H33" s="79" t="str">
        <f t="shared" si="1"/>
        <v>0581</v>
      </c>
      <c r="I33" s="79" t="s">
        <v>6</v>
      </c>
      <c r="J33" s="79"/>
      <c r="L33" s="45" t="s">
        <v>101</v>
      </c>
      <c r="M33" s="45" t="s">
        <v>102</v>
      </c>
      <c r="N33" s="45" t="s">
        <v>103</v>
      </c>
      <c r="O33" s="45"/>
      <c r="P33" s="45"/>
      <c r="Q33" s="45"/>
      <c r="R33" s="45"/>
      <c r="S33" s="45"/>
      <c r="T33" s="45" t="s">
        <v>109</v>
      </c>
      <c r="U33" s="45" t="s">
        <v>110</v>
      </c>
      <c r="V33" s="45" t="s">
        <v>111</v>
      </c>
      <c r="W33" s="45" t="s">
        <v>112</v>
      </c>
      <c r="X33" s="45" t="s">
        <v>113</v>
      </c>
      <c r="Y33" s="45" t="s">
        <v>114</v>
      </c>
      <c r="Z33" s="45" t="s">
        <v>115</v>
      </c>
      <c r="AA33" s="45"/>
      <c r="AB33" s="45" t="s">
        <v>118</v>
      </c>
      <c r="AC33" s="45" t="s">
        <v>119</v>
      </c>
      <c r="AD33" s="45"/>
      <c r="AE33" s="45"/>
      <c r="AF33" s="45" t="s">
        <v>122</v>
      </c>
      <c r="AG33" s="45" t="s">
        <v>123</v>
      </c>
      <c r="AH33" s="45" t="s">
        <v>124</v>
      </c>
      <c r="AI33" s="45" t="s">
        <v>125</v>
      </c>
      <c r="AJ33" s="45" t="s">
        <v>126</v>
      </c>
      <c r="AK33" s="45"/>
      <c r="AL33" s="45"/>
      <c r="AN33" s="44" t="s">
        <v>297</v>
      </c>
      <c r="AO33" s="43" t="str">
        <f>IFERROR(IF(INDEX(Estrutura_P01[#All],MATCH($C33,Estrutura_P01[[#All],[txtMAKT-MAKTX]],0),MATCH(AO$3,Estrutura_P01[#Headers],0))=0,"",INDEX(Estrutura_P01[#All],MATCH($C33,Estrutura_P01[[#All],[txtMAKT-MAKTX]],0),MATCH(AO$3,Estrutura_P01[#Headers],0))),"")</f>
        <v/>
      </c>
      <c r="AP33" s="45"/>
      <c r="AQ33" s="43" t="str">
        <f>IFERROR(IF(INDEX(Estrutura_P01[#All],MATCH($C33,Estrutura_P01[[#All],[txtMAKT-MAKTX]],0),MATCH(AQ$3,Estrutura_P01[#Headers],0))=0,"",INDEX(Estrutura_P01[#All],MATCH($C33,Estrutura_P01[[#All],[txtMAKT-MAKTX]],0),MATCH(AQ$3,Estrutura_P01[#Headers],0))),"")</f>
        <v/>
      </c>
      <c r="AR33" s="45"/>
      <c r="AS33" s="46" t="str">
        <f t="shared" ca="1" si="2"/>
        <v/>
      </c>
      <c r="AT33" s="47" t="s">
        <v>864</v>
      </c>
      <c r="AU33" s="44">
        <v>1</v>
      </c>
      <c r="AV33" s="43">
        <f t="shared" si="3"/>
        <v>1</v>
      </c>
      <c r="AW33" s="48" t="s">
        <v>297</v>
      </c>
      <c r="AX33" s="43" t="str">
        <f>IFERROR(IF(INDEX(Estrutura_P01[#All],MATCH($C33,Estrutura_P01[[#All],[txtMAKT-MAKTX]],0),MATCH(AX$3,Estrutura_P01[#Headers],0))=0,"",INDEX(Estrutura_P01[#All],MATCH($C33,Estrutura_P01[[#All],[txtMAKT-MAKTX]],0),MATCH(AX$3,Estrutura_P01[#Headers],0))),"")</f>
        <v/>
      </c>
      <c r="AY33" s="44"/>
      <c r="AZ33" s="99">
        <v>99</v>
      </c>
      <c r="BA33" s="95" t="str">
        <f t="shared" ca="1" si="4"/>
        <v>17.05.2022</v>
      </c>
      <c r="BB33" s="50"/>
      <c r="BC33" s="50">
        <v>1</v>
      </c>
      <c r="BD33" s="50" t="s">
        <v>192</v>
      </c>
      <c r="BE33" s="95" t="str">
        <f t="shared" si="5"/>
        <v>01</v>
      </c>
      <c r="BF33" s="95" t="str">
        <f t="shared" si="6"/>
        <v>NORM</v>
      </c>
      <c r="BG33" s="44">
        <v>1</v>
      </c>
      <c r="BH33" s="44">
        <v>1</v>
      </c>
      <c r="BI33" s="44">
        <v>1</v>
      </c>
      <c r="BJ33" s="95" t="str">
        <f t="shared" si="7"/>
        <v>ZM</v>
      </c>
      <c r="BK33" s="50" t="s">
        <v>195</v>
      </c>
      <c r="BL33" s="50" t="s">
        <v>195</v>
      </c>
      <c r="BM33" s="43" t="str">
        <f>IFERROR(IF(INDEX(Estrutura_P01[#All],MATCH($C33,Estrutura_P01[[#All],[txtMAKT-MAKTX]],0),MATCH(BM$3,Estrutura_P01[#Headers],0))=0,"",INDEX(Estrutura_P01[#All],MATCH($C33,Estrutura_P01[[#All],[txtMAKT-MAKTX]],0),MATCH(BM$3,Estrutura_P01[#Headers],0))),"")</f>
        <v/>
      </c>
      <c r="BN33" s="44"/>
      <c r="BO33" s="50">
        <v>0</v>
      </c>
      <c r="BP33" s="45" t="s">
        <v>374</v>
      </c>
      <c r="BQ33" s="43" t="str">
        <f>IFERROR(IF(INDEX(Estrutura_P01[#All],MATCH($C33,Estrutura_P01[[#All],[txtMAKT-MAKTX]],0),MATCH(BQ$3,Estrutura_P01[#Headers],0))=0,"",INDEX(Estrutura_P01[#All],MATCH($C33,Estrutura_P01[[#All],[txtMAKT-MAKTX]],0),MATCH(BQ$3,Estrutura_P01[#Headers],0))),"")</f>
        <v/>
      </c>
      <c r="BR33" s="43" t="str">
        <f t="shared" si="8"/>
        <v>581</v>
      </c>
      <c r="BS33" s="45" t="s">
        <v>40</v>
      </c>
      <c r="BT33" s="98">
        <v>25000</v>
      </c>
      <c r="BU33" s="43" t="str">
        <f>IFERROR(IF(INDEX(Estrutura_P01[#All],MATCH($C33,Estrutura_P01[[#All],[txtMAKT-MAKTX]],0),MATCH(BU$3,Estrutura_P01[#Headers],0))=0,"",INDEX(Estrutura_P01[#All],MATCH($C33,Estrutura_P01[[#All],[txtMAKT-MAKTX]],0),MATCH(BU$3,Estrutura_P01[#Headers],0))),"")</f>
        <v/>
      </c>
      <c r="BV33" s="45">
        <v>0</v>
      </c>
      <c r="BW33" s="45" t="s">
        <v>473</v>
      </c>
      <c r="BX33" s="45"/>
      <c r="BY33" s="44"/>
      <c r="BZ33" s="49" t="str">
        <f t="shared" si="9"/>
        <v>0011</v>
      </c>
      <c r="CA33" s="49" t="str">
        <f t="shared" si="10"/>
        <v>0011</v>
      </c>
      <c r="CB33" s="45">
        <v>75</v>
      </c>
      <c r="CC33" s="44">
        <v>1</v>
      </c>
      <c r="CD33" s="50" t="s">
        <v>490</v>
      </c>
      <c r="CE33" s="80">
        <v>2</v>
      </c>
      <c r="CF33" s="80">
        <v>7</v>
      </c>
      <c r="CG33" s="95" t="str">
        <f t="shared" si="11"/>
        <v>ZM</v>
      </c>
      <c r="CH33" s="95">
        <f t="shared" si="12"/>
        <v>2</v>
      </c>
      <c r="CI33" s="95">
        <f t="shared" si="13"/>
        <v>42</v>
      </c>
      <c r="CJ33" s="95">
        <f t="shared" si="14"/>
        <v>10</v>
      </c>
      <c r="CK33" s="43" t="str">
        <f t="shared" si="15"/>
        <v>K00_C_0581</v>
      </c>
      <c r="CL33" s="43" t="str">
        <f>IFERROR(IF(INDEX(Estrutura_P01[#All],MATCH($C33,Estrutura_P01[[#All],[txtMAKT-MAKTX]],0),MATCH(CL$3,Estrutura_P01[#Headers],0))=0,"",INDEX(Estrutura_P01[#All],MATCH($C33,Estrutura_P01[[#All],[txtMAKT-MAKTX]],0),MATCH(CL$3,Estrutura_P01[#Headers],0))),"")</f>
        <v/>
      </c>
      <c r="CM33" s="43" t="str">
        <f>IFERROR(IF(INDEX(Estrutura_P01[#All],MATCH($C33,Estrutura_P01[[#All],[txtMAKT-MAKTX]],0),MATCH(CM$3,Estrutura_P01[#Headers],0))=0,"",INDEX(Estrutura_P01[#All],MATCH($C33,Estrutura_P01[[#All],[txtMAKT-MAKTX]],0),MATCH(CM$3,Estrutura_P01[#Headers],0))),"")</f>
        <v/>
      </c>
      <c r="CN33" s="43" t="str">
        <f>IFERROR(IF(INDEX(Estrutura_P01[#All],MATCH($C33,Estrutura_P01[[#All],[txtMAKT-MAKTX]],0),MATCH(CN$3,Estrutura_P01[#Headers],0))=0,"",INDEX(Estrutura_P01[#All],MATCH($C33,Estrutura_P01[[#All],[txtMAKT-MAKTX]],0),MATCH(CN$3,Estrutura_P01[#Headers],0))),"")</f>
        <v/>
      </c>
      <c r="CO33" s="43" t="str">
        <f>IFERROR(IF(INDEX(Estrutura_P01[#All],MATCH($C33,Estrutura_P01[[#All],[txtMAKT-MAKTX]],0),MATCH(CO$3,Estrutura_P01[#Headers],0))=0,"",INDEX(Estrutura_P01[#All],MATCH($C33,Estrutura_P01[[#All],[txtMAKT-MAKTX]],0),MATCH(CO$3,Estrutura_P01[#Headers],0))),"")</f>
        <v/>
      </c>
      <c r="CP33" s="43" t="str">
        <f>IFERROR(IF(INDEX(Estrutura_P01[#All],MATCH($C33,Estrutura_P01[[#All],[txtMAKT-MAKTX]],0),MATCH(CP$3,Estrutura_P01[#Headers],0))=0,"",INDEX(Estrutura_P01[#All],MATCH($C33,Estrutura_P01[[#All],[txtMAKT-MAKTX]],0),MATCH(CP$3,Estrutura_P01[#Headers],0))),"")</f>
        <v/>
      </c>
      <c r="CQ33" s="43" t="str">
        <f>IFERROR(IF(INDEX(Estrutura_P01[#All],MATCH($C33,Estrutura_P01[[#All],[txtMAKT-MAKTX]],0),MATCH(CQ$3,Estrutura_P01[#Headers],0))=0,"",INDEX(Estrutura_P01[#All],MATCH($C33,Estrutura_P01[[#All],[txtMAKT-MAKTX]],0),MATCH(CQ$3,Estrutura_P01[#Headers],0))),"")</f>
        <v/>
      </c>
      <c r="CR33" s="43" t="str">
        <f>IFERROR(IF(INDEX(Estrutura_P01[#All],MATCH($C33,Estrutura_P01[[#All],[txtMAKT-MAKTX]],0),MATCH(CR$3,Estrutura_P01[#Headers],0))=0,"",INDEX(Estrutura_P01[#All],MATCH($C33,Estrutura_P01[[#All],[txtMAKT-MAKTX]],0),MATCH(CR$3,Estrutura_P01[#Headers],0))),"")</f>
        <v/>
      </c>
      <c r="CS33" s="43" t="str">
        <f>IFERROR(IF(INDEX(Estrutura_P01[#All],MATCH($C33,Estrutura_P01[[#All],[txtMAKT-MAKTX]],0),MATCH(CS$3,Estrutura_P01[#Headers],0))=0,"",INDEX(Estrutura_P01[#All],MATCH($C33,Estrutura_P01[[#All],[txtMAKT-MAKTX]],0),MATCH(CS$3,Estrutura_P01[#Headers],0))),"")</f>
        <v/>
      </c>
      <c r="CU33" s="43" t="str">
        <f t="shared" si="16"/>
        <v/>
      </c>
      <c r="CV33" s="55"/>
      <c r="CW33" s="43" t="str">
        <f t="shared" ca="1" si="17"/>
        <v/>
      </c>
      <c r="CX33" s="43" t="str">
        <f t="shared" si="18"/>
        <v/>
      </c>
      <c r="CZ33" s="44"/>
      <c r="DA33" s="44">
        <v>2</v>
      </c>
      <c r="DB33" s="44">
        <v>1</v>
      </c>
      <c r="DC33" s="44"/>
      <c r="DD33" s="90" t="str">
        <f t="shared" si="19"/>
        <v/>
      </c>
      <c r="DE33" s="43">
        <f t="shared" si="20"/>
        <v>0.01</v>
      </c>
      <c r="DF33" s="43" t="str">
        <f t="shared" si="21"/>
        <v>KG</v>
      </c>
      <c r="DG33" s="44">
        <v>1</v>
      </c>
      <c r="DH33" s="50" t="s">
        <v>223</v>
      </c>
      <c r="DI33" s="50" t="s">
        <v>902</v>
      </c>
      <c r="DJ33" s="43" t="str">
        <f>IFERROR(IF(INDEX(Estrutura_P01[#All],MATCH($C33,Estrutura_P01[[#All],[txtMAKT-MAKTX]],0),MATCH(DJ$3,Estrutura_P01[#Headers],0))=0,"",INDEX(Estrutura_P01[#All],MATCH($C33,Estrutura_P01[[#All],[txtMAKT-MAKTX]],0),MATCH(DJ$3,Estrutura_P01[#Headers],0))),"")</f>
        <v/>
      </c>
      <c r="DK33" s="44">
        <v>1000</v>
      </c>
      <c r="DL33" s="60">
        <v>0</v>
      </c>
      <c r="DM33" s="44"/>
      <c r="DN33" s="44">
        <v>1</v>
      </c>
      <c r="DO33" s="44">
        <v>0</v>
      </c>
      <c r="DP33" s="44" t="s">
        <v>862</v>
      </c>
      <c r="DQ33" s="45">
        <v>0</v>
      </c>
      <c r="DR33" s="44">
        <v>1000</v>
      </c>
      <c r="DS33" s="91" t="str">
        <f>IF(AQ33=68,1,IFERROR(VLOOKUP(CM33,'Listas de Dados'!BX:BY,2,0),""))</f>
        <v/>
      </c>
      <c r="DT33" s="90" t="str">
        <f t="shared" ca="1" si="22"/>
        <v/>
      </c>
      <c r="DU33" s="65"/>
    </row>
    <row r="34" spans="1:125" x14ac:dyDescent="0.2">
      <c r="A34" s="7" t="str">
        <f t="shared" si="0"/>
        <v>Execução 30</v>
      </c>
      <c r="B34" s="87"/>
      <c r="C34" s="42"/>
      <c r="D34" s="43" t="str">
        <f>IFERROR(IF(INDEX(Estrutura_P01[#All],MATCH($C34,Estrutura_P01[[#All],[txtMAKT-MAKTX]],0),MATCH(D$3,Estrutura_P01[#Headers],0))=0,"",INDEX(Estrutura_P01[#All],MATCH($C34,Estrutura_P01[[#All],[txtMAKT-MAKTX]],0),MATCH(D$3,Estrutura_P01[#Headers],0))),"")</f>
        <v/>
      </c>
      <c r="E34" s="44" t="s">
        <v>100</v>
      </c>
      <c r="F34" s="79" t="s">
        <v>4</v>
      </c>
      <c r="G34" s="79" t="s">
        <v>11</v>
      </c>
      <c r="H34" s="79" t="str">
        <f t="shared" si="1"/>
        <v>0581</v>
      </c>
      <c r="I34" s="79" t="s">
        <v>6</v>
      </c>
      <c r="J34" s="79"/>
      <c r="L34" s="45" t="s">
        <v>101</v>
      </c>
      <c r="M34" s="45" t="s">
        <v>102</v>
      </c>
      <c r="N34" s="45" t="s">
        <v>103</v>
      </c>
      <c r="O34" s="45"/>
      <c r="P34" s="45"/>
      <c r="Q34" s="45"/>
      <c r="R34" s="45"/>
      <c r="S34" s="45"/>
      <c r="T34" s="45" t="s">
        <v>109</v>
      </c>
      <c r="U34" s="45" t="s">
        <v>110</v>
      </c>
      <c r="V34" s="45" t="s">
        <v>111</v>
      </c>
      <c r="W34" s="45" t="s">
        <v>112</v>
      </c>
      <c r="X34" s="45" t="s">
        <v>113</v>
      </c>
      <c r="Y34" s="45" t="s">
        <v>114</v>
      </c>
      <c r="Z34" s="45" t="s">
        <v>115</v>
      </c>
      <c r="AA34" s="45"/>
      <c r="AB34" s="45" t="s">
        <v>118</v>
      </c>
      <c r="AC34" s="45" t="s">
        <v>119</v>
      </c>
      <c r="AD34" s="45"/>
      <c r="AE34" s="45"/>
      <c r="AF34" s="45" t="s">
        <v>122</v>
      </c>
      <c r="AG34" s="45" t="s">
        <v>123</v>
      </c>
      <c r="AH34" s="45" t="s">
        <v>124</v>
      </c>
      <c r="AI34" s="45" t="s">
        <v>125</v>
      </c>
      <c r="AJ34" s="45" t="s">
        <v>126</v>
      </c>
      <c r="AK34" s="45"/>
      <c r="AL34" s="45"/>
      <c r="AN34" s="44" t="s">
        <v>297</v>
      </c>
      <c r="AO34" s="43" t="str">
        <f>IFERROR(IF(INDEX(Estrutura_P01[#All],MATCH($C34,Estrutura_P01[[#All],[txtMAKT-MAKTX]],0),MATCH(AO$3,Estrutura_P01[#Headers],0))=0,"",INDEX(Estrutura_P01[#All],MATCH($C34,Estrutura_P01[[#All],[txtMAKT-MAKTX]],0),MATCH(AO$3,Estrutura_P01[#Headers],0))),"")</f>
        <v/>
      </c>
      <c r="AP34" s="45"/>
      <c r="AQ34" s="43" t="str">
        <f>IFERROR(IF(INDEX(Estrutura_P01[#All],MATCH($C34,Estrutura_P01[[#All],[txtMAKT-MAKTX]],0),MATCH(AQ$3,Estrutura_P01[#Headers],0))=0,"",INDEX(Estrutura_P01[#All],MATCH($C34,Estrutura_P01[[#All],[txtMAKT-MAKTX]],0),MATCH(AQ$3,Estrutura_P01[#Headers],0))),"")</f>
        <v/>
      </c>
      <c r="AR34" s="45"/>
      <c r="AS34" s="46" t="str">
        <f t="shared" ca="1" si="2"/>
        <v/>
      </c>
      <c r="AT34" s="47" t="s">
        <v>864</v>
      </c>
      <c r="AU34" s="44">
        <v>1</v>
      </c>
      <c r="AV34" s="43">
        <f t="shared" si="3"/>
        <v>1</v>
      </c>
      <c r="AW34" s="48" t="s">
        <v>297</v>
      </c>
      <c r="AX34" s="43" t="str">
        <f>IFERROR(IF(INDEX(Estrutura_P01[#All],MATCH($C34,Estrutura_P01[[#All],[txtMAKT-MAKTX]],0),MATCH(AX$3,Estrutura_P01[#Headers],0))=0,"",INDEX(Estrutura_P01[#All],MATCH($C34,Estrutura_P01[[#All],[txtMAKT-MAKTX]],0),MATCH(AX$3,Estrutura_P01[#Headers],0))),"")</f>
        <v/>
      </c>
      <c r="AY34" s="44"/>
      <c r="AZ34" s="99">
        <v>99</v>
      </c>
      <c r="BA34" s="95" t="str">
        <f t="shared" ca="1" si="4"/>
        <v>17.05.2022</v>
      </c>
      <c r="BB34" s="50"/>
      <c r="BC34" s="50">
        <v>1</v>
      </c>
      <c r="BD34" s="50" t="s">
        <v>192</v>
      </c>
      <c r="BE34" s="95" t="str">
        <f t="shared" si="5"/>
        <v>01</v>
      </c>
      <c r="BF34" s="95" t="str">
        <f t="shared" si="6"/>
        <v>NORM</v>
      </c>
      <c r="BG34" s="44">
        <v>1</v>
      </c>
      <c r="BH34" s="44">
        <v>1</v>
      </c>
      <c r="BI34" s="44">
        <v>1</v>
      </c>
      <c r="BJ34" s="95" t="str">
        <f t="shared" si="7"/>
        <v>ZM</v>
      </c>
      <c r="BK34" s="50" t="s">
        <v>195</v>
      </c>
      <c r="BL34" s="50" t="s">
        <v>195</v>
      </c>
      <c r="BM34" s="43" t="str">
        <f>IFERROR(IF(INDEX(Estrutura_P01[#All],MATCH($C34,Estrutura_P01[[#All],[txtMAKT-MAKTX]],0),MATCH(BM$3,Estrutura_P01[#Headers],0))=0,"",INDEX(Estrutura_P01[#All],MATCH($C34,Estrutura_P01[[#All],[txtMAKT-MAKTX]],0),MATCH(BM$3,Estrutura_P01[#Headers],0))),"")</f>
        <v/>
      </c>
      <c r="BN34" s="44"/>
      <c r="BO34" s="50">
        <v>0</v>
      </c>
      <c r="BP34" s="45" t="s">
        <v>374</v>
      </c>
      <c r="BQ34" s="43" t="str">
        <f>IFERROR(IF(INDEX(Estrutura_P01[#All],MATCH($C34,Estrutura_P01[[#All],[txtMAKT-MAKTX]],0),MATCH(BQ$3,Estrutura_P01[#Headers],0))=0,"",INDEX(Estrutura_P01[#All],MATCH($C34,Estrutura_P01[[#All],[txtMAKT-MAKTX]],0),MATCH(BQ$3,Estrutura_P01[#Headers],0))),"")</f>
        <v/>
      </c>
      <c r="BR34" s="43" t="str">
        <f t="shared" si="8"/>
        <v>581</v>
      </c>
      <c r="BS34" s="45" t="s">
        <v>40</v>
      </c>
      <c r="BT34" s="98">
        <v>25000</v>
      </c>
      <c r="BU34" s="43" t="str">
        <f>IFERROR(IF(INDEX(Estrutura_P01[#All],MATCH($C34,Estrutura_P01[[#All],[txtMAKT-MAKTX]],0),MATCH(BU$3,Estrutura_P01[#Headers],0))=0,"",INDEX(Estrutura_P01[#All],MATCH($C34,Estrutura_P01[[#All],[txtMAKT-MAKTX]],0),MATCH(BU$3,Estrutura_P01[#Headers],0))),"")</f>
        <v/>
      </c>
      <c r="BV34" s="45">
        <v>0</v>
      </c>
      <c r="BW34" s="45" t="s">
        <v>473</v>
      </c>
      <c r="BX34" s="45"/>
      <c r="BY34" s="44"/>
      <c r="BZ34" s="49" t="str">
        <f t="shared" si="9"/>
        <v>0011</v>
      </c>
      <c r="CA34" s="49" t="str">
        <f t="shared" si="10"/>
        <v>0011</v>
      </c>
      <c r="CB34" s="45">
        <v>75</v>
      </c>
      <c r="CC34" s="44">
        <v>1</v>
      </c>
      <c r="CD34" s="50" t="s">
        <v>490</v>
      </c>
      <c r="CE34" s="80">
        <v>2</v>
      </c>
      <c r="CF34" s="80">
        <v>7</v>
      </c>
      <c r="CG34" s="95" t="str">
        <f t="shared" si="11"/>
        <v>ZM</v>
      </c>
      <c r="CH34" s="95">
        <f t="shared" si="12"/>
        <v>2</v>
      </c>
      <c r="CI34" s="95">
        <f t="shared" si="13"/>
        <v>42</v>
      </c>
      <c r="CJ34" s="95">
        <f t="shared" si="14"/>
        <v>10</v>
      </c>
      <c r="CK34" s="43" t="str">
        <f t="shared" si="15"/>
        <v>K00_C_0581</v>
      </c>
      <c r="CL34" s="43" t="str">
        <f>IFERROR(IF(INDEX(Estrutura_P01[#All],MATCH($C34,Estrutura_P01[[#All],[txtMAKT-MAKTX]],0),MATCH(CL$3,Estrutura_P01[#Headers],0))=0,"",INDEX(Estrutura_P01[#All],MATCH($C34,Estrutura_P01[[#All],[txtMAKT-MAKTX]],0),MATCH(CL$3,Estrutura_P01[#Headers],0))),"")</f>
        <v/>
      </c>
      <c r="CM34" s="43" t="str">
        <f>IFERROR(IF(INDEX(Estrutura_P01[#All],MATCH($C34,Estrutura_P01[[#All],[txtMAKT-MAKTX]],0),MATCH(CM$3,Estrutura_P01[#Headers],0))=0,"",INDEX(Estrutura_P01[#All],MATCH($C34,Estrutura_P01[[#All],[txtMAKT-MAKTX]],0),MATCH(CM$3,Estrutura_P01[#Headers],0))),"")</f>
        <v/>
      </c>
      <c r="CN34" s="43" t="str">
        <f>IFERROR(IF(INDEX(Estrutura_P01[#All],MATCH($C34,Estrutura_P01[[#All],[txtMAKT-MAKTX]],0),MATCH(CN$3,Estrutura_P01[#Headers],0))=0,"",INDEX(Estrutura_P01[#All],MATCH($C34,Estrutura_P01[[#All],[txtMAKT-MAKTX]],0),MATCH(CN$3,Estrutura_P01[#Headers],0))),"")</f>
        <v/>
      </c>
      <c r="CO34" s="43" t="str">
        <f>IFERROR(IF(INDEX(Estrutura_P01[#All],MATCH($C34,Estrutura_P01[[#All],[txtMAKT-MAKTX]],0),MATCH(CO$3,Estrutura_P01[#Headers],0))=0,"",INDEX(Estrutura_P01[#All],MATCH($C34,Estrutura_P01[[#All],[txtMAKT-MAKTX]],0),MATCH(CO$3,Estrutura_P01[#Headers],0))),"")</f>
        <v/>
      </c>
      <c r="CP34" s="43" t="str">
        <f>IFERROR(IF(INDEX(Estrutura_P01[#All],MATCH($C34,Estrutura_P01[[#All],[txtMAKT-MAKTX]],0),MATCH(CP$3,Estrutura_P01[#Headers],0))=0,"",INDEX(Estrutura_P01[#All],MATCH($C34,Estrutura_P01[[#All],[txtMAKT-MAKTX]],0),MATCH(CP$3,Estrutura_P01[#Headers],0))),"")</f>
        <v/>
      </c>
      <c r="CQ34" s="43" t="str">
        <f>IFERROR(IF(INDEX(Estrutura_P01[#All],MATCH($C34,Estrutura_P01[[#All],[txtMAKT-MAKTX]],0),MATCH(CQ$3,Estrutura_P01[#Headers],0))=0,"",INDEX(Estrutura_P01[#All],MATCH($C34,Estrutura_P01[[#All],[txtMAKT-MAKTX]],0),MATCH(CQ$3,Estrutura_P01[#Headers],0))),"")</f>
        <v/>
      </c>
      <c r="CR34" s="43" t="str">
        <f>IFERROR(IF(INDEX(Estrutura_P01[#All],MATCH($C34,Estrutura_P01[[#All],[txtMAKT-MAKTX]],0),MATCH(CR$3,Estrutura_P01[#Headers],0))=0,"",INDEX(Estrutura_P01[#All],MATCH($C34,Estrutura_P01[[#All],[txtMAKT-MAKTX]],0),MATCH(CR$3,Estrutura_P01[#Headers],0))),"")</f>
        <v/>
      </c>
      <c r="CS34" s="43" t="str">
        <f>IFERROR(IF(INDEX(Estrutura_P01[#All],MATCH($C34,Estrutura_P01[[#All],[txtMAKT-MAKTX]],0),MATCH(CS$3,Estrutura_P01[#Headers],0))=0,"",INDEX(Estrutura_P01[#All],MATCH($C34,Estrutura_P01[[#All],[txtMAKT-MAKTX]],0),MATCH(CS$3,Estrutura_P01[#Headers],0))),"")</f>
        <v/>
      </c>
      <c r="CU34" s="43" t="str">
        <f t="shared" si="16"/>
        <v/>
      </c>
      <c r="CV34" s="55"/>
      <c r="CW34" s="43" t="str">
        <f t="shared" ca="1" si="17"/>
        <v/>
      </c>
      <c r="CX34" s="43" t="str">
        <f t="shared" si="18"/>
        <v/>
      </c>
      <c r="CZ34" s="44"/>
      <c r="DA34" s="44">
        <v>2</v>
      </c>
      <c r="DB34" s="44">
        <v>1</v>
      </c>
      <c r="DC34" s="44"/>
      <c r="DD34" s="90" t="str">
        <f t="shared" si="19"/>
        <v/>
      </c>
      <c r="DE34" s="43">
        <f t="shared" si="20"/>
        <v>0.01</v>
      </c>
      <c r="DF34" s="43" t="str">
        <f t="shared" si="21"/>
        <v>KG</v>
      </c>
      <c r="DG34" s="44">
        <v>1</v>
      </c>
      <c r="DH34" s="50" t="s">
        <v>223</v>
      </c>
      <c r="DI34" s="50" t="s">
        <v>902</v>
      </c>
      <c r="DJ34" s="43" t="str">
        <f>IFERROR(IF(INDEX(Estrutura_P01[#All],MATCH($C34,Estrutura_P01[[#All],[txtMAKT-MAKTX]],0),MATCH(DJ$3,Estrutura_P01[#Headers],0))=0,"",INDEX(Estrutura_P01[#All],MATCH($C34,Estrutura_P01[[#All],[txtMAKT-MAKTX]],0),MATCH(DJ$3,Estrutura_P01[#Headers],0))),"")</f>
        <v/>
      </c>
      <c r="DK34" s="44">
        <v>1000</v>
      </c>
      <c r="DL34" s="60">
        <v>0</v>
      </c>
      <c r="DM34" s="44"/>
      <c r="DN34" s="44">
        <v>1</v>
      </c>
      <c r="DO34" s="44">
        <v>0</v>
      </c>
      <c r="DP34" s="44" t="s">
        <v>862</v>
      </c>
      <c r="DQ34" s="45">
        <v>0</v>
      </c>
      <c r="DR34" s="44">
        <v>1000</v>
      </c>
      <c r="DS34" s="91" t="str">
        <f>IF(AQ34=68,1,IFERROR(VLOOKUP(CM34,'Listas de Dados'!BX:BY,2,0),""))</f>
        <v/>
      </c>
      <c r="DT34" s="90" t="str">
        <f t="shared" ca="1" si="22"/>
        <v/>
      </c>
      <c r="DU34" s="65"/>
    </row>
    <row r="35" spans="1:125" x14ac:dyDescent="0.2">
      <c r="A35" s="7" t="str">
        <f t="shared" si="0"/>
        <v>Execução 31</v>
      </c>
      <c r="B35" s="87"/>
      <c r="C35" s="42"/>
      <c r="D35" s="43" t="str">
        <f>IFERROR(IF(INDEX(Estrutura_P01[#All],MATCH($C35,Estrutura_P01[[#All],[txtMAKT-MAKTX]],0),MATCH(D$3,Estrutura_P01[#Headers],0))=0,"",INDEX(Estrutura_P01[#All],MATCH($C35,Estrutura_P01[[#All],[txtMAKT-MAKTX]],0),MATCH(D$3,Estrutura_P01[#Headers],0))),"")</f>
        <v/>
      </c>
      <c r="E35" s="44" t="s">
        <v>100</v>
      </c>
      <c r="F35" s="79" t="s">
        <v>4</v>
      </c>
      <c r="G35" s="79" t="s">
        <v>11</v>
      </c>
      <c r="H35" s="79" t="str">
        <f t="shared" si="1"/>
        <v>0581</v>
      </c>
      <c r="I35" s="79" t="s">
        <v>6</v>
      </c>
      <c r="J35" s="79"/>
      <c r="L35" s="45" t="s">
        <v>101</v>
      </c>
      <c r="M35" s="45" t="s">
        <v>102</v>
      </c>
      <c r="N35" s="45" t="s">
        <v>103</v>
      </c>
      <c r="O35" s="45"/>
      <c r="P35" s="45"/>
      <c r="Q35" s="45"/>
      <c r="R35" s="45"/>
      <c r="S35" s="45"/>
      <c r="T35" s="45" t="s">
        <v>109</v>
      </c>
      <c r="U35" s="45" t="s">
        <v>110</v>
      </c>
      <c r="V35" s="45" t="s">
        <v>111</v>
      </c>
      <c r="W35" s="45" t="s">
        <v>112</v>
      </c>
      <c r="X35" s="45" t="s">
        <v>113</v>
      </c>
      <c r="Y35" s="45" t="s">
        <v>114</v>
      </c>
      <c r="Z35" s="45" t="s">
        <v>115</v>
      </c>
      <c r="AA35" s="45"/>
      <c r="AB35" s="45" t="s">
        <v>118</v>
      </c>
      <c r="AC35" s="45" t="s">
        <v>119</v>
      </c>
      <c r="AD35" s="45"/>
      <c r="AE35" s="45"/>
      <c r="AF35" s="45" t="s">
        <v>122</v>
      </c>
      <c r="AG35" s="45" t="s">
        <v>123</v>
      </c>
      <c r="AH35" s="45" t="s">
        <v>124</v>
      </c>
      <c r="AI35" s="45" t="s">
        <v>125</v>
      </c>
      <c r="AJ35" s="45" t="s">
        <v>126</v>
      </c>
      <c r="AK35" s="45"/>
      <c r="AL35" s="45"/>
      <c r="AN35" s="44" t="s">
        <v>297</v>
      </c>
      <c r="AO35" s="43" t="str">
        <f>IFERROR(IF(INDEX(Estrutura_P01[#All],MATCH($C35,Estrutura_P01[[#All],[txtMAKT-MAKTX]],0),MATCH(AO$3,Estrutura_P01[#Headers],0))=0,"",INDEX(Estrutura_P01[#All],MATCH($C35,Estrutura_P01[[#All],[txtMAKT-MAKTX]],0),MATCH(AO$3,Estrutura_P01[#Headers],0))),"")</f>
        <v/>
      </c>
      <c r="AP35" s="45"/>
      <c r="AQ35" s="43" t="str">
        <f>IFERROR(IF(INDEX(Estrutura_P01[#All],MATCH($C35,Estrutura_P01[[#All],[txtMAKT-MAKTX]],0),MATCH(AQ$3,Estrutura_P01[#Headers],0))=0,"",INDEX(Estrutura_P01[#All],MATCH($C35,Estrutura_P01[[#All],[txtMAKT-MAKTX]],0),MATCH(AQ$3,Estrutura_P01[#Headers],0))),"")</f>
        <v/>
      </c>
      <c r="AR35" s="45"/>
      <c r="AS35" s="46" t="str">
        <f t="shared" ca="1" si="2"/>
        <v/>
      </c>
      <c r="AT35" s="47" t="s">
        <v>864</v>
      </c>
      <c r="AU35" s="44">
        <v>1</v>
      </c>
      <c r="AV35" s="43">
        <f t="shared" si="3"/>
        <v>1</v>
      </c>
      <c r="AW35" s="48" t="s">
        <v>297</v>
      </c>
      <c r="AX35" s="43" t="str">
        <f>IFERROR(IF(INDEX(Estrutura_P01[#All],MATCH($C35,Estrutura_P01[[#All],[txtMAKT-MAKTX]],0),MATCH(AX$3,Estrutura_P01[#Headers],0))=0,"",INDEX(Estrutura_P01[#All],MATCH($C35,Estrutura_P01[[#All],[txtMAKT-MAKTX]],0),MATCH(AX$3,Estrutura_P01[#Headers],0))),"")</f>
        <v/>
      </c>
      <c r="AY35" s="44"/>
      <c r="AZ35" s="99">
        <v>99</v>
      </c>
      <c r="BA35" s="95" t="str">
        <f t="shared" ca="1" si="4"/>
        <v>17.05.2022</v>
      </c>
      <c r="BB35" s="50"/>
      <c r="BC35" s="50">
        <v>1</v>
      </c>
      <c r="BD35" s="50" t="s">
        <v>192</v>
      </c>
      <c r="BE35" s="95" t="str">
        <f t="shared" si="5"/>
        <v>01</v>
      </c>
      <c r="BF35" s="95" t="str">
        <f t="shared" si="6"/>
        <v>NORM</v>
      </c>
      <c r="BG35" s="44">
        <v>1</v>
      </c>
      <c r="BH35" s="44">
        <v>1</v>
      </c>
      <c r="BI35" s="44">
        <v>1</v>
      </c>
      <c r="BJ35" s="95" t="str">
        <f t="shared" si="7"/>
        <v>ZM</v>
      </c>
      <c r="BK35" s="50" t="s">
        <v>195</v>
      </c>
      <c r="BL35" s="50" t="s">
        <v>195</v>
      </c>
      <c r="BM35" s="43" t="str">
        <f>IFERROR(IF(INDEX(Estrutura_P01[#All],MATCH($C35,Estrutura_P01[[#All],[txtMAKT-MAKTX]],0),MATCH(BM$3,Estrutura_P01[#Headers],0))=0,"",INDEX(Estrutura_P01[#All],MATCH($C35,Estrutura_P01[[#All],[txtMAKT-MAKTX]],0),MATCH(BM$3,Estrutura_P01[#Headers],0))),"")</f>
        <v/>
      </c>
      <c r="BN35" s="44"/>
      <c r="BO35" s="50">
        <v>0</v>
      </c>
      <c r="BP35" s="45" t="s">
        <v>374</v>
      </c>
      <c r="BQ35" s="43" t="str">
        <f>IFERROR(IF(INDEX(Estrutura_P01[#All],MATCH($C35,Estrutura_P01[[#All],[txtMAKT-MAKTX]],0),MATCH(BQ$3,Estrutura_P01[#Headers],0))=0,"",INDEX(Estrutura_P01[#All],MATCH($C35,Estrutura_P01[[#All],[txtMAKT-MAKTX]],0),MATCH(BQ$3,Estrutura_P01[#Headers],0))),"")</f>
        <v/>
      </c>
      <c r="BR35" s="43" t="str">
        <f t="shared" si="8"/>
        <v>581</v>
      </c>
      <c r="BS35" s="45" t="s">
        <v>40</v>
      </c>
      <c r="BT35" s="98">
        <v>25000</v>
      </c>
      <c r="BU35" s="43" t="str">
        <f>IFERROR(IF(INDEX(Estrutura_P01[#All],MATCH($C35,Estrutura_P01[[#All],[txtMAKT-MAKTX]],0),MATCH(BU$3,Estrutura_P01[#Headers],0))=0,"",INDEX(Estrutura_P01[#All],MATCH($C35,Estrutura_P01[[#All],[txtMAKT-MAKTX]],0),MATCH(BU$3,Estrutura_P01[#Headers],0))),"")</f>
        <v/>
      </c>
      <c r="BV35" s="45">
        <v>0</v>
      </c>
      <c r="BW35" s="45" t="s">
        <v>473</v>
      </c>
      <c r="BX35" s="45"/>
      <c r="BY35" s="44"/>
      <c r="BZ35" s="49" t="str">
        <f t="shared" si="9"/>
        <v>0011</v>
      </c>
      <c r="CA35" s="49" t="str">
        <f t="shared" si="10"/>
        <v>0011</v>
      </c>
      <c r="CB35" s="45">
        <v>75</v>
      </c>
      <c r="CC35" s="44">
        <v>1</v>
      </c>
      <c r="CD35" s="50" t="s">
        <v>490</v>
      </c>
      <c r="CE35" s="80">
        <v>2</v>
      </c>
      <c r="CF35" s="80">
        <v>7</v>
      </c>
      <c r="CG35" s="95" t="str">
        <f t="shared" si="11"/>
        <v>ZM</v>
      </c>
      <c r="CH35" s="95">
        <f t="shared" si="12"/>
        <v>2</v>
      </c>
      <c r="CI35" s="95">
        <f t="shared" si="13"/>
        <v>42</v>
      </c>
      <c r="CJ35" s="95">
        <f t="shared" si="14"/>
        <v>10</v>
      </c>
      <c r="CK35" s="43" t="str">
        <f t="shared" si="15"/>
        <v>K00_C_0581</v>
      </c>
      <c r="CL35" s="43" t="str">
        <f>IFERROR(IF(INDEX(Estrutura_P01[#All],MATCH($C35,Estrutura_P01[[#All],[txtMAKT-MAKTX]],0),MATCH(CL$3,Estrutura_P01[#Headers],0))=0,"",INDEX(Estrutura_P01[#All],MATCH($C35,Estrutura_P01[[#All],[txtMAKT-MAKTX]],0),MATCH(CL$3,Estrutura_P01[#Headers],0))),"")</f>
        <v/>
      </c>
      <c r="CM35" s="43" t="str">
        <f>IFERROR(IF(INDEX(Estrutura_P01[#All],MATCH($C35,Estrutura_P01[[#All],[txtMAKT-MAKTX]],0),MATCH(CM$3,Estrutura_P01[#Headers],0))=0,"",INDEX(Estrutura_P01[#All],MATCH($C35,Estrutura_P01[[#All],[txtMAKT-MAKTX]],0),MATCH(CM$3,Estrutura_P01[#Headers],0))),"")</f>
        <v/>
      </c>
      <c r="CN35" s="43" t="str">
        <f>IFERROR(IF(INDEX(Estrutura_P01[#All],MATCH($C35,Estrutura_P01[[#All],[txtMAKT-MAKTX]],0),MATCH(CN$3,Estrutura_P01[#Headers],0))=0,"",INDEX(Estrutura_P01[#All],MATCH($C35,Estrutura_P01[[#All],[txtMAKT-MAKTX]],0),MATCH(CN$3,Estrutura_P01[#Headers],0))),"")</f>
        <v/>
      </c>
      <c r="CO35" s="43" t="str">
        <f>IFERROR(IF(INDEX(Estrutura_P01[#All],MATCH($C35,Estrutura_P01[[#All],[txtMAKT-MAKTX]],0),MATCH(CO$3,Estrutura_P01[#Headers],0))=0,"",INDEX(Estrutura_P01[#All],MATCH($C35,Estrutura_P01[[#All],[txtMAKT-MAKTX]],0),MATCH(CO$3,Estrutura_P01[#Headers],0))),"")</f>
        <v/>
      </c>
      <c r="CP35" s="43" t="str">
        <f>IFERROR(IF(INDEX(Estrutura_P01[#All],MATCH($C35,Estrutura_P01[[#All],[txtMAKT-MAKTX]],0),MATCH(CP$3,Estrutura_P01[#Headers],0))=0,"",INDEX(Estrutura_P01[#All],MATCH($C35,Estrutura_P01[[#All],[txtMAKT-MAKTX]],0),MATCH(CP$3,Estrutura_P01[#Headers],0))),"")</f>
        <v/>
      </c>
      <c r="CQ35" s="43" t="str">
        <f>IFERROR(IF(INDEX(Estrutura_P01[#All],MATCH($C35,Estrutura_P01[[#All],[txtMAKT-MAKTX]],0),MATCH(CQ$3,Estrutura_P01[#Headers],0))=0,"",INDEX(Estrutura_P01[#All],MATCH($C35,Estrutura_P01[[#All],[txtMAKT-MAKTX]],0),MATCH(CQ$3,Estrutura_P01[#Headers],0))),"")</f>
        <v/>
      </c>
      <c r="CR35" s="43" t="str">
        <f>IFERROR(IF(INDEX(Estrutura_P01[#All],MATCH($C35,Estrutura_P01[[#All],[txtMAKT-MAKTX]],0),MATCH(CR$3,Estrutura_P01[#Headers],0))=0,"",INDEX(Estrutura_P01[#All],MATCH($C35,Estrutura_P01[[#All],[txtMAKT-MAKTX]],0),MATCH(CR$3,Estrutura_P01[#Headers],0))),"")</f>
        <v/>
      </c>
      <c r="CS35" s="43" t="str">
        <f>IFERROR(IF(INDEX(Estrutura_P01[#All],MATCH($C35,Estrutura_P01[[#All],[txtMAKT-MAKTX]],0),MATCH(CS$3,Estrutura_P01[#Headers],0))=0,"",INDEX(Estrutura_P01[#All],MATCH($C35,Estrutura_P01[[#All],[txtMAKT-MAKTX]],0),MATCH(CS$3,Estrutura_P01[#Headers],0))),"")</f>
        <v/>
      </c>
      <c r="CU35" s="43" t="str">
        <f t="shared" si="16"/>
        <v/>
      </c>
      <c r="CV35" s="55"/>
      <c r="CW35" s="43" t="str">
        <f t="shared" ca="1" si="17"/>
        <v/>
      </c>
      <c r="CX35" s="43" t="str">
        <f t="shared" si="18"/>
        <v/>
      </c>
      <c r="CZ35" s="44"/>
      <c r="DA35" s="44">
        <v>2</v>
      </c>
      <c r="DB35" s="44">
        <v>1</v>
      </c>
      <c r="DC35" s="44"/>
      <c r="DD35" s="90" t="str">
        <f t="shared" si="19"/>
        <v/>
      </c>
      <c r="DE35" s="43">
        <f t="shared" si="20"/>
        <v>0.01</v>
      </c>
      <c r="DF35" s="43" t="str">
        <f t="shared" si="21"/>
        <v>KG</v>
      </c>
      <c r="DG35" s="44">
        <v>1</v>
      </c>
      <c r="DH35" s="50" t="s">
        <v>223</v>
      </c>
      <c r="DI35" s="50" t="s">
        <v>902</v>
      </c>
      <c r="DJ35" s="43" t="str">
        <f>IFERROR(IF(INDEX(Estrutura_P01[#All],MATCH($C35,Estrutura_P01[[#All],[txtMAKT-MAKTX]],0),MATCH(DJ$3,Estrutura_P01[#Headers],0))=0,"",INDEX(Estrutura_P01[#All],MATCH($C35,Estrutura_P01[[#All],[txtMAKT-MAKTX]],0),MATCH(DJ$3,Estrutura_P01[#Headers],0))),"")</f>
        <v/>
      </c>
      <c r="DK35" s="44">
        <v>1000</v>
      </c>
      <c r="DL35" s="60">
        <v>0</v>
      </c>
      <c r="DM35" s="44"/>
      <c r="DN35" s="44">
        <v>1</v>
      </c>
      <c r="DO35" s="44">
        <v>0</v>
      </c>
      <c r="DP35" s="44" t="s">
        <v>862</v>
      </c>
      <c r="DQ35" s="45">
        <v>0</v>
      </c>
      <c r="DR35" s="44">
        <v>1000</v>
      </c>
      <c r="DS35" s="91" t="str">
        <f>IF(AQ35=68,1,IFERROR(VLOOKUP(CM35,'Listas de Dados'!BX:BY,2,0),""))</f>
        <v/>
      </c>
      <c r="DT35" s="90" t="str">
        <f t="shared" ca="1" si="22"/>
        <v/>
      </c>
      <c r="DU35" s="65"/>
    </row>
    <row r="36" spans="1:125" x14ac:dyDescent="0.2">
      <c r="A36" s="7" t="str">
        <f t="shared" si="0"/>
        <v>Execução 32</v>
      </c>
      <c r="B36" s="87"/>
      <c r="C36" s="42"/>
      <c r="D36" s="43" t="str">
        <f>IFERROR(IF(INDEX(Estrutura_P01[#All],MATCH($C36,Estrutura_P01[[#All],[txtMAKT-MAKTX]],0),MATCH(D$3,Estrutura_P01[#Headers],0))=0,"",INDEX(Estrutura_P01[#All],MATCH($C36,Estrutura_P01[[#All],[txtMAKT-MAKTX]],0),MATCH(D$3,Estrutura_P01[#Headers],0))),"")</f>
        <v/>
      </c>
      <c r="E36" s="44" t="s">
        <v>100</v>
      </c>
      <c r="F36" s="79" t="s">
        <v>4</v>
      </c>
      <c r="G36" s="79" t="s">
        <v>11</v>
      </c>
      <c r="H36" s="79" t="str">
        <f t="shared" si="1"/>
        <v>0581</v>
      </c>
      <c r="I36" s="79" t="s">
        <v>6</v>
      </c>
      <c r="J36" s="79"/>
      <c r="L36" s="45" t="s">
        <v>101</v>
      </c>
      <c r="M36" s="45" t="s">
        <v>102</v>
      </c>
      <c r="N36" s="45" t="s">
        <v>103</v>
      </c>
      <c r="O36" s="45"/>
      <c r="P36" s="45"/>
      <c r="Q36" s="45"/>
      <c r="R36" s="45"/>
      <c r="S36" s="45"/>
      <c r="T36" s="45" t="s">
        <v>109</v>
      </c>
      <c r="U36" s="45" t="s">
        <v>110</v>
      </c>
      <c r="V36" s="45" t="s">
        <v>111</v>
      </c>
      <c r="W36" s="45" t="s">
        <v>112</v>
      </c>
      <c r="X36" s="45" t="s">
        <v>113</v>
      </c>
      <c r="Y36" s="45" t="s">
        <v>114</v>
      </c>
      <c r="Z36" s="45" t="s">
        <v>115</v>
      </c>
      <c r="AA36" s="45"/>
      <c r="AB36" s="45" t="s">
        <v>118</v>
      </c>
      <c r="AC36" s="45" t="s">
        <v>119</v>
      </c>
      <c r="AD36" s="45"/>
      <c r="AE36" s="45"/>
      <c r="AF36" s="45" t="s">
        <v>122</v>
      </c>
      <c r="AG36" s="45" t="s">
        <v>123</v>
      </c>
      <c r="AH36" s="45" t="s">
        <v>124</v>
      </c>
      <c r="AI36" s="45" t="s">
        <v>125</v>
      </c>
      <c r="AJ36" s="45" t="s">
        <v>126</v>
      </c>
      <c r="AK36" s="45"/>
      <c r="AL36" s="45"/>
      <c r="AN36" s="44" t="s">
        <v>297</v>
      </c>
      <c r="AO36" s="43" t="str">
        <f>IFERROR(IF(INDEX(Estrutura_P01[#All],MATCH($C36,Estrutura_P01[[#All],[txtMAKT-MAKTX]],0),MATCH(AO$3,Estrutura_P01[#Headers],0))=0,"",INDEX(Estrutura_P01[#All],MATCH($C36,Estrutura_P01[[#All],[txtMAKT-MAKTX]],0),MATCH(AO$3,Estrutura_P01[#Headers],0))),"")</f>
        <v/>
      </c>
      <c r="AP36" s="45"/>
      <c r="AQ36" s="43" t="str">
        <f>IFERROR(IF(INDEX(Estrutura_P01[#All],MATCH($C36,Estrutura_P01[[#All],[txtMAKT-MAKTX]],0),MATCH(AQ$3,Estrutura_P01[#Headers],0))=0,"",INDEX(Estrutura_P01[#All],MATCH($C36,Estrutura_P01[[#All],[txtMAKT-MAKTX]],0),MATCH(AQ$3,Estrutura_P01[#Headers],0))),"")</f>
        <v/>
      </c>
      <c r="AR36" s="45"/>
      <c r="AS36" s="46" t="str">
        <f t="shared" ca="1" si="2"/>
        <v/>
      </c>
      <c r="AT36" s="47" t="s">
        <v>864</v>
      </c>
      <c r="AU36" s="44">
        <v>1</v>
      </c>
      <c r="AV36" s="43">
        <f t="shared" si="3"/>
        <v>1</v>
      </c>
      <c r="AW36" s="48" t="s">
        <v>297</v>
      </c>
      <c r="AX36" s="43" t="str">
        <f>IFERROR(IF(INDEX(Estrutura_P01[#All],MATCH($C36,Estrutura_P01[[#All],[txtMAKT-MAKTX]],0),MATCH(AX$3,Estrutura_P01[#Headers],0))=0,"",INDEX(Estrutura_P01[#All],MATCH($C36,Estrutura_P01[[#All],[txtMAKT-MAKTX]],0),MATCH(AX$3,Estrutura_P01[#Headers],0))),"")</f>
        <v/>
      </c>
      <c r="AY36" s="44"/>
      <c r="AZ36" s="99">
        <v>99</v>
      </c>
      <c r="BA36" s="95" t="str">
        <f t="shared" ca="1" si="4"/>
        <v>17.05.2022</v>
      </c>
      <c r="BB36" s="50"/>
      <c r="BC36" s="50">
        <v>1</v>
      </c>
      <c r="BD36" s="50" t="s">
        <v>192</v>
      </c>
      <c r="BE36" s="95" t="str">
        <f t="shared" si="5"/>
        <v>01</v>
      </c>
      <c r="BF36" s="95" t="str">
        <f t="shared" si="6"/>
        <v>NORM</v>
      </c>
      <c r="BG36" s="44">
        <v>1</v>
      </c>
      <c r="BH36" s="44">
        <v>1</v>
      </c>
      <c r="BI36" s="44">
        <v>1</v>
      </c>
      <c r="BJ36" s="95" t="str">
        <f t="shared" si="7"/>
        <v>ZM</v>
      </c>
      <c r="BK36" s="50" t="s">
        <v>195</v>
      </c>
      <c r="BL36" s="50" t="s">
        <v>195</v>
      </c>
      <c r="BM36" s="43" t="str">
        <f>IFERROR(IF(INDEX(Estrutura_P01[#All],MATCH($C36,Estrutura_P01[[#All],[txtMAKT-MAKTX]],0),MATCH(BM$3,Estrutura_P01[#Headers],0))=0,"",INDEX(Estrutura_P01[#All],MATCH($C36,Estrutura_P01[[#All],[txtMAKT-MAKTX]],0),MATCH(BM$3,Estrutura_P01[#Headers],0))),"")</f>
        <v/>
      </c>
      <c r="BN36" s="44"/>
      <c r="BO36" s="50">
        <v>0</v>
      </c>
      <c r="BP36" s="45" t="s">
        <v>374</v>
      </c>
      <c r="BQ36" s="43" t="str">
        <f>IFERROR(IF(INDEX(Estrutura_P01[#All],MATCH($C36,Estrutura_P01[[#All],[txtMAKT-MAKTX]],0),MATCH(BQ$3,Estrutura_P01[#Headers],0))=0,"",INDEX(Estrutura_P01[#All],MATCH($C36,Estrutura_P01[[#All],[txtMAKT-MAKTX]],0),MATCH(BQ$3,Estrutura_P01[#Headers],0))),"")</f>
        <v/>
      </c>
      <c r="BR36" s="43" t="str">
        <f t="shared" si="8"/>
        <v>581</v>
      </c>
      <c r="BS36" s="45" t="s">
        <v>40</v>
      </c>
      <c r="BT36" s="98">
        <v>25000</v>
      </c>
      <c r="BU36" s="43" t="str">
        <f>IFERROR(IF(INDEX(Estrutura_P01[#All],MATCH($C36,Estrutura_P01[[#All],[txtMAKT-MAKTX]],0),MATCH(BU$3,Estrutura_P01[#Headers],0))=0,"",INDEX(Estrutura_P01[#All],MATCH($C36,Estrutura_P01[[#All],[txtMAKT-MAKTX]],0),MATCH(BU$3,Estrutura_P01[#Headers],0))),"")</f>
        <v/>
      </c>
      <c r="BV36" s="45">
        <v>0</v>
      </c>
      <c r="BW36" s="45" t="s">
        <v>473</v>
      </c>
      <c r="BX36" s="45"/>
      <c r="BY36" s="44"/>
      <c r="BZ36" s="49" t="str">
        <f t="shared" si="9"/>
        <v>0011</v>
      </c>
      <c r="CA36" s="49" t="str">
        <f t="shared" si="10"/>
        <v>0011</v>
      </c>
      <c r="CB36" s="45">
        <v>75</v>
      </c>
      <c r="CC36" s="44">
        <v>1</v>
      </c>
      <c r="CD36" s="50" t="s">
        <v>490</v>
      </c>
      <c r="CE36" s="80">
        <v>2</v>
      </c>
      <c r="CF36" s="80">
        <v>7</v>
      </c>
      <c r="CG36" s="95" t="str">
        <f t="shared" si="11"/>
        <v>ZM</v>
      </c>
      <c r="CH36" s="95">
        <f t="shared" si="12"/>
        <v>2</v>
      </c>
      <c r="CI36" s="95">
        <f t="shared" si="13"/>
        <v>42</v>
      </c>
      <c r="CJ36" s="95">
        <f t="shared" si="14"/>
        <v>10</v>
      </c>
      <c r="CK36" s="43" t="str">
        <f t="shared" si="15"/>
        <v>K00_C_0581</v>
      </c>
      <c r="CL36" s="43" t="str">
        <f>IFERROR(IF(INDEX(Estrutura_P01[#All],MATCH($C36,Estrutura_P01[[#All],[txtMAKT-MAKTX]],0),MATCH(CL$3,Estrutura_P01[#Headers],0))=0,"",INDEX(Estrutura_P01[#All],MATCH($C36,Estrutura_P01[[#All],[txtMAKT-MAKTX]],0),MATCH(CL$3,Estrutura_P01[#Headers],0))),"")</f>
        <v/>
      </c>
      <c r="CM36" s="43" t="str">
        <f>IFERROR(IF(INDEX(Estrutura_P01[#All],MATCH($C36,Estrutura_P01[[#All],[txtMAKT-MAKTX]],0),MATCH(CM$3,Estrutura_P01[#Headers],0))=0,"",INDEX(Estrutura_P01[#All],MATCH($C36,Estrutura_P01[[#All],[txtMAKT-MAKTX]],0),MATCH(CM$3,Estrutura_P01[#Headers],0))),"")</f>
        <v/>
      </c>
      <c r="CN36" s="43" t="str">
        <f>IFERROR(IF(INDEX(Estrutura_P01[#All],MATCH($C36,Estrutura_P01[[#All],[txtMAKT-MAKTX]],0),MATCH(CN$3,Estrutura_P01[#Headers],0))=0,"",INDEX(Estrutura_P01[#All],MATCH($C36,Estrutura_P01[[#All],[txtMAKT-MAKTX]],0),MATCH(CN$3,Estrutura_P01[#Headers],0))),"")</f>
        <v/>
      </c>
      <c r="CO36" s="43" t="str">
        <f>IFERROR(IF(INDEX(Estrutura_P01[#All],MATCH($C36,Estrutura_P01[[#All],[txtMAKT-MAKTX]],0),MATCH(CO$3,Estrutura_P01[#Headers],0))=0,"",INDEX(Estrutura_P01[#All],MATCH($C36,Estrutura_P01[[#All],[txtMAKT-MAKTX]],0),MATCH(CO$3,Estrutura_P01[#Headers],0))),"")</f>
        <v/>
      </c>
      <c r="CP36" s="43" t="str">
        <f>IFERROR(IF(INDEX(Estrutura_P01[#All],MATCH($C36,Estrutura_P01[[#All],[txtMAKT-MAKTX]],0),MATCH(CP$3,Estrutura_P01[#Headers],0))=0,"",INDEX(Estrutura_P01[#All],MATCH($C36,Estrutura_P01[[#All],[txtMAKT-MAKTX]],0),MATCH(CP$3,Estrutura_P01[#Headers],0))),"")</f>
        <v/>
      </c>
      <c r="CQ36" s="43" t="str">
        <f>IFERROR(IF(INDEX(Estrutura_P01[#All],MATCH($C36,Estrutura_P01[[#All],[txtMAKT-MAKTX]],0),MATCH(CQ$3,Estrutura_P01[#Headers],0))=0,"",INDEX(Estrutura_P01[#All],MATCH($C36,Estrutura_P01[[#All],[txtMAKT-MAKTX]],0),MATCH(CQ$3,Estrutura_P01[#Headers],0))),"")</f>
        <v/>
      </c>
      <c r="CR36" s="43" t="str">
        <f>IFERROR(IF(INDEX(Estrutura_P01[#All],MATCH($C36,Estrutura_P01[[#All],[txtMAKT-MAKTX]],0),MATCH(CR$3,Estrutura_P01[#Headers],0))=0,"",INDEX(Estrutura_P01[#All],MATCH($C36,Estrutura_P01[[#All],[txtMAKT-MAKTX]],0),MATCH(CR$3,Estrutura_P01[#Headers],0))),"")</f>
        <v/>
      </c>
      <c r="CS36" s="43" t="str">
        <f>IFERROR(IF(INDEX(Estrutura_P01[#All],MATCH($C36,Estrutura_P01[[#All],[txtMAKT-MAKTX]],0),MATCH(CS$3,Estrutura_P01[#Headers],0))=0,"",INDEX(Estrutura_P01[#All],MATCH($C36,Estrutura_P01[[#All],[txtMAKT-MAKTX]],0),MATCH(CS$3,Estrutura_P01[#Headers],0))),"")</f>
        <v/>
      </c>
      <c r="CU36" s="43" t="str">
        <f t="shared" si="16"/>
        <v/>
      </c>
      <c r="CV36" s="55"/>
      <c r="CW36" s="43" t="str">
        <f t="shared" ca="1" si="17"/>
        <v/>
      </c>
      <c r="CX36" s="43" t="str">
        <f t="shared" si="18"/>
        <v/>
      </c>
      <c r="CZ36" s="44"/>
      <c r="DA36" s="44">
        <v>2</v>
      </c>
      <c r="DB36" s="44">
        <v>1</v>
      </c>
      <c r="DC36" s="44"/>
      <c r="DD36" s="90" t="str">
        <f t="shared" si="19"/>
        <v/>
      </c>
      <c r="DE36" s="43">
        <f t="shared" si="20"/>
        <v>0.01</v>
      </c>
      <c r="DF36" s="43" t="str">
        <f t="shared" si="21"/>
        <v>KG</v>
      </c>
      <c r="DG36" s="44">
        <v>1</v>
      </c>
      <c r="DH36" s="50" t="s">
        <v>223</v>
      </c>
      <c r="DI36" s="50" t="s">
        <v>902</v>
      </c>
      <c r="DJ36" s="43" t="str">
        <f>IFERROR(IF(INDEX(Estrutura_P01[#All],MATCH($C36,Estrutura_P01[[#All],[txtMAKT-MAKTX]],0),MATCH(DJ$3,Estrutura_P01[#Headers],0))=0,"",INDEX(Estrutura_P01[#All],MATCH($C36,Estrutura_P01[[#All],[txtMAKT-MAKTX]],0),MATCH(DJ$3,Estrutura_P01[#Headers],0))),"")</f>
        <v/>
      </c>
      <c r="DK36" s="44">
        <v>1000</v>
      </c>
      <c r="DL36" s="60">
        <v>0</v>
      </c>
      <c r="DM36" s="44"/>
      <c r="DN36" s="44">
        <v>1</v>
      </c>
      <c r="DO36" s="44">
        <v>0</v>
      </c>
      <c r="DP36" s="44" t="s">
        <v>862</v>
      </c>
      <c r="DQ36" s="45">
        <v>0</v>
      </c>
      <c r="DR36" s="44">
        <v>1000</v>
      </c>
      <c r="DS36" s="91" t="str">
        <f>IF(AQ36=68,1,IFERROR(VLOOKUP(CM36,'Listas de Dados'!BX:BY,2,0),""))</f>
        <v/>
      </c>
      <c r="DT36" s="90" t="str">
        <f t="shared" ca="1" si="22"/>
        <v/>
      </c>
      <c r="DU36" s="65"/>
    </row>
    <row r="37" spans="1:125" x14ac:dyDescent="0.2">
      <c r="A37" s="7" t="str">
        <f t="shared" si="0"/>
        <v>Execução 33</v>
      </c>
      <c r="B37" s="87"/>
      <c r="C37" s="42"/>
      <c r="D37" s="43" t="str">
        <f>IFERROR(IF(INDEX(Estrutura_P01[#All],MATCH($C37,Estrutura_P01[[#All],[txtMAKT-MAKTX]],0),MATCH(D$3,Estrutura_P01[#Headers],0))=0,"",INDEX(Estrutura_P01[#All],MATCH($C37,Estrutura_P01[[#All],[txtMAKT-MAKTX]],0),MATCH(D$3,Estrutura_P01[#Headers],0))),"")</f>
        <v/>
      </c>
      <c r="E37" s="44" t="s">
        <v>100</v>
      </c>
      <c r="F37" s="79" t="s">
        <v>4</v>
      </c>
      <c r="G37" s="79" t="s">
        <v>11</v>
      </c>
      <c r="H37" s="79" t="str">
        <f t="shared" si="1"/>
        <v>0581</v>
      </c>
      <c r="I37" s="79" t="s">
        <v>6</v>
      </c>
      <c r="J37" s="79"/>
      <c r="L37" s="45" t="s">
        <v>101</v>
      </c>
      <c r="M37" s="45" t="s">
        <v>102</v>
      </c>
      <c r="N37" s="45" t="s">
        <v>103</v>
      </c>
      <c r="O37" s="45"/>
      <c r="P37" s="45"/>
      <c r="Q37" s="45"/>
      <c r="R37" s="45"/>
      <c r="S37" s="45"/>
      <c r="T37" s="45" t="s">
        <v>109</v>
      </c>
      <c r="U37" s="45" t="s">
        <v>110</v>
      </c>
      <c r="V37" s="45" t="s">
        <v>111</v>
      </c>
      <c r="W37" s="45" t="s">
        <v>112</v>
      </c>
      <c r="X37" s="45" t="s">
        <v>113</v>
      </c>
      <c r="Y37" s="45" t="s">
        <v>114</v>
      </c>
      <c r="Z37" s="45" t="s">
        <v>115</v>
      </c>
      <c r="AA37" s="45"/>
      <c r="AB37" s="45" t="s">
        <v>118</v>
      </c>
      <c r="AC37" s="45" t="s">
        <v>119</v>
      </c>
      <c r="AD37" s="45"/>
      <c r="AE37" s="45"/>
      <c r="AF37" s="45" t="s">
        <v>122</v>
      </c>
      <c r="AG37" s="45" t="s">
        <v>123</v>
      </c>
      <c r="AH37" s="45" t="s">
        <v>124</v>
      </c>
      <c r="AI37" s="45" t="s">
        <v>125</v>
      </c>
      <c r="AJ37" s="45" t="s">
        <v>126</v>
      </c>
      <c r="AK37" s="45"/>
      <c r="AL37" s="45"/>
      <c r="AN37" s="44" t="s">
        <v>297</v>
      </c>
      <c r="AO37" s="43" t="str">
        <f>IFERROR(IF(INDEX(Estrutura_P01[#All],MATCH($C37,Estrutura_P01[[#All],[txtMAKT-MAKTX]],0),MATCH(AO$3,Estrutura_P01[#Headers],0))=0,"",INDEX(Estrutura_P01[#All],MATCH($C37,Estrutura_P01[[#All],[txtMAKT-MAKTX]],0),MATCH(AO$3,Estrutura_P01[#Headers],0))),"")</f>
        <v/>
      </c>
      <c r="AP37" s="45"/>
      <c r="AQ37" s="43" t="str">
        <f>IFERROR(IF(INDEX(Estrutura_P01[#All],MATCH($C37,Estrutura_P01[[#All],[txtMAKT-MAKTX]],0),MATCH(AQ$3,Estrutura_P01[#Headers],0))=0,"",INDEX(Estrutura_P01[#All],MATCH($C37,Estrutura_P01[[#All],[txtMAKT-MAKTX]],0),MATCH(AQ$3,Estrutura_P01[#Headers],0))),"")</f>
        <v/>
      </c>
      <c r="AR37" s="45"/>
      <c r="AS37" s="46" t="str">
        <f t="shared" ca="1" si="2"/>
        <v/>
      </c>
      <c r="AT37" s="47" t="s">
        <v>864</v>
      </c>
      <c r="AU37" s="44">
        <v>1</v>
      </c>
      <c r="AV37" s="43">
        <f t="shared" si="3"/>
        <v>1</v>
      </c>
      <c r="AW37" s="48" t="s">
        <v>297</v>
      </c>
      <c r="AX37" s="43" t="str">
        <f>IFERROR(IF(INDEX(Estrutura_P01[#All],MATCH($C37,Estrutura_P01[[#All],[txtMAKT-MAKTX]],0),MATCH(AX$3,Estrutura_P01[#Headers],0))=0,"",INDEX(Estrutura_P01[#All],MATCH($C37,Estrutura_P01[[#All],[txtMAKT-MAKTX]],0),MATCH(AX$3,Estrutura_P01[#Headers],0))),"")</f>
        <v/>
      </c>
      <c r="AY37" s="44"/>
      <c r="AZ37" s="99">
        <v>99</v>
      </c>
      <c r="BA37" s="95" t="str">
        <f t="shared" ca="1" si="4"/>
        <v>17.05.2022</v>
      </c>
      <c r="BB37" s="50"/>
      <c r="BC37" s="50">
        <v>1</v>
      </c>
      <c r="BD37" s="50" t="s">
        <v>192</v>
      </c>
      <c r="BE37" s="95" t="str">
        <f t="shared" si="5"/>
        <v>01</v>
      </c>
      <c r="BF37" s="95" t="str">
        <f t="shared" si="6"/>
        <v>NORM</v>
      </c>
      <c r="BG37" s="44">
        <v>1</v>
      </c>
      <c r="BH37" s="44">
        <v>1</v>
      </c>
      <c r="BI37" s="44">
        <v>1</v>
      </c>
      <c r="BJ37" s="95" t="str">
        <f t="shared" si="7"/>
        <v>ZM</v>
      </c>
      <c r="BK37" s="50" t="s">
        <v>195</v>
      </c>
      <c r="BL37" s="50" t="s">
        <v>195</v>
      </c>
      <c r="BM37" s="43" t="str">
        <f>IFERROR(IF(INDEX(Estrutura_P01[#All],MATCH($C37,Estrutura_P01[[#All],[txtMAKT-MAKTX]],0),MATCH(BM$3,Estrutura_P01[#Headers],0))=0,"",INDEX(Estrutura_P01[#All],MATCH($C37,Estrutura_P01[[#All],[txtMAKT-MAKTX]],0),MATCH(BM$3,Estrutura_P01[#Headers],0))),"")</f>
        <v/>
      </c>
      <c r="BN37" s="44"/>
      <c r="BO37" s="50">
        <v>0</v>
      </c>
      <c r="BP37" s="45" t="s">
        <v>374</v>
      </c>
      <c r="BQ37" s="43" t="str">
        <f>IFERROR(IF(INDEX(Estrutura_P01[#All],MATCH($C37,Estrutura_P01[[#All],[txtMAKT-MAKTX]],0),MATCH(BQ$3,Estrutura_P01[#Headers],0))=0,"",INDEX(Estrutura_P01[#All],MATCH($C37,Estrutura_P01[[#All],[txtMAKT-MAKTX]],0),MATCH(BQ$3,Estrutura_P01[#Headers],0))),"")</f>
        <v/>
      </c>
      <c r="BR37" s="43" t="str">
        <f t="shared" si="8"/>
        <v>581</v>
      </c>
      <c r="BS37" s="45" t="s">
        <v>40</v>
      </c>
      <c r="BT37" s="98">
        <v>25000</v>
      </c>
      <c r="BU37" s="43" t="str">
        <f>IFERROR(IF(INDEX(Estrutura_P01[#All],MATCH($C37,Estrutura_P01[[#All],[txtMAKT-MAKTX]],0),MATCH(BU$3,Estrutura_P01[#Headers],0))=0,"",INDEX(Estrutura_P01[#All],MATCH($C37,Estrutura_P01[[#All],[txtMAKT-MAKTX]],0),MATCH(BU$3,Estrutura_P01[#Headers],0))),"")</f>
        <v/>
      </c>
      <c r="BV37" s="45">
        <v>0</v>
      </c>
      <c r="BW37" s="45" t="s">
        <v>473</v>
      </c>
      <c r="BX37" s="45"/>
      <c r="BY37" s="44"/>
      <c r="BZ37" s="49" t="str">
        <f t="shared" si="9"/>
        <v>0011</v>
      </c>
      <c r="CA37" s="49" t="str">
        <f t="shared" si="10"/>
        <v>0011</v>
      </c>
      <c r="CB37" s="45">
        <v>75</v>
      </c>
      <c r="CC37" s="44">
        <v>1</v>
      </c>
      <c r="CD37" s="50" t="s">
        <v>490</v>
      </c>
      <c r="CE37" s="80">
        <v>2</v>
      </c>
      <c r="CF37" s="80">
        <v>7</v>
      </c>
      <c r="CG37" s="95" t="str">
        <f t="shared" si="11"/>
        <v>ZM</v>
      </c>
      <c r="CH37" s="95">
        <f t="shared" si="12"/>
        <v>2</v>
      </c>
      <c r="CI37" s="95">
        <f t="shared" si="13"/>
        <v>42</v>
      </c>
      <c r="CJ37" s="95">
        <f t="shared" si="14"/>
        <v>10</v>
      </c>
      <c r="CK37" s="43" t="str">
        <f t="shared" si="15"/>
        <v>K00_C_0581</v>
      </c>
      <c r="CL37" s="43" t="str">
        <f>IFERROR(IF(INDEX(Estrutura_P01[#All],MATCH($C37,Estrutura_P01[[#All],[txtMAKT-MAKTX]],0),MATCH(CL$3,Estrutura_P01[#Headers],0))=0,"",INDEX(Estrutura_P01[#All],MATCH($C37,Estrutura_P01[[#All],[txtMAKT-MAKTX]],0),MATCH(CL$3,Estrutura_P01[#Headers],0))),"")</f>
        <v/>
      </c>
      <c r="CM37" s="43" t="str">
        <f>IFERROR(IF(INDEX(Estrutura_P01[#All],MATCH($C37,Estrutura_P01[[#All],[txtMAKT-MAKTX]],0),MATCH(CM$3,Estrutura_P01[#Headers],0))=0,"",INDEX(Estrutura_P01[#All],MATCH($C37,Estrutura_P01[[#All],[txtMAKT-MAKTX]],0),MATCH(CM$3,Estrutura_P01[#Headers],0))),"")</f>
        <v/>
      </c>
      <c r="CN37" s="43" t="str">
        <f>IFERROR(IF(INDEX(Estrutura_P01[#All],MATCH($C37,Estrutura_P01[[#All],[txtMAKT-MAKTX]],0),MATCH(CN$3,Estrutura_P01[#Headers],0))=0,"",INDEX(Estrutura_P01[#All],MATCH($C37,Estrutura_P01[[#All],[txtMAKT-MAKTX]],0),MATCH(CN$3,Estrutura_P01[#Headers],0))),"")</f>
        <v/>
      </c>
      <c r="CO37" s="43" t="str">
        <f>IFERROR(IF(INDEX(Estrutura_P01[#All],MATCH($C37,Estrutura_P01[[#All],[txtMAKT-MAKTX]],0),MATCH(CO$3,Estrutura_P01[#Headers],0))=0,"",INDEX(Estrutura_P01[#All],MATCH($C37,Estrutura_P01[[#All],[txtMAKT-MAKTX]],0),MATCH(CO$3,Estrutura_P01[#Headers],0))),"")</f>
        <v/>
      </c>
      <c r="CP37" s="43" t="str">
        <f>IFERROR(IF(INDEX(Estrutura_P01[#All],MATCH($C37,Estrutura_P01[[#All],[txtMAKT-MAKTX]],0),MATCH(CP$3,Estrutura_P01[#Headers],0))=0,"",INDEX(Estrutura_P01[#All],MATCH($C37,Estrutura_P01[[#All],[txtMAKT-MAKTX]],0),MATCH(CP$3,Estrutura_P01[#Headers],0))),"")</f>
        <v/>
      </c>
      <c r="CQ37" s="43" t="str">
        <f>IFERROR(IF(INDEX(Estrutura_P01[#All],MATCH($C37,Estrutura_P01[[#All],[txtMAKT-MAKTX]],0),MATCH(CQ$3,Estrutura_P01[#Headers],0))=0,"",INDEX(Estrutura_P01[#All],MATCH($C37,Estrutura_P01[[#All],[txtMAKT-MAKTX]],0),MATCH(CQ$3,Estrutura_P01[#Headers],0))),"")</f>
        <v/>
      </c>
      <c r="CR37" s="43" t="str">
        <f>IFERROR(IF(INDEX(Estrutura_P01[#All],MATCH($C37,Estrutura_P01[[#All],[txtMAKT-MAKTX]],0),MATCH(CR$3,Estrutura_P01[#Headers],0))=0,"",INDEX(Estrutura_P01[#All],MATCH($C37,Estrutura_P01[[#All],[txtMAKT-MAKTX]],0),MATCH(CR$3,Estrutura_P01[#Headers],0))),"")</f>
        <v/>
      </c>
      <c r="CS37" s="43" t="str">
        <f>IFERROR(IF(INDEX(Estrutura_P01[#All],MATCH($C37,Estrutura_P01[[#All],[txtMAKT-MAKTX]],0),MATCH(CS$3,Estrutura_P01[#Headers],0))=0,"",INDEX(Estrutura_P01[#All],MATCH($C37,Estrutura_P01[[#All],[txtMAKT-MAKTX]],0),MATCH(CS$3,Estrutura_P01[#Headers],0))),"")</f>
        <v/>
      </c>
      <c r="CU37" s="43" t="str">
        <f t="shared" si="16"/>
        <v/>
      </c>
      <c r="CV37" s="55"/>
      <c r="CW37" s="43" t="str">
        <f t="shared" ca="1" si="17"/>
        <v/>
      </c>
      <c r="CX37" s="43" t="str">
        <f t="shared" si="18"/>
        <v/>
      </c>
      <c r="CZ37" s="44"/>
      <c r="DA37" s="44">
        <v>2</v>
      </c>
      <c r="DB37" s="44">
        <v>1</v>
      </c>
      <c r="DC37" s="44"/>
      <c r="DD37" s="90" t="str">
        <f t="shared" si="19"/>
        <v/>
      </c>
      <c r="DE37" s="43">
        <f t="shared" si="20"/>
        <v>0.01</v>
      </c>
      <c r="DF37" s="43" t="str">
        <f t="shared" si="21"/>
        <v>KG</v>
      </c>
      <c r="DG37" s="44">
        <v>1</v>
      </c>
      <c r="DH37" s="50" t="s">
        <v>223</v>
      </c>
      <c r="DI37" s="50" t="s">
        <v>902</v>
      </c>
      <c r="DJ37" s="43" t="str">
        <f>IFERROR(IF(INDEX(Estrutura_P01[#All],MATCH($C37,Estrutura_P01[[#All],[txtMAKT-MAKTX]],0),MATCH(DJ$3,Estrutura_P01[#Headers],0))=0,"",INDEX(Estrutura_P01[#All],MATCH($C37,Estrutura_P01[[#All],[txtMAKT-MAKTX]],0),MATCH(DJ$3,Estrutura_P01[#Headers],0))),"")</f>
        <v/>
      </c>
      <c r="DK37" s="44">
        <v>1000</v>
      </c>
      <c r="DL37" s="60">
        <v>0</v>
      </c>
      <c r="DM37" s="44"/>
      <c r="DN37" s="44">
        <v>1</v>
      </c>
      <c r="DO37" s="44">
        <v>0</v>
      </c>
      <c r="DP37" s="44" t="s">
        <v>862</v>
      </c>
      <c r="DQ37" s="45">
        <v>0</v>
      </c>
      <c r="DR37" s="44">
        <v>1000</v>
      </c>
      <c r="DS37" s="91" t="str">
        <f>IF(AQ37=68,1,IFERROR(VLOOKUP(CM37,'Listas de Dados'!BX:BY,2,0),""))</f>
        <v/>
      </c>
      <c r="DT37" s="90" t="str">
        <f t="shared" ca="1" si="22"/>
        <v/>
      </c>
      <c r="DU37" s="65"/>
    </row>
    <row r="38" spans="1:125" x14ac:dyDescent="0.2">
      <c r="A38" s="7" t="str">
        <f t="shared" si="0"/>
        <v>Execução 34</v>
      </c>
      <c r="B38" s="87"/>
      <c r="C38" s="42"/>
      <c r="D38" s="43" t="str">
        <f>IFERROR(IF(INDEX(Estrutura_P01[#All],MATCH($C38,Estrutura_P01[[#All],[txtMAKT-MAKTX]],0),MATCH(D$3,Estrutura_P01[#Headers],0))=0,"",INDEX(Estrutura_P01[#All],MATCH($C38,Estrutura_P01[[#All],[txtMAKT-MAKTX]],0),MATCH(D$3,Estrutura_P01[#Headers],0))),"")</f>
        <v/>
      </c>
      <c r="E38" s="44" t="s">
        <v>100</v>
      </c>
      <c r="F38" s="79" t="s">
        <v>4</v>
      </c>
      <c r="G38" s="79" t="s">
        <v>11</v>
      </c>
      <c r="H38" s="79" t="str">
        <f t="shared" si="1"/>
        <v>0581</v>
      </c>
      <c r="I38" s="79" t="s">
        <v>6</v>
      </c>
      <c r="J38" s="79"/>
      <c r="L38" s="45" t="s">
        <v>101</v>
      </c>
      <c r="M38" s="45" t="s">
        <v>102</v>
      </c>
      <c r="N38" s="45" t="s">
        <v>103</v>
      </c>
      <c r="O38" s="45"/>
      <c r="P38" s="45"/>
      <c r="Q38" s="45"/>
      <c r="R38" s="45"/>
      <c r="S38" s="45"/>
      <c r="T38" s="45" t="s">
        <v>109</v>
      </c>
      <c r="U38" s="45" t="s">
        <v>110</v>
      </c>
      <c r="V38" s="45" t="s">
        <v>111</v>
      </c>
      <c r="W38" s="45" t="s">
        <v>112</v>
      </c>
      <c r="X38" s="45" t="s">
        <v>113</v>
      </c>
      <c r="Y38" s="45" t="s">
        <v>114</v>
      </c>
      <c r="Z38" s="45" t="s">
        <v>115</v>
      </c>
      <c r="AA38" s="45"/>
      <c r="AB38" s="45" t="s">
        <v>118</v>
      </c>
      <c r="AC38" s="45" t="s">
        <v>119</v>
      </c>
      <c r="AD38" s="45"/>
      <c r="AE38" s="45"/>
      <c r="AF38" s="45" t="s">
        <v>122</v>
      </c>
      <c r="AG38" s="45" t="s">
        <v>123</v>
      </c>
      <c r="AH38" s="45" t="s">
        <v>124</v>
      </c>
      <c r="AI38" s="45" t="s">
        <v>125</v>
      </c>
      <c r="AJ38" s="45" t="s">
        <v>126</v>
      </c>
      <c r="AK38" s="45"/>
      <c r="AL38" s="45"/>
      <c r="AN38" s="44" t="s">
        <v>297</v>
      </c>
      <c r="AO38" s="43" t="str">
        <f>IFERROR(IF(INDEX(Estrutura_P01[#All],MATCH($C38,Estrutura_P01[[#All],[txtMAKT-MAKTX]],0),MATCH(AO$3,Estrutura_P01[#Headers],0))=0,"",INDEX(Estrutura_P01[#All],MATCH($C38,Estrutura_P01[[#All],[txtMAKT-MAKTX]],0),MATCH(AO$3,Estrutura_P01[#Headers],0))),"")</f>
        <v/>
      </c>
      <c r="AP38" s="45"/>
      <c r="AQ38" s="43" t="str">
        <f>IFERROR(IF(INDEX(Estrutura_P01[#All],MATCH($C38,Estrutura_P01[[#All],[txtMAKT-MAKTX]],0),MATCH(AQ$3,Estrutura_P01[#Headers],0))=0,"",INDEX(Estrutura_P01[#All],MATCH($C38,Estrutura_P01[[#All],[txtMAKT-MAKTX]],0),MATCH(AQ$3,Estrutura_P01[#Headers],0))),"")</f>
        <v/>
      </c>
      <c r="AR38" s="45"/>
      <c r="AS38" s="46" t="str">
        <f t="shared" ca="1" si="2"/>
        <v/>
      </c>
      <c r="AT38" s="47" t="s">
        <v>864</v>
      </c>
      <c r="AU38" s="44">
        <v>1</v>
      </c>
      <c r="AV38" s="43">
        <f t="shared" si="3"/>
        <v>1</v>
      </c>
      <c r="AW38" s="48" t="s">
        <v>297</v>
      </c>
      <c r="AX38" s="43" t="str">
        <f>IFERROR(IF(INDEX(Estrutura_P01[#All],MATCH($C38,Estrutura_P01[[#All],[txtMAKT-MAKTX]],0),MATCH(AX$3,Estrutura_P01[#Headers],0))=0,"",INDEX(Estrutura_P01[#All],MATCH($C38,Estrutura_P01[[#All],[txtMAKT-MAKTX]],0),MATCH(AX$3,Estrutura_P01[#Headers],0))),"")</f>
        <v/>
      </c>
      <c r="AY38" s="44"/>
      <c r="AZ38" s="99">
        <v>99</v>
      </c>
      <c r="BA38" s="95" t="str">
        <f t="shared" ca="1" si="4"/>
        <v>17.05.2022</v>
      </c>
      <c r="BB38" s="50"/>
      <c r="BC38" s="50">
        <v>1</v>
      </c>
      <c r="BD38" s="50" t="s">
        <v>192</v>
      </c>
      <c r="BE38" s="95" t="str">
        <f t="shared" si="5"/>
        <v>01</v>
      </c>
      <c r="BF38" s="95" t="str">
        <f t="shared" si="6"/>
        <v>NORM</v>
      </c>
      <c r="BG38" s="44">
        <v>1</v>
      </c>
      <c r="BH38" s="44">
        <v>1</v>
      </c>
      <c r="BI38" s="44">
        <v>1</v>
      </c>
      <c r="BJ38" s="95" t="str">
        <f t="shared" si="7"/>
        <v>ZM</v>
      </c>
      <c r="BK38" s="50" t="s">
        <v>195</v>
      </c>
      <c r="BL38" s="50" t="s">
        <v>195</v>
      </c>
      <c r="BM38" s="43" t="str">
        <f>IFERROR(IF(INDEX(Estrutura_P01[#All],MATCH($C38,Estrutura_P01[[#All],[txtMAKT-MAKTX]],0),MATCH(BM$3,Estrutura_P01[#Headers],0))=0,"",INDEX(Estrutura_P01[#All],MATCH($C38,Estrutura_P01[[#All],[txtMAKT-MAKTX]],0),MATCH(BM$3,Estrutura_P01[#Headers],0))),"")</f>
        <v/>
      </c>
      <c r="BN38" s="44"/>
      <c r="BO38" s="50">
        <v>0</v>
      </c>
      <c r="BP38" s="45" t="s">
        <v>374</v>
      </c>
      <c r="BQ38" s="43" t="str">
        <f>IFERROR(IF(INDEX(Estrutura_P01[#All],MATCH($C38,Estrutura_P01[[#All],[txtMAKT-MAKTX]],0),MATCH(BQ$3,Estrutura_P01[#Headers],0))=0,"",INDEX(Estrutura_P01[#All],MATCH($C38,Estrutura_P01[[#All],[txtMAKT-MAKTX]],0),MATCH(BQ$3,Estrutura_P01[#Headers],0))),"")</f>
        <v/>
      </c>
      <c r="BR38" s="43" t="str">
        <f t="shared" si="8"/>
        <v>581</v>
      </c>
      <c r="BS38" s="45" t="s">
        <v>40</v>
      </c>
      <c r="BT38" s="98">
        <v>25000</v>
      </c>
      <c r="BU38" s="43" t="str">
        <f>IFERROR(IF(INDEX(Estrutura_P01[#All],MATCH($C38,Estrutura_P01[[#All],[txtMAKT-MAKTX]],0),MATCH(BU$3,Estrutura_P01[#Headers],0))=0,"",INDEX(Estrutura_P01[#All],MATCH($C38,Estrutura_P01[[#All],[txtMAKT-MAKTX]],0),MATCH(BU$3,Estrutura_P01[#Headers],0))),"")</f>
        <v/>
      </c>
      <c r="BV38" s="45">
        <v>0</v>
      </c>
      <c r="BW38" s="45" t="s">
        <v>473</v>
      </c>
      <c r="BX38" s="45"/>
      <c r="BY38" s="44"/>
      <c r="BZ38" s="49" t="str">
        <f t="shared" si="9"/>
        <v>0011</v>
      </c>
      <c r="CA38" s="49" t="str">
        <f t="shared" si="10"/>
        <v>0011</v>
      </c>
      <c r="CB38" s="45">
        <v>75</v>
      </c>
      <c r="CC38" s="44">
        <v>1</v>
      </c>
      <c r="CD38" s="50" t="s">
        <v>490</v>
      </c>
      <c r="CE38" s="80">
        <v>2</v>
      </c>
      <c r="CF38" s="80">
        <v>7</v>
      </c>
      <c r="CG38" s="95" t="str">
        <f t="shared" si="11"/>
        <v>ZM</v>
      </c>
      <c r="CH38" s="95">
        <f t="shared" si="12"/>
        <v>2</v>
      </c>
      <c r="CI38" s="95">
        <f t="shared" si="13"/>
        <v>42</v>
      </c>
      <c r="CJ38" s="95">
        <f t="shared" si="14"/>
        <v>10</v>
      </c>
      <c r="CK38" s="43" t="str">
        <f t="shared" si="15"/>
        <v>K00_C_0581</v>
      </c>
      <c r="CL38" s="43" t="str">
        <f>IFERROR(IF(INDEX(Estrutura_P01[#All],MATCH($C38,Estrutura_P01[[#All],[txtMAKT-MAKTX]],0),MATCH(CL$3,Estrutura_P01[#Headers],0))=0,"",INDEX(Estrutura_P01[#All],MATCH($C38,Estrutura_P01[[#All],[txtMAKT-MAKTX]],0),MATCH(CL$3,Estrutura_P01[#Headers],0))),"")</f>
        <v/>
      </c>
      <c r="CM38" s="43" t="str">
        <f>IFERROR(IF(INDEX(Estrutura_P01[#All],MATCH($C38,Estrutura_P01[[#All],[txtMAKT-MAKTX]],0),MATCH(CM$3,Estrutura_P01[#Headers],0))=0,"",INDEX(Estrutura_P01[#All],MATCH($C38,Estrutura_P01[[#All],[txtMAKT-MAKTX]],0),MATCH(CM$3,Estrutura_P01[#Headers],0))),"")</f>
        <v/>
      </c>
      <c r="CN38" s="43" t="str">
        <f>IFERROR(IF(INDEX(Estrutura_P01[#All],MATCH($C38,Estrutura_P01[[#All],[txtMAKT-MAKTX]],0),MATCH(CN$3,Estrutura_P01[#Headers],0))=0,"",INDEX(Estrutura_P01[#All],MATCH($C38,Estrutura_P01[[#All],[txtMAKT-MAKTX]],0),MATCH(CN$3,Estrutura_P01[#Headers],0))),"")</f>
        <v/>
      </c>
      <c r="CO38" s="43" t="str">
        <f>IFERROR(IF(INDEX(Estrutura_P01[#All],MATCH($C38,Estrutura_P01[[#All],[txtMAKT-MAKTX]],0),MATCH(CO$3,Estrutura_P01[#Headers],0))=0,"",INDEX(Estrutura_P01[#All],MATCH($C38,Estrutura_P01[[#All],[txtMAKT-MAKTX]],0),MATCH(CO$3,Estrutura_P01[#Headers],0))),"")</f>
        <v/>
      </c>
      <c r="CP38" s="43" t="str">
        <f>IFERROR(IF(INDEX(Estrutura_P01[#All],MATCH($C38,Estrutura_P01[[#All],[txtMAKT-MAKTX]],0),MATCH(CP$3,Estrutura_P01[#Headers],0))=0,"",INDEX(Estrutura_P01[#All],MATCH($C38,Estrutura_P01[[#All],[txtMAKT-MAKTX]],0),MATCH(CP$3,Estrutura_P01[#Headers],0))),"")</f>
        <v/>
      </c>
      <c r="CQ38" s="43" t="str">
        <f>IFERROR(IF(INDEX(Estrutura_P01[#All],MATCH($C38,Estrutura_P01[[#All],[txtMAKT-MAKTX]],0),MATCH(CQ$3,Estrutura_P01[#Headers],0))=0,"",INDEX(Estrutura_P01[#All],MATCH($C38,Estrutura_P01[[#All],[txtMAKT-MAKTX]],0),MATCH(CQ$3,Estrutura_P01[#Headers],0))),"")</f>
        <v/>
      </c>
      <c r="CR38" s="43" t="str">
        <f>IFERROR(IF(INDEX(Estrutura_P01[#All],MATCH($C38,Estrutura_P01[[#All],[txtMAKT-MAKTX]],0),MATCH(CR$3,Estrutura_P01[#Headers],0))=0,"",INDEX(Estrutura_P01[#All],MATCH($C38,Estrutura_P01[[#All],[txtMAKT-MAKTX]],0),MATCH(CR$3,Estrutura_P01[#Headers],0))),"")</f>
        <v/>
      </c>
      <c r="CS38" s="43" t="str">
        <f>IFERROR(IF(INDEX(Estrutura_P01[#All],MATCH($C38,Estrutura_P01[[#All],[txtMAKT-MAKTX]],0),MATCH(CS$3,Estrutura_P01[#Headers],0))=0,"",INDEX(Estrutura_P01[#All],MATCH($C38,Estrutura_P01[[#All],[txtMAKT-MAKTX]],0),MATCH(CS$3,Estrutura_P01[#Headers],0))),"")</f>
        <v/>
      </c>
      <c r="CU38" s="43" t="str">
        <f t="shared" si="16"/>
        <v/>
      </c>
      <c r="CV38" s="55"/>
      <c r="CW38" s="43" t="str">
        <f t="shared" ca="1" si="17"/>
        <v/>
      </c>
      <c r="CX38" s="43" t="str">
        <f t="shared" si="18"/>
        <v/>
      </c>
      <c r="CZ38" s="44"/>
      <c r="DA38" s="44">
        <v>2</v>
      </c>
      <c r="DB38" s="44">
        <v>1</v>
      </c>
      <c r="DC38" s="44"/>
      <c r="DD38" s="90" t="str">
        <f t="shared" si="19"/>
        <v/>
      </c>
      <c r="DE38" s="43">
        <f t="shared" si="20"/>
        <v>0.01</v>
      </c>
      <c r="DF38" s="43" t="str">
        <f t="shared" si="21"/>
        <v>KG</v>
      </c>
      <c r="DG38" s="44">
        <v>1</v>
      </c>
      <c r="DH38" s="50" t="s">
        <v>223</v>
      </c>
      <c r="DI38" s="50" t="s">
        <v>902</v>
      </c>
      <c r="DJ38" s="43" t="str">
        <f>IFERROR(IF(INDEX(Estrutura_P01[#All],MATCH($C38,Estrutura_P01[[#All],[txtMAKT-MAKTX]],0),MATCH(DJ$3,Estrutura_P01[#Headers],0))=0,"",INDEX(Estrutura_P01[#All],MATCH($C38,Estrutura_P01[[#All],[txtMAKT-MAKTX]],0),MATCH(DJ$3,Estrutura_P01[#Headers],0))),"")</f>
        <v/>
      </c>
      <c r="DK38" s="44">
        <v>1000</v>
      </c>
      <c r="DL38" s="60">
        <v>0</v>
      </c>
      <c r="DM38" s="44"/>
      <c r="DN38" s="44">
        <v>1</v>
      </c>
      <c r="DO38" s="44">
        <v>0</v>
      </c>
      <c r="DP38" s="44" t="s">
        <v>862</v>
      </c>
      <c r="DQ38" s="45">
        <v>0</v>
      </c>
      <c r="DR38" s="44">
        <v>1000</v>
      </c>
      <c r="DS38" s="91" t="str">
        <f>IF(AQ38=68,1,IFERROR(VLOOKUP(CM38,'Listas de Dados'!BX:BY,2,0),""))</f>
        <v/>
      </c>
      <c r="DT38" s="90" t="str">
        <f t="shared" ca="1" si="22"/>
        <v/>
      </c>
      <c r="DU38" s="65"/>
    </row>
    <row r="39" spans="1:125" x14ac:dyDescent="0.2">
      <c r="A39" s="7" t="str">
        <f t="shared" si="0"/>
        <v>Execução 35</v>
      </c>
      <c r="B39" s="87"/>
      <c r="C39" s="42"/>
      <c r="D39" s="43" t="str">
        <f>IFERROR(IF(INDEX(Estrutura_P01[#All],MATCH($C39,Estrutura_P01[[#All],[txtMAKT-MAKTX]],0),MATCH(D$3,Estrutura_P01[#Headers],0))=0,"",INDEX(Estrutura_P01[#All],MATCH($C39,Estrutura_P01[[#All],[txtMAKT-MAKTX]],0),MATCH(D$3,Estrutura_P01[#Headers],0))),"")</f>
        <v/>
      </c>
      <c r="E39" s="44" t="s">
        <v>100</v>
      </c>
      <c r="F39" s="79" t="s">
        <v>4</v>
      </c>
      <c r="G39" s="79" t="s">
        <v>11</v>
      </c>
      <c r="H39" s="79" t="str">
        <f t="shared" si="1"/>
        <v>0581</v>
      </c>
      <c r="I39" s="79" t="s">
        <v>6</v>
      </c>
      <c r="J39" s="79"/>
      <c r="L39" s="45" t="s">
        <v>101</v>
      </c>
      <c r="M39" s="45" t="s">
        <v>102</v>
      </c>
      <c r="N39" s="45" t="s">
        <v>103</v>
      </c>
      <c r="O39" s="45"/>
      <c r="P39" s="45"/>
      <c r="Q39" s="45"/>
      <c r="R39" s="45"/>
      <c r="S39" s="45"/>
      <c r="T39" s="45" t="s">
        <v>109</v>
      </c>
      <c r="U39" s="45" t="s">
        <v>110</v>
      </c>
      <c r="V39" s="45" t="s">
        <v>111</v>
      </c>
      <c r="W39" s="45" t="s">
        <v>112</v>
      </c>
      <c r="X39" s="45" t="s">
        <v>113</v>
      </c>
      <c r="Y39" s="45" t="s">
        <v>114</v>
      </c>
      <c r="Z39" s="45" t="s">
        <v>115</v>
      </c>
      <c r="AA39" s="45"/>
      <c r="AB39" s="45" t="s">
        <v>118</v>
      </c>
      <c r="AC39" s="45" t="s">
        <v>119</v>
      </c>
      <c r="AD39" s="45"/>
      <c r="AE39" s="45"/>
      <c r="AF39" s="45" t="s">
        <v>122</v>
      </c>
      <c r="AG39" s="45" t="s">
        <v>123</v>
      </c>
      <c r="AH39" s="45" t="s">
        <v>124</v>
      </c>
      <c r="AI39" s="45" t="s">
        <v>125</v>
      </c>
      <c r="AJ39" s="45" t="s">
        <v>126</v>
      </c>
      <c r="AK39" s="45"/>
      <c r="AL39" s="45"/>
      <c r="AN39" s="44" t="s">
        <v>297</v>
      </c>
      <c r="AO39" s="43" t="str">
        <f>IFERROR(IF(INDEX(Estrutura_P01[#All],MATCH($C39,Estrutura_P01[[#All],[txtMAKT-MAKTX]],0),MATCH(AO$3,Estrutura_P01[#Headers],0))=0,"",INDEX(Estrutura_P01[#All],MATCH($C39,Estrutura_P01[[#All],[txtMAKT-MAKTX]],0),MATCH(AO$3,Estrutura_P01[#Headers],0))),"")</f>
        <v/>
      </c>
      <c r="AP39" s="45"/>
      <c r="AQ39" s="43" t="str">
        <f>IFERROR(IF(INDEX(Estrutura_P01[#All],MATCH($C39,Estrutura_P01[[#All],[txtMAKT-MAKTX]],0),MATCH(AQ$3,Estrutura_P01[#Headers],0))=0,"",INDEX(Estrutura_P01[#All],MATCH($C39,Estrutura_P01[[#All],[txtMAKT-MAKTX]],0),MATCH(AQ$3,Estrutura_P01[#Headers],0))),"")</f>
        <v/>
      </c>
      <c r="AR39" s="45"/>
      <c r="AS39" s="46" t="str">
        <f t="shared" ca="1" si="2"/>
        <v/>
      </c>
      <c r="AT39" s="47" t="s">
        <v>864</v>
      </c>
      <c r="AU39" s="44">
        <v>1</v>
      </c>
      <c r="AV39" s="43">
        <f t="shared" si="3"/>
        <v>1</v>
      </c>
      <c r="AW39" s="48" t="s">
        <v>297</v>
      </c>
      <c r="AX39" s="43" t="str">
        <f>IFERROR(IF(INDEX(Estrutura_P01[#All],MATCH($C39,Estrutura_P01[[#All],[txtMAKT-MAKTX]],0),MATCH(AX$3,Estrutura_P01[#Headers],0))=0,"",INDEX(Estrutura_P01[#All],MATCH($C39,Estrutura_P01[[#All],[txtMAKT-MAKTX]],0),MATCH(AX$3,Estrutura_P01[#Headers],0))),"")</f>
        <v/>
      </c>
      <c r="AY39" s="44"/>
      <c r="AZ39" s="99">
        <v>99</v>
      </c>
      <c r="BA39" s="95" t="str">
        <f t="shared" ca="1" si="4"/>
        <v>17.05.2022</v>
      </c>
      <c r="BB39" s="50"/>
      <c r="BC39" s="50">
        <v>1</v>
      </c>
      <c r="BD39" s="50" t="s">
        <v>192</v>
      </c>
      <c r="BE39" s="95" t="str">
        <f t="shared" si="5"/>
        <v>01</v>
      </c>
      <c r="BF39" s="95" t="str">
        <f t="shared" si="6"/>
        <v>NORM</v>
      </c>
      <c r="BG39" s="44">
        <v>1</v>
      </c>
      <c r="BH39" s="44">
        <v>1</v>
      </c>
      <c r="BI39" s="44">
        <v>1</v>
      </c>
      <c r="BJ39" s="95" t="str">
        <f t="shared" si="7"/>
        <v>ZM</v>
      </c>
      <c r="BK39" s="50" t="s">
        <v>195</v>
      </c>
      <c r="BL39" s="50" t="s">
        <v>195</v>
      </c>
      <c r="BM39" s="43" t="str">
        <f>IFERROR(IF(INDEX(Estrutura_P01[#All],MATCH($C39,Estrutura_P01[[#All],[txtMAKT-MAKTX]],0),MATCH(BM$3,Estrutura_P01[#Headers],0))=0,"",INDEX(Estrutura_P01[#All],MATCH($C39,Estrutura_P01[[#All],[txtMAKT-MAKTX]],0),MATCH(BM$3,Estrutura_P01[#Headers],0))),"")</f>
        <v/>
      </c>
      <c r="BN39" s="44"/>
      <c r="BO39" s="50">
        <v>0</v>
      </c>
      <c r="BP39" s="45" t="s">
        <v>374</v>
      </c>
      <c r="BQ39" s="43" t="str">
        <f>IFERROR(IF(INDEX(Estrutura_P01[#All],MATCH($C39,Estrutura_P01[[#All],[txtMAKT-MAKTX]],0),MATCH(BQ$3,Estrutura_P01[#Headers],0))=0,"",INDEX(Estrutura_P01[#All],MATCH($C39,Estrutura_P01[[#All],[txtMAKT-MAKTX]],0),MATCH(BQ$3,Estrutura_P01[#Headers],0))),"")</f>
        <v/>
      </c>
      <c r="BR39" s="43" t="str">
        <f t="shared" si="8"/>
        <v>581</v>
      </c>
      <c r="BS39" s="45" t="s">
        <v>40</v>
      </c>
      <c r="BT39" s="98">
        <v>25000</v>
      </c>
      <c r="BU39" s="43" t="str">
        <f>IFERROR(IF(INDEX(Estrutura_P01[#All],MATCH($C39,Estrutura_P01[[#All],[txtMAKT-MAKTX]],0),MATCH(BU$3,Estrutura_P01[#Headers],0))=0,"",INDEX(Estrutura_P01[#All],MATCH($C39,Estrutura_P01[[#All],[txtMAKT-MAKTX]],0),MATCH(BU$3,Estrutura_P01[#Headers],0))),"")</f>
        <v/>
      </c>
      <c r="BV39" s="45">
        <v>0</v>
      </c>
      <c r="BW39" s="45" t="s">
        <v>473</v>
      </c>
      <c r="BX39" s="45"/>
      <c r="BY39" s="44"/>
      <c r="BZ39" s="49" t="str">
        <f t="shared" si="9"/>
        <v>0011</v>
      </c>
      <c r="CA39" s="49" t="str">
        <f t="shared" si="10"/>
        <v>0011</v>
      </c>
      <c r="CB39" s="45">
        <v>75</v>
      </c>
      <c r="CC39" s="44">
        <v>1</v>
      </c>
      <c r="CD39" s="50" t="s">
        <v>490</v>
      </c>
      <c r="CE39" s="80">
        <v>2</v>
      </c>
      <c r="CF39" s="80">
        <v>7</v>
      </c>
      <c r="CG39" s="95" t="str">
        <f t="shared" si="11"/>
        <v>ZM</v>
      </c>
      <c r="CH39" s="95">
        <f t="shared" si="12"/>
        <v>2</v>
      </c>
      <c r="CI39" s="95">
        <f t="shared" si="13"/>
        <v>42</v>
      </c>
      <c r="CJ39" s="95">
        <f t="shared" si="14"/>
        <v>10</v>
      </c>
      <c r="CK39" s="43" t="str">
        <f t="shared" si="15"/>
        <v>K00_C_0581</v>
      </c>
      <c r="CL39" s="43" t="str">
        <f>IFERROR(IF(INDEX(Estrutura_P01[#All],MATCH($C39,Estrutura_P01[[#All],[txtMAKT-MAKTX]],0),MATCH(CL$3,Estrutura_P01[#Headers],0))=0,"",INDEX(Estrutura_P01[#All],MATCH($C39,Estrutura_P01[[#All],[txtMAKT-MAKTX]],0),MATCH(CL$3,Estrutura_P01[#Headers],0))),"")</f>
        <v/>
      </c>
      <c r="CM39" s="43" t="str">
        <f>IFERROR(IF(INDEX(Estrutura_P01[#All],MATCH($C39,Estrutura_P01[[#All],[txtMAKT-MAKTX]],0),MATCH(CM$3,Estrutura_P01[#Headers],0))=0,"",INDEX(Estrutura_P01[#All],MATCH($C39,Estrutura_P01[[#All],[txtMAKT-MAKTX]],0),MATCH(CM$3,Estrutura_P01[#Headers],0))),"")</f>
        <v/>
      </c>
      <c r="CN39" s="43" t="str">
        <f>IFERROR(IF(INDEX(Estrutura_P01[#All],MATCH($C39,Estrutura_P01[[#All],[txtMAKT-MAKTX]],0),MATCH(CN$3,Estrutura_P01[#Headers],0))=0,"",INDEX(Estrutura_P01[#All],MATCH($C39,Estrutura_P01[[#All],[txtMAKT-MAKTX]],0),MATCH(CN$3,Estrutura_P01[#Headers],0))),"")</f>
        <v/>
      </c>
      <c r="CO39" s="43" t="str">
        <f>IFERROR(IF(INDEX(Estrutura_P01[#All],MATCH($C39,Estrutura_P01[[#All],[txtMAKT-MAKTX]],0),MATCH(CO$3,Estrutura_P01[#Headers],0))=0,"",INDEX(Estrutura_P01[#All],MATCH($C39,Estrutura_P01[[#All],[txtMAKT-MAKTX]],0),MATCH(CO$3,Estrutura_P01[#Headers],0))),"")</f>
        <v/>
      </c>
      <c r="CP39" s="43" t="str">
        <f>IFERROR(IF(INDEX(Estrutura_P01[#All],MATCH($C39,Estrutura_P01[[#All],[txtMAKT-MAKTX]],0),MATCH(CP$3,Estrutura_P01[#Headers],0))=0,"",INDEX(Estrutura_P01[#All],MATCH($C39,Estrutura_P01[[#All],[txtMAKT-MAKTX]],0),MATCH(CP$3,Estrutura_P01[#Headers],0))),"")</f>
        <v/>
      </c>
      <c r="CQ39" s="43" t="str">
        <f>IFERROR(IF(INDEX(Estrutura_P01[#All],MATCH($C39,Estrutura_P01[[#All],[txtMAKT-MAKTX]],0),MATCH(CQ$3,Estrutura_P01[#Headers],0))=0,"",INDEX(Estrutura_P01[#All],MATCH($C39,Estrutura_P01[[#All],[txtMAKT-MAKTX]],0),MATCH(CQ$3,Estrutura_P01[#Headers],0))),"")</f>
        <v/>
      </c>
      <c r="CR39" s="43" t="str">
        <f>IFERROR(IF(INDEX(Estrutura_P01[#All],MATCH($C39,Estrutura_P01[[#All],[txtMAKT-MAKTX]],0),MATCH(CR$3,Estrutura_P01[#Headers],0))=0,"",INDEX(Estrutura_P01[#All],MATCH($C39,Estrutura_P01[[#All],[txtMAKT-MAKTX]],0),MATCH(CR$3,Estrutura_P01[#Headers],0))),"")</f>
        <v/>
      </c>
      <c r="CS39" s="43" t="str">
        <f>IFERROR(IF(INDEX(Estrutura_P01[#All],MATCH($C39,Estrutura_P01[[#All],[txtMAKT-MAKTX]],0),MATCH(CS$3,Estrutura_P01[#Headers],0))=0,"",INDEX(Estrutura_P01[#All],MATCH($C39,Estrutura_P01[[#All],[txtMAKT-MAKTX]],0),MATCH(CS$3,Estrutura_P01[#Headers],0))),"")</f>
        <v/>
      </c>
      <c r="CU39" s="43" t="str">
        <f t="shared" si="16"/>
        <v/>
      </c>
      <c r="CV39" s="55"/>
      <c r="CW39" s="43" t="str">
        <f t="shared" ca="1" si="17"/>
        <v/>
      </c>
      <c r="CX39" s="43" t="str">
        <f t="shared" si="18"/>
        <v/>
      </c>
      <c r="CZ39" s="44"/>
      <c r="DA39" s="44">
        <v>2</v>
      </c>
      <c r="DB39" s="44">
        <v>1</v>
      </c>
      <c r="DC39" s="44"/>
      <c r="DD39" s="90" t="str">
        <f t="shared" si="19"/>
        <v/>
      </c>
      <c r="DE39" s="43">
        <f t="shared" si="20"/>
        <v>0.01</v>
      </c>
      <c r="DF39" s="43" t="str">
        <f t="shared" si="21"/>
        <v>KG</v>
      </c>
      <c r="DG39" s="44">
        <v>1</v>
      </c>
      <c r="DH39" s="50" t="s">
        <v>223</v>
      </c>
      <c r="DI39" s="50" t="s">
        <v>902</v>
      </c>
      <c r="DJ39" s="43" t="str">
        <f>IFERROR(IF(INDEX(Estrutura_P01[#All],MATCH($C39,Estrutura_P01[[#All],[txtMAKT-MAKTX]],0),MATCH(DJ$3,Estrutura_P01[#Headers],0))=0,"",INDEX(Estrutura_P01[#All],MATCH($C39,Estrutura_P01[[#All],[txtMAKT-MAKTX]],0),MATCH(DJ$3,Estrutura_P01[#Headers],0))),"")</f>
        <v/>
      </c>
      <c r="DK39" s="44">
        <v>1000</v>
      </c>
      <c r="DL39" s="60">
        <v>0</v>
      </c>
      <c r="DM39" s="44"/>
      <c r="DN39" s="44">
        <v>1</v>
      </c>
      <c r="DO39" s="44">
        <v>0</v>
      </c>
      <c r="DP39" s="44" t="s">
        <v>862</v>
      </c>
      <c r="DQ39" s="45">
        <v>0</v>
      </c>
      <c r="DR39" s="44">
        <v>1000</v>
      </c>
      <c r="DS39" s="91" t="str">
        <f>IF(AQ39=68,1,IFERROR(VLOOKUP(CM39,'Listas de Dados'!BX:BY,2,0),""))</f>
        <v/>
      </c>
      <c r="DT39" s="90" t="str">
        <f t="shared" ca="1" si="22"/>
        <v/>
      </c>
      <c r="DU39" s="65"/>
    </row>
    <row r="40" spans="1:125" x14ac:dyDescent="0.2">
      <c r="A40" s="7" t="str">
        <f t="shared" si="0"/>
        <v>Execução 36</v>
      </c>
      <c r="B40" s="87"/>
      <c r="C40" s="42"/>
      <c r="D40" s="43" t="str">
        <f>IFERROR(IF(INDEX(Estrutura_P01[#All],MATCH($C40,Estrutura_P01[[#All],[txtMAKT-MAKTX]],0),MATCH(D$3,Estrutura_P01[#Headers],0))=0,"",INDEX(Estrutura_P01[#All],MATCH($C40,Estrutura_P01[[#All],[txtMAKT-MAKTX]],0),MATCH(D$3,Estrutura_P01[#Headers],0))),"")</f>
        <v/>
      </c>
      <c r="E40" s="44" t="s">
        <v>100</v>
      </c>
      <c r="F40" s="79" t="s">
        <v>4</v>
      </c>
      <c r="G40" s="79" t="s">
        <v>11</v>
      </c>
      <c r="H40" s="79" t="str">
        <f t="shared" si="1"/>
        <v>0581</v>
      </c>
      <c r="I40" s="79" t="s">
        <v>6</v>
      </c>
      <c r="J40" s="79"/>
      <c r="L40" s="45" t="s">
        <v>101</v>
      </c>
      <c r="M40" s="45" t="s">
        <v>102</v>
      </c>
      <c r="N40" s="45" t="s">
        <v>103</v>
      </c>
      <c r="O40" s="45"/>
      <c r="P40" s="45"/>
      <c r="Q40" s="45"/>
      <c r="R40" s="45"/>
      <c r="S40" s="45"/>
      <c r="T40" s="45" t="s">
        <v>109</v>
      </c>
      <c r="U40" s="45" t="s">
        <v>110</v>
      </c>
      <c r="V40" s="45" t="s">
        <v>111</v>
      </c>
      <c r="W40" s="45" t="s">
        <v>112</v>
      </c>
      <c r="X40" s="45" t="s">
        <v>113</v>
      </c>
      <c r="Y40" s="45" t="s">
        <v>114</v>
      </c>
      <c r="Z40" s="45" t="s">
        <v>115</v>
      </c>
      <c r="AA40" s="45"/>
      <c r="AB40" s="45" t="s">
        <v>118</v>
      </c>
      <c r="AC40" s="45" t="s">
        <v>119</v>
      </c>
      <c r="AD40" s="45"/>
      <c r="AE40" s="45"/>
      <c r="AF40" s="45" t="s">
        <v>122</v>
      </c>
      <c r="AG40" s="45" t="s">
        <v>123</v>
      </c>
      <c r="AH40" s="45" t="s">
        <v>124</v>
      </c>
      <c r="AI40" s="45" t="s">
        <v>125</v>
      </c>
      <c r="AJ40" s="45" t="s">
        <v>126</v>
      </c>
      <c r="AK40" s="45"/>
      <c r="AL40" s="45"/>
      <c r="AN40" s="44" t="s">
        <v>297</v>
      </c>
      <c r="AO40" s="43" t="str">
        <f>IFERROR(IF(INDEX(Estrutura_P01[#All],MATCH($C40,Estrutura_P01[[#All],[txtMAKT-MAKTX]],0),MATCH(AO$3,Estrutura_P01[#Headers],0))=0,"",INDEX(Estrutura_P01[#All],MATCH($C40,Estrutura_P01[[#All],[txtMAKT-MAKTX]],0),MATCH(AO$3,Estrutura_P01[#Headers],0))),"")</f>
        <v/>
      </c>
      <c r="AP40" s="45"/>
      <c r="AQ40" s="43" t="str">
        <f>IFERROR(IF(INDEX(Estrutura_P01[#All],MATCH($C40,Estrutura_P01[[#All],[txtMAKT-MAKTX]],0),MATCH(AQ$3,Estrutura_P01[#Headers],0))=0,"",INDEX(Estrutura_P01[#All],MATCH($C40,Estrutura_P01[[#All],[txtMAKT-MAKTX]],0),MATCH(AQ$3,Estrutura_P01[#Headers],0))),"")</f>
        <v/>
      </c>
      <c r="AR40" s="45"/>
      <c r="AS40" s="46" t="str">
        <f t="shared" ca="1" si="2"/>
        <v/>
      </c>
      <c r="AT40" s="47" t="s">
        <v>864</v>
      </c>
      <c r="AU40" s="44">
        <v>1</v>
      </c>
      <c r="AV40" s="43">
        <f t="shared" si="3"/>
        <v>1</v>
      </c>
      <c r="AW40" s="48" t="s">
        <v>297</v>
      </c>
      <c r="AX40" s="43" t="str">
        <f>IFERROR(IF(INDEX(Estrutura_P01[#All],MATCH($C40,Estrutura_P01[[#All],[txtMAKT-MAKTX]],0),MATCH(AX$3,Estrutura_P01[#Headers],0))=0,"",INDEX(Estrutura_P01[#All],MATCH($C40,Estrutura_P01[[#All],[txtMAKT-MAKTX]],0),MATCH(AX$3,Estrutura_P01[#Headers],0))),"")</f>
        <v/>
      </c>
      <c r="AY40" s="44"/>
      <c r="AZ40" s="99">
        <v>99</v>
      </c>
      <c r="BA40" s="95" t="str">
        <f t="shared" ca="1" si="4"/>
        <v>17.05.2022</v>
      </c>
      <c r="BB40" s="50"/>
      <c r="BC40" s="50">
        <v>1</v>
      </c>
      <c r="BD40" s="50" t="s">
        <v>192</v>
      </c>
      <c r="BE40" s="95" t="str">
        <f t="shared" si="5"/>
        <v>01</v>
      </c>
      <c r="BF40" s="95" t="str">
        <f t="shared" si="6"/>
        <v>NORM</v>
      </c>
      <c r="BG40" s="44">
        <v>1</v>
      </c>
      <c r="BH40" s="44">
        <v>1</v>
      </c>
      <c r="BI40" s="44">
        <v>1</v>
      </c>
      <c r="BJ40" s="95" t="str">
        <f t="shared" si="7"/>
        <v>ZM</v>
      </c>
      <c r="BK40" s="50" t="s">
        <v>195</v>
      </c>
      <c r="BL40" s="50" t="s">
        <v>195</v>
      </c>
      <c r="BM40" s="43" t="str">
        <f>IFERROR(IF(INDEX(Estrutura_P01[#All],MATCH($C40,Estrutura_P01[[#All],[txtMAKT-MAKTX]],0),MATCH(BM$3,Estrutura_P01[#Headers],0))=0,"",INDEX(Estrutura_P01[#All],MATCH($C40,Estrutura_P01[[#All],[txtMAKT-MAKTX]],0),MATCH(BM$3,Estrutura_P01[#Headers],0))),"")</f>
        <v/>
      </c>
      <c r="BN40" s="44"/>
      <c r="BO40" s="50">
        <v>0</v>
      </c>
      <c r="BP40" s="45" t="s">
        <v>374</v>
      </c>
      <c r="BQ40" s="43" t="str">
        <f>IFERROR(IF(INDEX(Estrutura_P01[#All],MATCH($C40,Estrutura_P01[[#All],[txtMAKT-MAKTX]],0),MATCH(BQ$3,Estrutura_P01[#Headers],0))=0,"",INDEX(Estrutura_P01[#All],MATCH($C40,Estrutura_P01[[#All],[txtMAKT-MAKTX]],0),MATCH(BQ$3,Estrutura_P01[#Headers],0))),"")</f>
        <v/>
      </c>
      <c r="BR40" s="43" t="str">
        <f t="shared" si="8"/>
        <v>581</v>
      </c>
      <c r="BS40" s="45" t="s">
        <v>40</v>
      </c>
      <c r="BT40" s="98">
        <v>25000</v>
      </c>
      <c r="BU40" s="43" t="str">
        <f>IFERROR(IF(INDEX(Estrutura_P01[#All],MATCH($C40,Estrutura_P01[[#All],[txtMAKT-MAKTX]],0),MATCH(BU$3,Estrutura_P01[#Headers],0))=0,"",INDEX(Estrutura_P01[#All],MATCH($C40,Estrutura_P01[[#All],[txtMAKT-MAKTX]],0),MATCH(BU$3,Estrutura_P01[#Headers],0))),"")</f>
        <v/>
      </c>
      <c r="BV40" s="45">
        <v>0</v>
      </c>
      <c r="BW40" s="45" t="s">
        <v>473</v>
      </c>
      <c r="BX40" s="45"/>
      <c r="BY40" s="44"/>
      <c r="BZ40" s="49" t="str">
        <f t="shared" si="9"/>
        <v>0011</v>
      </c>
      <c r="CA40" s="49" t="str">
        <f t="shared" si="10"/>
        <v>0011</v>
      </c>
      <c r="CB40" s="45">
        <v>75</v>
      </c>
      <c r="CC40" s="44">
        <v>1</v>
      </c>
      <c r="CD40" s="50" t="s">
        <v>490</v>
      </c>
      <c r="CE40" s="80">
        <v>2</v>
      </c>
      <c r="CF40" s="80">
        <v>7</v>
      </c>
      <c r="CG40" s="95" t="str">
        <f t="shared" si="11"/>
        <v>ZM</v>
      </c>
      <c r="CH40" s="95">
        <f t="shared" si="12"/>
        <v>2</v>
      </c>
      <c r="CI40" s="95">
        <f t="shared" si="13"/>
        <v>42</v>
      </c>
      <c r="CJ40" s="95">
        <f t="shared" si="14"/>
        <v>10</v>
      </c>
      <c r="CK40" s="43" t="str">
        <f t="shared" si="15"/>
        <v>K00_C_0581</v>
      </c>
      <c r="CL40" s="43" t="str">
        <f>IFERROR(IF(INDEX(Estrutura_P01[#All],MATCH($C40,Estrutura_P01[[#All],[txtMAKT-MAKTX]],0),MATCH(CL$3,Estrutura_P01[#Headers],0))=0,"",INDEX(Estrutura_P01[#All],MATCH($C40,Estrutura_P01[[#All],[txtMAKT-MAKTX]],0),MATCH(CL$3,Estrutura_P01[#Headers],0))),"")</f>
        <v/>
      </c>
      <c r="CM40" s="43" t="str">
        <f>IFERROR(IF(INDEX(Estrutura_P01[#All],MATCH($C40,Estrutura_P01[[#All],[txtMAKT-MAKTX]],0),MATCH(CM$3,Estrutura_P01[#Headers],0))=0,"",INDEX(Estrutura_P01[#All],MATCH($C40,Estrutura_P01[[#All],[txtMAKT-MAKTX]],0),MATCH(CM$3,Estrutura_P01[#Headers],0))),"")</f>
        <v/>
      </c>
      <c r="CN40" s="43" t="str">
        <f>IFERROR(IF(INDEX(Estrutura_P01[#All],MATCH($C40,Estrutura_P01[[#All],[txtMAKT-MAKTX]],0),MATCH(CN$3,Estrutura_P01[#Headers],0))=0,"",INDEX(Estrutura_P01[#All],MATCH($C40,Estrutura_P01[[#All],[txtMAKT-MAKTX]],0),MATCH(CN$3,Estrutura_P01[#Headers],0))),"")</f>
        <v/>
      </c>
      <c r="CO40" s="43" t="str">
        <f>IFERROR(IF(INDEX(Estrutura_P01[#All],MATCH($C40,Estrutura_P01[[#All],[txtMAKT-MAKTX]],0),MATCH(CO$3,Estrutura_P01[#Headers],0))=0,"",INDEX(Estrutura_P01[#All],MATCH($C40,Estrutura_P01[[#All],[txtMAKT-MAKTX]],0),MATCH(CO$3,Estrutura_P01[#Headers],0))),"")</f>
        <v/>
      </c>
      <c r="CP40" s="43" t="str">
        <f>IFERROR(IF(INDEX(Estrutura_P01[#All],MATCH($C40,Estrutura_P01[[#All],[txtMAKT-MAKTX]],0),MATCH(CP$3,Estrutura_P01[#Headers],0))=0,"",INDEX(Estrutura_P01[#All],MATCH($C40,Estrutura_P01[[#All],[txtMAKT-MAKTX]],0),MATCH(CP$3,Estrutura_P01[#Headers],0))),"")</f>
        <v/>
      </c>
      <c r="CQ40" s="43" t="str">
        <f>IFERROR(IF(INDEX(Estrutura_P01[#All],MATCH($C40,Estrutura_P01[[#All],[txtMAKT-MAKTX]],0),MATCH(CQ$3,Estrutura_P01[#Headers],0))=0,"",INDEX(Estrutura_P01[#All],MATCH($C40,Estrutura_P01[[#All],[txtMAKT-MAKTX]],0),MATCH(CQ$3,Estrutura_P01[#Headers],0))),"")</f>
        <v/>
      </c>
      <c r="CR40" s="43" t="str">
        <f>IFERROR(IF(INDEX(Estrutura_P01[#All],MATCH($C40,Estrutura_P01[[#All],[txtMAKT-MAKTX]],0),MATCH(CR$3,Estrutura_P01[#Headers],0))=0,"",INDEX(Estrutura_P01[#All],MATCH($C40,Estrutura_P01[[#All],[txtMAKT-MAKTX]],0),MATCH(CR$3,Estrutura_P01[#Headers],0))),"")</f>
        <v/>
      </c>
      <c r="CS40" s="43" t="str">
        <f>IFERROR(IF(INDEX(Estrutura_P01[#All],MATCH($C40,Estrutura_P01[[#All],[txtMAKT-MAKTX]],0),MATCH(CS$3,Estrutura_P01[#Headers],0))=0,"",INDEX(Estrutura_P01[#All],MATCH($C40,Estrutura_P01[[#All],[txtMAKT-MAKTX]],0),MATCH(CS$3,Estrutura_P01[#Headers],0))),"")</f>
        <v/>
      </c>
      <c r="CU40" s="43" t="str">
        <f t="shared" si="16"/>
        <v/>
      </c>
      <c r="CV40" s="55"/>
      <c r="CW40" s="43" t="str">
        <f t="shared" ca="1" si="17"/>
        <v/>
      </c>
      <c r="CX40" s="43" t="str">
        <f t="shared" si="18"/>
        <v/>
      </c>
      <c r="CZ40" s="44"/>
      <c r="DA40" s="44">
        <v>2</v>
      </c>
      <c r="DB40" s="44">
        <v>1</v>
      </c>
      <c r="DC40" s="44"/>
      <c r="DD40" s="90" t="str">
        <f t="shared" si="19"/>
        <v/>
      </c>
      <c r="DE40" s="43">
        <f t="shared" si="20"/>
        <v>0.01</v>
      </c>
      <c r="DF40" s="43" t="str">
        <f t="shared" si="21"/>
        <v>KG</v>
      </c>
      <c r="DG40" s="44">
        <v>1</v>
      </c>
      <c r="DH40" s="50" t="s">
        <v>223</v>
      </c>
      <c r="DI40" s="50" t="s">
        <v>902</v>
      </c>
      <c r="DJ40" s="43" t="str">
        <f>IFERROR(IF(INDEX(Estrutura_P01[#All],MATCH($C40,Estrutura_P01[[#All],[txtMAKT-MAKTX]],0),MATCH(DJ$3,Estrutura_P01[#Headers],0))=0,"",INDEX(Estrutura_P01[#All],MATCH($C40,Estrutura_P01[[#All],[txtMAKT-MAKTX]],0),MATCH(DJ$3,Estrutura_P01[#Headers],0))),"")</f>
        <v/>
      </c>
      <c r="DK40" s="44">
        <v>1000</v>
      </c>
      <c r="DL40" s="60">
        <v>0</v>
      </c>
      <c r="DM40" s="44"/>
      <c r="DN40" s="44">
        <v>1</v>
      </c>
      <c r="DO40" s="44">
        <v>0</v>
      </c>
      <c r="DP40" s="44" t="s">
        <v>862</v>
      </c>
      <c r="DQ40" s="45">
        <v>0</v>
      </c>
      <c r="DR40" s="44">
        <v>1000</v>
      </c>
      <c r="DS40" s="91" t="str">
        <f>IF(AQ40=68,1,IFERROR(VLOOKUP(CM40,'Listas de Dados'!BX:BY,2,0),""))</f>
        <v/>
      </c>
      <c r="DT40" s="90" t="str">
        <f t="shared" ca="1" si="22"/>
        <v/>
      </c>
      <c r="DU40" s="65"/>
    </row>
  </sheetData>
  <sortState ref="B5:B61">
    <sortCondition ref="B5"/>
  </sortState>
  <mergeCells count="5">
    <mergeCell ref="CY1:CY2"/>
    <mergeCell ref="L3:AL3"/>
    <mergeCell ref="AM1:AM2"/>
    <mergeCell ref="K1:K2"/>
    <mergeCell ref="CT1:CT2"/>
  </mergeCells>
  <conditionalFormatting sqref="B5:C5">
    <cfRule type="beginsWith" dxfId="180" priority="150" operator="beginsWith" text="L">
      <formula>LEFT(B5,LEN("L"))="L"</formula>
    </cfRule>
  </conditionalFormatting>
  <conditionalFormatting sqref="AU5">
    <cfRule type="beginsWith" dxfId="179" priority="115" operator="beginsWith" text="L">
      <formula>LEFT(AU5,LEN("L"))="L"</formula>
    </cfRule>
  </conditionalFormatting>
  <conditionalFormatting sqref="AY5">
    <cfRule type="beginsWith" dxfId="178" priority="113" operator="beginsWith" text="L">
      <formula>LEFT(AY5,LEN("L"))="L"</formula>
    </cfRule>
  </conditionalFormatting>
  <conditionalFormatting sqref="DU1:DU5 DU41:DU1048576">
    <cfRule type="containsText" dxfId="177" priority="67" operator="containsText" text="criadas">
      <formula>NOT(ISERROR(SEARCH("criadas",DU1)))</formula>
    </cfRule>
    <cfRule type="containsText" dxfId="176" priority="69" operator="containsText" text="é gravado">
      <formula>NOT(ISERROR(SEARCH("é gravado",DU1)))</formula>
    </cfRule>
    <cfRule type="containsText" dxfId="175" priority="70" operator="containsText" text="é modificado">
      <formula>NOT(ISERROR(SEARCH("é modificado",DU1)))</formula>
    </cfRule>
    <cfRule type="containsText" dxfId="174" priority="71" operator="containsText" text="Error">
      <formula>NOT(ISERROR(SEARCH("Error",DU1)))</formula>
    </cfRule>
    <cfRule type="containsText" dxfId="173" priority="72" operator="containsText" text="é criado">
      <formula>NOT(ISERROR(SEARCH("é criado",DU1)))</formula>
    </cfRule>
  </conditionalFormatting>
  <conditionalFormatting sqref="F5">
    <cfRule type="beginsWith" dxfId="172" priority="64" operator="beginsWith" text="L">
      <formula>LEFT(F5,LEN("L"))="L"</formula>
    </cfRule>
  </conditionalFormatting>
  <conditionalFormatting sqref="G5">
    <cfRule type="beginsWith" dxfId="171" priority="63" operator="beginsWith" text="L">
      <formula>LEFT(G5,LEN("L"))="L"</formula>
    </cfRule>
  </conditionalFormatting>
  <conditionalFormatting sqref="I5">
    <cfRule type="beginsWith" dxfId="170" priority="62" operator="beginsWith" text="L">
      <formula>LEFT(I5,LEN("L"))="L"</formula>
    </cfRule>
  </conditionalFormatting>
  <conditionalFormatting sqref="CR5">
    <cfRule type="beginsWith" dxfId="169" priority="32" operator="beginsWith" text="L">
      <formula>LEFT(CR5,LEN("L"))="L"</formula>
    </cfRule>
  </conditionalFormatting>
  <conditionalFormatting sqref="D5">
    <cfRule type="beginsWith" dxfId="168" priority="60" operator="beginsWith" text="L">
      <formula>LEFT(D5,LEN("L"))="L"</formula>
    </cfRule>
  </conditionalFormatting>
  <conditionalFormatting sqref="AO5">
    <cfRule type="beginsWith" dxfId="167" priority="44" operator="beginsWith" text="L">
      <formula>LEFT(AO5,LEN("L"))="L"</formula>
    </cfRule>
  </conditionalFormatting>
  <conditionalFormatting sqref="AQ5">
    <cfRule type="beginsWith" dxfId="166" priority="43" operator="beginsWith" text="L">
      <formula>LEFT(AQ5,LEN("L"))="L"</formula>
    </cfRule>
  </conditionalFormatting>
  <conditionalFormatting sqref="AX5">
    <cfRule type="beginsWith" dxfId="165" priority="42" operator="beginsWith" text="L">
      <formula>LEFT(AX5,LEN("L"))="L"</formula>
    </cfRule>
  </conditionalFormatting>
  <conditionalFormatting sqref="BM5">
    <cfRule type="beginsWith" dxfId="164" priority="41" operator="beginsWith" text="L">
      <formula>LEFT(BM5,LEN("L"))="L"</formula>
    </cfRule>
  </conditionalFormatting>
  <conditionalFormatting sqref="BQ5">
    <cfRule type="beginsWith" dxfId="163" priority="40" operator="beginsWith" text="L">
      <formula>LEFT(BQ5,LEN("L"))="L"</formula>
    </cfRule>
  </conditionalFormatting>
  <conditionalFormatting sqref="BU5">
    <cfRule type="beginsWith" dxfId="162" priority="39" operator="beginsWith" text="L">
      <formula>LEFT(BU5,LEN("L"))="L"</formula>
    </cfRule>
  </conditionalFormatting>
  <conditionalFormatting sqref="CL5">
    <cfRule type="beginsWith" dxfId="161" priority="38" operator="beginsWith" text="L">
      <formula>LEFT(CL5,LEN("L"))="L"</formula>
    </cfRule>
  </conditionalFormatting>
  <conditionalFormatting sqref="CM5">
    <cfRule type="beginsWith" dxfId="160" priority="37" operator="beginsWith" text="L">
      <formula>LEFT(CM5,LEN("L"))="L"</formula>
    </cfRule>
  </conditionalFormatting>
  <conditionalFormatting sqref="CN5">
    <cfRule type="beginsWith" dxfId="159" priority="36" operator="beginsWith" text="L">
      <formula>LEFT(CN5,LEN("L"))="L"</formula>
    </cfRule>
  </conditionalFormatting>
  <conditionalFormatting sqref="CO5">
    <cfRule type="beginsWith" dxfId="158" priority="35" operator="beginsWith" text="L">
      <formula>LEFT(CO5,LEN("L"))="L"</formula>
    </cfRule>
  </conditionalFormatting>
  <conditionalFormatting sqref="CP5">
    <cfRule type="beginsWith" dxfId="157" priority="34" operator="beginsWith" text="L">
      <formula>LEFT(CP5,LEN("L"))="L"</formula>
    </cfRule>
  </conditionalFormatting>
  <conditionalFormatting sqref="CQ5">
    <cfRule type="beginsWith" dxfId="156" priority="33" operator="beginsWith" text="L">
      <formula>LEFT(CQ5,LEN("L"))="L"</formula>
    </cfRule>
  </conditionalFormatting>
  <conditionalFormatting sqref="CS5">
    <cfRule type="beginsWith" dxfId="155" priority="31" operator="beginsWith" text="L">
      <formula>LEFT(CS5,LEN("L"))="L"</formula>
    </cfRule>
  </conditionalFormatting>
  <conditionalFormatting sqref="DJ5">
    <cfRule type="beginsWith" dxfId="154" priority="30" operator="beginsWith" text="L">
      <formula>LEFT(DJ5,LEN("L"))="L"</formula>
    </cfRule>
  </conditionalFormatting>
  <conditionalFormatting sqref="B6:C40">
    <cfRule type="beginsWith" dxfId="153" priority="29" operator="beginsWith" text="L">
      <formula>LEFT(B6,LEN("L"))="L"</formula>
    </cfRule>
  </conditionalFormatting>
  <conditionalFormatting sqref="AU6:AU40">
    <cfRule type="beginsWith" dxfId="152" priority="28" operator="beginsWith" text="L">
      <formula>LEFT(AU6,LEN("L"))="L"</formula>
    </cfRule>
  </conditionalFormatting>
  <conditionalFormatting sqref="AY6:AY40">
    <cfRule type="beginsWith" dxfId="151" priority="27" operator="beginsWith" text="L">
      <formula>LEFT(AY6,LEN("L"))="L"</formula>
    </cfRule>
  </conditionalFormatting>
  <conditionalFormatting sqref="DU6:DU40">
    <cfRule type="containsText" dxfId="150" priority="22" operator="containsText" text="criadas">
      <formula>NOT(ISERROR(SEARCH("criadas",DU6)))</formula>
    </cfRule>
    <cfRule type="containsText" dxfId="149" priority="23" operator="containsText" text="é gravado">
      <formula>NOT(ISERROR(SEARCH("é gravado",DU6)))</formula>
    </cfRule>
    <cfRule type="containsText" dxfId="148" priority="24" operator="containsText" text="é modificado">
      <formula>NOT(ISERROR(SEARCH("é modificado",DU6)))</formula>
    </cfRule>
    <cfRule type="containsText" dxfId="147" priority="25" operator="containsText" text="Error">
      <formula>NOT(ISERROR(SEARCH("Error",DU6)))</formula>
    </cfRule>
    <cfRule type="containsText" dxfId="146" priority="26" operator="containsText" text="é criado">
      <formula>NOT(ISERROR(SEARCH("é criado",DU6)))</formula>
    </cfRule>
  </conditionalFormatting>
  <conditionalFormatting sqref="F6:F40">
    <cfRule type="beginsWith" dxfId="145" priority="21" operator="beginsWith" text="L">
      <formula>LEFT(F6,LEN("L"))="L"</formula>
    </cfRule>
  </conditionalFormatting>
  <conditionalFormatting sqref="G6:G40">
    <cfRule type="beginsWith" dxfId="144" priority="20" operator="beginsWith" text="L">
      <formula>LEFT(G6,LEN("L"))="L"</formula>
    </cfRule>
  </conditionalFormatting>
  <conditionalFormatting sqref="I6:I40">
    <cfRule type="beginsWith" dxfId="143" priority="19" operator="beginsWith" text="L">
      <formula>LEFT(I6,LEN("L"))="L"</formula>
    </cfRule>
  </conditionalFormatting>
  <conditionalFormatting sqref="CR6:CR40">
    <cfRule type="beginsWith" dxfId="142" priority="5" operator="beginsWith" text="L">
      <formula>LEFT(CR6,LEN("L"))="L"</formula>
    </cfRule>
  </conditionalFormatting>
  <conditionalFormatting sqref="D6:D40">
    <cfRule type="beginsWith" dxfId="141" priority="18" operator="beginsWith" text="L">
      <formula>LEFT(D6,LEN("L"))="L"</formula>
    </cfRule>
  </conditionalFormatting>
  <conditionalFormatting sqref="AO6:AO40">
    <cfRule type="beginsWith" dxfId="140" priority="17" operator="beginsWith" text="L">
      <formula>LEFT(AO6,LEN("L"))="L"</formula>
    </cfRule>
  </conditionalFormatting>
  <conditionalFormatting sqref="AQ6:AQ40">
    <cfRule type="beginsWith" dxfId="139" priority="16" operator="beginsWith" text="L">
      <formula>LEFT(AQ6,LEN("L"))="L"</formula>
    </cfRule>
  </conditionalFormatting>
  <conditionalFormatting sqref="AX6:AX40">
    <cfRule type="beginsWith" dxfId="138" priority="15" operator="beginsWith" text="L">
      <formula>LEFT(AX6,LEN("L"))="L"</formula>
    </cfRule>
  </conditionalFormatting>
  <conditionalFormatting sqref="BM6:BM40">
    <cfRule type="beginsWith" dxfId="137" priority="14" operator="beginsWith" text="L">
      <formula>LEFT(BM6,LEN("L"))="L"</formula>
    </cfRule>
  </conditionalFormatting>
  <conditionalFormatting sqref="BQ6:BQ40">
    <cfRule type="beginsWith" dxfId="136" priority="13" operator="beginsWith" text="L">
      <formula>LEFT(BQ6,LEN("L"))="L"</formula>
    </cfRule>
  </conditionalFormatting>
  <conditionalFormatting sqref="BU6:BU40">
    <cfRule type="beginsWith" dxfId="135" priority="12" operator="beginsWith" text="L">
      <formula>LEFT(BU6,LEN("L"))="L"</formula>
    </cfRule>
  </conditionalFormatting>
  <conditionalFormatting sqref="CL6:CL40">
    <cfRule type="beginsWith" dxfId="134" priority="11" operator="beginsWith" text="L">
      <formula>LEFT(CL6,LEN("L"))="L"</formula>
    </cfRule>
  </conditionalFormatting>
  <conditionalFormatting sqref="CM6:CM40">
    <cfRule type="beginsWith" dxfId="133" priority="10" operator="beginsWith" text="L">
      <formula>LEFT(CM6,LEN("L"))="L"</formula>
    </cfRule>
  </conditionalFormatting>
  <conditionalFormatting sqref="CN6:CN40">
    <cfRule type="beginsWith" dxfId="132" priority="9" operator="beginsWith" text="L">
      <formula>LEFT(CN6,LEN("L"))="L"</formula>
    </cfRule>
  </conditionalFormatting>
  <conditionalFormatting sqref="CO6:CO40">
    <cfRule type="beginsWith" dxfId="131" priority="8" operator="beginsWith" text="L">
      <formula>LEFT(CO6,LEN("L"))="L"</formula>
    </cfRule>
  </conditionalFormatting>
  <conditionalFormatting sqref="CP6:CP40">
    <cfRule type="beginsWith" dxfId="130" priority="7" operator="beginsWith" text="L">
      <formula>LEFT(CP6,LEN("L"))="L"</formula>
    </cfRule>
  </conditionalFormatting>
  <conditionalFormatting sqref="CQ6:CQ40">
    <cfRule type="beginsWith" dxfId="129" priority="6" operator="beginsWith" text="L">
      <formula>LEFT(CQ6,LEN("L"))="L"</formula>
    </cfRule>
  </conditionalFormatting>
  <conditionalFormatting sqref="CS6:CS40">
    <cfRule type="beginsWith" dxfId="128" priority="4" operator="beginsWith" text="L">
      <formula>LEFT(CS6,LEN("L"))="L"</formula>
    </cfRule>
  </conditionalFormatting>
  <conditionalFormatting sqref="DJ6:DJ40">
    <cfRule type="beginsWith" dxfId="127" priority="3" operator="beginsWith" text="L">
      <formula>LEFT(DJ6,LEN("L"))="L"</formula>
    </cfRule>
  </conditionalFormatting>
  <conditionalFormatting sqref="DT5:DT40">
    <cfRule type="beginsWith" dxfId="126" priority="1" operator="beginsWith" text="L">
      <formula>LEFT(DT5,LEN("L"))="L"</formula>
    </cfRule>
  </conditionalFormatting>
  <dataValidations count="5">
    <dataValidation type="list" allowBlank="1" showInputMessage="1" showErrorMessage="1" sqref="BV5:BV40 BG5:BI40 DG5:DG40">
      <formula1>"0,1"</formula1>
    </dataValidation>
    <dataValidation type="list" allowBlank="1" showInputMessage="1" showErrorMessage="1" sqref="DL5:DL40 DQ5:DQ40 DB5:DB40">
      <formula1>"1,0"</formula1>
    </dataValidation>
    <dataValidation type="list" allowBlank="1" showInputMessage="1" showErrorMessage="1" errorTitle="N° de descimais exedido" error="SAP somente aceita até 3 casas decimais. Por favor inserir um número dentro do limite._x000a_" sqref="AU5:AU40">
      <formula1>MOD(AU5*1000,QUOTIENT(AU5*1000,1))=0</formula1>
    </dataValidation>
    <dataValidation type="list" allowBlank="1" showInputMessage="1" showErrorMessage="1" sqref="CV5:CV40">
      <formula1>#REF!</formula1>
    </dataValidation>
    <dataValidation type="decimal" allowBlank="1" showInputMessage="1" showErrorMessage="1" sqref="BT5:BT40">
      <formula1>0</formula1>
      <formula2>9999999999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3">
        <x14:dataValidation type="list" allowBlank="1" showInputMessage="1" showErrorMessage="1">
          <x14:formula1>
            <xm:f>'Listas de Dados'!$J$4:$J$29</xm:f>
          </x14:formula1>
          <xm:sqref>L5:AL40</xm:sqref>
        </x14:dataValidation>
        <x14:dataValidation type="list" allowBlank="1" showInputMessage="1" showErrorMessage="1">
          <x14:formula1>
            <xm:f>'Listas de Dados'!$B$4:$B$5</xm:f>
          </x14:formula1>
          <xm:sqref>H5:H40</xm:sqref>
        </x14:dataValidation>
        <x14:dataValidation type="list" allowBlank="1" showInputMessage="1" showErrorMessage="1">
          <x14:formula1>
            <xm:f>'Listas de Dados'!$E$4:$E$5</xm:f>
          </x14:formula1>
          <xm:sqref>J5:J40</xm:sqref>
        </x14:dataValidation>
        <x14:dataValidation type="list" allowBlank="1" showInputMessage="1" showErrorMessage="1">
          <x14:formula1>
            <xm:f>'Listas de Dados'!$AA$4:$AA$5</xm:f>
          </x14:formula1>
          <xm:sqref>AZ5:AZ40 AR5:AR40</xm:sqref>
        </x14:dataValidation>
        <x14:dataValidation type="list" allowBlank="1" showInputMessage="1" showErrorMessage="1">
          <x14:formula1>
            <xm:f>'Listas de Dados'!$AI$4:$AI$11</xm:f>
          </x14:formula1>
          <xm:sqref>BJ5:BJ40</xm:sqref>
        </x14:dataValidation>
        <x14:dataValidation type="list" allowBlank="1" showInputMessage="1" showErrorMessage="1">
          <x14:formula1>
            <xm:f>'Listas de Dados'!$AL$4:$AL$10</xm:f>
          </x14:formula1>
          <xm:sqref>BP5:BP40</xm:sqref>
        </x14:dataValidation>
        <x14:dataValidation type="list" allowBlank="1" showInputMessage="1" showErrorMessage="1">
          <x14:formula1>
            <xm:f>'Listas de Dados'!$AU$4:$AU$35</xm:f>
          </x14:formula1>
          <xm:sqref>BS5:BS40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Dados'!$BR$4:$BR$6</xm:f>
          </x14:formula1>
          <xm:sqref>AY5:AY40</xm:sqref>
        </x14:dataValidation>
        <x14:dataValidation type="list" allowBlank="1" showInputMessage="1" showErrorMessage="1">
          <x14:formula1>
            <xm:f>'Listas de Dados'!$AR$4:$AR$11</xm:f>
          </x14:formula1>
          <xm:sqref>BR5:BR40</xm:sqref>
        </x14:dataValidation>
        <x14:dataValidation type="list" allowBlank="1" showInputMessage="1" showErrorMessage="1">
          <x14:formula1>
            <xm:f>'Listas de Dados'!$C$4:$C$18</xm:f>
          </x14:formula1>
          <xm:sqref>G5:G40</xm:sqref>
        </x14:dataValidation>
        <x14:dataValidation type="list" allowBlank="1" showInputMessage="1" showErrorMessage="1">
          <x14:formula1>
            <xm:f>'Listas de Dados'!$D$4:$D$8</xm:f>
          </x14:formula1>
          <xm:sqref>I5:I40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1">
    <tabColor theme="4" tint="0.79998168889431442"/>
  </sheetPr>
  <dimension ref="A1:DK40"/>
  <sheetViews>
    <sheetView showGridLines="0" showRowColHeaders="0" workbookViewId="0">
      <pane xSplit="4" ySplit="4" topLeftCell="CT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0" width="8" style="6" hidden="1" customWidth="1" outlineLevel="1"/>
    <col min="21" max="21" width="8.7109375" style="6" hidden="1" customWidth="1" outlineLevel="1"/>
    <col min="22" max="22" width="28.140625" style="6" hidden="1" customWidth="1" outlineLevel="1"/>
    <col min="23" max="23" width="20.42578125" style="6" hidden="1" customWidth="1" outlineLevel="1"/>
    <col min="24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customWidth="1"/>
    <col min="42" max="42" width="20.140625" style="6" customWidth="1"/>
    <col min="43" max="43" width="14.85546875" style="6" customWidth="1"/>
    <col min="44" max="44" width="19.42578125" style="6" customWidth="1"/>
    <col min="45" max="45" width="17" style="6" customWidth="1"/>
    <col min="46" max="46" width="28.5703125" style="6" customWidth="1"/>
    <col min="47" max="47" width="23.28515625" style="6" customWidth="1"/>
    <col min="48" max="48" width="18.7109375" style="6" customWidth="1"/>
    <col min="49" max="49" width="16" style="6" customWidth="1"/>
    <col min="50" max="50" width="17" style="6" customWidth="1"/>
    <col min="51" max="51" width="23.140625" style="6" customWidth="1"/>
    <col min="52" max="52" width="16.42578125" style="6" customWidth="1"/>
    <col min="53" max="53" width="17" style="6" customWidth="1"/>
    <col min="54" max="54" width="26.28515625" style="6" customWidth="1"/>
    <col min="55" max="55" width="21.140625" style="6" customWidth="1"/>
    <col min="56" max="56" width="16" style="6" customWidth="1"/>
    <col min="57" max="57" width="17.5703125" style="6" customWidth="1"/>
    <col min="58" max="58" width="16.5703125" style="6" customWidth="1"/>
    <col min="59" max="59" width="16.42578125" style="6" customWidth="1"/>
    <col min="60" max="60" width="20.5703125" style="6" customWidth="1"/>
    <col min="61" max="61" width="17.42578125" style="6" customWidth="1"/>
    <col min="62" max="64" width="16.42578125" style="6" customWidth="1"/>
    <col min="65" max="65" width="16.7109375" style="6" customWidth="1"/>
    <col min="66" max="67" width="16.28515625" style="6" customWidth="1"/>
    <col min="68" max="68" width="16.42578125" style="6" customWidth="1"/>
    <col min="69" max="69" width="16.140625" style="6" customWidth="1"/>
    <col min="70" max="70" width="16.7109375" style="6" customWidth="1"/>
    <col min="71" max="71" width="17.5703125" style="6" customWidth="1"/>
    <col min="72" max="72" width="19.85546875" style="6" customWidth="1"/>
    <col min="73" max="73" width="20.140625" style="6" customWidth="1"/>
    <col min="74" max="74" width="16.140625" style="6" customWidth="1"/>
    <col min="75" max="75" width="20.140625" style="6" customWidth="1"/>
    <col min="76" max="76" width="21.7109375" style="6" customWidth="1"/>
    <col min="77" max="77" width="18.28515625" style="6" customWidth="1"/>
    <col min="78" max="78" width="18.7109375" style="6" customWidth="1"/>
    <col min="79" max="79" width="17.7109375" style="6" customWidth="1"/>
    <col min="80" max="80" width="18.85546875" style="6" customWidth="1"/>
    <col min="81" max="81" width="17.42578125" style="6" customWidth="1"/>
    <col min="82" max="82" width="15.85546875" style="6" customWidth="1"/>
    <col min="83" max="83" width="17.7109375" style="6" customWidth="1"/>
    <col min="84" max="84" width="18.7109375" style="6" customWidth="1"/>
    <col min="85" max="85" width="18.140625" style="6" customWidth="1"/>
    <col min="86" max="86" width="16.140625" style="6" customWidth="1"/>
    <col min="87" max="87" width="18.140625" style="6" customWidth="1"/>
    <col min="88" max="88" width="19.140625" style="6" customWidth="1"/>
    <col min="89" max="89" width="20.7109375" style="6" customWidth="1"/>
    <col min="90" max="90" width="19.7109375" style="6" customWidth="1"/>
    <col min="91" max="91" width="20.5703125" style="6" hidden="1" customWidth="1" outlineLevel="1"/>
    <col min="92" max="92" width="18.5703125" style="6" hidden="1" customWidth="1" outlineLevel="1"/>
    <col min="93" max="93" width="20.7109375" style="6" hidden="1" customWidth="1" outlineLevel="1"/>
    <col min="94" max="94" width="20.5703125" style="6" hidden="1" customWidth="1" outlineLevel="1"/>
    <col min="95" max="95" width="23.42578125" style="6" customWidth="1" collapsed="1"/>
    <col min="96" max="96" width="22" style="82" customWidth="1"/>
    <col min="97" max="97" width="22.42578125" style="82" customWidth="1"/>
    <col min="98" max="98" width="15.85546875" style="6" customWidth="1"/>
    <col min="99" max="99" width="20.5703125" style="6" customWidth="1"/>
    <col min="100" max="100" width="20.7109375" style="6" customWidth="1"/>
    <col min="101" max="101" width="17.85546875" style="6" customWidth="1"/>
    <col min="102" max="102" width="16.7109375" style="6" customWidth="1"/>
    <col min="103" max="104" width="22.42578125" style="6" customWidth="1"/>
    <col min="105" max="105" width="17.85546875" style="6" customWidth="1"/>
    <col min="106" max="106" width="17.42578125" style="6" customWidth="1"/>
    <col min="107" max="107" width="28.5703125" style="6" customWidth="1"/>
    <col min="108" max="108" width="17.42578125" style="6" customWidth="1"/>
    <col min="109" max="109" width="18.5703125" style="6" customWidth="1"/>
    <col min="110" max="110" width="16.7109375" style="6" customWidth="1"/>
    <col min="111" max="112" width="17.7109375" style="6" customWidth="1"/>
    <col min="113" max="113" width="23" style="6" customWidth="1"/>
    <col min="114" max="114" width="20.85546875" style="6" customWidth="1"/>
    <col min="115" max="115" width="75.7109375" style="1" customWidth="1"/>
    <col min="116" max="116" width="22" style="1" customWidth="1"/>
    <col min="117" max="16384" width="9.140625" style="1"/>
  </cols>
  <sheetData>
    <row r="1" spans="1:115" s="76" customFormat="1" x14ac:dyDescent="0.2">
      <c r="A1" s="7" t="s">
        <v>28</v>
      </c>
      <c r="L1" s="102" t="s">
        <v>170</v>
      </c>
      <c r="AN1" s="102" t="s">
        <v>127</v>
      </c>
      <c r="AY1" s="102" t="s">
        <v>922</v>
      </c>
      <c r="CQ1" s="100" t="s">
        <v>699</v>
      </c>
      <c r="CR1" s="33"/>
      <c r="CS1" s="33"/>
    </row>
    <row r="2" spans="1:115" s="41" customFormat="1" x14ac:dyDescent="0.2">
      <c r="A2" s="7"/>
      <c r="B2" s="40"/>
      <c r="C2" s="40"/>
      <c r="D2" s="76"/>
      <c r="E2" s="76" t="s">
        <v>509</v>
      </c>
      <c r="F2" s="76"/>
      <c r="G2" s="76" t="s">
        <v>509</v>
      </c>
      <c r="H2" s="76" t="s">
        <v>509</v>
      </c>
      <c r="I2" s="76"/>
      <c r="J2" s="76" t="s">
        <v>509</v>
      </c>
      <c r="K2" s="76"/>
      <c r="L2" s="102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102"/>
      <c r="AO2" s="76"/>
      <c r="AP2" s="76" t="s">
        <v>922</v>
      </c>
      <c r="AQ2" s="76"/>
      <c r="AR2" s="76" t="s">
        <v>922</v>
      </c>
      <c r="AS2" s="76"/>
      <c r="AT2" s="76"/>
      <c r="AU2" s="76"/>
      <c r="AV2" s="76"/>
      <c r="AW2" s="76"/>
      <c r="AX2" s="76"/>
      <c r="AY2" s="102"/>
      <c r="AZ2" s="76"/>
      <c r="BA2" s="76"/>
      <c r="BB2" s="76"/>
      <c r="BC2" s="76"/>
      <c r="BD2" s="76"/>
      <c r="BE2" s="76"/>
      <c r="BF2" s="76"/>
      <c r="BG2" s="76"/>
      <c r="BH2" s="76"/>
      <c r="BI2" s="76"/>
      <c r="BJ2" s="76"/>
      <c r="BK2" s="76"/>
      <c r="BL2" s="76"/>
      <c r="BM2" s="76"/>
      <c r="BN2" s="76" t="s">
        <v>922</v>
      </c>
      <c r="BO2" s="76"/>
      <c r="BP2" s="76"/>
      <c r="BQ2" s="76"/>
      <c r="BR2" s="76"/>
      <c r="BS2" s="76"/>
      <c r="BT2" s="76"/>
      <c r="BU2" s="76"/>
      <c r="BV2" s="76"/>
      <c r="BW2" s="76"/>
      <c r="BX2" s="76"/>
      <c r="BY2" s="76"/>
      <c r="BZ2" s="76"/>
      <c r="CA2" s="76"/>
      <c r="CB2" s="76"/>
      <c r="CC2" s="76"/>
      <c r="CD2" s="76"/>
      <c r="CE2" s="76"/>
      <c r="CF2" s="76"/>
      <c r="CG2" s="76"/>
      <c r="CH2" s="76"/>
      <c r="CI2" s="76"/>
      <c r="CJ2" s="76"/>
      <c r="CK2" s="76"/>
      <c r="CL2" s="76"/>
      <c r="CM2" s="76"/>
      <c r="CN2" s="76"/>
      <c r="CO2" s="76"/>
      <c r="CP2" s="76"/>
      <c r="CQ2" s="100"/>
      <c r="CR2" s="33"/>
      <c r="CS2" s="33"/>
      <c r="CT2" s="76"/>
      <c r="CU2" s="76"/>
      <c r="CV2" s="76"/>
      <c r="CW2" s="76"/>
      <c r="CX2" s="76"/>
      <c r="CY2" s="76"/>
      <c r="CZ2" s="76"/>
      <c r="DA2" s="76"/>
      <c r="DB2" s="76" t="s">
        <v>509</v>
      </c>
      <c r="DC2" s="76"/>
      <c r="DD2" s="76"/>
      <c r="DE2" s="76"/>
      <c r="DF2" s="76"/>
      <c r="DG2" s="76"/>
      <c r="DH2" s="76"/>
      <c r="DI2" s="76"/>
      <c r="DJ2" s="76"/>
    </row>
    <row r="3" spans="1:115" s="76" customFormat="1" ht="15" customHeight="1" x14ac:dyDescent="0.2">
      <c r="A3" s="7" t="s">
        <v>29</v>
      </c>
      <c r="B3" s="4" t="s">
        <v>906</v>
      </c>
      <c r="C3" s="4" t="s">
        <v>94</v>
      </c>
      <c r="D3" s="77" t="s">
        <v>163</v>
      </c>
      <c r="E3" s="77" t="s">
        <v>98</v>
      </c>
      <c r="F3" s="77" t="s">
        <v>96</v>
      </c>
      <c r="G3" s="77" t="s">
        <v>156</v>
      </c>
      <c r="H3" s="77" t="s">
        <v>158</v>
      </c>
      <c r="I3" s="77" t="s">
        <v>157</v>
      </c>
      <c r="J3" s="77" t="s">
        <v>160</v>
      </c>
      <c r="K3" s="77" t="s">
        <v>161</v>
      </c>
      <c r="L3" s="77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77"/>
      <c r="AO3" s="77" t="s">
        <v>164</v>
      </c>
      <c r="AP3" s="77" t="s">
        <v>166</v>
      </c>
      <c r="AQ3" s="77" t="s">
        <v>168</v>
      </c>
      <c r="AR3" s="77" t="s">
        <v>171</v>
      </c>
      <c r="AS3" s="77" t="s">
        <v>286</v>
      </c>
      <c r="AT3" s="77" t="s">
        <v>288</v>
      </c>
      <c r="AU3" s="77" t="s">
        <v>728</v>
      </c>
      <c r="AV3" s="77" t="s">
        <v>292</v>
      </c>
      <c r="AW3" s="77" t="s">
        <v>294</v>
      </c>
      <c r="AX3" s="77" t="s">
        <v>295</v>
      </c>
      <c r="AY3" s="77" t="s">
        <v>298</v>
      </c>
      <c r="AZ3" s="77" t="s">
        <v>302</v>
      </c>
      <c r="BA3" s="77" t="s">
        <v>304</v>
      </c>
      <c r="BB3" s="77" t="s">
        <v>305</v>
      </c>
      <c r="BC3" s="77" t="s">
        <v>308</v>
      </c>
      <c r="BD3" s="77" t="s">
        <v>338</v>
      </c>
      <c r="BE3" s="77" t="s">
        <v>340</v>
      </c>
      <c r="BF3" s="77" t="s">
        <v>342</v>
      </c>
      <c r="BG3" s="77" t="s">
        <v>725</v>
      </c>
      <c r="BH3" s="77" t="s">
        <v>865</v>
      </c>
      <c r="BI3" s="77" t="s">
        <v>344</v>
      </c>
      <c r="BJ3" s="77" t="s">
        <v>867</v>
      </c>
      <c r="BK3" s="77" t="s">
        <v>346</v>
      </c>
      <c r="BL3" s="77" t="s">
        <v>360</v>
      </c>
      <c r="BM3" s="77" t="s">
        <v>362</v>
      </c>
      <c r="BN3" s="77" t="s">
        <v>364</v>
      </c>
      <c r="BO3" s="77" t="s">
        <v>366</v>
      </c>
      <c r="BP3" s="77" t="s">
        <v>368</v>
      </c>
      <c r="BQ3" s="77" t="s">
        <v>370</v>
      </c>
      <c r="BR3" s="77" t="s">
        <v>386</v>
      </c>
      <c r="BS3" s="77" t="s">
        <v>387</v>
      </c>
      <c r="BT3" s="77" t="s">
        <v>402</v>
      </c>
      <c r="BU3" s="77" t="s">
        <v>869</v>
      </c>
      <c r="BV3" s="77" t="s">
        <v>465</v>
      </c>
      <c r="BW3" s="77" t="s">
        <v>467</v>
      </c>
      <c r="BX3" s="77" t="s">
        <v>475</v>
      </c>
      <c r="BY3" s="77" t="s">
        <v>469</v>
      </c>
      <c r="BZ3" s="77" t="s">
        <v>480</v>
      </c>
      <c r="CA3" s="77" t="s">
        <v>481</v>
      </c>
      <c r="CB3" s="77" t="s">
        <v>484</v>
      </c>
      <c r="CC3" s="77" t="s">
        <v>907</v>
      </c>
      <c r="CD3" s="77" t="s">
        <v>486</v>
      </c>
      <c r="CE3" s="77" t="s">
        <v>488</v>
      </c>
      <c r="CF3" s="77" t="s">
        <v>871</v>
      </c>
      <c r="CG3" s="77" t="s">
        <v>873</v>
      </c>
      <c r="CH3" s="77" t="s">
        <v>491</v>
      </c>
      <c r="CI3" s="77" t="s">
        <v>493</v>
      </c>
      <c r="CJ3" s="77" t="s">
        <v>495</v>
      </c>
      <c r="CK3" s="77" t="s">
        <v>497</v>
      </c>
      <c r="CL3" s="77" t="s">
        <v>499</v>
      </c>
      <c r="CM3" s="77" t="s">
        <v>616</v>
      </c>
      <c r="CN3" s="77" t="s">
        <v>617</v>
      </c>
      <c r="CO3" s="77" t="s">
        <v>700</v>
      </c>
      <c r="CP3" s="77" t="s">
        <v>701</v>
      </c>
      <c r="CQ3" s="33"/>
      <c r="CR3" s="33" t="s">
        <v>892</v>
      </c>
      <c r="CS3" s="33" t="s">
        <v>894</v>
      </c>
      <c r="CT3" s="77" t="s">
        <v>702</v>
      </c>
      <c r="CU3" s="77" t="s">
        <v>704</v>
      </c>
      <c r="CV3" s="77" t="s">
        <v>911</v>
      </c>
      <c r="CW3" s="77" t="s">
        <v>706</v>
      </c>
      <c r="CX3" s="77" t="s">
        <v>708</v>
      </c>
      <c r="CY3" s="77" t="s">
        <v>896</v>
      </c>
      <c r="CZ3" s="77" t="s">
        <v>898</v>
      </c>
      <c r="DA3" s="77" t="s">
        <v>900</v>
      </c>
      <c r="DB3" s="77" t="s">
        <v>710</v>
      </c>
      <c r="DC3" s="77" t="s">
        <v>712</v>
      </c>
      <c r="DD3" s="77" t="s">
        <v>714</v>
      </c>
      <c r="DE3" s="77" t="s">
        <v>716</v>
      </c>
      <c r="DF3" s="77" t="s">
        <v>717</v>
      </c>
      <c r="DG3" s="77" t="s">
        <v>719</v>
      </c>
      <c r="DH3" s="77" t="s">
        <v>836</v>
      </c>
      <c r="DI3" s="77" t="s">
        <v>721</v>
      </c>
      <c r="DJ3" s="77" t="s">
        <v>723</v>
      </c>
      <c r="DK3" s="76" t="s">
        <v>32</v>
      </c>
    </row>
    <row r="4" spans="1:115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287</v>
      </c>
      <c r="AT4" s="14" t="s">
        <v>289</v>
      </c>
      <c r="AU4" s="14" t="s">
        <v>729</v>
      </c>
      <c r="AV4" s="14" t="s">
        <v>730</v>
      </c>
      <c r="AW4" s="14" t="s">
        <v>293</v>
      </c>
      <c r="AX4" s="14" t="s">
        <v>296</v>
      </c>
      <c r="AY4" s="14" t="s">
        <v>299</v>
      </c>
      <c r="AZ4" s="14" t="s">
        <v>303</v>
      </c>
      <c r="BA4" s="14" t="s">
        <v>306</v>
      </c>
      <c r="BB4" s="14" t="s">
        <v>307</v>
      </c>
      <c r="BC4" s="14" t="s">
        <v>309</v>
      </c>
      <c r="BD4" s="14" t="s">
        <v>339</v>
      </c>
      <c r="BE4" s="14" t="s">
        <v>341</v>
      </c>
      <c r="BF4" s="14" t="s">
        <v>343</v>
      </c>
      <c r="BG4" s="14" t="s">
        <v>726</v>
      </c>
      <c r="BH4" s="14" t="s">
        <v>866</v>
      </c>
      <c r="BI4" s="14" t="s">
        <v>345</v>
      </c>
      <c r="BJ4" s="14" t="s">
        <v>868</v>
      </c>
      <c r="BK4" s="14" t="s">
        <v>347</v>
      </c>
      <c r="BL4" s="14" t="s">
        <v>361</v>
      </c>
      <c r="BM4" s="14" t="s">
        <v>363</v>
      </c>
      <c r="BN4" s="14" t="s">
        <v>365</v>
      </c>
      <c r="BO4" s="14" t="s">
        <v>367</v>
      </c>
      <c r="BP4" s="14" t="s">
        <v>369</v>
      </c>
      <c r="BQ4" s="14" t="s">
        <v>371</v>
      </c>
      <c r="BR4" s="14" t="s">
        <v>33</v>
      </c>
      <c r="BS4" s="14" t="s">
        <v>388</v>
      </c>
      <c r="BT4" s="14" t="s">
        <v>403</v>
      </c>
      <c r="BU4" s="14" t="s">
        <v>870</v>
      </c>
      <c r="BV4" s="14" t="s">
        <v>466</v>
      </c>
      <c r="BW4" s="14" t="s">
        <v>468</v>
      </c>
      <c r="BX4" s="14" t="s">
        <v>476</v>
      </c>
      <c r="BY4" s="14" t="s">
        <v>470</v>
      </c>
      <c r="BZ4" s="14" t="s">
        <v>483</v>
      </c>
      <c r="CA4" s="14" t="s">
        <v>482</v>
      </c>
      <c r="CB4" s="14" t="s">
        <v>485</v>
      </c>
      <c r="CC4" s="14" t="s">
        <v>908</v>
      </c>
      <c r="CD4" s="14" t="s">
        <v>487</v>
      </c>
      <c r="CE4" s="14" t="s">
        <v>489</v>
      </c>
      <c r="CF4" s="14" t="s">
        <v>872</v>
      </c>
      <c r="CG4" s="14" t="s">
        <v>874</v>
      </c>
      <c r="CH4" s="14" t="s">
        <v>492</v>
      </c>
      <c r="CI4" s="14" t="s">
        <v>494</v>
      </c>
      <c r="CJ4" s="14" t="s">
        <v>496</v>
      </c>
      <c r="CK4" s="14" t="s">
        <v>498</v>
      </c>
      <c r="CL4" s="14" t="s">
        <v>500</v>
      </c>
      <c r="CM4" s="14" t="s">
        <v>619</v>
      </c>
      <c r="CN4" s="14" t="s">
        <v>618</v>
      </c>
      <c r="CO4" s="14" t="s">
        <v>614</v>
      </c>
      <c r="CP4" s="14" t="s">
        <v>615</v>
      </c>
      <c r="CQ4" s="14"/>
      <c r="CR4" s="14" t="s">
        <v>893</v>
      </c>
      <c r="CS4" s="14" t="s">
        <v>895</v>
      </c>
      <c r="CT4" s="14" t="s">
        <v>703</v>
      </c>
      <c r="CU4" s="14" t="s">
        <v>705</v>
      </c>
      <c r="CV4" s="14" t="s">
        <v>912</v>
      </c>
      <c r="CW4" s="14" t="s">
        <v>707</v>
      </c>
      <c r="CX4" s="14" t="s">
        <v>709</v>
      </c>
      <c r="CY4" s="14" t="s">
        <v>897</v>
      </c>
      <c r="CZ4" s="14" t="s">
        <v>899</v>
      </c>
      <c r="DA4" s="14" t="s">
        <v>901</v>
      </c>
      <c r="DB4" s="14" t="s">
        <v>711</v>
      </c>
      <c r="DC4" s="14" t="s">
        <v>713</v>
      </c>
      <c r="DD4" s="14" t="s">
        <v>715</v>
      </c>
      <c r="DE4" s="14" t="s">
        <v>713</v>
      </c>
      <c r="DF4" s="14" t="s">
        <v>718</v>
      </c>
      <c r="DG4" s="14" t="s">
        <v>720</v>
      </c>
      <c r="DH4" s="14" t="s">
        <v>837</v>
      </c>
      <c r="DI4" s="14" t="s">
        <v>722</v>
      </c>
      <c r="DJ4" s="14" t="s">
        <v>724</v>
      </c>
      <c r="DK4" s="5" t="s">
        <v>835</v>
      </c>
    </row>
    <row r="5" spans="1:115" x14ac:dyDescent="0.2">
      <c r="A5" s="7" t="str">
        <f>"Execução "&amp;ROW()-4</f>
        <v>Execução 1</v>
      </c>
      <c r="B5" s="87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79" t="s">
        <v>4</v>
      </c>
      <c r="H5" s="79" t="s">
        <v>15</v>
      </c>
      <c r="I5" s="49" t="str">
        <f>G5</f>
        <v>0581</v>
      </c>
      <c r="J5" s="79" t="s">
        <v>6</v>
      </c>
      <c r="K5" s="79"/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 t="s">
        <v>109</v>
      </c>
      <c r="V5" s="45" t="s">
        <v>110</v>
      </c>
      <c r="W5" s="45" t="s">
        <v>111</v>
      </c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297</v>
      </c>
      <c r="AP5" s="43" t="str">
        <f>IFERROR(IF(INDEX('MM01-BOB'!$A:$DM,MATCH('MM01'!$B5,'MM01-BOB'!$B:$B,0),MATCH('MM01'!AP$3,'MM01-BOB'!$3:$3,0))=0,"",INDEX('MM01-BOB'!$A:$DM,MATCH('MM01'!$B5,'MM01-BOB'!$B:$B,0),MATCH('MM01'!AP$3,'MM01-BOB'!$3:$3,0))),"")</f>
        <v/>
      </c>
      <c r="AQ5" s="45"/>
      <c r="AR5" s="43" t="str">
        <f>IFERROR(IF(INDEX('MM01-BOB'!$A:$DM,MATCH('MM01'!$B5,'MM01-BOB'!$B:$B,0),MATCH('MM01'!AR$3,'MM01-BOB'!$3:$3,0))=0,"",INDEX('MM01-BOB'!$A:$DM,MATCH('MM01'!$B5,'MM01-BOB'!$B:$B,0),MATCH('MM01'!AR$3,'MM01-BOB'!$3:$3,0))),"")</f>
        <v/>
      </c>
      <c r="AS5" s="45"/>
      <c r="AT5" s="46" t="str">
        <f ca="1">IF(AS5&lt;&gt;0,TEXT(TODAY(),"DD.MM.AAAA"),"")</f>
        <v/>
      </c>
      <c r="AU5" s="50" t="s">
        <v>203</v>
      </c>
      <c r="AV5" s="44">
        <v>1</v>
      </c>
      <c r="AW5" s="43">
        <f>IFERROR(IF(AV5&lt;&gt;0,ROUND(AV5,3),""),"")</f>
        <v>1</v>
      </c>
      <c r="AX5" s="48" t="s">
        <v>297</v>
      </c>
      <c r="AY5" s="43" t="str">
        <f>IFERROR(IF(INDEX('MM01-BOB'!$A:$DM,MATCH('MM01'!$B5,'MM01-BOB'!$B:$B,0),MATCH('MM01'!AY$3,'MM01-BOB'!$3:$3,0))=0,"",INDEX('MM01-BOB'!$A:$DM,MATCH('MM01'!$B5,'MM01-BOB'!$B:$B,0),MATCH('MM01'!AY$3,'MM01-BOB'!$3:$3,0))),"")</f>
        <v/>
      </c>
      <c r="AZ5" s="44"/>
      <c r="BA5" s="44"/>
      <c r="BB5" s="47"/>
      <c r="BC5" s="50" t="s">
        <v>4</v>
      </c>
      <c r="BD5" s="50">
        <v>1</v>
      </c>
      <c r="BE5" s="50" t="s">
        <v>192</v>
      </c>
      <c r="BF5" s="50" t="s">
        <v>192</v>
      </c>
      <c r="BG5" s="50" t="s">
        <v>727</v>
      </c>
      <c r="BH5" s="44">
        <v>0</v>
      </c>
      <c r="BI5" s="44">
        <v>1</v>
      </c>
      <c r="BJ5" s="44">
        <v>0</v>
      </c>
      <c r="BK5" s="44" t="s">
        <v>348</v>
      </c>
      <c r="BL5" s="50" t="s">
        <v>195</v>
      </c>
      <c r="BM5" s="50" t="s">
        <v>195</v>
      </c>
      <c r="BN5" s="43" t="str">
        <f>IFERROR(IF(INDEX('MM01-BOB'!$A:$DM,MATCH('MM01'!$B5,'MM01-BOB'!$B:$B,0),MATCH('MM01'!BN$3,'MM01-BOB'!$3:$3,0))=0,"",INDEX('MM01-BOB'!$A:$DM,MATCH('MM01'!$B5,'MM01-BOB'!$B:$B,0),MATCH('MM01'!BN$3,'MM01-BOB'!$3:$3,0))),"")</f>
        <v/>
      </c>
      <c r="BO5" s="44"/>
      <c r="BP5" s="50">
        <v>0</v>
      </c>
      <c r="BQ5" s="45" t="s">
        <v>378</v>
      </c>
      <c r="BR5" s="45" t="s">
        <v>84</v>
      </c>
      <c r="BS5" s="43" t="str">
        <f>RIGHT(G5,3)</f>
        <v>581</v>
      </c>
      <c r="BT5" s="45" t="s">
        <v>426</v>
      </c>
      <c r="BU5" s="80"/>
      <c r="BV5" s="45">
        <v>1</v>
      </c>
      <c r="BW5" s="45" t="s">
        <v>471</v>
      </c>
      <c r="BX5" s="45"/>
      <c r="BY5" s="44"/>
      <c r="BZ5" s="49" t="str">
        <f>H5</f>
        <v>0120</v>
      </c>
      <c r="CA5" s="49" t="str">
        <f>H5</f>
        <v>0120</v>
      </c>
      <c r="CB5" s="45"/>
      <c r="CC5" s="44">
        <v>1</v>
      </c>
      <c r="CD5" s="44">
        <v>2</v>
      </c>
      <c r="CE5" s="50" t="s">
        <v>490</v>
      </c>
      <c r="CF5" s="80">
        <v>2</v>
      </c>
      <c r="CG5" s="80">
        <v>7</v>
      </c>
      <c r="CH5" s="44" t="s">
        <v>348</v>
      </c>
      <c r="CI5" s="44">
        <v>2</v>
      </c>
      <c r="CJ5" s="44">
        <v>42</v>
      </c>
      <c r="CK5" s="44">
        <v>10</v>
      </c>
      <c r="CL5" s="43" t="str">
        <f>"K00_R_"&amp;G5</f>
        <v>K00_R_0581</v>
      </c>
      <c r="CM5" s="43">
        <f>IF(CN5&lt;&gt;0,1,"")</f>
        <v>1</v>
      </c>
      <c r="CN5" s="55" t="s">
        <v>909</v>
      </c>
      <c r="CO5" s="43" t="str">
        <f ca="1">IF(CN5&lt;&gt;0,TEXT(TODAY(),"dd.mm.aaaa"),"")</f>
        <v>17.05.2022</v>
      </c>
      <c r="CP5" s="43" t="str">
        <f>IF(CN5&lt;&gt;0,"31.12.9999","")</f>
        <v>31.12.9999</v>
      </c>
      <c r="CR5" s="44">
        <v>2</v>
      </c>
      <c r="CS5" s="44"/>
      <c r="CT5" s="44">
        <v>1</v>
      </c>
      <c r="CU5" s="44" t="s">
        <v>910</v>
      </c>
      <c r="CV5" s="44">
        <v>12</v>
      </c>
      <c r="CW5" s="43">
        <f>IF(OR(AO5="M",AO5="KG"),0.01,1)</f>
        <v>0.01</v>
      </c>
      <c r="CX5" s="43" t="str">
        <f>AO5</f>
        <v>KG</v>
      </c>
      <c r="CY5" s="44">
        <v>1</v>
      </c>
      <c r="CZ5" s="50" t="s">
        <v>223</v>
      </c>
      <c r="DA5" s="50" t="s">
        <v>902</v>
      </c>
      <c r="DB5" s="43" t="str">
        <f>IFERROR(IF(INDEX(Estrutura_P01[#All],MATCH($D5,Estrutura_P01[[#All],[txtMAKT-MAKTX]],0),MATCH(DB$3,Estrutura_P01[#Headers],0))=0,"",INDEX(Estrutura_P01[#All],MATCH($D5,Estrutura_P01[[#All],[txtMAKT-MAKTX]],0),MATCH(DB$3,Estrutura_P01[#Headers],0))),"")</f>
        <v/>
      </c>
      <c r="DC5" s="44">
        <v>1000</v>
      </c>
      <c r="DD5" s="60">
        <v>1</v>
      </c>
      <c r="DE5" s="44"/>
      <c r="DF5" s="44">
        <v>1</v>
      </c>
      <c r="DG5" s="44">
        <v>0</v>
      </c>
      <c r="DH5" s="44" t="s">
        <v>913</v>
      </c>
      <c r="DI5" s="45">
        <v>0</v>
      </c>
      <c r="DJ5" s="44">
        <v>1000</v>
      </c>
      <c r="DK5" s="65"/>
    </row>
    <row r="6" spans="1:115" x14ac:dyDescent="0.2">
      <c r="A6" s="7" t="str">
        <f t="shared" ref="A6:A40" si="0">"Execução "&amp;ROW()-4</f>
        <v>Execução 2</v>
      </c>
      <c r="B6" s="87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79" t="s">
        <v>4</v>
      </c>
      <c r="H6" s="79" t="s">
        <v>15</v>
      </c>
      <c r="I6" s="49" t="str">
        <f t="shared" ref="I6:I40" si="2">G6</f>
        <v>0581</v>
      </c>
      <c r="J6" s="79" t="s">
        <v>6</v>
      </c>
      <c r="K6" s="79"/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 t="s">
        <v>109</v>
      </c>
      <c r="V6" s="45" t="s">
        <v>110</v>
      </c>
      <c r="W6" s="45" t="s">
        <v>111</v>
      </c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297</v>
      </c>
      <c r="AP6" s="43" t="str">
        <f>IFERROR(IF(INDEX('MM01-BOB'!$A:$DM,MATCH('MM01'!$B6,'MM01-BOB'!$B:$B,0),MATCH('MM01'!AP$3,'MM01-BOB'!$3:$3,0))=0,"",INDEX('MM01-BOB'!$A:$DM,MATCH('MM01'!$B6,'MM01-BOB'!$B:$B,0),MATCH('MM01'!AP$3,'MM01-BOB'!$3:$3,0))),"")</f>
        <v/>
      </c>
      <c r="AQ6" s="45"/>
      <c r="AR6" s="43" t="str">
        <f>IFERROR(IF(INDEX('MM01-BOB'!$A:$DM,MATCH('MM01'!$B6,'MM01-BOB'!$B:$B,0),MATCH('MM01'!AR$3,'MM01-BOB'!$3:$3,0))=0,"",INDEX('MM01-BOB'!$A:$DM,MATCH('MM01'!$B6,'MM01-BOB'!$B:$B,0),MATCH('MM01'!AR$3,'MM01-BOB'!$3:$3,0))),"")</f>
        <v/>
      </c>
      <c r="AS6" s="45"/>
      <c r="AT6" s="46" t="str">
        <f t="shared" ref="AT6:AT40" ca="1" si="3">IF(AS6&lt;&gt;0,TEXT(TODAY(),"DD.MM.AAAA"),"")</f>
        <v/>
      </c>
      <c r="AU6" s="50" t="s">
        <v>203</v>
      </c>
      <c r="AV6" s="44">
        <v>1</v>
      </c>
      <c r="AW6" s="43">
        <f t="shared" ref="AW6:AW40" si="4">IFERROR(IF(AV6&lt;&gt;0,ROUND(AV6,3),""),"")</f>
        <v>1</v>
      </c>
      <c r="AX6" s="48" t="s">
        <v>297</v>
      </c>
      <c r="AY6" s="43" t="str">
        <f>IFERROR(IF(INDEX('MM01-BOB'!$A:$DM,MATCH('MM01'!$B6,'MM01-BOB'!$B:$B,0),MATCH('MM01'!AY$3,'MM01-BOB'!$3:$3,0))=0,"",INDEX('MM01-BOB'!$A:$DM,MATCH('MM01'!$B6,'MM01-BOB'!$B:$B,0),MATCH('MM01'!AY$3,'MM01-BOB'!$3:$3,0))),"")</f>
        <v/>
      </c>
      <c r="AZ6" s="44"/>
      <c r="BA6" s="44"/>
      <c r="BB6" s="47"/>
      <c r="BC6" s="50" t="s">
        <v>4</v>
      </c>
      <c r="BD6" s="50">
        <v>1</v>
      </c>
      <c r="BE6" s="50" t="s">
        <v>192</v>
      </c>
      <c r="BF6" s="50" t="s">
        <v>192</v>
      </c>
      <c r="BG6" s="50" t="s">
        <v>727</v>
      </c>
      <c r="BH6" s="44">
        <v>0</v>
      </c>
      <c r="BI6" s="44">
        <v>1</v>
      </c>
      <c r="BJ6" s="44">
        <v>0</v>
      </c>
      <c r="BK6" s="44" t="s">
        <v>348</v>
      </c>
      <c r="BL6" s="50" t="s">
        <v>195</v>
      </c>
      <c r="BM6" s="50" t="s">
        <v>195</v>
      </c>
      <c r="BN6" s="43" t="str">
        <f>IFERROR(IF(INDEX('MM01-BOB'!$A:$DM,MATCH('MM01'!$B6,'MM01-BOB'!$B:$B,0),MATCH('MM01'!BN$3,'MM01-BOB'!$3:$3,0))=0,"",INDEX('MM01-BOB'!$A:$DM,MATCH('MM01'!$B6,'MM01-BOB'!$B:$B,0),MATCH('MM01'!BN$3,'MM01-BOB'!$3:$3,0))),"")</f>
        <v/>
      </c>
      <c r="BO6" s="44"/>
      <c r="BP6" s="50">
        <v>0</v>
      </c>
      <c r="BQ6" s="45" t="s">
        <v>378</v>
      </c>
      <c r="BR6" s="45" t="s">
        <v>84</v>
      </c>
      <c r="BS6" s="43" t="str">
        <f t="shared" ref="BS6:BS40" si="5">RIGHT(G6,3)</f>
        <v>581</v>
      </c>
      <c r="BT6" s="45" t="s">
        <v>426</v>
      </c>
      <c r="BU6" s="80"/>
      <c r="BV6" s="45">
        <v>1</v>
      </c>
      <c r="BW6" s="45" t="s">
        <v>471</v>
      </c>
      <c r="BX6" s="45"/>
      <c r="BY6" s="44"/>
      <c r="BZ6" s="49" t="str">
        <f t="shared" ref="BZ6:BZ40" si="6">H6</f>
        <v>0120</v>
      </c>
      <c r="CA6" s="49" t="str">
        <f t="shared" ref="CA6:CA40" si="7">H6</f>
        <v>0120</v>
      </c>
      <c r="CB6" s="45"/>
      <c r="CC6" s="44">
        <v>1</v>
      </c>
      <c r="CD6" s="44">
        <v>2</v>
      </c>
      <c r="CE6" s="50" t="s">
        <v>490</v>
      </c>
      <c r="CF6" s="80">
        <v>2</v>
      </c>
      <c r="CG6" s="80">
        <v>7</v>
      </c>
      <c r="CH6" s="44" t="s">
        <v>348</v>
      </c>
      <c r="CI6" s="44">
        <v>2</v>
      </c>
      <c r="CJ6" s="44">
        <v>42</v>
      </c>
      <c r="CK6" s="44">
        <v>10</v>
      </c>
      <c r="CL6" s="43" t="str">
        <f t="shared" ref="CL6:CL40" si="8">"K00_R_"&amp;G6</f>
        <v>K00_R_0581</v>
      </c>
      <c r="CM6" s="43">
        <f t="shared" ref="CM6:CM40" si="9">IF(CN6&lt;&gt;0,1,"")</f>
        <v>1</v>
      </c>
      <c r="CN6" s="55" t="s">
        <v>909</v>
      </c>
      <c r="CO6" s="43" t="str">
        <f t="shared" ref="CO6:CO40" ca="1" si="10">IF(CN6&lt;&gt;0,TEXT(TODAY(),"dd.mm.aaaa"),"")</f>
        <v>17.05.2022</v>
      </c>
      <c r="CP6" s="43" t="str">
        <f t="shared" ref="CP6:CP40" si="11">IF(CN6&lt;&gt;0,"31.12.9999","")</f>
        <v>31.12.9999</v>
      </c>
      <c r="CR6" s="44">
        <v>2</v>
      </c>
      <c r="CS6" s="44"/>
      <c r="CT6" s="44">
        <v>1</v>
      </c>
      <c r="CU6" s="44" t="s">
        <v>910</v>
      </c>
      <c r="CV6" s="44">
        <v>12</v>
      </c>
      <c r="CW6" s="43">
        <f t="shared" ref="CW6:CW40" si="12">IF(OR(AO6="M",AO6="KG"),0.01,1)</f>
        <v>0.01</v>
      </c>
      <c r="CX6" s="43" t="str">
        <f t="shared" ref="CX6:CX40" si="13">AO6</f>
        <v>KG</v>
      </c>
      <c r="CY6" s="44">
        <v>1</v>
      </c>
      <c r="CZ6" s="50" t="s">
        <v>223</v>
      </c>
      <c r="DA6" s="50" t="s">
        <v>902</v>
      </c>
      <c r="DB6" s="43" t="str">
        <f>IFERROR(IF(INDEX(Estrutura_P01[#All],MATCH($D6,Estrutura_P01[[#All],[txtMAKT-MAKTX]],0),MATCH(DB$3,Estrutura_P01[#Headers],0))=0,"",INDEX(Estrutura_P01[#All],MATCH($D6,Estrutura_P01[[#All],[txtMAKT-MAKTX]],0),MATCH(DB$3,Estrutura_P01[#Headers],0))),"")</f>
        <v/>
      </c>
      <c r="DC6" s="44">
        <v>1000</v>
      </c>
      <c r="DD6" s="60">
        <v>1</v>
      </c>
      <c r="DE6" s="44"/>
      <c r="DF6" s="44">
        <v>1</v>
      </c>
      <c r="DG6" s="44">
        <v>0</v>
      </c>
      <c r="DH6" s="44" t="s">
        <v>913</v>
      </c>
      <c r="DI6" s="45">
        <v>0</v>
      </c>
      <c r="DJ6" s="44">
        <v>1000</v>
      </c>
      <c r="DK6" s="65"/>
    </row>
    <row r="7" spans="1:115" x14ac:dyDescent="0.2">
      <c r="A7" s="7" t="str">
        <f t="shared" si="0"/>
        <v>Execução 3</v>
      </c>
      <c r="B7" s="87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79" t="s">
        <v>4</v>
      </c>
      <c r="H7" s="79" t="s">
        <v>15</v>
      </c>
      <c r="I7" s="49" t="str">
        <f t="shared" si="2"/>
        <v>0581</v>
      </c>
      <c r="J7" s="79" t="s">
        <v>6</v>
      </c>
      <c r="K7" s="79"/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 t="s">
        <v>109</v>
      </c>
      <c r="V7" s="45" t="s">
        <v>110</v>
      </c>
      <c r="W7" s="45" t="s">
        <v>111</v>
      </c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297</v>
      </c>
      <c r="AP7" s="43" t="str">
        <f>IFERROR(IF(INDEX('MM01-BOB'!$A:$DM,MATCH('MM01'!$B7,'MM01-BOB'!$B:$B,0),MATCH('MM01'!AP$3,'MM01-BOB'!$3:$3,0))=0,"",INDEX('MM01-BOB'!$A:$DM,MATCH('MM01'!$B7,'MM01-BOB'!$B:$B,0),MATCH('MM01'!AP$3,'MM01-BOB'!$3:$3,0))),"")</f>
        <v/>
      </c>
      <c r="AQ7" s="45"/>
      <c r="AR7" s="43" t="str">
        <f>IFERROR(IF(INDEX('MM01-BOB'!$A:$DM,MATCH('MM01'!$B7,'MM01-BOB'!$B:$B,0),MATCH('MM01'!AR$3,'MM01-BOB'!$3:$3,0))=0,"",INDEX('MM01-BOB'!$A:$DM,MATCH('MM01'!$B7,'MM01-BOB'!$B:$B,0),MATCH('MM01'!AR$3,'MM01-BOB'!$3:$3,0))),"")</f>
        <v/>
      </c>
      <c r="AS7" s="45"/>
      <c r="AT7" s="46" t="str">
        <f t="shared" ca="1" si="3"/>
        <v/>
      </c>
      <c r="AU7" s="50" t="s">
        <v>203</v>
      </c>
      <c r="AV7" s="44">
        <v>1</v>
      </c>
      <c r="AW7" s="43">
        <f t="shared" si="4"/>
        <v>1</v>
      </c>
      <c r="AX7" s="48" t="s">
        <v>297</v>
      </c>
      <c r="AY7" s="43" t="str">
        <f>IFERROR(IF(INDEX('MM01-BOB'!$A:$DM,MATCH('MM01'!$B7,'MM01-BOB'!$B:$B,0),MATCH('MM01'!AY$3,'MM01-BOB'!$3:$3,0))=0,"",INDEX('MM01-BOB'!$A:$DM,MATCH('MM01'!$B7,'MM01-BOB'!$B:$B,0),MATCH('MM01'!AY$3,'MM01-BOB'!$3:$3,0))),"")</f>
        <v/>
      </c>
      <c r="AZ7" s="44"/>
      <c r="BA7" s="44"/>
      <c r="BB7" s="47"/>
      <c r="BC7" s="50" t="s">
        <v>4</v>
      </c>
      <c r="BD7" s="50">
        <v>1</v>
      </c>
      <c r="BE7" s="50" t="s">
        <v>192</v>
      </c>
      <c r="BF7" s="50" t="s">
        <v>192</v>
      </c>
      <c r="BG7" s="50" t="s">
        <v>727</v>
      </c>
      <c r="BH7" s="44">
        <v>0</v>
      </c>
      <c r="BI7" s="44">
        <v>1</v>
      </c>
      <c r="BJ7" s="44">
        <v>0</v>
      </c>
      <c r="BK7" s="44" t="s">
        <v>348</v>
      </c>
      <c r="BL7" s="50" t="s">
        <v>195</v>
      </c>
      <c r="BM7" s="50" t="s">
        <v>195</v>
      </c>
      <c r="BN7" s="43" t="str">
        <f>IFERROR(IF(INDEX('MM01-BOB'!$A:$DM,MATCH('MM01'!$B7,'MM01-BOB'!$B:$B,0),MATCH('MM01'!BN$3,'MM01-BOB'!$3:$3,0))=0,"",INDEX('MM01-BOB'!$A:$DM,MATCH('MM01'!$B7,'MM01-BOB'!$B:$B,0),MATCH('MM01'!BN$3,'MM01-BOB'!$3:$3,0))),"")</f>
        <v/>
      </c>
      <c r="BO7" s="44"/>
      <c r="BP7" s="50">
        <v>0</v>
      </c>
      <c r="BQ7" s="45" t="s">
        <v>378</v>
      </c>
      <c r="BR7" s="45" t="s">
        <v>84</v>
      </c>
      <c r="BS7" s="43" t="str">
        <f t="shared" si="5"/>
        <v>581</v>
      </c>
      <c r="BT7" s="45" t="s">
        <v>426</v>
      </c>
      <c r="BU7" s="80"/>
      <c r="BV7" s="45">
        <v>1</v>
      </c>
      <c r="BW7" s="45" t="s">
        <v>471</v>
      </c>
      <c r="BX7" s="45"/>
      <c r="BY7" s="44"/>
      <c r="BZ7" s="49" t="str">
        <f t="shared" si="6"/>
        <v>0120</v>
      </c>
      <c r="CA7" s="49" t="str">
        <f t="shared" si="7"/>
        <v>0120</v>
      </c>
      <c r="CB7" s="45"/>
      <c r="CC7" s="44">
        <v>1</v>
      </c>
      <c r="CD7" s="44">
        <v>2</v>
      </c>
      <c r="CE7" s="50" t="s">
        <v>490</v>
      </c>
      <c r="CF7" s="80">
        <v>2</v>
      </c>
      <c r="CG7" s="80">
        <v>7</v>
      </c>
      <c r="CH7" s="44" t="s">
        <v>348</v>
      </c>
      <c r="CI7" s="44">
        <v>2</v>
      </c>
      <c r="CJ7" s="44">
        <v>42</v>
      </c>
      <c r="CK7" s="44">
        <v>10</v>
      </c>
      <c r="CL7" s="43" t="str">
        <f t="shared" si="8"/>
        <v>K00_R_0581</v>
      </c>
      <c r="CM7" s="43">
        <f t="shared" si="9"/>
        <v>1</v>
      </c>
      <c r="CN7" s="55" t="s">
        <v>909</v>
      </c>
      <c r="CO7" s="43" t="str">
        <f t="shared" ca="1" si="10"/>
        <v>17.05.2022</v>
      </c>
      <c r="CP7" s="43" t="str">
        <f t="shared" si="11"/>
        <v>31.12.9999</v>
      </c>
      <c r="CR7" s="44">
        <v>2</v>
      </c>
      <c r="CS7" s="44"/>
      <c r="CT7" s="44">
        <v>1</v>
      </c>
      <c r="CU7" s="44" t="s">
        <v>910</v>
      </c>
      <c r="CV7" s="44">
        <v>12</v>
      </c>
      <c r="CW7" s="43">
        <f t="shared" si="12"/>
        <v>0.01</v>
      </c>
      <c r="CX7" s="43" t="str">
        <f t="shared" si="13"/>
        <v>KG</v>
      </c>
      <c r="CY7" s="44">
        <v>1</v>
      </c>
      <c r="CZ7" s="50" t="s">
        <v>223</v>
      </c>
      <c r="DA7" s="50" t="s">
        <v>902</v>
      </c>
      <c r="DB7" s="43" t="str">
        <f>IFERROR(IF(INDEX(Estrutura_P01[#All],MATCH($D7,Estrutura_P01[[#All],[txtMAKT-MAKTX]],0),MATCH(DB$3,Estrutura_P01[#Headers],0))=0,"",INDEX(Estrutura_P01[#All],MATCH($D7,Estrutura_P01[[#All],[txtMAKT-MAKTX]],0),MATCH(DB$3,Estrutura_P01[#Headers],0))),"")</f>
        <v/>
      </c>
      <c r="DC7" s="44">
        <v>1000</v>
      </c>
      <c r="DD7" s="60">
        <v>1</v>
      </c>
      <c r="DE7" s="44"/>
      <c r="DF7" s="44">
        <v>1</v>
      </c>
      <c r="DG7" s="44">
        <v>0</v>
      </c>
      <c r="DH7" s="44" t="s">
        <v>913</v>
      </c>
      <c r="DI7" s="45">
        <v>0</v>
      </c>
      <c r="DJ7" s="44">
        <v>1000</v>
      </c>
      <c r="DK7" s="65"/>
    </row>
    <row r="8" spans="1:115" x14ac:dyDescent="0.2">
      <c r="A8" s="7" t="str">
        <f t="shared" si="0"/>
        <v>Execução 4</v>
      </c>
      <c r="B8" s="87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79" t="s">
        <v>4</v>
      </c>
      <c r="H8" s="79" t="s">
        <v>15</v>
      </c>
      <c r="I8" s="49" t="str">
        <f t="shared" si="2"/>
        <v>0581</v>
      </c>
      <c r="J8" s="79" t="s">
        <v>6</v>
      </c>
      <c r="K8" s="79"/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 t="s">
        <v>109</v>
      </c>
      <c r="V8" s="45" t="s">
        <v>110</v>
      </c>
      <c r="W8" s="45" t="s">
        <v>111</v>
      </c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297</v>
      </c>
      <c r="AP8" s="43" t="str">
        <f>IFERROR(IF(INDEX('MM01-BOB'!$A:$DM,MATCH('MM01'!$B8,'MM01-BOB'!$B:$B,0),MATCH('MM01'!AP$3,'MM01-BOB'!$3:$3,0))=0,"",INDEX('MM01-BOB'!$A:$DM,MATCH('MM01'!$B8,'MM01-BOB'!$B:$B,0),MATCH('MM01'!AP$3,'MM01-BOB'!$3:$3,0))),"")</f>
        <v/>
      </c>
      <c r="AQ8" s="45"/>
      <c r="AR8" s="43" t="str">
        <f>IFERROR(IF(INDEX('MM01-BOB'!$A:$DM,MATCH('MM01'!$B8,'MM01-BOB'!$B:$B,0),MATCH('MM01'!AR$3,'MM01-BOB'!$3:$3,0))=0,"",INDEX('MM01-BOB'!$A:$DM,MATCH('MM01'!$B8,'MM01-BOB'!$B:$B,0),MATCH('MM01'!AR$3,'MM01-BOB'!$3:$3,0))),"")</f>
        <v/>
      </c>
      <c r="AS8" s="45"/>
      <c r="AT8" s="46" t="str">
        <f t="shared" ca="1" si="3"/>
        <v/>
      </c>
      <c r="AU8" s="50" t="s">
        <v>203</v>
      </c>
      <c r="AV8" s="44">
        <v>1</v>
      </c>
      <c r="AW8" s="43">
        <f t="shared" si="4"/>
        <v>1</v>
      </c>
      <c r="AX8" s="48" t="s">
        <v>297</v>
      </c>
      <c r="AY8" s="43" t="str">
        <f>IFERROR(IF(INDEX('MM01-BOB'!$A:$DM,MATCH('MM01'!$B8,'MM01-BOB'!$B:$B,0),MATCH('MM01'!AY$3,'MM01-BOB'!$3:$3,0))=0,"",INDEX('MM01-BOB'!$A:$DM,MATCH('MM01'!$B8,'MM01-BOB'!$B:$B,0),MATCH('MM01'!AY$3,'MM01-BOB'!$3:$3,0))),"")</f>
        <v/>
      </c>
      <c r="AZ8" s="44"/>
      <c r="BA8" s="44"/>
      <c r="BB8" s="47"/>
      <c r="BC8" s="50" t="s">
        <v>4</v>
      </c>
      <c r="BD8" s="50">
        <v>1</v>
      </c>
      <c r="BE8" s="50" t="s">
        <v>192</v>
      </c>
      <c r="BF8" s="50" t="s">
        <v>192</v>
      </c>
      <c r="BG8" s="50" t="s">
        <v>727</v>
      </c>
      <c r="BH8" s="44">
        <v>0</v>
      </c>
      <c r="BI8" s="44">
        <v>1</v>
      </c>
      <c r="BJ8" s="44">
        <v>0</v>
      </c>
      <c r="BK8" s="44" t="s">
        <v>348</v>
      </c>
      <c r="BL8" s="50" t="s">
        <v>195</v>
      </c>
      <c r="BM8" s="50" t="s">
        <v>195</v>
      </c>
      <c r="BN8" s="43" t="str">
        <f>IFERROR(IF(INDEX('MM01-BOB'!$A:$DM,MATCH('MM01'!$B8,'MM01-BOB'!$B:$B,0),MATCH('MM01'!BN$3,'MM01-BOB'!$3:$3,0))=0,"",INDEX('MM01-BOB'!$A:$DM,MATCH('MM01'!$B8,'MM01-BOB'!$B:$B,0),MATCH('MM01'!BN$3,'MM01-BOB'!$3:$3,0))),"")</f>
        <v/>
      </c>
      <c r="BO8" s="44"/>
      <c r="BP8" s="50">
        <v>0</v>
      </c>
      <c r="BQ8" s="45" t="s">
        <v>378</v>
      </c>
      <c r="BR8" s="45" t="s">
        <v>84</v>
      </c>
      <c r="BS8" s="43" t="str">
        <f t="shared" si="5"/>
        <v>581</v>
      </c>
      <c r="BT8" s="45" t="s">
        <v>426</v>
      </c>
      <c r="BU8" s="80"/>
      <c r="BV8" s="45">
        <v>1</v>
      </c>
      <c r="BW8" s="45" t="s">
        <v>471</v>
      </c>
      <c r="BX8" s="45"/>
      <c r="BY8" s="44"/>
      <c r="BZ8" s="49" t="str">
        <f t="shared" si="6"/>
        <v>0120</v>
      </c>
      <c r="CA8" s="49" t="str">
        <f t="shared" si="7"/>
        <v>0120</v>
      </c>
      <c r="CB8" s="45"/>
      <c r="CC8" s="44">
        <v>1</v>
      </c>
      <c r="CD8" s="44">
        <v>2</v>
      </c>
      <c r="CE8" s="50" t="s">
        <v>490</v>
      </c>
      <c r="CF8" s="80">
        <v>2</v>
      </c>
      <c r="CG8" s="80">
        <v>7</v>
      </c>
      <c r="CH8" s="44" t="s">
        <v>348</v>
      </c>
      <c r="CI8" s="44">
        <v>2</v>
      </c>
      <c r="CJ8" s="44">
        <v>42</v>
      </c>
      <c r="CK8" s="44">
        <v>10</v>
      </c>
      <c r="CL8" s="43" t="str">
        <f t="shared" si="8"/>
        <v>K00_R_0581</v>
      </c>
      <c r="CM8" s="43">
        <f t="shared" si="9"/>
        <v>1</v>
      </c>
      <c r="CN8" s="55" t="s">
        <v>909</v>
      </c>
      <c r="CO8" s="43" t="str">
        <f t="shared" ca="1" si="10"/>
        <v>17.05.2022</v>
      </c>
      <c r="CP8" s="43" t="str">
        <f t="shared" si="11"/>
        <v>31.12.9999</v>
      </c>
      <c r="CR8" s="44">
        <v>2</v>
      </c>
      <c r="CS8" s="44"/>
      <c r="CT8" s="44">
        <v>1</v>
      </c>
      <c r="CU8" s="44" t="s">
        <v>910</v>
      </c>
      <c r="CV8" s="44">
        <v>12</v>
      </c>
      <c r="CW8" s="43">
        <f t="shared" si="12"/>
        <v>0.01</v>
      </c>
      <c r="CX8" s="43" t="str">
        <f t="shared" si="13"/>
        <v>KG</v>
      </c>
      <c r="CY8" s="44">
        <v>1</v>
      </c>
      <c r="CZ8" s="50" t="s">
        <v>223</v>
      </c>
      <c r="DA8" s="50" t="s">
        <v>902</v>
      </c>
      <c r="DB8" s="43" t="str">
        <f>IFERROR(IF(INDEX(Estrutura_P01[#All],MATCH($D8,Estrutura_P01[[#All],[txtMAKT-MAKTX]],0),MATCH(DB$3,Estrutura_P01[#Headers],0))=0,"",INDEX(Estrutura_P01[#All],MATCH($D8,Estrutura_P01[[#All],[txtMAKT-MAKTX]],0),MATCH(DB$3,Estrutura_P01[#Headers],0))),"")</f>
        <v/>
      </c>
      <c r="DC8" s="44">
        <v>1000</v>
      </c>
      <c r="DD8" s="60">
        <v>1</v>
      </c>
      <c r="DE8" s="44"/>
      <c r="DF8" s="44">
        <v>1</v>
      </c>
      <c r="DG8" s="44">
        <v>0</v>
      </c>
      <c r="DH8" s="44" t="s">
        <v>913</v>
      </c>
      <c r="DI8" s="45">
        <v>0</v>
      </c>
      <c r="DJ8" s="44">
        <v>1000</v>
      </c>
      <c r="DK8" s="65"/>
    </row>
    <row r="9" spans="1:115" x14ac:dyDescent="0.2">
      <c r="A9" s="7" t="str">
        <f t="shared" si="0"/>
        <v>Execução 5</v>
      </c>
      <c r="B9" s="87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79" t="s">
        <v>4</v>
      </c>
      <c r="H9" s="79" t="s">
        <v>15</v>
      </c>
      <c r="I9" s="49" t="str">
        <f t="shared" si="2"/>
        <v>0581</v>
      </c>
      <c r="J9" s="79" t="s">
        <v>6</v>
      </c>
      <c r="K9" s="79"/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 t="s">
        <v>109</v>
      </c>
      <c r="V9" s="45" t="s">
        <v>110</v>
      </c>
      <c r="W9" s="45" t="s">
        <v>111</v>
      </c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297</v>
      </c>
      <c r="AP9" s="43" t="str">
        <f>IFERROR(IF(INDEX('MM01-BOB'!$A:$DM,MATCH('MM01'!$B9,'MM01-BOB'!$B:$B,0),MATCH('MM01'!AP$3,'MM01-BOB'!$3:$3,0))=0,"",INDEX('MM01-BOB'!$A:$DM,MATCH('MM01'!$B9,'MM01-BOB'!$B:$B,0),MATCH('MM01'!AP$3,'MM01-BOB'!$3:$3,0))),"")</f>
        <v/>
      </c>
      <c r="AQ9" s="45"/>
      <c r="AR9" s="43" t="str">
        <f>IFERROR(IF(INDEX('MM01-BOB'!$A:$DM,MATCH('MM01'!$B9,'MM01-BOB'!$B:$B,0),MATCH('MM01'!AR$3,'MM01-BOB'!$3:$3,0))=0,"",INDEX('MM01-BOB'!$A:$DM,MATCH('MM01'!$B9,'MM01-BOB'!$B:$B,0),MATCH('MM01'!AR$3,'MM01-BOB'!$3:$3,0))),"")</f>
        <v/>
      </c>
      <c r="AS9" s="45"/>
      <c r="AT9" s="46" t="str">
        <f t="shared" ca="1" si="3"/>
        <v/>
      </c>
      <c r="AU9" s="50" t="s">
        <v>203</v>
      </c>
      <c r="AV9" s="44">
        <v>1</v>
      </c>
      <c r="AW9" s="43">
        <f t="shared" si="4"/>
        <v>1</v>
      </c>
      <c r="AX9" s="48" t="s">
        <v>297</v>
      </c>
      <c r="AY9" s="43" t="str">
        <f>IFERROR(IF(INDEX('MM01-BOB'!$A:$DM,MATCH('MM01'!$B9,'MM01-BOB'!$B:$B,0),MATCH('MM01'!AY$3,'MM01-BOB'!$3:$3,0))=0,"",INDEX('MM01-BOB'!$A:$DM,MATCH('MM01'!$B9,'MM01-BOB'!$B:$B,0),MATCH('MM01'!AY$3,'MM01-BOB'!$3:$3,0))),"")</f>
        <v/>
      </c>
      <c r="AZ9" s="44"/>
      <c r="BA9" s="44"/>
      <c r="BB9" s="47"/>
      <c r="BC9" s="50" t="s">
        <v>4</v>
      </c>
      <c r="BD9" s="50">
        <v>1</v>
      </c>
      <c r="BE9" s="50" t="s">
        <v>192</v>
      </c>
      <c r="BF9" s="50" t="s">
        <v>192</v>
      </c>
      <c r="BG9" s="50" t="s">
        <v>727</v>
      </c>
      <c r="BH9" s="44">
        <v>0</v>
      </c>
      <c r="BI9" s="44">
        <v>1</v>
      </c>
      <c r="BJ9" s="44">
        <v>0</v>
      </c>
      <c r="BK9" s="44" t="s">
        <v>348</v>
      </c>
      <c r="BL9" s="50" t="s">
        <v>195</v>
      </c>
      <c r="BM9" s="50" t="s">
        <v>195</v>
      </c>
      <c r="BN9" s="43" t="str">
        <f>IFERROR(IF(INDEX('MM01-BOB'!$A:$DM,MATCH('MM01'!$B9,'MM01-BOB'!$B:$B,0),MATCH('MM01'!BN$3,'MM01-BOB'!$3:$3,0))=0,"",INDEX('MM01-BOB'!$A:$DM,MATCH('MM01'!$B9,'MM01-BOB'!$B:$B,0),MATCH('MM01'!BN$3,'MM01-BOB'!$3:$3,0))),"")</f>
        <v/>
      </c>
      <c r="BO9" s="44"/>
      <c r="BP9" s="50">
        <v>0</v>
      </c>
      <c r="BQ9" s="45" t="s">
        <v>378</v>
      </c>
      <c r="BR9" s="45" t="s">
        <v>84</v>
      </c>
      <c r="BS9" s="43" t="str">
        <f t="shared" si="5"/>
        <v>581</v>
      </c>
      <c r="BT9" s="45" t="s">
        <v>426</v>
      </c>
      <c r="BU9" s="80"/>
      <c r="BV9" s="45">
        <v>1</v>
      </c>
      <c r="BW9" s="45" t="s">
        <v>471</v>
      </c>
      <c r="BX9" s="45"/>
      <c r="BY9" s="44"/>
      <c r="BZ9" s="49" t="str">
        <f t="shared" si="6"/>
        <v>0120</v>
      </c>
      <c r="CA9" s="49" t="str">
        <f t="shared" si="7"/>
        <v>0120</v>
      </c>
      <c r="CB9" s="45"/>
      <c r="CC9" s="44">
        <v>1</v>
      </c>
      <c r="CD9" s="44">
        <v>2</v>
      </c>
      <c r="CE9" s="50" t="s">
        <v>490</v>
      </c>
      <c r="CF9" s="80">
        <v>2</v>
      </c>
      <c r="CG9" s="80">
        <v>7</v>
      </c>
      <c r="CH9" s="44" t="s">
        <v>348</v>
      </c>
      <c r="CI9" s="44">
        <v>2</v>
      </c>
      <c r="CJ9" s="44">
        <v>42</v>
      </c>
      <c r="CK9" s="44">
        <v>10</v>
      </c>
      <c r="CL9" s="43" t="str">
        <f t="shared" si="8"/>
        <v>K00_R_0581</v>
      </c>
      <c r="CM9" s="43">
        <f t="shared" si="9"/>
        <v>1</v>
      </c>
      <c r="CN9" s="55" t="s">
        <v>909</v>
      </c>
      <c r="CO9" s="43" t="str">
        <f t="shared" ca="1" si="10"/>
        <v>17.05.2022</v>
      </c>
      <c r="CP9" s="43" t="str">
        <f t="shared" si="11"/>
        <v>31.12.9999</v>
      </c>
      <c r="CR9" s="44">
        <v>2</v>
      </c>
      <c r="CS9" s="44"/>
      <c r="CT9" s="44">
        <v>1</v>
      </c>
      <c r="CU9" s="44" t="s">
        <v>910</v>
      </c>
      <c r="CV9" s="44">
        <v>12</v>
      </c>
      <c r="CW9" s="43">
        <f t="shared" si="12"/>
        <v>0.01</v>
      </c>
      <c r="CX9" s="43" t="str">
        <f t="shared" si="13"/>
        <v>KG</v>
      </c>
      <c r="CY9" s="44">
        <v>1</v>
      </c>
      <c r="CZ9" s="50" t="s">
        <v>223</v>
      </c>
      <c r="DA9" s="50" t="s">
        <v>902</v>
      </c>
      <c r="DB9" s="43" t="str">
        <f>IFERROR(IF(INDEX(Estrutura_P01[#All],MATCH($D9,Estrutura_P01[[#All],[txtMAKT-MAKTX]],0),MATCH(DB$3,Estrutura_P01[#Headers],0))=0,"",INDEX(Estrutura_P01[#All],MATCH($D9,Estrutura_P01[[#All],[txtMAKT-MAKTX]],0),MATCH(DB$3,Estrutura_P01[#Headers],0))),"")</f>
        <v/>
      </c>
      <c r="DC9" s="44">
        <v>1000</v>
      </c>
      <c r="DD9" s="60">
        <v>1</v>
      </c>
      <c r="DE9" s="44"/>
      <c r="DF9" s="44">
        <v>1</v>
      </c>
      <c r="DG9" s="44">
        <v>0</v>
      </c>
      <c r="DH9" s="44" t="s">
        <v>913</v>
      </c>
      <c r="DI9" s="45">
        <v>0</v>
      </c>
      <c r="DJ9" s="44">
        <v>1000</v>
      </c>
      <c r="DK9" s="65"/>
    </row>
    <row r="10" spans="1:115" x14ac:dyDescent="0.2">
      <c r="A10" s="7" t="str">
        <f t="shared" si="0"/>
        <v>Execução 6</v>
      </c>
      <c r="B10" s="87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79" t="s">
        <v>4</v>
      </c>
      <c r="H10" s="79" t="s">
        <v>15</v>
      </c>
      <c r="I10" s="49" t="str">
        <f t="shared" si="2"/>
        <v>0581</v>
      </c>
      <c r="J10" s="79" t="s">
        <v>6</v>
      </c>
      <c r="K10" s="79"/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 t="s">
        <v>109</v>
      </c>
      <c r="V10" s="45" t="s">
        <v>110</v>
      </c>
      <c r="W10" s="45" t="s">
        <v>111</v>
      </c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297</v>
      </c>
      <c r="AP10" s="43" t="str">
        <f>IFERROR(IF(INDEX('MM01-BOB'!$A:$DM,MATCH('MM01'!$B10,'MM01-BOB'!$B:$B,0),MATCH('MM01'!AP$3,'MM01-BOB'!$3:$3,0))=0,"",INDEX('MM01-BOB'!$A:$DM,MATCH('MM01'!$B10,'MM01-BOB'!$B:$B,0),MATCH('MM01'!AP$3,'MM01-BOB'!$3:$3,0))),"")</f>
        <v/>
      </c>
      <c r="AQ10" s="45"/>
      <c r="AR10" s="43" t="str">
        <f>IFERROR(IF(INDEX('MM01-BOB'!$A:$DM,MATCH('MM01'!$B10,'MM01-BOB'!$B:$B,0),MATCH('MM01'!AR$3,'MM01-BOB'!$3:$3,0))=0,"",INDEX('MM01-BOB'!$A:$DM,MATCH('MM01'!$B10,'MM01-BOB'!$B:$B,0),MATCH('MM01'!AR$3,'MM01-BOB'!$3:$3,0))),"")</f>
        <v/>
      </c>
      <c r="AS10" s="45"/>
      <c r="AT10" s="46" t="str">
        <f t="shared" ca="1" si="3"/>
        <v/>
      </c>
      <c r="AU10" s="50" t="s">
        <v>203</v>
      </c>
      <c r="AV10" s="44">
        <v>1</v>
      </c>
      <c r="AW10" s="43">
        <f t="shared" si="4"/>
        <v>1</v>
      </c>
      <c r="AX10" s="48" t="s">
        <v>297</v>
      </c>
      <c r="AY10" s="43" t="str">
        <f>IFERROR(IF(INDEX('MM01-BOB'!$A:$DM,MATCH('MM01'!$B10,'MM01-BOB'!$B:$B,0),MATCH('MM01'!AY$3,'MM01-BOB'!$3:$3,0))=0,"",INDEX('MM01-BOB'!$A:$DM,MATCH('MM01'!$B10,'MM01-BOB'!$B:$B,0),MATCH('MM01'!AY$3,'MM01-BOB'!$3:$3,0))),"")</f>
        <v/>
      </c>
      <c r="AZ10" s="44"/>
      <c r="BA10" s="44"/>
      <c r="BB10" s="47"/>
      <c r="BC10" s="50" t="s">
        <v>4</v>
      </c>
      <c r="BD10" s="50">
        <v>1</v>
      </c>
      <c r="BE10" s="50" t="s">
        <v>192</v>
      </c>
      <c r="BF10" s="50" t="s">
        <v>192</v>
      </c>
      <c r="BG10" s="50" t="s">
        <v>727</v>
      </c>
      <c r="BH10" s="44">
        <v>0</v>
      </c>
      <c r="BI10" s="44">
        <v>1</v>
      </c>
      <c r="BJ10" s="44">
        <v>0</v>
      </c>
      <c r="BK10" s="44" t="s">
        <v>348</v>
      </c>
      <c r="BL10" s="50" t="s">
        <v>195</v>
      </c>
      <c r="BM10" s="50" t="s">
        <v>195</v>
      </c>
      <c r="BN10" s="43" t="str">
        <f>IFERROR(IF(INDEX('MM01-BOB'!$A:$DM,MATCH('MM01'!$B10,'MM01-BOB'!$B:$B,0),MATCH('MM01'!BN$3,'MM01-BOB'!$3:$3,0))=0,"",INDEX('MM01-BOB'!$A:$DM,MATCH('MM01'!$B10,'MM01-BOB'!$B:$B,0),MATCH('MM01'!BN$3,'MM01-BOB'!$3:$3,0))),"")</f>
        <v/>
      </c>
      <c r="BO10" s="44"/>
      <c r="BP10" s="50">
        <v>0</v>
      </c>
      <c r="BQ10" s="45" t="s">
        <v>378</v>
      </c>
      <c r="BR10" s="45" t="s">
        <v>84</v>
      </c>
      <c r="BS10" s="43" t="str">
        <f t="shared" si="5"/>
        <v>581</v>
      </c>
      <c r="BT10" s="45" t="s">
        <v>426</v>
      </c>
      <c r="BU10" s="80"/>
      <c r="BV10" s="45">
        <v>1</v>
      </c>
      <c r="BW10" s="45" t="s">
        <v>471</v>
      </c>
      <c r="BX10" s="45"/>
      <c r="BY10" s="44"/>
      <c r="BZ10" s="49" t="str">
        <f t="shared" si="6"/>
        <v>0120</v>
      </c>
      <c r="CA10" s="49" t="str">
        <f t="shared" si="7"/>
        <v>0120</v>
      </c>
      <c r="CB10" s="45"/>
      <c r="CC10" s="44">
        <v>1</v>
      </c>
      <c r="CD10" s="44">
        <v>2</v>
      </c>
      <c r="CE10" s="50" t="s">
        <v>490</v>
      </c>
      <c r="CF10" s="80">
        <v>2</v>
      </c>
      <c r="CG10" s="80">
        <v>7</v>
      </c>
      <c r="CH10" s="44" t="s">
        <v>348</v>
      </c>
      <c r="CI10" s="44">
        <v>2</v>
      </c>
      <c r="CJ10" s="44">
        <v>42</v>
      </c>
      <c r="CK10" s="44">
        <v>10</v>
      </c>
      <c r="CL10" s="43" t="str">
        <f t="shared" si="8"/>
        <v>K00_R_0581</v>
      </c>
      <c r="CM10" s="43">
        <f t="shared" si="9"/>
        <v>1</v>
      </c>
      <c r="CN10" s="55" t="s">
        <v>909</v>
      </c>
      <c r="CO10" s="43" t="str">
        <f t="shared" ca="1" si="10"/>
        <v>17.05.2022</v>
      </c>
      <c r="CP10" s="43" t="str">
        <f t="shared" si="11"/>
        <v>31.12.9999</v>
      </c>
      <c r="CR10" s="44">
        <v>2</v>
      </c>
      <c r="CS10" s="44"/>
      <c r="CT10" s="44">
        <v>1</v>
      </c>
      <c r="CU10" s="44" t="s">
        <v>910</v>
      </c>
      <c r="CV10" s="44">
        <v>12</v>
      </c>
      <c r="CW10" s="43">
        <f t="shared" si="12"/>
        <v>0.01</v>
      </c>
      <c r="CX10" s="43" t="str">
        <f t="shared" si="13"/>
        <v>KG</v>
      </c>
      <c r="CY10" s="44">
        <v>1</v>
      </c>
      <c r="CZ10" s="50" t="s">
        <v>223</v>
      </c>
      <c r="DA10" s="50" t="s">
        <v>902</v>
      </c>
      <c r="DB10" s="43" t="str">
        <f>IFERROR(IF(INDEX(Estrutura_P01[#All],MATCH($D10,Estrutura_P01[[#All],[txtMAKT-MAKTX]],0),MATCH(DB$3,Estrutura_P01[#Headers],0))=0,"",INDEX(Estrutura_P01[#All],MATCH($D10,Estrutura_P01[[#All],[txtMAKT-MAKTX]],0),MATCH(DB$3,Estrutura_P01[#Headers],0))),"")</f>
        <v/>
      </c>
      <c r="DC10" s="44">
        <v>1000</v>
      </c>
      <c r="DD10" s="60">
        <v>1</v>
      </c>
      <c r="DE10" s="44"/>
      <c r="DF10" s="44">
        <v>1</v>
      </c>
      <c r="DG10" s="44">
        <v>0</v>
      </c>
      <c r="DH10" s="44" t="s">
        <v>913</v>
      </c>
      <c r="DI10" s="45">
        <v>0</v>
      </c>
      <c r="DJ10" s="44">
        <v>1000</v>
      </c>
      <c r="DK10" s="65"/>
    </row>
    <row r="11" spans="1:115" x14ac:dyDescent="0.2">
      <c r="A11" s="7" t="str">
        <f t="shared" si="0"/>
        <v>Execução 7</v>
      </c>
      <c r="B11" s="87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79" t="s">
        <v>4</v>
      </c>
      <c r="H11" s="79" t="s">
        <v>15</v>
      </c>
      <c r="I11" s="49" t="str">
        <f t="shared" si="2"/>
        <v>0581</v>
      </c>
      <c r="J11" s="79" t="s">
        <v>6</v>
      </c>
      <c r="K11" s="79"/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 t="s">
        <v>109</v>
      </c>
      <c r="V11" s="45" t="s">
        <v>110</v>
      </c>
      <c r="W11" s="45" t="s">
        <v>111</v>
      </c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297</v>
      </c>
      <c r="AP11" s="43" t="str">
        <f>IFERROR(IF(INDEX('MM01-BOB'!$A:$DM,MATCH('MM01'!$B11,'MM01-BOB'!$B:$B,0),MATCH('MM01'!AP$3,'MM01-BOB'!$3:$3,0))=0,"",INDEX('MM01-BOB'!$A:$DM,MATCH('MM01'!$B11,'MM01-BOB'!$B:$B,0),MATCH('MM01'!AP$3,'MM01-BOB'!$3:$3,0))),"")</f>
        <v/>
      </c>
      <c r="AQ11" s="45"/>
      <c r="AR11" s="43" t="str">
        <f>IFERROR(IF(INDEX('MM01-BOB'!$A:$DM,MATCH('MM01'!$B11,'MM01-BOB'!$B:$B,0),MATCH('MM01'!AR$3,'MM01-BOB'!$3:$3,0))=0,"",INDEX('MM01-BOB'!$A:$DM,MATCH('MM01'!$B11,'MM01-BOB'!$B:$B,0),MATCH('MM01'!AR$3,'MM01-BOB'!$3:$3,0))),"")</f>
        <v/>
      </c>
      <c r="AS11" s="45"/>
      <c r="AT11" s="46" t="str">
        <f t="shared" ca="1" si="3"/>
        <v/>
      </c>
      <c r="AU11" s="50" t="s">
        <v>203</v>
      </c>
      <c r="AV11" s="44">
        <v>1</v>
      </c>
      <c r="AW11" s="43">
        <f t="shared" si="4"/>
        <v>1</v>
      </c>
      <c r="AX11" s="48" t="s">
        <v>297</v>
      </c>
      <c r="AY11" s="43" t="str">
        <f>IFERROR(IF(INDEX('MM01-BOB'!$A:$DM,MATCH('MM01'!$B11,'MM01-BOB'!$B:$B,0),MATCH('MM01'!AY$3,'MM01-BOB'!$3:$3,0))=0,"",INDEX('MM01-BOB'!$A:$DM,MATCH('MM01'!$B11,'MM01-BOB'!$B:$B,0),MATCH('MM01'!AY$3,'MM01-BOB'!$3:$3,0))),"")</f>
        <v/>
      </c>
      <c r="AZ11" s="44"/>
      <c r="BA11" s="44"/>
      <c r="BB11" s="47"/>
      <c r="BC11" s="50" t="s">
        <v>4</v>
      </c>
      <c r="BD11" s="50">
        <v>1</v>
      </c>
      <c r="BE11" s="50" t="s">
        <v>192</v>
      </c>
      <c r="BF11" s="50" t="s">
        <v>192</v>
      </c>
      <c r="BG11" s="50" t="s">
        <v>727</v>
      </c>
      <c r="BH11" s="44">
        <v>0</v>
      </c>
      <c r="BI11" s="44">
        <v>1</v>
      </c>
      <c r="BJ11" s="44">
        <v>0</v>
      </c>
      <c r="BK11" s="44" t="s">
        <v>348</v>
      </c>
      <c r="BL11" s="50" t="s">
        <v>195</v>
      </c>
      <c r="BM11" s="50" t="s">
        <v>195</v>
      </c>
      <c r="BN11" s="43" t="str">
        <f>IFERROR(IF(INDEX('MM01-BOB'!$A:$DM,MATCH('MM01'!$B11,'MM01-BOB'!$B:$B,0),MATCH('MM01'!BN$3,'MM01-BOB'!$3:$3,0))=0,"",INDEX('MM01-BOB'!$A:$DM,MATCH('MM01'!$B11,'MM01-BOB'!$B:$B,0),MATCH('MM01'!BN$3,'MM01-BOB'!$3:$3,0))),"")</f>
        <v/>
      </c>
      <c r="BO11" s="44"/>
      <c r="BP11" s="50">
        <v>0</v>
      </c>
      <c r="BQ11" s="45" t="s">
        <v>378</v>
      </c>
      <c r="BR11" s="45" t="s">
        <v>84</v>
      </c>
      <c r="BS11" s="43" t="str">
        <f t="shared" si="5"/>
        <v>581</v>
      </c>
      <c r="BT11" s="45" t="s">
        <v>426</v>
      </c>
      <c r="BU11" s="80"/>
      <c r="BV11" s="45">
        <v>1</v>
      </c>
      <c r="BW11" s="45" t="s">
        <v>471</v>
      </c>
      <c r="BX11" s="45"/>
      <c r="BY11" s="44"/>
      <c r="BZ11" s="49" t="str">
        <f t="shared" si="6"/>
        <v>0120</v>
      </c>
      <c r="CA11" s="49" t="str">
        <f t="shared" si="7"/>
        <v>0120</v>
      </c>
      <c r="CB11" s="45"/>
      <c r="CC11" s="44">
        <v>1</v>
      </c>
      <c r="CD11" s="44">
        <v>2</v>
      </c>
      <c r="CE11" s="50" t="s">
        <v>490</v>
      </c>
      <c r="CF11" s="80">
        <v>2</v>
      </c>
      <c r="CG11" s="80">
        <v>7</v>
      </c>
      <c r="CH11" s="44" t="s">
        <v>348</v>
      </c>
      <c r="CI11" s="44">
        <v>2</v>
      </c>
      <c r="CJ11" s="44">
        <v>42</v>
      </c>
      <c r="CK11" s="44">
        <v>10</v>
      </c>
      <c r="CL11" s="43" t="str">
        <f t="shared" si="8"/>
        <v>K00_R_0581</v>
      </c>
      <c r="CM11" s="43">
        <f t="shared" si="9"/>
        <v>1</v>
      </c>
      <c r="CN11" s="55" t="s">
        <v>909</v>
      </c>
      <c r="CO11" s="43" t="str">
        <f t="shared" ca="1" si="10"/>
        <v>17.05.2022</v>
      </c>
      <c r="CP11" s="43" t="str">
        <f t="shared" si="11"/>
        <v>31.12.9999</v>
      </c>
      <c r="CR11" s="44">
        <v>2</v>
      </c>
      <c r="CS11" s="44"/>
      <c r="CT11" s="44">
        <v>1</v>
      </c>
      <c r="CU11" s="44" t="s">
        <v>910</v>
      </c>
      <c r="CV11" s="44">
        <v>12</v>
      </c>
      <c r="CW11" s="43">
        <f t="shared" si="12"/>
        <v>0.01</v>
      </c>
      <c r="CX11" s="43" t="str">
        <f t="shared" si="13"/>
        <v>KG</v>
      </c>
      <c r="CY11" s="44">
        <v>1</v>
      </c>
      <c r="CZ11" s="50" t="s">
        <v>223</v>
      </c>
      <c r="DA11" s="50" t="s">
        <v>902</v>
      </c>
      <c r="DB11" s="43" t="str">
        <f>IFERROR(IF(INDEX(Estrutura_P01[#All],MATCH($D11,Estrutura_P01[[#All],[txtMAKT-MAKTX]],0),MATCH(DB$3,Estrutura_P01[#Headers],0))=0,"",INDEX(Estrutura_P01[#All],MATCH($D11,Estrutura_P01[[#All],[txtMAKT-MAKTX]],0),MATCH(DB$3,Estrutura_P01[#Headers],0))),"")</f>
        <v/>
      </c>
      <c r="DC11" s="44">
        <v>1000</v>
      </c>
      <c r="DD11" s="60">
        <v>1</v>
      </c>
      <c r="DE11" s="44"/>
      <c r="DF11" s="44">
        <v>1</v>
      </c>
      <c r="DG11" s="44">
        <v>0</v>
      </c>
      <c r="DH11" s="44" t="s">
        <v>913</v>
      </c>
      <c r="DI11" s="45">
        <v>0</v>
      </c>
      <c r="DJ11" s="44">
        <v>1000</v>
      </c>
      <c r="DK11" s="65"/>
    </row>
    <row r="12" spans="1:115" x14ac:dyDescent="0.2">
      <c r="A12" s="7" t="str">
        <f t="shared" si="0"/>
        <v>Execução 8</v>
      </c>
      <c r="B12" s="87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79" t="s">
        <v>4</v>
      </c>
      <c r="H12" s="79" t="s">
        <v>15</v>
      </c>
      <c r="I12" s="49" t="str">
        <f t="shared" si="2"/>
        <v>0581</v>
      </c>
      <c r="J12" s="79" t="s">
        <v>6</v>
      </c>
      <c r="K12" s="79"/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 t="s">
        <v>109</v>
      </c>
      <c r="V12" s="45" t="s">
        <v>110</v>
      </c>
      <c r="W12" s="45" t="s">
        <v>111</v>
      </c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297</v>
      </c>
      <c r="AP12" s="43" t="str">
        <f>IFERROR(IF(INDEX('MM01-BOB'!$A:$DM,MATCH('MM01'!$B12,'MM01-BOB'!$B:$B,0),MATCH('MM01'!AP$3,'MM01-BOB'!$3:$3,0))=0,"",INDEX('MM01-BOB'!$A:$DM,MATCH('MM01'!$B12,'MM01-BOB'!$B:$B,0),MATCH('MM01'!AP$3,'MM01-BOB'!$3:$3,0))),"")</f>
        <v/>
      </c>
      <c r="AQ12" s="45"/>
      <c r="AR12" s="43" t="str">
        <f>IFERROR(IF(INDEX('MM01-BOB'!$A:$DM,MATCH('MM01'!$B12,'MM01-BOB'!$B:$B,0),MATCH('MM01'!AR$3,'MM01-BOB'!$3:$3,0))=0,"",INDEX('MM01-BOB'!$A:$DM,MATCH('MM01'!$B12,'MM01-BOB'!$B:$B,0),MATCH('MM01'!AR$3,'MM01-BOB'!$3:$3,0))),"")</f>
        <v/>
      </c>
      <c r="AS12" s="45"/>
      <c r="AT12" s="46" t="str">
        <f t="shared" ca="1" si="3"/>
        <v/>
      </c>
      <c r="AU12" s="50" t="s">
        <v>203</v>
      </c>
      <c r="AV12" s="44">
        <v>1</v>
      </c>
      <c r="AW12" s="43">
        <f t="shared" si="4"/>
        <v>1</v>
      </c>
      <c r="AX12" s="48" t="s">
        <v>297</v>
      </c>
      <c r="AY12" s="43" t="str">
        <f>IFERROR(IF(INDEX('MM01-BOB'!$A:$DM,MATCH('MM01'!$B12,'MM01-BOB'!$B:$B,0),MATCH('MM01'!AY$3,'MM01-BOB'!$3:$3,0))=0,"",INDEX('MM01-BOB'!$A:$DM,MATCH('MM01'!$B12,'MM01-BOB'!$B:$B,0),MATCH('MM01'!AY$3,'MM01-BOB'!$3:$3,0))),"")</f>
        <v/>
      </c>
      <c r="AZ12" s="44"/>
      <c r="BA12" s="44"/>
      <c r="BB12" s="47"/>
      <c r="BC12" s="50" t="s">
        <v>4</v>
      </c>
      <c r="BD12" s="50">
        <v>1</v>
      </c>
      <c r="BE12" s="50" t="s">
        <v>192</v>
      </c>
      <c r="BF12" s="50" t="s">
        <v>192</v>
      </c>
      <c r="BG12" s="50" t="s">
        <v>727</v>
      </c>
      <c r="BH12" s="44">
        <v>0</v>
      </c>
      <c r="BI12" s="44">
        <v>1</v>
      </c>
      <c r="BJ12" s="44">
        <v>0</v>
      </c>
      <c r="BK12" s="44" t="s">
        <v>348</v>
      </c>
      <c r="BL12" s="50" t="s">
        <v>195</v>
      </c>
      <c r="BM12" s="50" t="s">
        <v>195</v>
      </c>
      <c r="BN12" s="43" t="str">
        <f>IFERROR(IF(INDEX('MM01-BOB'!$A:$DM,MATCH('MM01'!$B12,'MM01-BOB'!$B:$B,0),MATCH('MM01'!BN$3,'MM01-BOB'!$3:$3,0))=0,"",INDEX('MM01-BOB'!$A:$DM,MATCH('MM01'!$B12,'MM01-BOB'!$B:$B,0),MATCH('MM01'!BN$3,'MM01-BOB'!$3:$3,0))),"")</f>
        <v/>
      </c>
      <c r="BO12" s="44"/>
      <c r="BP12" s="50">
        <v>0</v>
      </c>
      <c r="BQ12" s="45" t="s">
        <v>378</v>
      </c>
      <c r="BR12" s="45" t="s">
        <v>84</v>
      </c>
      <c r="BS12" s="43" t="str">
        <f t="shared" si="5"/>
        <v>581</v>
      </c>
      <c r="BT12" s="45" t="s">
        <v>426</v>
      </c>
      <c r="BU12" s="80"/>
      <c r="BV12" s="45">
        <v>1</v>
      </c>
      <c r="BW12" s="45" t="s">
        <v>471</v>
      </c>
      <c r="BX12" s="45"/>
      <c r="BY12" s="44"/>
      <c r="BZ12" s="49" t="str">
        <f t="shared" si="6"/>
        <v>0120</v>
      </c>
      <c r="CA12" s="49" t="str">
        <f t="shared" si="7"/>
        <v>0120</v>
      </c>
      <c r="CB12" s="45"/>
      <c r="CC12" s="44">
        <v>1</v>
      </c>
      <c r="CD12" s="44">
        <v>2</v>
      </c>
      <c r="CE12" s="50" t="s">
        <v>490</v>
      </c>
      <c r="CF12" s="80">
        <v>2</v>
      </c>
      <c r="CG12" s="80">
        <v>7</v>
      </c>
      <c r="CH12" s="44" t="s">
        <v>348</v>
      </c>
      <c r="CI12" s="44">
        <v>2</v>
      </c>
      <c r="CJ12" s="44">
        <v>42</v>
      </c>
      <c r="CK12" s="44">
        <v>10</v>
      </c>
      <c r="CL12" s="43" t="str">
        <f t="shared" si="8"/>
        <v>K00_R_0581</v>
      </c>
      <c r="CM12" s="43">
        <f t="shared" si="9"/>
        <v>1</v>
      </c>
      <c r="CN12" s="55" t="s">
        <v>909</v>
      </c>
      <c r="CO12" s="43" t="str">
        <f t="shared" ca="1" si="10"/>
        <v>17.05.2022</v>
      </c>
      <c r="CP12" s="43" t="str">
        <f t="shared" si="11"/>
        <v>31.12.9999</v>
      </c>
      <c r="CR12" s="44">
        <v>2</v>
      </c>
      <c r="CS12" s="44"/>
      <c r="CT12" s="44">
        <v>1</v>
      </c>
      <c r="CU12" s="44" t="s">
        <v>910</v>
      </c>
      <c r="CV12" s="44">
        <v>12</v>
      </c>
      <c r="CW12" s="43">
        <f t="shared" si="12"/>
        <v>0.01</v>
      </c>
      <c r="CX12" s="43" t="str">
        <f t="shared" si="13"/>
        <v>KG</v>
      </c>
      <c r="CY12" s="44">
        <v>1</v>
      </c>
      <c r="CZ12" s="50" t="s">
        <v>223</v>
      </c>
      <c r="DA12" s="50" t="s">
        <v>902</v>
      </c>
      <c r="DB12" s="43" t="str">
        <f>IFERROR(IF(INDEX(Estrutura_P01[#All],MATCH($D12,Estrutura_P01[[#All],[txtMAKT-MAKTX]],0),MATCH(DB$3,Estrutura_P01[#Headers],0))=0,"",INDEX(Estrutura_P01[#All],MATCH($D12,Estrutura_P01[[#All],[txtMAKT-MAKTX]],0),MATCH(DB$3,Estrutura_P01[#Headers],0))),"")</f>
        <v/>
      </c>
      <c r="DC12" s="44">
        <v>1000</v>
      </c>
      <c r="DD12" s="60">
        <v>1</v>
      </c>
      <c r="DE12" s="44"/>
      <c r="DF12" s="44">
        <v>1</v>
      </c>
      <c r="DG12" s="44">
        <v>0</v>
      </c>
      <c r="DH12" s="44" t="s">
        <v>913</v>
      </c>
      <c r="DI12" s="45">
        <v>0</v>
      </c>
      <c r="DJ12" s="44">
        <v>1000</v>
      </c>
      <c r="DK12" s="65"/>
    </row>
    <row r="13" spans="1:115" x14ac:dyDescent="0.2">
      <c r="A13" s="7" t="str">
        <f t="shared" si="0"/>
        <v>Execução 9</v>
      </c>
      <c r="B13" s="87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79" t="s">
        <v>4</v>
      </c>
      <c r="H13" s="79" t="s">
        <v>15</v>
      </c>
      <c r="I13" s="49" t="str">
        <f t="shared" si="2"/>
        <v>0581</v>
      </c>
      <c r="J13" s="79" t="s">
        <v>6</v>
      </c>
      <c r="K13" s="79"/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 t="s">
        <v>109</v>
      </c>
      <c r="V13" s="45" t="s">
        <v>110</v>
      </c>
      <c r="W13" s="45" t="s">
        <v>111</v>
      </c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297</v>
      </c>
      <c r="AP13" s="43" t="str">
        <f>IFERROR(IF(INDEX('MM01-BOB'!$A:$DM,MATCH('MM01'!$B13,'MM01-BOB'!$B:$B,0),MATCH('MM01'!AP$3,'MM01-BOB'!$3:$3,0))=0,"",INDEX('MM01-BOB'!$A:$DM,MATCH('MM01'!$B13,'MM01-BOB'!$B:$B,0),MATCH('MM01'!AP$3,'MM01-BOB'!$3:$3,0))),"")</f>
        <v/>
      </c>
      <c r="AQ13" s="45"/>
      <c r="AR13" s="43" t="str">
        <f>IFERROR(IF(INDEX('MM01-BOB'!$A:$DM,MATCH('MM01'!$B13,'MM01-BOB'!$B:$B,0),MATCH('MM01'!AR$3,'MM01-BOB'!$3:$3,0))=0,"",INDEX('MM01-BOB'!$A:$DM,MATCH('MM01'!$B13,'MM01-BOB'!$B:$B,0),MATCH('MM01'!AR$3,'MM01-BOB'!$3:$3,0))),"")</f>
        <v/>
      </c>
      <c r="AS13" s="45"/>
      <c r="AT13" s="46" t="str">
        <f t="shared" ca="1" si="3"/>
        <v/>
      </c>
      <c r="AU13" s="50" t="s">
        <v>203</v>
      </c>
      <c r="AV13" s="44">
        <v>1</v>
      </c>
      <c r="AW13" s="43">
        <f t="shared" si="4"/>
        <v>1</v>
      </c>
      <c r="AX13" s="48" t="s">
        <v>297</v>
      </c>
      <c r="AY13" s="43" t="str">
        <f>IFERROR(IF(INDEX('MM01-BOB'!$A:$DM,MATCH('MM01'!$B13,'MM01-BOB'!$B:$B,0),MATCH('MM01'!AY$3,'MM01-BOB'!$3:$3,0))=0,"",INDEX('MM01-BOB'!$A:$DM,MATCH('MM01'!$B13,'MM01-BOB'!$B:$B,0),MATCH('MM01'!AY$3,'MM01-BOB'!$3:$3,0))),"")</f>
        <v/>
      </c>
      <c r="AZ13" s="44"/>
      <c r="BA13" s="44"/>
      <c r="BB13" s="47"/>
      <c r="BC13" s="50" t="s">
        <v>4</v>
      </c>
      <c r="BD13" s="50">
        <v>1</v>
      </c>
      <c r="BE13" s="50" t="s">
        <v>192</v>
      </c>
      <c r="BF13" s="50" t="s">
        <v>192</v>
      </c>
      <c r="BG13" s="50" t="s">
        <v>727</v>
      </c>
      <c r="BH13" s="44">
        <v>0</v>
      </c>
      <c r="BI13" s="44">
        <v>1</v>
      </c>
      <c r="BJ13" s="44">
        <v>0</v>
      </c>
      <c r="BK13" s="44" t="s">
        <v>348</v>
      </c>
      <c r="BL13" s="50" t="s">
        <v>195</v>
      </c>
      <c r="BM13" s="50" t="s">
        <v>195</v>
      </c>
      <c r="BN13" s="43" t="str">
        <f>IFERROR(IF(INDEX('MM01-BOB'!$A:$DM,MATCH('MM01'!$B13,'MM01-BOB'!$B:$B,0),MATCH('MM01'!BN$3,'MM01-BOB'!$3:$3,0))=0,"",INDEX('MM01-BOB'!$A:$DM,MATCH('MM01'!$B13,'MM01-BOB'!$B:$B,0),MATCH('MM01'!BN$3,'MM01-BOB'!$3:$3,0))),"")</f>
        <v/>
      </c>
      <c r="BO13" s="44"/>
      <c r="BP13" s="50">
        <v>0</v>
      </c>
      <c r="BQ13" s="45" t="s">
        <v>378</v>
      </c>
      <c r="BR13" s="45" t="s">
        <v>84</v>
      </c>
      <c r="BS13" s="43" t="str">
        <f t="shared" si="5"/>
        <v>581</v>
      </c>
      <c r="BT13" s="45" t="s">
        <v>426</v>
      </c>
      <c r="BU13" s="80"/>
      <c r="BV13" s="45">
        <v>1</v>
      </c>
      <c r="BW13" s="45" t="s">
        <v>471</v>
      </c>
      <c r="BX13" s="45"/>
      <c r="BY13" s="44"/>
      <c r="BZ13" s="49" t="str">
        <f t="shared" si="6"/>
        <v>0120</v>
      </c>
      <c r="CA13" s="49" t="str">
        <f t="shared" si="7"/>
        <v>0120</v>
      </c>
      <c r="CB13" s="45"/>
      <c r="CC13" s="44">
        <v>1</v>
      </c>
      <c r="CD13" s="44">
        <v>2</v>
      </c>
      <c r="CE13" s="50" t="s">
        <v>490</v>
      </c>
      <c r="CF13" s="80">
        <v>2</v>
      </c>
      <c r="CG13" s="80">
        <v>7</v>
      </c>
      <c r="CH13" s="44" t="s">
        <v>348</v>
      </c>
      <c r="CI13" s="44">
        <v>2</v>
      </c>
      <c r="CJ13" s="44">
        <v>42</v>
      </c>
      <c r="CK13" s="44">
        <v>10</v>
      </c>
      <c r="CL13" s="43" t="str">
        <f t="shared" si="8"/>
        <v>K00_R_0581</v>
      </c>
      <c r="CM13" s="43">
        <f t="shared" si="9"/>
        <v>1</v>
      </c>
      <c r="CN13" s="55" t="s">
        <v>909</v>
      </c>
      <c r="CO13" s="43" t="str">
        <f t="shared" ca="1" si="10"/>
        <v>17.05.2022</v>
      </c>
      <c r="CP13" s="43" t="str">
        <f t="shared" si="11"/>
        <v>31.12.9999</v>
      </c>
      <c r="CR13" s="44">
        <v>2</v>
      </c>
      <c r="CS13" s="44"/>
      <c r="CT13" s="44">
        <v>1</v>
      </c>
      <c r="CU13" s="44" t="s">
        <v>910</v>
      </c>
      <c r="CV13" s="44">
        <v>12</v>
      </c>
      <c r="CW13" s="43">
        <f t="shared" si="12"/>
        <v>0.01</v>
      </c>
      <c r="CX13" s="43" t="str">
        <f t="shared" si="13"/>
        <v>KG</v>
      </c>
      <c r="CY13" s="44">
        <v>1</v>
      </c>
      <c r="CZ13" s="50" t="s">
        <v>223</v>
      </c>
      <c r="DA13" s="50" t="s">
        <v>902</v>
      </c>
      <c r="DB13" s="43" t="str">
        <f>IFERROR(IF(INDEX(Estrutura_P01[#All],MATCH($D13,Estrutura_P01[[#All],[txtMAKT-MAKTX]],0),MATCH(DB$3,Estrutura_P01[#Headers],0))=0,"",INDEX(Estrutura_P01[#All],MATCH($D13,Estrutura_P01[[#All],[txtMAKT-MAKTX]],0),MATCH(DB$3,Estrutura_P01[#Headers],0))),"")</f>
        <v/>
      </c>
      <c r="DC13" s="44">
        <v>1000</v>
      </c>
      <c r="DD13" s="60">
        <v>1</v>
      </c>
      <c r="DE13" s="44"/>
      <c r="DF13" s="44">
        <v>1</v>
      </c>
      <c r="DG13" s="44">
        <v>0</v>
      </c>
      <c r="DH13" s="44" t="s">
        <v>913</v>
      </c>
      <c r="DI13" s="45">
        <v>0</v>
      </c>
      <c r="DJ13" s="44">
        <v>1000</v>
      </c>
      <c r="DK13" s="65"/>
    </row>
    <row r="14" spans="1:115" x14ac:dyDescent="0.2">
      <c r="A14" s="7" t="str">
        <f t="shared" si="0"/>
        <v>Execução 10</v>
      </c>
      <c r="B14" s="87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79" t="s">
        <v>4</v>
      </c>
      <c r="H14" s="79" t="s">
        <v>15</v>
      </c>
      <c r="I14" s="49" t="str">
        <f t="shared" si="2"/>
        <v>0581</v>
      </c>
      <c r="J14" s="79" t="s">
        <v>6</v>
      </c>
      <c r="K14" s="79"/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 t="s">
        <v>109</v>
      </c>
      <c r="V14" s="45" t="s">
        <v>110</v>
      </c>
      <c r="W14" s="45" t="s">
        <v>111</v>
      </c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297</v>
      </c>
      <c r="AP14" s="43" t="str">
        <f>IFERROR(IF(INDEX('MM01-BOB'!$A:$DM,MATCH('MM01'!$B14,'MM01-BOB'!$B:$B,0),MATCH('MM01'!AP$3,'MM01-BOB'!$3:$3,0))=0,"",INDEX('MM01-BOB'!$A:$DM,MATCH('MM01'!$B14,'MM01-BOB'!$B:$B,0),MATCH('MM01'!AP$3,'MM01-BOB'!$3:$3,0))),"")</f>
        <v/>
      </c>
      <c r="AQ14" s="45"/>
      <c r="AR14" s="43" t="str">
        <f>IFERROR(IF(INDEX('MM01-BOB'!$A:$DM,MATCH('MM01'!$B14,'MM01-BOB'!$B:$B,0),MATCH('MM01'!AR$3,'MM01-BOB'!$3:$3,0))=0,"",INDEX('MM01-BOB'!$A:$DM,MATCH('MM01'!$B14,'MM01-BOB'!$B:$B,0),MATCH('MM01'!AR$3,'MM01-BOB'!$3:$3,0))),"")</f>
        <v/>
      </c>
      <c r="AS14" s="45"/>
      <c r="AT14" s="46" t="str">
        <f t="shared" ca="1" si="3"/>
        <v/>
      </c>
      <c r="AU14" s="50" t="s">
        <v>203</v>
      </c>
      <c r="AV14" s="44">
        <v>1</v>
      </c>
      <c r="AW14" s="43">
        <f t="shared" si="4"/>
        <v>1</v>
      </c>
      <c r="AX14" s="48" t="s">
        <v>297</v>
      </c>
      <c r="AY14" s="43" t="str">
        <f>IFERROR(IF(INDEX('MM01-BOB'!$A:$DM,MATCH('MM01'!$B14,'MM01-BOB'!$B:$B,0),MATCH('MM01'!AY$3,'MM01-BOB'!$3:$3,0))=0,"",INDEX('MM01-BOB'!$A:$DM,MATCH('MM01'!$B14,'MM01-BOB'!$B:$B,0),MATCH('MM01'!AY$3,'MM01-BOB'!$3:$3,0))),"")</f>
        <v/>
      </c>
      <c r="AZ14" s="44"/>
      <c r="BA14" s="44"/>
      <c r="BB14" s="47"/>
      <c r="BC14" s="50" t="s">
        <v>4</v>
      </c>
      <c r="BD14" s="50">
        <v>1</v>
      </c>
      <c r="BE14" s="50" t="s">
        <v>192</v>
      </c>
      <c r="BF14" s="50" t="s">
        <v>192</v>
      </c>
      <c r="BG14" s="50" t="s">
        <v>727</v>
      </c>
      <c r="BH14" s="44">
        <v>0</v>
      </c>
      <c r="BI14" s="44">
        <v>1</v>
      </c>
      <c r="BJ14" s="44">
        <v>0</v>
      </c>
      <c r="BK14" s="44" t="s">
        <v>348</v>
      </c>
      <c r="BL14" s="50" t="s">
        <v>195</v>
      </c>
      <c r="BM14" s="50" t="s">
        <v>195</v>
      </c>
      <c r="BN14" s="43" t="str">
        <f>IFERROR(IF(INDEX('MM01-BOB'!$A:$DM,MATCH('MM01'!$B14,'MM01-BOB'!$B:$B,0),MATCH('MM01'!BN$3,'MM01-BOB'!$3:$3,0))=0,"",INDEX('MM01-BOB'!$A:$DM,MATCH('MM01'!$B14,'MM01-BOB'!$B:$B,0),MATCH('MM01'!BN$3,'MM01-BOB'!$3:$3,0))),"")</f>
        <v/>
      </c>
      <c r="BO14" s="44"/>
      <c r="BP14" s="50">
        <v>0</v>
      </c>
      <c r="BQ14" s="45" t="s">
        <v>378</v>
      </c>
      <c r="BR14" s="45" t="s">
        <v>84</v>
      </c>
      <c r="BS14" s="43" t="str">
        <f t="shared" si="5"/>
        <v>581</v>
      </c>
      <c r="BT14" s="45" t="s">
        <v>426</v>
      </c>
      <c r="BU14" s="80"/>
      <c r="BV14" s="45">
        <v>1</v>
      </c>
      <c r="BW14" s="45" t="s">
        <v>471</v>
      </c>
      <c r="BX14" s="45"/>
      <c r="BY14" s="44"/>
      <c r="BZ14" s="49" t="str">
        <f t="shared" si="6"/>
        <v>0120</v>
      </c>
      <c r="CA14" s="49" t="str">
        <f t="shared" si="7"/>
        <v>0120</v>
      </c>
      <c r="CB14" s="45"/>
      <c r="CC14" s="44">
        <v>1</v>
      </c>
      <c r="CD14" s="44">
        <v>2</v>
      </c>
      <c r="CE14" s="50" t="s">
        <v>490</v>
      </c>
      <c r="CF14" s="80">
        <v>2</v>
      </c>
      <c r="CG14" s="80">
        <v>7</v>
      </c>
      <c r="CH14" s="44" t="s">
        <v>348</v>
      </c>
      <c r="CI14" s="44">
        <v>2</v>
      </c>
      <c r="CJ14" s="44">
        <v>42</v>
      </c>
      <c r="CK14" s="44">
        <v>10</v>
      </c>
      <c r="CL14" s="43" t="str">
        <f t="shared" si="8"/>
        <v>K00_R_0581</v>
      </c>
      <c r="CM14" s="43">
        <f t="shared" si="9"/>
        <v>1</v>
      </c>
      <c r="CN14" s="55" t="s">
        <v>909</v>
      </c>
      <c r="CO14" s="43" t="str">
        <f t="shared" ca="1" si="10"/>
        <v>17.05.2022</v>
      </c>
      <c r="CP14" s="43" t="str">
        <f t="shared" si="11"/>
        <v>31.12.9999</v>
      </c>
      <c r="CR14" s="44">
        <v>2</v>
      </c>
      <c r="CS14" s="44"/>
      <c r="CT14" s="44">
        <v>1</v>
      </c>
      <c r="CU14" s="44" t="s">
        <v>910</v>
      </c>
      <c r="CV14" s="44">
        <v>12</v>
      </c>
      <c r="CW14" s="43">
        <f t="shared" si="12"/>
        <v>0.01</v>
      </c>
      <c r="CX14" s="43" t="str">
        <f t="shared" si="13"/>
        <v>KG</v>
      </c>
      <c r="CY14" s="44">
        <v>1</v>
      </c>
      <c r="CZ14" s="50" t="s">
        <v>223</v>
      </c>
      <c r="DA14" s="50" t="s">
        <v>902</v>
      </c>
      <c r="DB14" s="43" t="str">
        <f>IFERROR(IF(INDEX(Estrutura_P01[#All],MATCH($D14,Estrutura_P01[[#All],[txtMAKT-MAKTX]],0),MATCH(DB$3,Estrutura_P01[#Headers],0))=0,"",INDEX(Estrutura_P01[#All],MATCH($D14,Estrutura_P01[[#All],[txtMAKT-MAKTX]],0),MATCH(DB$3,Estrutura_P01[#Headers],0))),"")</f>
        <v/>
      </c>
      <c r="DC14" s="44">
        <v>1000</v>
      </c>
      <c r="DD14" s="60">
        <v>1</v>
      </c>
      <c r="DE14" s="44"/>
      <c r="DF14" s="44">
        <v>1</v>
      </c>
      <c r="DG14" s="44">
        <v>0</v>
      </c>
      <c r="DH14" s="44" t="s">
        <v>913</v>
      </c>
      <c r="DI14" s="45">
        <v>0</v>
      </c>
      <c r="DJ14" s="44">
        <v>1000</v>
      </c>
      <c r="DK14" s="65"/>
    </row>
    <row r="15" spans="1:115" x14ac:dyDescent="0.2">
      <c r="A15" s="7" t="str">
        <f t="shared" si="0"/>
        <v>Execução 11</v>
      </c>
      <c r="B15" s="87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79" t="s">
        <v>4</v>
      </c>
      <c r="H15" s="79" t="s">
        <v>15</v>
      </c>
      <c r="I15" s="49" t="str">
        <f t="shared" si="2"/>
        <v>0581</v>
      </c>
      <c r="J15" s="79" t="s">
        <v>6</v>
      </c>
      <c r="K15" s="79"/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 t="s">
        <v>109</v>
      </c>
      <c r="V15" s="45" t="s">
        <v>110</v>
      </c>
      <c r="W15" s="45" t="s">
        <v>111</v>
      </c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297</v>
      </c>
      <c r="AP15" s="43" t="str">
        <f>IFERROR(IF(INDEX('MM01-BOB'!$A:$DM,MATCH('MM01'!$B15,'MM01-BOB'!$B:$B,0),MATCH('MM01'!AP$3,'MM01-BOB'!$3:$3,0))=0,"",INDEX('MM01-BOB'!$A:$DM,MATCH('MM01'!$B15,'MM01-BOB'!$B:$B,0),MATCH('MM01'!AP$3,'MM01-BOB'!$3:$3,0))),"")</f>
        <v/>
      </c>
      <c r="AQ15" s="45"/>
      <c r="AR15" s="43" t="str">
        <f>IFERROR(IF(INDEX('MM01-BOB'!$A:$DM,MATCH('MM01'!$B15,'MM01-BOB'!$B:$B,0),MATCH('MM01'!AR$3,'MM01-BOB'!$3:$3,0))=0,"",INDEX('MM01-BOB'!$A:$DM,MATCH('MM01'!$B15,'MM01-BOB'!$B:$B,0),MATCH('MM01'!AR$3,'MM01-BOB'!$3:$3,0))),"")</f>
        <v/>
      </c>
      <c r="AS15" s="45"/>
      <c r="AT15" s="46" t="str">
        <f t="shared" ca="1" si="3"/>
        <v/>
      </c>
      <c r="AU15" s="50" t="s">
        <v>203</v>
      </c>
      <c r="AV15" s="44">
        <v>1</v>
      </c>
      <c r="AW15" s="43">
        <f t="shared" si="4"/>
        <v>1</v>
      </c>
      <c r="AX15" s="48" t="s">
        <v>297</v>
      </c>
      <c r="AY15" s="43" t="str">
        <f>IFERROR(IF(INDEX('MM01-BOB'!$A:$DM,MATCH('MM01'!$B15,'MM01-BOB'!$B:$B,0),MATCH('MM01'!AY$3,'MM01-BOB'!$3:$3,0))=0,"",INDEX('MM01-BOB'!$A:$DM,MATCH('MM01'!$B15,'MM01-BOB'!$B:$B,0),MATCH('MM01'!AY$3,'MM01-BOB'!$3:$3,0))),"")</f>
        <v/>
      </c>
      <c r="AZ15" s="44"/>
      <c r="BA15" s="44"/>
      <c r="BB15" s="47"/>
      <c r="BC15" s="50" t="s">
        <v>4</v>
      </c>
      <c r="BD15" s="50">
        <v>1</v>
      </c>
      <c r="BE15" s="50" t="s">
        <v>192</v>
      </c>
      <c r="BF15" s="50" t="s">
        <v>192</v>
      </c>
      <c r="BG15" s="50" t="s">
        <v>727</v>
      </c>
      <c r="BH15" s="44">
        <v>0</v>
      </c>
      <c r="BI15" s="44">
        <v>1</v>
      </c>
      <c r="BJ15" s="44">
        <v>0</v>
      </c>
      <c r="BK15" s="44" t="s">
        <v>348</v>
      </c>
      <c r="BL15" s="50" t="s">
        <v>195</v>
      </c>
      <c r="BM15" s="50" t="s">
        <v>195</v>
      </c>
      <c r="BN15" s="43" t="str">
        <f>IFERROR(IF(INDEX('MM01-BOB'!$A:$DM,MATCH('MM01'!$B15,'MM01-BOB'!$B:$B,0),MATCH('MM01'!BN$3,'MM01-BOB'!$3:$3,0))=0,"",INDEX('MM01-BOB'!$A:$DM,MATCH('MM01'!$B15,'MM01-BOB'!$B:$B,0),MATCH('MM01'!BN$3,'MM01-BOB'!$3:$3,0))),"")</f>
        <v/>
      </c>
      <c r="BO15" s="44"/>
      <c r="BP15" s="50">
        <v>0</v>
      </c>
      <c r="BQ15" s="45" t="s">
        <v>378</v>
      </c>
      <c r="BR15" s="45" t="s">
        <v>84</v>
      </c>
      <c r="BS15" s="43" t="str">
        <f t="shared" si="5"/>
        <v>581</v>
      </c>
      <c r="BT15" s="45" t="s">
        <v>426</v>
      </c>
      <c r="BU15" s="80"/>
      <c r="BV15" s="45">
        <v>1</v>
      </c>
      <c r="BW15" s="45" t="s">
        <v>471</v>
      </c>
      <c r="BX15" s="45"/>
      <c r="BY15" s="44"/>
      <c r="BZ15" s="49" t="str">
        <f t="shared" si="6"/>
        <v>0120</v>
      </c>
      <c r="CA15" s="49" t="str">
        <f t="shared" si="7"/>
        <v>0120</v>
      </c>
      <c r="CB15" s="45"/>
      <c r="CC15" s="44">
        <v>1</v>
      </c>
      <c r="CD15" s="44">
        <v>2</v>
      </c>
      <c r="CE15" s="50" t="s">
        <v>490</v>
      </c>
      <c r="CF15" s="80">
        <v>2</v>
      </c>
      <c r="CG15" s="80">
        <v>7</v>
      </c>
      <c r="CH15" s="44" t="s">
        <v>348</v>
      </c>
      <c r="CI15" s="44">
        <v>2</v>
      </c>
      <c r="CJ15" s="44">
        <v>42</v>
      </c>
      <c r="CK15" s="44">
        <v>10</v>
      </c>
      <c r="CL15" s="43" t="str">
        <f t="shared" si="8"/>
        <v>K00_R_0581</v>
      </c>
      <c r="CM15" s="43">
        <f t="shared" si="9"/>
        <v>1</v>
      </c>
      <c r="CN15" s="55" t="s">
        <v>909</v>
      </c>
      <c r="CO15" s="43" t="str">
        <f t="shared" ca="1" si="10"/>
        <v>17.05.2022</v>
      </c>
      <c r="CP15" s="43" t="str">
        <f t="shared" si="11"/>
        <v>31.12.9999</v>
      </c>
      <c r="CR15" s="44">
        <v>2</v>
      </c>
      <c r="CS15" s="44"/>
      <c r="CT15" s="44">
        <v>1</v>
      </c>
      <c r="CU15" s="44" t="s">
        <v>910</v>
      </c>
      <c r="CV15" s="44">
        <v>12</v>
      </c>
      <c r="CW15" s="43">
        <f t="shared" si="12"/>
        <v>0.01</v>
      </c>
      <c r="CX15" s="43" t="str">
        <f t="shared" si="13"/>
        <v>KG</v>
      </c>
      <c r="CY15" s="44">
        <v>1</v>
      </c>
      <c r="CZ15" s="50" t="s">
        <v>223</v>
      </c>
      <c r="DA15" s="50" t="s">
        <v>902</v>
      </c>
      <c r="DB15" s="43" t="str">
        <f>IFERROR(IF(INDEX(Estrutura_P01[#All],MATCH($D15,Estrutura_P01[[#All],[txtMAKT-MAKTX]],0),MATCH(DB$3,Estrutura_P01[#Headers],0))=0,"",INDEX(Estrutura_P01[#All],MATCH($D15,Estrutura_P01[[#All],[txtMAKT-MAKTX]],0),MATCH(DB$3,Estrutura_P01[#Headers],0))),"")</f>
        <v/>
      </c>
      <c r="DC15" s="44">
        <v>1000</v>
      </c>
      <c r="DD15" s="60">
        <v>1</v>
      </c>
      <c r="DE15" s="44"/>
      <c r="DF15" s="44">
        <v>1</v>
      </c>
      <c r="DG15" s="44">
        <v>0</v>
      </c>
      <c r="DH15" s="44" t="s">
        <v>913</v>
      </c>
      <c r="DI15" s="45">
        <v>0</v>
      </c>
      <c r="DJ15" s="44">
        <v>1000</v>
      </c>
      <c r="DK15" s="65"/>
    </row>
    <row r="16" spans="1:115" x14ac:dyDescent="0.2">
      <c r="A16" s="7" t="str">
        <f t="shared" si="0"/>
        <v>Execução 12</v>
      </c>
      <c r="B16" s="87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79" t="s">
        <v>4</v>
      </c>
      <c r="H16" s="79" t="s">
        <v>15</v>
      </c>
      <c r="I16" s="49" t="str">
        <f t="shared" si="2"/>
        <v>0581</v>
      </c>
      <c r="J16" s="79" t="s">
        <v>6</v>
      </c>
      <c r="K16" s="79"/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 t="s">
        <v>109</v>
      </c>
      <c r="V16" s="45" t="s">
        <v>110</v>
      </c>
      <c r="W16" s="45" t="s">
        <v>111</v>
      </c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297</v>
      </c>
      <c r="AP16" s="43" t="str">
        <f>IFERROR(IF(INDEX('MM01-BOB'!$A:$DM,MATCH('MM01'!$B16,'MM01-BOB'!$B:$B,0),MATCH('MM01'!AP$3,'MM01-BOB'!$3:$3,0))=0,"",INDEX('MM01-BOB'!$A:$DM,MATCH('MM01'!$B16,'MM01-BOB'!$B:$B,0),MATCH('MM01'!AP$3,'MM01-BOB'!$3:$3,0))),"")</f>
        <v/>
      </c>
      <c r="AQ16" s="45"/>
      <c r="AR16" s="43" t="str">
        <f>IFERROR(IF(INDEX('MM01-BOB'!$A:$DM,MATCH('MM01'!$B16,'MM01-BOB'!$B:$B,0),MATCH('MM01'!AR$3,'MM01-BOB'!$3:$3,0))=0,"",INDEX('MM01-BOB'!$A:$DM,MATCH('MM01'!$B16,'MM01-BOB'!$B:$B,0),MATCH('MM01'!AR$3,'MM01-BOB'!$3:$3,0))),"")</f>
        <v/>
      </c>
      <c r="AS16" s="45"/>
      <c r="AT16" s="46" t="str">
        <f t="shared" ca="1" si="3"/>
        <v/>
      </c>
      <c r="AU16" s="50" t="s">
        <v>203</v>
      </c>
      <c r="AV16" s="44">
        <v>1</v>
      </c>
      <c r="AW16" s="43">
        <f t="shared" si="4"/>
        <v>1</v>
      </c>
      <c r="AX16" s="48" t="s">
        <v>297</v>
      </c>
      <c r="AY16" s="43" t="str">
        <f>IFERROR(IF(INDEX('MM01-BOB'!$A:$DM,MATCH('MM01'!$B16,'MM01-BOB'!$B:$B,0),MATCH('MM01'!AY$3,'MM01-BOB'!$3:$3,0))=0,"",INDEX('MM01-BOB'!$A:$DM,MATCH('MM01'!$B16,'MM01-BOB'!$B:$B,0),MATCH('MM01'!AY$3,'MM01-BOB'!$3:$3,0))),"")</f>
        <v/>
      </c>
      <c r="AZ16" s="44"/>
      <c r="BA16" s="44"/>
      <c r="BB16" s="47"/>
      <c r="BC16" s="50" t="s">
        <v>4</v>
      </c>
      <c r="BD16" s="50">
        <v>1</v>
      </c>
      <c r="BE16" s="50" t="s">
        <v>192</v>
      </c>
      <c r="BF16" s="50" t="s">
        <v>192</v>
      </c>
      <c r="BG16" s="50" t="s">
        <v>727</v>
      </c>
      <c r="BH16" s="44">
        <v>0</v>
      </c>
      <c r="BI16" s="44">
        <v>1</v>
      </c>
      <c r="BJ16" s="44">
        <v>0</v>
      </c>
      <c r="BK16" s="44" t="s">
        <v>348</v>
      </c>
      <c r="BL16" s="50" t="s">
        <v>195</v>
      </c>
      <c r="BM16" s="50" t="s">
        <v>195</v>
      </c>
      <c r="BN16" s="43" t="str">
        <f>IFERROR(IF(INDEX('MM01-BOB'!$A:$DM,MATCH('MM01'!$B16,'MM01-BOB'!$B:$B,0),MATCH('MM01'!BN$3,'MM01-BOB'!$3:$3,0))=0,"",INDEX('MM01-BOB'!$A:$DM,MATCH('MM01'!$B16,'MM01-BOB'!$B:$B,0),MATCH('MM01'!BN$3,'MM01-BOB'!$3:$3,0))),"")</f>
        <v/>
      </c>
      <c r="BO16" s="44"/>
      <c r="BP16" s="50">
        <v>0</v>
      </c>
      <c r="BQ16" s="45" t="s">
        <v>378</v>
      </c>
      <c r="BR16" s="45" t="s">
        <v>84</v>
      </c>
      <c r="BS16" s="43" t="str">
        <f t="shared" si="5"/>
        <v>581</v>
      </c>
      <c r="BT16" s="45" t="s">
        <v>426</v>
      </c>
      <c r="BU16" s="80"/>
      <c r="BV16" s="45">
        <v>1</v>
      </c>
      <c r="BW16" s="45" t="s">
        <v>471</v>
      </c>
      <c r="BX16" s="45"/>
      <c r="BY16" s="44"/>
      <c r="BZ16" s="49" t="str">
        <f t="shared" si="6"/>
        <v>0120</v>
      </c>
      <c r="CA16" s="49" t="str">
        <f t="shared" si="7"/>
        <v>0120</v>
      </c>
      <c r="CB16" s="45"/>
      <c r="CC16" s="44">
        <v>1</v>
      </c>
      <c r="CD16" s="44">
        <v>2</v>
      </c>
      <c r="CE16" s="50" t="s">
        <v>490</v>
      </c>
      <c r="CF16" s="80">
        <v>2</v>
      </c>
      <c r="CG16" s="80">
        <v>7</v>
      </c>
      <c r="CH16" s="44" t="s">
        <v>348</v>
      </c>
      <c r="CI16" s="44">
        <v>2</v>
      </c>
      <c r="CJ16" s="44">
        <v>42</v>
      </c>
      <c r="CK16" s="44">
        <v>10</v>
      </c>
      <c r="CL16" s="43" t="str">
        <f t="shared" si="8"/>
        <v>K00_R_0581</v>
      </c>
      <c r="CM16" s="43">
        <f t="shared" si="9"/>
        <v>1</v>
      </c>
      <c r="CN16" s="55" t="s">
        <v>909</v>
      </c>
      <c r="CO16" s="43" t="str">
        <f t="shared" ca="1" si="10"/>
        <v>17.05.2022</v>
      </c>
      <c r="CP16" s="43" t="str">
        <f t="shared" si="11"/>
        <v>31.12.9999</v>
      </c>
      <c r="CR16" s="44">
        <v>2</v>
      </c>
      <c r="CS16" s="44"/>
      <c r="CT16" s="44">
        <v>1</v>
      </c>
      <c r="CU16" s="44" t="s">
        <v>910</v>
      </c>
      <c r="CV16" s="44">
        <v>12</v>
      </c>
      <c r="CW16" s="43">
        <f t="shared" si="12"/>
        <v>0.01</v>
      </c>
      <c r="CX16" s="43" t="str">
        <f t="shared" si="13"/>
        <v>KG</v>
      </c>
      <c r="CY16" s="44">
        <v>1</v>
      </c>
      <c r="CZ16" s="50" t="s">
        <v>223</v>
      </c>
      <c r="DA16" s="50" t="s">
        <v>902</v>
      </c>
      <c r="DB16" s="43" t="str">
        <f>IFERROR(IF(INDEX(Estrutura_P01[#All],MATCH($D16,Estrutura_P01[[#All],[txtMAKT-MAKTX]],0),MATCH(DB$3,Estrutura_P01[#Headers],0))=0,"",INDEX(Estrutura_P01[#All],MATCH($D16,Estrutura_P01[[#All],[txtMAKT-MAKTX]],0),MATCH(DB$3,Estrutura_P01[#Headers],0))),"")</f>
        <v/>
      </c>
      <c r="DC16" s="44">
        <v>1000</v>
      </c>
      <c r="DD16" s="60">
        <v>1</v>
      </c>
      <c r="DE16" s="44"/>
      <c r="DF16" s="44">
        <v>1</v>
      </c>
      <c r="DG16" s="44">
        <v>0</v>
      </c>
      <c r="DH16" s="44" t="s">
        <v>913</v>
      </c>
      <c r="DI16" s="45">
        <v>0</v>
      </c>
      <c r="DJ16" s="44">
        <v>1000</v>
      </c>
      <c r="DK16" s="65"/>
    </row>
    <row r="17" spans="1:115" x14ac:dyDescent="0.2">
      <c r="A17" s="7" t="str">
        <f t="shared" si="0"/>
        <v>Execução 13</v>
      </c>
      <c r="B17" s="87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79" t="s">
        <v>4</v>
      </c>
      <c r="H17" s="79" t="s">
        <v>15</v>
      </c>
      <c r="I17" s="49" t="str">
        <f t="shared" si="2"/>
        <v>0581</v>
      </c>
      <c r="J17" s="79" t="s">
        <v>6</v>
      </c>
      <c r="K17" s="79"/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 t="s">
        <v>109</v>
      </c>
      <c r="V17" s="45" t="s">
        <v>110</v>
      </c>
      <c r="W17" s="45" t="s">
        <v>111</v>
      </c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297</v>
      </c>
      <c r="AP17" s="43" t="str">
        <f>IFERROR(IF(INDEX('MM01-BOB'!$A:$DM,MATCH('MM01'!$B17,'MM01-BOB'!$B:$B,0),MATCH('MM01'!AP$3,'MM01-BOB'!$3:$3,0))=0,"",INDEX('MM01-BOB'!$A:$DM,MATCH('MM01'!$B17,'MM01-BOB'!$B:$B,0),MATCH('MM01'!AP$3,'MM01-BOB'!$3:$3,0))),"")</f>
        <v/>
      </c>
      <c r="AQ17" s="45"/>
      <c r="AR17" s="43" t="str">
        <f>IFERROR(IF(INDEX('MM01-BOB'!$A:$DM,MATCH('MM01'!$B17,'MM01-BOB'!$B:$B,0),MATCH('MM01'!AR$3,'MM01-BOB'!$3:$3,0))=0,"",INDEX('MM01-BOB'!$A:$DM,MATCH('MM01'!$B17,'MM01-BOB'!$B:$B,0),MATCH('MM01'!AR$3,'MM01-BOB'!$3:$3,0))),"")</f>
        <v/>
      </c>
      <c r="AS17" s="45"/>
      <c r="AT17" s="46" t="str">
        <f t="shared" ca="1" si="3"/>
        <v/>
      </c>
      <c r="AU17" s="50" t="s">
        <v>203</v>
      </c>
      <c r="AV17" s="44">
        <v>1</v>
      </c>
      <c r="AW17" s="43">
        <f t="shared" si="4"/>
        <v>1</v>
      </c>
      <c r="AX17" s="48" t="s">
        <v>297</v>
      </c>
      <c r="AY17" s="43" t="str">
        <f>IFERROR(IF(INDEX('MM01-BOB'!$A:$DM,MATCH('MM01'!$B17,'MM01-BOB'!$B:$B,0),MATCH('MM01'!AY$3,'MM01-BOB'!$3:$3,0))=0,"",INDEX('MM01-BOB'!$A:$DM,MATCH('MM01'!$B17,'MM01-BOB'!$B:$B,0),MATCH('MM01'!AY$3,'MM01-BOB'!$3:$3,0))),"")</f>
        <v/>
      </c>
      <c r="AZ17" s="44"/>
      <c r="BA17" s="44"/>
      <c r="BB17" s="47"/>
      <c r="BC17" s="50" t="s">
        <v>4</v>
      </c>
      <c r="BD17" s="50">
        <v>1</v>
      </c>
      <c r="BE17" s="50" t="s">
        <v>192</v>
      </c>
      <c r="BF17" s="50" t="s">
        <v>192</v>
      </c>
      <c r="BG17" s="50" t="s">
        <v>727</v>
      </c>
      <c r="BH17" s="44">
        <v>0</v>
      </c>
      <c r="BI17" s="44">
        <v>1</v>
      </c>
      <c r="BJ17" s="44">
        <v>0</v>
      </c>
      <c r="BK17" s="44" t="s">
        <v>348</v>
      </c>
      <c r="BL17" s="50" t="s">
        <v>195</v>
      </c>
      <c r="BM17" s="50" t="s">
        <v>195</v>
      </c>
      <c r="BN17" s="43" t="str">
        <f>IFERROR(IF(INDEX('MM01-BOB'!$A:$DM,MATCH('MM01'!$B17,'MM01-BOB'!$B:$B,0),MATCH('MM01'!BN$3,'MM01-BOB'!$3:$3,0))=0,"",INDEX('MM01-BOB'!$A:$DM,MATCH('MM01'!$B17,'MM01-BOB'!$B:$B,0),MATCH('MM01'!BN$3,'MM01-BOB'!$3:$3,0))),"")</f>
        <v/>
      </c>
      <c r="BO17" s="44"/>
      <c r="BP17" s="50">
        <v>0</v>
      </c>
      <c r="BQ17" s="45" t="s">
        <v>378</v>
      </c>
      <c r="BR17" s="45" t="s">
        <v>84</v>
      </c>
      <c r="BS17" s="43" t="str">
        <f t="shared" si="5"/>
        <v>581</v>
      </c>
      <c r="BT17" s="45" t="s">
        <v>426</v>
      </c>
      <c r="BU17" s="80"/>
      <c r="BV17" s="45">
        <v>1</v>
      </c>
      <c r="BW17" s="45" t="s">
        <v>471</v>
      </c>
      <c r="BX17" s="45"/>
      <c r="BY17" s="44"/>
      <c r="BZ17" s="49" t="str">
        <f t="shared" si="6"/>
        <v>0120</v>
      </c>
      <c r="CA17" s="49" t="str">
        <f t="shared" si="7"/>
        <v>0120</v>
      </c>
      <c r="CB17" s="45"/>
      <c r="CC17" s="44">
        <v>1</v>
      </c>
      <c r="CD17" s="44">
        <v>2</v>
      </c>
      <c r="CE17" s="50" t="s">
        <v>490</v>
      </c>
      <c r="CF17" s="80">
        <v>2</v>
      </c>
      <c r="CG17" s="80">
        <v>7</v>
      </c>
      <c r="CH17" s="44" t="s">
        <v>348</v>
      </c>
      <c r="CI17" s="44">
        <v>2</v>
      </c>
      <c r="CJ17" s="44">
        <v>42</v>
      </c>
      <c r="CK17" s="44">
        <v>10</v>
      </c>
      <c r="CL17" s="43" t="str">
        <f t="shared" si="8"/>
        <v>K00_R_0581</v>
      </c>
      <c r="CM17" s="43">
        <f t="shared" si="9"/>
        <v>1</v>
      </c>
      <c r="CN17" s="55" t="s">
        <v>909</v>
      </c>
      <c r="CO17" s="43" t="str">
        <f t="shared" ca="1" si="10"/>
        <v>17.05.2022</v>
      </c>
      <c r="CP17" s="43" t="str">
        <f t="shared" si="11"/>
        <v>31.12.9999</v>
      </c>
      <c r="CR17" s="44">
        <v>2</v>
      </c>
      <c r="CS17" s="44"/>
      <c r="CT17" s="44">
        <v>1</v>
      </c>
      <c r="CU17" s="44" t="s">
        <v>910</v>
      </c>
      <c r="CV17" s="44">
        <v>12</v>
      </c>
      <c r="CW17" s="43">
        <f t="shared" si="12"/>
        <v>0.01</v>
      </c>
      <c r="CX17" s="43" t="str">
        <f t="shared" si="13"/>
        <v>KG</v>
      </c>
      <c r="CY17" s="44">
        <v>1</v>
      </c>
      <c r="CZ17" s="50" t="s">
        <v>223</v>
      </c>
      <c r="DA17" s="50" t="s">
        <v>902</v>
      </c>
      <c r="DB17" s="43" t="str">
        <f>IFERROR(IF(INDEX(Estrutura_P01[#All],MATCH($D17,Estrutura_P01[[#All],[txtMAKT-MAKTX]],0),MATCH(DB$3,Estrutura_P01[#Headers],0))=0,"",INDEX(Estrutura_P01[#All],MATCH($D17,Estrutura_P01[[#All],[txtMAKT-MAKTX]],0),MATCH(DB$3,Estrutura_P01[#Headers],0))),"")</f>
        <v/>
      </c>
      <c r="DC17" s="44">
        <v>1000</v>
      </c>
      <c r="DD17" s="60">
        <v>1</v>
      </c>
      <c r="DE17" s="44"/>
      <c r="DF17" s="44">
        <v>1</v>
      </c>
      <c r="DG17" s="44">
        <v>0</v>
      </c>
      <c r="DH17" s="44" t="s">
        <v>913</v>
      </c>
      <c r="DI17" s="45">
        <v>0</v>
      </c>
      <c r="DJ17" s="44">
        <v>1000</v>
      </c>
      <c r="DK17" s="65"/>
    </row>
    <row r="18" spans="1:115" x14ac:dyDescent="0.2">
      <c r="A18" s="7" t="str">
        <f t="shared" si="0"/>
        <v>Execução 14</v>
      </c>
      <c r="B18" s="87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79" t="s">
        <v>4</v>
      </c>
      <c r="H18" s="79" t="s">
        <v>15</v>
      </c>
      <c r="I18" s="49" t="str">
        <f t="shared" si="2"/>
        <v>0581</v>
      </c>
      <c r="J18" s="79" t="s">
        <v>6</v>
      </c>
      <c r="K18" s="79"/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 t="s">
        <v>109</v>
      </c>
      <c r="V18" s="45" t="s">
        <v>110</v>
      </c>
      <c r="W18" s="45" t="s">
        <v>111</v>
      </c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297</v>
      </c>
      <c r="AP18" s="43" t="str">
        <f>IFERROR(IF(INDEX('MM01-BOB'!$A:$DM,MATCH('MM01'!$B18,'MM01-BOB'!$B:$B,0),MATCH('MM01'!AP$3,'MM01-BOB'!$3:$3,0))=0,"",INDEX('MM01-BOB'!$A:$DM,MATCH('MM01'!$B18,'MM01-BOB'!$B:$B,0),MATCH('MM01'!AP$3,'MM01-BOB'!$3:$3,0))),"")</f>
        <v/>
      </c>
      <c r="AQ18" s="45"/>
      <c r="AR18" s="43" t="str">
        <f>IFERROR(IF(INDEX('MM01-BOB'!$A:$DM,MATCH('MM01'!$B18,'MM01-BOB'!$B:$B,0),MATCH('MM01'!AR$3,'MM01-BOB'!$3:$3,0))=0,"",INDEX('MM01-BOB'!$A:$DM,MATCH('MM01'!$B18,'MM01-BOB'!$B:$B,0),MATCH('MM01'!AR$3,'MM01-BOB'!$3:$3,0))),"")</f>
        <v/>
      </c>
      <c r="AS18" s="45"/>
      <c r="AT18" s="46" t="str">
        <f t="shared" ca="1" si="3"/>
        <v/>
      </c>
      <c r="AU18" s="50" t="s">
        <v>203</v>
      </c>
      <c r="AV18" s="44">
        <v>1</v>
      </c>
      <c r="AW18" s="43">
        <f t="shared" si="4"/>
        <v>1</v>
      </c>
      <c r="AX18" s="48" t="s">
        <v>297</v>
      </c>
      <c r="AY18" s="43" t="str">
        <f>IFERROR(IF(INDEX('MM01-BOB'!$A:$DM,MATCH('MM01'!$B18,'MM01-BOB'!$B:$B,0),MATCH('MM01'!AY$3,'MM01-BOB'!$3:$3,0))=0,"",INDEX('MM01-BOB'!$A:$DM,MATCH('MM01'!$B18,'MM01-BOB'!$B:$B,0),MATCH('MM01'!AY$3,'MM01-BOB'!$3:$3,0))),"")</f>
        <v/>
      </c>
      <c r="AZ18" s="44"/>
      <c r="BA18" s="44"/>
      <c r="BB18" s="47"/>
      <c r="BC18" s="50" t="s">
        <v>4</v>
      </c>
      <c r="BD18" s="50">
        <v>1</v>
      </c>
      <c r="BE18" s="50" t="s">
        <v>192</v>
      </c>
      <c r="BF18" s="50" t="s">
        <v>192</v>
      </c>
      <c r="BG18" s="50" t="s">
        <v>727</v>
      </c>
      <c r="BH18" s="44">
        <v>0</v>
      </c>
      <c r="BI18" s="44">
        <v>1</v>
      </c>
      <c r="BJ18" s="44">
        <v>0</v>
      </c>
      <c r="BK18" s="44" t="s">
        <v>348</v>
      </c>
      <c r="BL18" s="50" t="s">
        <v>195</v>
      </c>
      <c r="BM18" s="50" t="s">
        <v>195</v>
      </c>
      <c r="BN18" s="43" t="str">
        <f>IFERROR(IF(INDEX('MM01-BOB'!$A:$DM,MATCH('MM01'!$B18,'MM01-BOB'!$B:$B,0),MATCH('MM01'!BN$3,'MM01-BOB'!$3:$3,0))=0,"",INDEX('MM01-BOB'!$A:$DM,MATCH('MM01'!$B18,'MM01-BOB'!$B:$B,0),MATCH('MM01'!BN$3,'MM01-BOB'!$3:$3,0))),"")</f>
        <v/>
      </c>
      <c r="BO18" s="44"/>
      <c r="BP18" s="50">
        <v>0</v>
      </c>
      <c r="BQ18" s="45" t="s">
        <v>378</v>
      </c>
      <c r="BR18" s="45" t="s">
        <v>84</v>
      </c>
      <c r="BS18" s="43" t="str">
        <f t="shared" si="5"/>
        <v>581</v>
      </c>
      <c r="BT18" s="45" t="s">
        <v>426</v>
      </c>
      <c r="BU18" s="80"/>
      <c r="BV18" s="45">
        <v>1</v>
      </c>
      <c r="BW18" s="45" t="s">
        <v>471</v>
      </c>
      <c r="BX18" s="45"/>
      <c r="BY18" s="44"/>
      <c r="BZ18" s="49" t="str">
        <f t="shared" si="6"/>
        <v>0120</v>
      </c>
      <c r="CA18" s="49" t="str">
        <f t="shared" si="7"/>
        <v>0120</v>
      </c>
      <c r="CB18" s="45"/>
      <c r="CC18" s="44">
        <v>1</v>
      </c>
      <c r="CD18" s="44">
        <v>2</v>
      </c>
      <c r="CE18" s="50" t="s">
        <v>490</v>
      </c>
      <c r="CF18" s="80">
        <v>2</v>
      </c>
      <c r="CG18" s="80">
        <v>7</v>
      </c>
      <c r="CH18" s="44" t="s">
        <v>348</v>
      </c>
      <c r="CI18" s="44">
        <v>2</v>
      </c>
      <c r="CJ18" s="44">
        <v>42</v>
      </c>
      <c r="CK18" s="44">
        <v>10</v>
      </c>
      <c r="CL18" s="43" t="str">
        <f t="shared" si="8"/>
        <v>K00_R_0581</v>
      </c>
      <c r="CM18" s="43">
        <f t="shared" si="9"/>
        <v>1</v>
      </c>
      <c r="CN18" s="55" t="s">
        <v>909</v>
      </c>
      <c r="CO18" s="43" t="str">
        <f t="shared" ca="1" si="10"/>
        <v>17.05.2022</v>
      </c>
      <c r="CP18" s="43" t="str">
        <f t="shared" si="11"/>
        <v>31.12.9999</v>
      </c>
      <c r="CR18" s="44">
        <v>2</v>
      </c>
      <c r="CS18" s="44"/>
      <c r="CT18" s="44">
        <v>1</v>
      </c>
      <c r="CU18" s="44" t="s">
        <v>910</v>
      </c>
      <c r="CV18" s="44">
        <v>12</v>
      </c>
      <c r="CW18" s="43">
        <f t="shared" si="12"/>
        <v>0.01</v>
      </c>
      <c r="CX18" s="43" t="str">
        <f t="shared" si="13"/>
        <v>KG</v>
      </c>
      <c r="CY18" s="44">
        <v>1</v>
      </c>
      <c r="CZ18" s="50" t="s">
        <v>223</v>
      </c>
      <c r="DA18" s="50" t="s">
        <v>902</v>
      </c>
      <c r="DB18" s="43" t="str">
        <f>IFERROR(IF(INDEX(Estrutura_P01[#All],MATCH($D18,Estrutura_P01[[#All],[txtMAKT-MAKTX]],0),MATCH(DB$3,Estrutura_P01[#Headers],0))=0,"",INDEX(Estrutura_P01[#All],MATCH($D18,Estrutura_P01[[#All],[txtMAKT-MAKTX]],0),MATCH(DB$3,Estrutura_P01[#Headers],0))),"")</f>
        <v/>
      </c>
      <c r="DC18" s="44">
        <v>1000</v>
      </c>
      <c r="DD18" s="60">
        <v>1</v>
      </c>
      <c r="DE18" s="44"/>
      <c r="DF18" s="44">
        <v>1</v>
      </c>
      <c r="DG18" s="44">
        <v>0</v>
      </c>
      <c r="DH18" s="44" t="s">
        <v>913</v>
      </c>
      <c r="DI18" s="45">
        <v>0</v>
      </c>
      <c r="DJ18" s="44">
        <v>1000</v>
      </c>
      <c r="DK18" s="65"/>
    </row>
    <row r="19" spans="1:115" x14ac:dyDescent="0.2">
      <c r="A19" s="7" t="str">
        <f t="shared" si="0"/>
        <v>Execução 15</v>
      </c>
      <c r="B19" s="87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79" t="s">
        <v>4</v>
      </c>
      <c r="H19" s="79" t="s">
        <v>15</v>
      </c>
      <c r="I19" s="49" t="str">
        <f t="shared" si="2"/>
        <v>0581</v>
      </c>
      <c r="J19" s="79" t="s">
        <v>6</v>
      </c>
      <c r="K19" s="79"/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 t="s">
        <v>109</v>
      </c>
      <c r="V19" s="45" t="s">
        <v>110</v>
      </c>
      <c r="W19" s="45" t="s">
        <v>111</v>
      </c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297</v>
      </c>
      <c r="AP19" s="43" t="str">
        <f>IFERROR(IF(INDEX('MM01-BOB'!$A:$DM,MATCH('MM01'!$B19,'MM01-BOB'!$B:$B,0),MATCH('MM01'!AP$3,'MM01-BOB'!$3:$3,0))=0,"",INDEX('MM01-BOB'!$A:$DM,MATCH('MM01'!$B19,'MM01-BOB'!$B:$B,0),MATCH('MM01'!AP$3,'MM01-BOB'!$3:$3,0))),"")</f>
        <v/>
      </c>
      <c r="AQ19" s="45"/>
      <c r="AR19" s="43" t="str">
        <f>IFERROR(IF(INDEX('MM01-BOB'!$A:$DM,MATCH('MM01'!$B19,'MM01-BOB'!$B:$B,0),MATCH('MM01'!AR$3,'MM01-BOB'!$3:$3,0))=0,"",INDEX('MM01-BOB'!$A:$DM,MATCH('MM01'!$B19,'MM01-BOB'!$B:$B,0),MATCH('MM01'!AR$3,'MM01-BOB'!$3:$3,0))),"")</f>
        <v/>
      </c>
      <c r="AS19" s="45"/>
      <c r="AT19" s="46" t="str">
        <f t="shared" ca="1" si="3"/>
        <v/>
      </c>
      <c r="AU19" s="50" t="s">
        <v>203</v>
      </c>
      <c r="AV19" s="44">
        <v>1</v>
      </c>
      <c r="AW19" s="43">
        <f t="shared" si="4"/>
        <v>1</v>
      </c>
      <c r="AX19" s="48" t="s">
        <v>297</v>
      </c>
      <c r="AY19" s="43" t="str">
        <f>IFERROR(IF(INDEX('MM01-BOB'!$A:$DM,MATCH('MM01'!$B19,'MM01-BOB'!$B:$B,0),MATCH('MM01'!AY$3,'MM01-BOB'!$3:$3,0))=0,"",INDEX('MM01-BOB'!$A:$DM,MATCH('MM01'!$B19,'MM01-BOB'!$B:$B,0),MATCH('MM01'!AY$3,'MM01-BOB'!$3:$3,0))),"")</f>
        <v/>
      </c>
      <c r="AZ19" s="44"/>
      <c r="BA19" s="44"/>
      <c r="BB19" s="47"/>
      <c r="BC19" s="50" t="s">
        <v>4</v>
      </c>
      <c r="BD19" s="50">
        <v>1</v>
      </c>
      <c r="BE19" s="50" t="s">
        <v>192</v>
      </c>
      <c r="BF19" s="50" t="s">
        <v>192</v>
      </c>
      <c r="BG19" s="50" t="s">
        <v>727</v>
      </c>
      <c r="BH19" s="44">
        <v>0</v>
      </c>
      <c r="BI19" s="44">
        <v>1</v>
      </c>
      <c r="BJ19" s="44">
        <v>0</v>
      </c>
      <c r="BK19" s="44" t="s">
        <v>348</v>
      </c>
      <c r="BL19" s="50" t="s">
        <v>195</v>
      </c>
      <c r="BM19" s="50" t="s">
        <v>195</v>
      </c>
      <c r="BN19" s="43" t="str">
        <f>IFERROR(IF(INDEX('MM01-BOB'!$A:$DM,MATCH('MM01'!$B19,'MM01-BOB'!$B:$B,0),MATCH('MM01'!BN$3,'MM01-BOB'!$3:$3,0))=0,"",INDEX('MM01-BOB'!$A:$DM,MATCH('MM01'!$B19,'MM01-BOB'!$B:$B,0),MATCH('MM01'!BN$3,'MM01-BOB'!$3:$3,0))),"")</f>
        <v/>
      </c>
      <c r="BO19" s="44"/>
      <c r="BP19" s="50">
        <v>0</v>
      </c>
      <c r="BQ19" s="45" t="s">
        <v>378</v>
      </c>
      <c r="BR19" s="45" t="s">
        <v>84</v>
      </c>
      <c r="BS19" s="43" t="str">
        <f t="shared" si="5"/>
        <v>581</v>
      </c>
      <c r="BT19" s="45" t="s">
        <v>426</v>
      </c>
      <c r="BU19" s="80"/>
      <c r="BV19" s="45">
        <v>1</v>
      </c>
      <c r="BW19" s="45" t="s">
        <v>471</v>
      </c>
      <c r="BX19" s="45"/>
      <c r="BY19" s="44"/>
      <c r="BZ19" s="49" t="str">
        <f t="shared" si="6"/>
        <v>0120</v>
      </c>
      <c r="CA19" s="49" t="str">
        <f t="shared" si="7"/>
        <v>0120</v>
      </c>
      <c r="CB19" s="45"/>
      <c r="CC19" s="44">
        <v>1</v>
      </c>
      <c r="CD19" s="44">
        <v>2</v>
      </c>
      <c r="CE19" s="50" t="s">
        <v>490</v>
      </c>
      <c r="CF19" s="80">
        <v>2</v>
      </c>
      <c r="CG19" s="80">
        <v>7</v>
      </c>
      <c r="CH19" s="44" t="s">
        <v>348</v>
      </c>
      <c r="CI19" s="44">
        <v>2</v>
      </c>
      <c r="CJ19" s="44">
        <v>42</v>
      </c>
      <c r="CK19" s="44">
        <v>10</v>
      </c>
      <c r="CL19" s="43" t="str">
        <f t="shared" si="8"/>
        <v>K00_R_0581</v>
      </c>
      <c r="CM19" s="43">
        <f t="shared" si="9"/>
        <v>1</v>
      </c>
      <c r="CN19" s="55" t="s">
        <v>909</v>
      </c>
      <c r="CO19" s="43" t="str">
        <f t="shared" ca="1" si="10"/>
        <v>17.05.2022</v>
      </c>
      <c r="CP19" s="43" t="str">
        <f t="shared" si="11"/>
        <v>31.12.9999</v>
      </c>
      <c r="CR19" s="44">
        <v>2</v>
      </c>
      <c r="CS19" s="44"/>
      <c r="CT19" s="44">
        <v>1</v>
      </c>
      <c r="CU19" s="44" t="s">
        <v>910</v>
      </c>
      <c r="CV19" s="44">
        <v>12</v>
      </c>
      <c r="CW19" s="43">
        <f t="shared" si="12"/>
        <v>0.01</v>
      </c>
      <c r="CX19" s="43" t="str">
        <f t="shared" si="13"/>
        <v>KG</v>
      </c>
      <c r="CY19" s="44">
        <v>1</v>
      </c>
      <c r="CZ19" s="50" t="s">
        <v>223</v>
      </c>
      <c r="DA19" s="50" t="s">
        <v>902</v>
      </c>
      <c r="DB19" s="43" t="str">
        <f>IFERROR(IF(INDEX(Estrutura_P01[#All],MATCH($D19,Estrutura_P01[[#All],[txtMAKT-MAKTX]],0),MATCH(DB$3,Estrutura_P01[#Headers],0))=0,"",INDEX(Estrutura_P01[#All],MATCH($D19,Estrutura_P01[[#All],[txtMAKT-MAKTX]],0),MATCH(DB$3,Estrutura_P01[#Headers],0))),"")</f>
        <v/>
      </c>
      <c r="DC19" s="44">
        <v>1000</v>
      </c>
      <c r="DD19" s="60">
        <v>1</v>
      </c>
      <c r="DE19" s="44"/>
      <c r="DF19" s="44">
        <v>1</v>
      </c>
      <c r="DG19" s="44">
        <v>0</v>
      </c>
      <c r="DH19" s="44" t="s">
        <v>913</v>
      </c>
      <c r="DI19" s="45">
        <v>0</v>
      </c>
      <c r="DJ19" s="44">
        <v>1000</v>
      </c>
      <c r="DK19" s="65"/>
    </row>
    <row r="20" spans="1:115" x14ac:dyDescent="0.2">
      <c r="A20" s="7" t="str">
        <f t="shared" si="0"/>
        <v>Execução 16</v>
      </c>
      <c r="B20" s="87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79" t="s">
        <v>4</v>
      </c>
      <c r="H20" s="79" t="s">
        <v>15</v>
      </c>
      <c r="I20" s="49" t="str">
        <f t="shared" si="2"/>
        <v>0581</v>
      </c>
      <c r="J20" s="79" t="s">
        <v>6</v>
      </c>
      <c r="K20" s="79"/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 t="s">
        <v>109</v>
      </c>
      <c r="V20" s="45" t="s">
        <v>110</v>
      </c>
      <c r="W20" s="45" t="s">
        <v>111</v>
      </c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297</v>
      </c>
      <c r="AP20" s="43" t="str">
        <f>IFERROR(IF(INDEX('MM01-BOB'!$A:$DM,MATCH('MM01'!$B20,'MM01-BOB'!$B:$B,0),MATCH('MM01'!AP$3,'MM01-BOB'!$3:$3,0))=0,"",INDEX('MM01-BOB'!$A:$DM,MATCH('MM01'!$B20,'MM01-BOB'!$B:$B,0),MATCH('MM01'!AP$3,'MM01-BOB'!$3:$3,0))),"")</f>
        <v/>
      </c>
      <c r="AQ20" s="45"/>
      <c r="AR20" s="43" t="str">
        <f>IFERROR(IF(INDEX('MM01-BOB'!$A:$DM,MATCH('MM01'!$B20,'MM01-BOB'!$B:$B,0),MATCH('MM01'!AR$3,'MM01-BOB'!$3:$3,0))=0,"",INDEX('MM01-BOB'!$A:$DM,MATCH('MM01'!$B20,'MM01-BOB'!$B:$B,0),MATCH('MM01'!AR$3,'MM01-BOB'!$3:$3,0))),"")</f>
        <v/>
      </c>
      <c r="AS20" s="45"/>
      <c r="AT20" s="46" t="str">
        <f t="shared" ca="1" si="3"/>
        <v/>
      </c>
      <c r="AU20" s="50" t="s">
        <v>203</v>
      </c>
      <c r="AV20" s="44">
        <v>1</v>
      </c>
      <c r="AW20" s="43">
        <f t="shared" si="4"/>
        <v>1</v>
      </c>
      <c r="AX20" s="48" t="s">
        <v>297</v>
      </c>
      <c r="AY20" s="43" t="str">
        <f>IFERROR(IF(INDEX('MM01-BOB'!$A:$DM,MATCH('MM01'!$B20,'MM01-BOB'!$B:$B,0),MATCH('MM01'!AY$3,'MM01-BOB'!$3:$3,0))=0,"",INDEX('MM01-BOB'!$A:$DM,MATCH('MM01'!$B20,'MM01-BOB'!$B:$B,0),MATCH('MM01'!AY$3,'MM01-BOB'!$3:$3,0))),"")</f>
        <v/>
      </c>
      <c r="AZ20" s="44"/>
      <c r="BA20" s="44"/>
      <c r="BB20" s="47"/>
      <c r="BC20" s="50" t="s">
        <v>4</v>
      </c>
      <c r="BD20" s="50">
        <v>1</v>
      </c>
      <c r="BE20" s="50" t="s">
        <v>192</v>
      </c>
      <c r="BF20" s="50" t="s">
        <v>192</v>
      </c>
      <c r="BG20" s="50" t="s">
        <v>727</v>
      </c>
      <c r="BH20" s="44">
        <v>0</v>
      </c>
      <c r="BI20" s="44">
        <v>1</v>
      </c>
      <c r="BJ20" s="44">
        <v>0</v>
      </c>
      <c r="BK20" s="44" t="s">
        <v>348</v>
      </c>
      <c r="BL20" s="50" t="s">
        <v>195</v>
      </c>
      <c r="BM20" s="50" t="s">
        <v>195</v>
      </c>
      <c r="BN20" s="43" t="str">
        <f>IFERROR(IF(INDEX('MM01-BOB'!$A:$DM,MATCH('MM01'!$B20,'MM01-BOB'!$B:$B,0),MATCH('MM01'!BN$3,'MM01-BOB'!$3:$3,0))=0,"",INDEX('MM01-BOB'!$A:$DM,MATCH('MM01'!$B20,'MM01-BOB'!$B:$B,0),MATCH('MM01'!BN$3,'MM01-BOB'!$3:$3,0))),"")</f>
        <v/>
      </c>
      <c r="BO20" s="44"/>
      <c r="BP20" s="50">
        <v>0</v>
      </c>
      <c r="BQ20" s="45" t="s">
        <v>378</v>
      </c>
      <c r="BR20" s="45" t="s">
        <v>84</v>
      </c>
      <c r="BS20" s="43" t="str">
        <f t="shared" si="5"/>
        <v>581</v>
      </c>
      <c r="BT20" s="45" t="s">
        <v>426</v>
      </c>
      <c r="BU20" s="80"/>
      <c r="BV20" s="45">
        <v>1</v>
      </c>
      <c r="BW20" s="45" t="s">
        <v>471</v>
      </c>
      <c r="BX20" s="45"/>
      <c r="BY20" s="44"/>
      <c r="BZ20" s="49" t="str">
        <f t="shared" si="6"/>
        <v>0120</v>
      </c>
      <c r="CA20" s="49" t="str">
        <f t="shared" si="7"/>
        <v>0120</v>
      </c>
      <c r="CB20" s="45"/>
      <c r="CC20" s="44">
        <v>1</v>
      </c>
      <c r="CD20" s="44">
        <v>2</v>
      </c>
      <c r="CE20" s="50" t="s">
        <v>490</v>
      </c>
      <c r="CF20" s="80">
        <v>2</v>
      </c>
      <c r="CG20" s="80">
        <v>7</v>
      </c>
      <c r="CH20" s="44" t="s">
        <v>348</v>
      </c>
      <c r="CI20" s="44">
        <v>2</v>
      </c>
      <c r="CJ20" s="44">
        <v>42</v>
      </c>
      <c r="CK20" s="44">
        <v>10</v>
      </c>
      <c r="CL20" s="43" t="str">
        <f t="shared" si="8"/>
        <v>K00_R_0581</v>
      </c>
      <c r="CM20" s="43">
        <f t="shared" si="9"/>
        <v>1</v>
      </c>
      <c r="CN20" s="55" t="s">
        <v>909</v>
      </c>
      <c r="CO20" s="43" t="str">
        <f t="shared" ca="1" si="10"/>
        <v>17.05.2022</v>
      </c>
      <c r="CP20" s="43" t="str">
        <f t="shared" si="11"/>
        <v>31.12.9999</v>
      </c>
      <c r="CR20" s="44">
        <v>2</v>
      </c>
      <c r="CS20" s="44"/>
      <c r="CT20" s="44">
        <v>1</v>
      </c>
      <c r="CU20" s="44" t="s">
        <v>910</v>
      </c>
      <c r="CV20" s="44">
        <v>12</v>
      </c>
      <c r="CW20" s="43">
        <f t="shared" si="12"/>
        <v>0.01</v>
      </c>
      <c r="CX20" s="43" t="str">
        <f t="shared" si="13"/>
        <v>KG</v>
      </c>
      <c r="CY20" s="44">
        <v>1</v>
      </c>
      <c r="CZ20" s="50" t="s">
        <v>223</v>
      </c>
      <c r="DA20" s="50" t="s">
        <v>902</v>
      </c>
      <c r="DB20" s="43" t="str">
        <f>IFERROR(IF(INDEX(Estrutura_P01[#All],MATCH($D20,Estrutura_P01[[#All],[txtMAKT-MAKTX]],0),MATCH(DB$3,Estrutura_P01[#Headers],0))=0,"",INDEX(Estrutura_P01[#All],MATCH($D20,Estrutura_P01[[#All],[txtMAKT-MAKTX]],0),MATCH(DB$3,Estrutura_P01[#Headers],0))),"")</f>
        <v/>
      </c>
      <c r="DC20" s="44">
        <v>1000</v>
      </c>
      <c r="DD20" s="60">
        <v>1</v>
      </c>
      <c r="DE20" s="44"/>
      <c r="DF20" s="44">
        <v>1</v>
      </c>
      <c r="DG20" s="44">
        <v>0</v>
      </c>
      <c r="DH20" s="44" t="s">
        <v>913</v>
      </c>
      <c r="DI20" s="45">
        <v>0</v>
      </c>
      <c r="DJ20" s="44">
        <v>1000</v>
      </c>
      <c r="DK20" s="65"/>
    </row>
    <row r="21" spans="1:115" x14ac:dyDescent="0.2">
      <c r="A21" s="7" t="str">
        <f t="shared" si="0"/>
        <v>Execução 17</v>
      </c>
      <c r="B21" s="87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79" t="s">
        <v>4</v>
      </c>
      <c r="H21" s="79" t="s">
        <v>15</v>
      </c>
      <c r="I21" s="49" t="str">
        <f t="shared" si="2"/>
        <v>0581</v>
      </c>
      <c r="J21" s="79" t="s">
        <v>6</v>
      </c>
      <c r="K21" s="79"/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 t="s">
        <v>109</v>
      </c>
      <c r="V21" s="45" t="s">
        <v>110</v>
      </c>
      <c r="W21" s="45" t="s">
        <v>111</v>
      </c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297</v>
      </c>
      <c r="AP21" s="43" t="str">
        <f>IFERROR(IF(INDEX('MM01-BOB'!$A:$DM,MATCH('MM01'!$B21,'MM01-BOB'!$B:$B,0),MATCH('MM01'!AP$3,'MM01-BOB'!$3:$3,0))=0,"",INDEX('MM01-BOB'!$A:$DM,MATCH('MM01'!$B21,'MM01-BOB'!$B:$B,0),MATCH('MM01'!AP$3,'MM01-BOB'!$3:$3,0))),"")</f>
        <v/>
      </c>
      <c r="AQ21" s="45"/>
      <c r="AR21" s="43" t="str">
        <f>IFERROR(IF(INDEX('MM01-BOB'!$A:$DM,MATCH('MM01'!$B21,'MM01-BOB'!$B:$B,0),MATCH('MM01'!AR$3,'MM01-BOB'!$3:$3,0))=0,"",INDEX('MM01-BOB'!$A:$DM,MATCH('MM01'!$B21,'MM01-BOB'!$B:$B,0),MATCH('MM01'!AR$3,'MM01-BOB'!$3:$3,0))),"")</f>
        <v/>
      </c>
      <c r="AS21" s="45"/>
      <c r="AT21" s="46" t="str">
        <f t="shared" ca="1" si="3"/>
        <v/>
      </c>
      <c r="AU21" s="50" t="s">
        <v>203</v>
      </c>
      <c r="AV21" s="44">
        <v>1</v>
      </c>
      <c r="AW21" s="43">
        <f t="shared" si="4"/>
        <v>1</v>
      </c>
      <c r="AX21" s="48" t="s">
        <v>297</v>
      </c>
      <c r="AY21" s="43" t="str">
        <f>IFERROR(IF(INDEX('MM01-BOB'!$A:$DM,MATCH('MM01'!$B21,'MM01-BOB'!$B:$B,0),MATCH('MM01'!AY$3,'MM01-BOB'!$3:$3,0))=0,"",INDEX('MM01-BOB'!$A:$DM,MATCH('MM01'!$B21,'MM01-BOB'!$B:$B,0),MATCH('MM01'!AY$3,'MM01-BOB'!$3:$3,0))),"")</f>
        <v/>
      </c>
      <c r="AZ21" s="44"/>
      <c r="BA21" s="44"/>
      <c r="BB21" s="47"/>
      <c r="BC21" s="50" t="s">
        <v>4</v>
      </c>
      <c r="BD21" s="50">
        <v>1</v>
      </c>
      <c r="BE21" s="50" t="s">
        <v>192</v>
      </c>
      <c r="BF21" s="50" t="s">
        <v>192</v>
      </c>
      <c r="BG21" s="50" t="s">
        <v>727</v>
      </c>
      <c r="BH21" s="44">
        <v>0</v>
      </c>
      <c r="BI21" s="44">
        <v>1</v>
      </c>
      <c r="BJ21" s="44">
        <v>0</v>
      </c>
      <c r="BK21" s="44" t="s">
        <v>348</v>
      </c>
      <c r="BL21" s="50" t="s">
        <v>195</v>
      </c>
      <c r="BM21" s="50" t="s">
        <v>195</v>
      </c>
      <c r="BN21" s="43" t="str">
        <f>IFERROR(IF(INDEX('MM01-BOB'!$A:$DM,MATCH('MM01'!$B21,'MM01-BOB'!$B:$B,0),MATCH('MM01'!BN$3,'MM01-BOB'!$3:$3,0))=0,"",INDEX('MM01-BOB'!$A:$DM,MATCH('MM01'!$B21,'MM01-BOB'!$B:$B,0),MATCH('MM01'!BN$3,'MM01-BOB'!$3:$3,0))),"")</f>
        <v/>
      </c>
      <c r="BO21" s="44"/>
      <c r="BP21" s="50">
        <v>0</v>
      </c>
      <c r="BQ21" s="45" t="s">
        <v>378</v>
      </c>
      <c r="BR21" s="45" t="s">
        <v>84</v>
      </c>
      <c r="BS21" s="43" t="str">
        <f t="shared" si="5"/>
        <v>581</v>
      </c>
      <c r="BT21" s="45" t="s">
        <v>426</v>
      </c>
      <c r="BU21" s="80"/>
      <c r="BV21" s="45">
        <v>1</v>
      </c>
      <c r="BW21" s="45" t="s">
        <v>471</v>
      </c>
      <c r="BX21" s="45"/>
      <c r="BY21" s="44"/>
      <c r="BZ21" s="49" t="str">
        <f t="shared" si="6"/>
        <v>0120</v>
      </c>
      <c r="CA21" s="49" t="str">
        <f t="shared" si="7"/>
        <v>0120</v>
      </c>
      <c r="CB21" s="45"/>
      <c r="CC21" s="44">
        <v>1</v>
      </c>
      <c r="CD21" s="44">
        <v>2</v>
      </c>
      <c r="CE21" s="50" t="s">
        <v>490</v>
      </c>
      <c r="CF21" s="80">
        <v>2</v>
      </c>
      <c r="CG21" s="80">
        <v>7</v>
      </c>
      <c r="CH21" s="44" t="s">
        <v>348</v>
      </c>
      <c r="CI21" s="44">
        <v>2</v>
      </c>
      <c r="CJ21" s="44">
        <v>42</v>
      </c>
      <c r="CK21" s="44">
        <v>10</v>
      </c>
      <c r="CL21" s="43" t="str">
        <f t="shared" si="8"/>
        <v>K00_R_0581</v>
      </c>
      <c r="CM21" s="43">
        <f t="shared" si="9"/>
        <v>1</v>
      </c>
      <c r="CN21" s="55" t="s">
        <v>909</v>
      </c>
      <c r="CO21" s="43" t="str">
        <f t="shared" ca="1" si="10"/>
        <v>17.05.2022</v>
      </c>
      <c r="CP21" s="43" t="str">
        <f t="shared" si="11"/>
        <v>31.12.9999</v>
      </c>
      <c r="CR21" s="44">
        <v>2</v>
      </c>
      <c r="CS21" s="44"/>
      <c r="CT21" s="44">
        <v>1</v>
      </c>
      <c r="CU21" s="44" t="s">
        <v>910</v>
      </c>
      <c r="CV21" s="44">
        <v>12</v>
      </c>
      <c r="CW21" s="43">
        <f t="shared" si="12"/>
        <v>0.01</v>
      </c>
      <c r="CX21" s="43" t="str">
        <f t="shared" si="13"/>
        <v>KG</v>
      </c>
      <c r="CY21" s="44">
        <v>1</v>
      </c>
      <c r="CZ21" s="50" t="s">
        <v>223</v>
      </c>
      <c r="DA21" s="50" t="s">
        <v>902</v>
      </c>
      <c r="DB21" s="43" t="str">
        <f>IFERROR(IF(INDEX(Estrutura_P01[#All],MATCH($D21,Estrutura_P01[[#All],[txtMAKT-MAKTX]],0),MATCH(DB$3,Estrutura_P01[#Headers],0))=0,"",INDEX(Estrutura_P01[#All],MATCH($D21,Estrutura_P01[[#All],[txtMAKT-MAKTX]],0),MATCH(DB$3,Estrutura_P01[#Headers],0))),"")</f>
        <v/>
      </c>
      <c r="DC21" s="44">
        <v>1000</v>
      </c>
      <c r="DD21" s="60">
        <v>1</v>
      </c>
      <c r="DE21" s="44"/>
      <c r="DF21" s="44">
        <v>1</v>
      </c>
      <c r="DG21" s="44">
        <v>0</v>
      </c>
      <c r="DH21" s="44" t="s">
        <v>913</v>
      </c>
      <c r="DI21" s="45">
        <v>0</v>
      </c>
      <c r="DJ21" s="44">
        <v>1000</v>
      </c>
      <c r="DK21" s="65"/>
    </row>
    <row r="22" spans="1:115" x14ac:dyDescent="0.2">
      <c r="A22" s="7" t="str">
        <f t="shared" si="0"/>
        <v>Execução 18</v>
      </c>
      <c r="B22" s="87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79" t="s">
        <v>4</v>
      </c>
      <c r="H22" s="79" t="s">
        <v>15</v>
      </c>
      <c r="I22" s="49" t="str">
        <f t="shared" si="2"/>
        <v>0581</v>
      </c>
      <c r="J22" s="79" t="s">
        <v>6</v>
      </c>
      <c r="K22" s="79"/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 t="s">
        <v>109</v>
      </c>
      <c r="V22" s="45" t="s">
        <v>110</v>
      </c>
      <c r="W22" s="45" t="s">
        <v>111</v>
      </c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297</v>
      </c>
      <c r="AP22" s="43" t="str">
        <f>IFERROR(IF(INDEX('MM01-BOB'!$A:$DM,MATCH('MM01'!$B22,'MM01-BOB'!$B:$B,0),MATCH('MM01'!AP$3,'MM01-BOB'!$3:$3,0))=0,"",INDEX('MM01-BOB'!$A:$DM,MATCH('MM01'!$B22,'MM01-BOB'!$B:$B,0),MATCH('MM01'!AP$3,'MM01-BOB'!$3:$3,0))),"")</f>
        <v/>
      </c>
      <c r="AQ22" s="45"/>
      <c r="AR22" s="43" t="str">
        <f>IFERROR(IF(INDEX('MM01-BOB'!$A:$DM,MATCH('MM01'!$B22,'MM01-BOB'!$B:$B,0),MATCH('MM01'!AR$3,'MM01-BOB'!$3:$3,0))=0,"",INDEX('MM01-BOB'!$A:$DM,MATCH('MM01'!$B22,'MM01-BOB'!$B:$B,0),MATCH('MM01'!AR$3,'MM01-BOB'!$3:$3,0))),"")</f>
        <v/>
      </c>
      <c r="AS22" s="45"/>
      <c r="AT22" s="46" t="str">
        <f t="shared" ca="1" si="3"/>
        <v/>
      </c>
      <c r="AU22" s="50" t="s">
        <v>203</v>
      </c>
      <c r="AV22" s="44">
        <v>1</v>
      </c>
      <c r="AW22" s="43">
        <f t="shared" si="4"/>
        <v>1</v>
      </c>
      <c r="AX22" s="48" t="s">
        <v>297</v>
      </c>
      <c r="AY22" s="43" t="str">
        <f>IFERROR(IF(INDEX('MM01-BOB'!$A:$DM,MATCH('MM01'!$B22,'MM01-BOB'!$B:$B,0),MATCH('MM01'!AY$3,'MM01-BOB'!$3:$3,0))=0,"",INDEX('MM01-BOB'!$A:$DM,MATCH('MM01'!$B22,'MM01-BOB'!$B:$B,0),MATCH('MM01'!AY$3,'MM01-BOB'!$3:$3,0))),"")</f>
        <v/>
      </c>
      <c r="AZ22" s="44"/>
      <c r="BA22" s="44"/>
      <c r="BB22" s="47"/>
      <c r="BC22" s="50" t="s">
        <v>4</v>
      </c>
      <c r="BD22" s="50">
        <v>1</v>
      </c>
      <c r="BE22" s="50" t="s">
        <v>192</v>
      </c>
      <c r="BF22" s="50" t="s">
        <v>192</v>
      </c>
      <c r="BG22" s="50" t="s">
        <v>727</v>
      </c>
      <c r="BH22" s="44">
        <v>0</v>
      </c>
      <c r="BI22" s="44">
        <v>1</v>
      </c>
      <c r="BJ22" s="44">
        <v>0</v>
      </c>
      <c r="BK22" s="44" t="s">
        <v>348</v>
      </c>
      <c r="BL22" s="50" t="s">
        <v>195</v>
      </c>
      <c r="BM22" s="50" t="s">
        <v>195</v>
      </c>
      <c r="BN22" s="43" t="str">
        <f>IFERROR(IF(INDEX('MM01-BOB'!$A:$DM,MATCH('MM01'!$B22,'MM01-BOB'!$B:$B,0),MATCH('MM01'!BN$3,'MM01-BOB'!$3:$3,0))=0,"",INDEX('MM01-BOB'!$A:$DM,MATCH('MM01'!$B22,'MM01-BOB'!$B:$B,0),MATCH('MM01'!BN$3,'MM01-BOB'!$3:$3,0))),"")</f>
        <v/>
      </c>
      <c r="BO22" s="44"/>
      <c r="BP22" s="50">
        <v>0</v>
      </c>
      <c r="BQ22" s="45" t="s">
        <v>378</v>
      </c>
      <c r="BR22" s="45" t="s">
        <v>84</v>
      </c>
      <c r="BS22" s="43" t="str">
        <f t="shared" si="5"/>
        <v>581</v>
      </c>
      <c r="BT22" s="45" t="s">
        <v>426</v>
      </c>
      <c r="BU22" s="80"/>
      <c r="BV22" s="45">
        <v>1</v>
      </c>
      <c r="BW22" s="45" t="s">
        <v>471</v>
      </c>
      <c r="BX22" s="45"/>
      <c r="BY22" s="44"/>
      <c r="BZ22" s="49" t="str">
        <f t="shared" si="6"/>
        <v>0120</v>
      </c>
      <c r="CA22" s="49" t="str">
        <f t="shared" si="7"/>
        <v>0120</v>
      </c>
      <c r="CB22" s="45"/>
      <c r="CC22" s="44">
        <v>1</v>
      </c>
      <c r="CD22" s="44">
        <v>2</v>
      </c>
      <c r="CE22" s="50" t="s">
        <v>490</v>
      </c>
      <c r="CF22" s="80">
        <v>2</v>
      </c>
      <c r="CG22" s="80">
        <v>7</v>
      </c>
      <c r="CH22" s="44" t="s">
        <v>348</v>
      </c>
      <c r="CI22" s="44">
        <v>2</v>
      </c>
      <c r="CJ22" s="44">
        <v>42</v>
      </c>
      <c r="CK22" s="44">
        <v>10</v>
      </c>
      <c r="CL22" s="43" t="str">
        <f t="shared" si="8"/>
        <v>K00_R_0581</v>
      </c>
      <c r="CM22" s="43">
        <f t="shared" si="9"/>
        <v>1</v>
      </c>
      <c r="CN22" s="55" t="s">
        <v>909</v>
      </c>
      <c r="CO22" s="43" t="str">
        <f t="shared" ca="1" si="10"/>
        <v>17.05.2022</v>
      </c>
      <c r="CP22" s="43" t="str">
        <f t="shared" si="11"/>
        <v>31.12.9999</v>
      </c>
      <c r="CR22" s="44">
        <v>2</v>
      </c>
      <c r="CS22" s="44"/>
      <c r="CT22" s="44">
        <v>1</v>
      </c>
      <c r="CU22" s="44" t="s">
        <v>910</v>
      </c>
      <c r="CV22" s="44">
        <v>12</v>
      </c>
      <c r="CW22" s="43">
        <f t="shared" si="12"/>
        <v>0.01</v>
      </c>
      <c r="CX22" s="43" t="str">
        <f t="shared" si="13"/>
        <v>KG</v>
      </c>
      <c r="CY22" s="44">
        <v>1</v>
      </c>
      <c r="CZ22" s="50" t="s">
        <v>223</v>
      </c>
      <c r="DA22" s="50" t="s">
        <v>902</v>
      </c>
      <c r="DB22" s="43" t="str">
        <f>IFERROR(IF(INDEX(Estrutura_P01[#All],MATCH($D22,Estrutura_P01[[#All],[txtMAKT-MAKTX]],0),MATCH(DB$3,Estrutura_P01[#Headers],0))=0,"",INDEX(Estrutura_P01[#All],MATCH($D22,Estrutura_P01[[#All],[txtMAKT-MAKTX]],0),MATCH(DB$3,Estrutura_P01[#Headers],0))),"")</f>
        <v/>
      </c>
      <c r="DC22" s="44">
        <v>1000</v>
      </c>
      <c r="DD22" s="60">
        <v>1</v>
      </c>
      <c r="DE22" s="44"/>
      <c r="DF22" s="44">
        <v>1</v>
      </c>
      <c r="DG22" s="44">
        <v>0</v>
      </c>
      <c r="DH22" s="44" t="s">
        <v>913</v>
      </c>
      <c r="DI22" s="45">
        <v>0</v>
      </c>
      <c r="DJ22" s="44">
        <v>1000</v>
      </c>
      <c r="DK22" s="65"/>
    </row>
    <row r="23" spans="1:115" x14ac:dyDescent="0.2">
      <c r="A23" s="7" t="str">
        <f t="shared" si="0"/>
        <v>Execução 19</v>
      </c>
      <c r="B23" s="87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79" t="s">
        <v>4</v>
      </c>
      <c r="H23" s="79" t="s">
        <v>15</v>
      </c>
      <c r="I23" s="49" t="str">
        <f t="shared" si="2"/>
        <v>0581</v>
      </c>
      <c r="J23" s="79" t="s">
        <v>6</v>
      </c>
      <c r="K23" s="79"/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 t="s">
        <v>109</v>
      </c>
      <c r="V23" s="45" t="s">
        <v>110</v>
      </c>
      <c r="W23" s="45" t="s">
        <v>111</v>
      </c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297</v>
      </c>
      <c r="AP23" s="43" t="str">
        <f>IFERROR(IF(INDEX('MM01-BOB'!$A:$DM,MATCH('MM01'!$B23,'MM01-BOB'!$B:$B,0),MATCH('MM01'!AP$3,'MM01-BOB'!$3:$3,0))=0,"",INDEX('MM01-BOB'!$A:$DM,MATCH('MM01'!$B23,'MM01-BOB'!$B:$B,0),MATCH('MM01'!AP$3,'MM01-BOB'!$3:$3,0))),"")</f>
        <v/>
      </c>
      <c r="AQ23" s="45"/>
      <c r="AR23" s="43" t="str">
        <f>IFERROR(IF(INDEX('MM01-BOB'!$A:$DM,MATCH('MM01'!$B23,'MM01-BOB'!$B:$B,0),MATCH('MM01'!AR$3,'MM01-BOB'!$3:$3,0))=0,"",INDEX('MM01-BOB'!$A:$DM,MATCH('MM01'!$B23,'MM01-BOB'!$B:$B,0),MATCH('MM01'!AR$3,'MM01-BOB'!$3:$3,0))),"")</f>
        <v/>
      </c>
      <c r="AS23" s="45"/>
      <c r="AT23" s="46" t="str">
        <f t="shared" ca="1" si="3"/>
        <v/>
      </c>
      <c r="AU23" s="50" t="s">
        <v>203</v>
      </c>
      <c r="AV23" s="44">
        <v>1</v>
      </c>
      <c r="AW23" s="43">
        <f t="shared" si="4"/>
        <v>1</v>
      </c>
      <c r="AX23" s="48" t="s">
        <v>297</v>
      </c>
      <c r="AY23" s="43" t="str">
        <f>IFERROR(IF(INDEX('MM01-BOB'!$A:$DM,MATCH('MM01'!$B23,'MM01-BOB'!$B:$B,0),MATCH('MM01'!AY$3,'MM01-BOB'!$3:$3,0))=0,"",INDEX('MM01-BOB'!$A:$DM,MATCH('MM01'!$B23,'MM01-BOB'!$B:$B,0),MATCH('MM01'!AY$3,'MM01-BOB'!$3:$3,0))),"")</f>
        <v/>
      </c>
      <c r="AZ23" s="44"/>
      <c r="BA23" s="44"/>
      <c r="BB23" s="47"/>
      <c r="BC23" s="50" t="s">
        <v>4</v>
      </c>
      <c r="BD23" s="50">
        <v>1</v>
      </c>
      <c r="BE23" s="50" t="s">
        <v>192</v>
      </c>
      <c r="BF23" s="50" t="s">
        <v>192</v>
      </c>
      <c r="BG23" s="50" t="s">
        <v>727</v>
      </c>
      <c r="BH23" s="44">
        <v>0</v>
      </c>
      <c r="BI23" s="44">
        <v>1</v>
      </c>
      <c r="BJ23" s="44">
        <v>0</v>
      </c>
      <c r="BK23" s="44" t="s">
        <v>348</v>
      </c>
      <c r="BL23" s="50" t="s">
        <v>195</v>
      </c>
      <c r="BM23" s="50" t="s">
        <v>195</v>
      </c>
      <c r="BN23" s="43" t="str">
        <f>IFERROR(IF(INDEX('MM01-BOB'!$A:$DM,MATCH('MM01'!$B23,'MM01-BOB'!$B:$B,0),MATCH('MM01'!BN$3,'MM01-BOB'!$3:$3,0))=0,"",INDEX('MM01-BOB'!$A:$DM,MATCH('MM01'!$B23,'MM01-BOB'!$B:$B,0),MATCH('MM01'!BN$3,'MM01-BOB'!$3:$3,0))),"")</f>
        <v/>
      </c>
      <c r="BO23" s="44"/>
      <c r="BP23" s="50">
        <v>0</v>
      </c>
      <c r="BQ23" s="45" t="s">
        <v>378</v>
      </c>
      <c r="BR23" s="45" t="s">
        <v>84</v>
      </c>
      <c r="BS23" s="43" t="str">
        <f t="shared" si="5"/>
        <v>581</v>
      </c>
      <c r="BT23" s="45" t="s">
        <v>426</v>
      </c>
      <c r="BU23" s="80"/>
      <c r="BV23" s="45">
        <v>1</v>
      </c>
      <c r="BW23" s="45" t="s">
        <v>471</v>
      </c>
      <c r="BX23" s="45"/>
      <c r="BY23" s="44"/>
      <c r="BZ23" s="49" t="str">
        <f t="shared" si="6"/>
        <v>0120</v>
      </c>
      <c r="CA23" s="49" t="str">
        <f t="shared" si="7"/>
        <v>0120</v>
      </c>
      <c r="CB23" s="45"/>
      <c r="CC23" s="44">
        <v>1</v>
      </c>
      <c r="CD23" s="44">
        <v>2</v>
      </c>
      <c r="CE23" s="50" t="s">
        <v>490</v>
      </c>
      <c r="CF23" s="80">
        <v>2</v>
      </c>
      <c r="CG23" s="80">
        <v>7</v>
      </c>
      <c r="CH23" s="44" t="s">
        <v>348</v>
      </c>
      <c r="CI23" s="44">
        <v>2</v>
      </c>
      <c r="CJ23" s="44">
        <v>42</v>
      </c>
      <c r="CK23" s="44">
        <v>10</v>
      </c>
      <c r="CL23" s="43" t="str">
        <f t="shared" si="8"/>
        <v>K00_R_0581</v>
      </c>
      <c r="CM23" s="43">
        <f t="shared" si="9"/>
        <v>1</v>
      </c>
      <c r="CN23" s="55" t="s">
        <v>909</v>
      </c>
      <c r="CO23" s="43" t="str">
        <f t="shared" ca="1" si="10"/>
        <v>17.05.2022</v>
      </c>
      <c r="CP23" s="43" t="str">
        <f t="shared" si="11"/>
        <v>31.12.9999</v>
      </c>
      <c r="CR23" s="44">
        <v>2</v>
      </c>
      <c r="CS23" s="44"/>
      <c r="CT23" s="44">
        <v>1</v>
      </c>
      <c r="CU23" s="44" t="s">
        <v>910</v>
      </c>
      <c r="CV23" s="44">
        <v>12</v>
      </c>
      <c r="CW23" s="43">
        <f t="shared" si="12"/>
        <v>0.01</v>
      </c>
      <c r="CX23" s="43" t="str">
        <f t="shared" si="13"/>
        <v>KG</v>
      </c>
      <c r="CY23" s="44">
        <v>1</v>
      </c>
      <c r="CZ23" s="50" t="s">
        <v>223</v>
      </c>
      <c r="DA23" s="50" t="s">
        <v>902</v>
      </c>
      <c r="DB23" s="43" t="str">
        <f>IFERROR(IF(INDEX(Estrutura_P01[#All],MATCH($D23,Estrutura_P01[[#All],[txtMAKT-MAKTX]],0),MATCH(DB$3,Estrutura_P01[#Headers],0))=0,"",INDEX(Estrutura_P01[#All],MATCH($D23,Estrutura_P01[[#All],[txtMAKT-MAKTX]],0),MATCH(DB$3,Estrutura_P01[#Headers],0))),"")</f>
        <v/>
      </c>
      <c r="DC23" s="44">
        <v>1000</v>
      </c>
      <c r="DD23" s="60">
        <v>1</v>
      </c>
      <c r="DE23" s="44"/>
      <c r="DF23" s="44">
        <v>1</v>
      </c>
      <c r="DG23" s="44">
        <v>0</v>
      </c>
      <c r="DH23" s="44" t="s">
        <v>913</v>
      </c>
      <c r="DI23" s="45">
        <v>0</v>
      </c>
      <c r="DJ23" s="44">
        <v>1000</v>
      </c>
      <c r="DK23" s="65"/>
    </row>
    <row r="24" spans="1:115" x14ac:dyDescent="0.2">
      <c r="A24" s="7" t="str">
        <f t="shared" si="0"/>
        <v>Execução 20</v>
      </c>
      <c r="B24" s="87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79" t="s">
        <v>4</v>
      </c>
      <c r="H24" s="79" t="s">
        <v>15</v>
      </c>
      <c r="I24" s="49" t="str">
        <f t="shared" si="2"/>
        <v>0581</v>
      </c>
      <c r="J24" s="79" t="s">
        <v>6</v>
      </c>
      <c r="K24" s="79"/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 t="s">
        <v>109</v>
      </c>
      <c r="V24" s="45" t="s">
        <v>110</v>
      </c>
      <c r="W24" s="45" t="s">
        <v>111</v>
      </c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297</v>
      </c>
      <c r="AP24" s="43" t="str">
        <f>IFERROR(IF(INDEX('MM01-BOB'!$A:$DM,MATCH('MM01'!$B24,'MM01-BOB'!$B:$B,0),MATCH('MM01'!AP$3,'MM01-BOB'!$3:$3,0))=0,"",INDEX('MM01-BOB'!$A:$DM,MATCH('MM01'!$B24,'MM01-BOB'!$B:$B,0),MATCH('MM01'!AP$3,'MM01-BOB'!$3:$3,0))),"")</f>
        <v/>
      </c>
      <c r="AQ24" s="45"/>
      <c r="AR24" s="43" t="str">
        <f>IFERROR(IF(INDEX('MM01-BOB'!$A:$DM,MATCH('MM01'!$B24,'MM01-BOB'!$B:$B,0),MATCH('MM01'!AR$3,'MM01-BOB'!$3:$3,0))=0,"",INDEX('MM01-BOB'!$A:$DM,MATCH('MM01'!$B24,'MM01-BOB'!$B:$B,0),MATCH('MM01'!AR$3,'MM01-BOB'!$3:$3,0))),"")</f>
        <v/>
      </c>
      <c r="AS24" s="45"/>
      <c r="AT24" s="46" t="str">
        <f t="shared" ca="1" si="3"/>
        <v/>
      </c>
      <c r="AU24" s="50" t="s">
        <v>203</v>
      </c>
      <c r="AV24" s="44">
        <v>1</v>
      </c>
      <c r="AW24" s="43">
        <f t="shared" si="4"/>
        <v>1</v>
      </c>
      <c r="AX24" s="48" t="s">
        <v>297</v>
      </c>
      <c r="AY24" s="43" t="str">
        <f>IFERROR(IF(INDEX('MM01-BOB'!$A:$DM,MATCH('MM01'!$B24,'MM01-BOB'!$B:$B,0),MATCH('MM01'!AY$3,'MM01-BOB'!$3:$3,0))=0,"",INDEX('MM01-BOB'!$A:$DM,MATCH('MM01'!$B24,'MM01-BOB'!$B:$B,0),MATCH('MM01'!AY$3,'MM01-BOB'!$3:$3,0))),"")</f>
        <v/>
      </c>
      <c r="AZ24" s="44"/>
      <c r="BA24" s="44"/>
      <c r="BB24" s="47"/>
      <c r="BC24" s="50" t="s">
        <v>4</v>
      </c>
      <c r="BD24" s="50">
        <v>1</v>
      </c>
      <c r="BE24" s="50" t="s">
        <v>192</v>
      </c>
      <c r="BF24" s="50" t="s">
        <v>192</v>
      </c>
      <c r="BG24" s="50" t="s">
        <v>727</v>
      </c>
      <c r="BH24" s="44">
        <v>0</v>
      </c>
      <c r="BI24" s="44">
        <v>1</v>
      </c>
      <c r="BJ24" s="44">
        <v>0</v>
      </c>
      <c r="BK24" s="44" t="s">
        <v>348</v>
      </c>
      <c r="BL24" s="50" t="s">
        <v>195</v>
      </c>
      <c r="BM24" s="50" t="s">
        <v>195</v>
      </c>
      <c r="BN24" s="43" t="str">
        <f>IFERROR(IF(INDEX('MM01-BOB'!$A:$DM,MATCH('MM01'!$B24,'MM01-BOB'!$B:$B,0),MATCH('MM01'!BN$3,'MM01-BOB'!$3:$3,0))=0,"",INDEX('MM01-BOB'!$A:$DM,MATCH('MM01'!$B24,'MM01-BOB'!$B:$B,0),MATCH('MM01'!BN$3,'MM01-BOB'!$3:$3,0))),"")</f>
        <v/>
      </c>
      <c r="BO24" s="44"/>
      <c r="BP24" s="50">
        <v>0</v>
      </c>
      <c r="BQ24" s="45" t="s">
        <v>378</v>
      </c>
      <c r="BR24" s="45" t="s">
        <v>84</v>
      </c>
      <c r="BS24" s="43" t="str">
        <f t="shared" si="5"/>
        <v>581</v>
      </c>
      <c r="BT24" s="45" t="s">
        <v>426</v>
      </c>
      <c r="BU24" s="80"/>
      <c r="BV24" s="45">
        <v>1</v>
      </c>
      <c r="BW24" s="45" t="s">
        <v>471</v>
      </c>
      <c r="BX24" s="45"/>
      <c r="BY24" s="44"/>
      <c r="BZ24" s="49" t="str">
        <f t="shared" si="6"/>
        <v>0120</v>
      </c>
      <c r="CA24" s="49" t="str">
        <f t="shared" si="7"/>
        <v>0120</v>
      </c>
      <c r="CB24" s="45"/>
      <c r="CC24" s="44">
        <v>1</v>
      </c>
      <c r="CD24" s="44">
        <v>2</v>
      </c>
      <c r="CE24" s="50" t="s">
        <v>490</v>
      </c>
      <c r="CF24" s="80">
        <v>2</v>
      </c>
      <c r="CG24" s="80">
        <v>7</v>
      </c>
      <c r="CH24" s="44" t="s">
        <v>348</v>
      </c>
      <c r="CI24" s="44">
        <v>2</v>
      </c>
      <c r="CJ24" s="44">
        <v>42</v>
      </c>
      <c r="CK24" s="44">
        <v>10</v>
      </c>
      <c r="CL24" s="43" t="str">
        <f t="shared" si="8"/>
        <v>K00_R_0581</v>
      </c>
      <c r="CM24" s="43">
        <f t="shared" si="9"/>
        <v>1</v>
      </c>
      <c r="CN24" s="55" t="s">
        <v>909</v>
      </c>
      <c r="CO24" s="43" t="str">
        <f t="shared" ca="1" si="10"/>
        <v>17.05.2022</v>
      </c>
      <c r="CP24" s="43" t="str">
        <f t="shared" si="11"/>
        <v>31.12.9999</v>
      </c>
      <c r="CR24" s="44">
        <v>2</v>
      </c>
      <c r="CS24" s="44"/>
      <c r="CT24" s="44">
        <v>1</v>
      </c>
      <c r="CU24" s="44" t="s">
        <v>910</v>
      </c>
      <c r="CV24" s="44">
        <v>12</v>
      </c>
      <c r="CW24" s="43">
        <f t="shared" si="12"/>
        <v>0.01</v>
      </c>
      <c r="CX24" s="43" t="str">
        <f t="shared" si="13"/>
        <v>KG</v>
      </c>
      <c r="CY24" s="44">
        <v>1</v>
      </c>
      <c r="CZ24" s="50" t="s">
        <v>223</v>
      </c>
      <c r="DA24" s="50" t="s">
        <v>902</v>
      </c>
      <c r="DB24" s="43" t="str">
        <f>IFERROR(IF(INDEX(Estrutura_P01[#All],MATCH($D24,Estrutura_P01[[#All],[txtMAKT-MAKTX]],0),MATCH(DB$3,Estrutura_P01[#Headers],0))=0,"",INDEX(Estrutura_P01[#All],MATCH($D24,Estrutura_P01[[#All],[txtMAKT-MAKTX]],0),MATCH(DB$3,Estrutura_P01[#Headers],0))),"")</f>
        <v/>
      </c>
      <c r="DC24" s="44">
        <v>1000</v>
      </c>
      <c r="DD24" s="60">
        <v>1</v>
      </c>
      <c r="DE24" s="44"/>
      <c r="DF24" s="44">
        <v>1</v>
      </c>
      <c r="DG24" s="44">
        <v>0</v>
      </c>
      <c r="DH24" s="44" t="s">
        <v>913</v>
      </c>
      <c r="DI24" s="45">
        <v>0</v>
      </c>
      <c r="DJ24" s="44">
        <v>1000</v>
      </c>
      <c r="DK24" s="65"/>
    </row>
    <row r="25" spans="1:115" x14ac:dyDescent="0.2">
      <c r="A25" s="7" t="str">
        <f t="shared" si="0"/>
        <v>Execução 21</v>
      </c>
      <c r="B25" s="87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79" t="s">
        <v>4</v>
      </c>
      <c r="H25" s="79" t="s">
        <v>15</v>
      </c>
      <c r="I25" s="49" t="str">
        <f t="shared" si="2"/>
        <v>0581</v>
      </c>
      <c r="J25" s="79" t="s">
        <v>6</v>
      </c>
      <c r="K25" s="79"/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 t="s">
        <v>109</v>
      </c>
      <c r="V25" s="45" t="s">
        <v>110</v>
      </c>
      <c r="W25" s="45" t="s">
        <v>111</v>
      </c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297</v>
      </c>
      <c r="AP25" s="43" t="str">
        <f>IFERROR(IF(INDEX('MM01-BOB'!$A:$DM,MATCH('MM01'!$B25,'MM01-BOB'!$B:$B,0),MATCH('MM01'!AP$3,'MM01-BOB'!$3:$3,0))=0,"",INDEX('MM01-BOB'!$A:$DM,MATCH('MM01'!$B25,'MM01-BOB'!$B:$B,0),MATCH('MM01'!AP$3,'MM01-BOB'!$3:$3,0))),"")</f>
        <v/>
      </c>
      <c r="AQ25" s="45"/>
      <c r="AR25" s="43" t="str">
        <f>IFERROR(IF(INDEX('MM01-BOB'!$A:$DM,MATCH('MM01'!$B25,'MM01-BOB'!$B:$B,0),MATCH('MM01'!AR$3,'MM01-BOB'!$3:$3,0))=0,"",INDEX('MM01-BOB'!$A:$DM,MATCH('MM01'!$B25,'MM01-BOB'!$B:$B,0),MATCH('MM01'!AR$3,'MM01-BOB'!$3:$3,0))),"")</f>
        <v/>
      </c>
      <c r="AS25" s="45"/>
      <c r="AT25" s="46" t="str">
        <f t="shared" ca="1" si="3"/>
        <v/>
      </c>
      <c r="AU25" s="50" t="s">
        <v>203</v>
      </c>
      <c r="AV25" s="44">
        <v>1</v>
      </c>
      <c r="AW25" s="43">
        <f t="shared" si="4"/>
        <v>1</v>
      </c>
      <c r="AX25" s="48" t="s">
        <v>297</v>
      </c>
      <c r="AY25" s="43" t="str">
        <f>IFERROR(IF(INDEX('MM01-BOB'!$A:$DM,MATCH('MM01'!$B25,'MM01-BOB'!$B:$B,0),MATCH('MM01'!AY$3,'MM01-BOB'!$3:$3,0))=0,"",INDEX('MM01-BOB'!$A:$DM,MATCH('MM01'!$B25,'MM01-BOB'!$B:$B,0),MATCH('MM01'!AY$3,'MM01-BOB'!$3:$3,0))),"")</f>
        <v/>
      </c>
      <c r="AZ25" s="44"/>
      <c r="BA25" s="44"/>
      <c r="BB25" s="47"/>
      <c r="BC25" s="50" t="s">
        <v>4</v>
      </c>
      <c r="BD25" s="50">
        <v>1</v>
      </c>
      <c r="BE25" s="50" t="s">
        <v>192</v>
      </c>
      <c r="BF25" s="50" t="s">
        <v>192</v>
      </c>
      <c r="BG25" s="50" t="s">
        <v>727</v>
      </c>
      <c r="BH25" s="44">
        <v>0</v>
      </c>
      <c r="BI25" s="44">
        <v>1</v>
      </c>
      <c r="BJ25" s="44">
        <v>0</v>
      </c>
      <c r="BK25" s="44" t="s">
        <v>348</v>
      </c>
      <c r="BL25" s="50" t="s">
        <v>195</v>
      </c>
      <c r="BM25" s="50" t="s">
        <v>195</v>
      </c>
      <c r="BN25" s="43" t="str">
        <f>IFERROR(IF(INDEX('MM01-BOB'!$A:$DM,MATCH('MM01'!$B25,'MM01-BOB'!$B:$B,0),MATCH('MM01'!BN$3,'MM01-BOB'!$3:$3,0))=0,"",INDEX('MM01-BOB'!$A:$DM,MATCH('MM01'!$B25,'MM01-BOB'!$B:$B,0),MATCH('MM01'!BN$3,'MM01-BOB'!$3:$3,0))),"")</f>
        <v/>
      </c>
      <c r="BO25" s="44"/>
      <c r="BP25" s="50">
        <v>0</v>
      </c>
      <c r="BQ25" s="45" t="s">
        <v>378</v>
      </c>
      <c r="BR25" s="45" t="s">
        <v>84</v>
      </c>
      <c r="BS25" s="43" t="str">
        <f t="shared" si="5"/>
        <v>581</v>
      </c>
      <c r="BT25" s="45" t="s">
        <v>426</v>
      </c>
      <c r="BU25" s="80"/>
      <c r="BV25" s="45">
        <v>1</v>
      </c>
      <c r="BW25" s="45" t="s">
        <v>471</v>
      </c>
      <c r="BX25" s="45"/>
      <c r="BY25" s="44"/>
      <c r="BZ25" s="49" t="str">
        <f t="shared" si="6"/>
        <v>0120</v>
      </c>
      <c r="CA25" s="49" t="str">
        <f t="shared" si="7"/>
        <v>0120</v>
      </c>
      <c r="CB25" s="45"/>
      <c r="CC25" s="44">
        <v>1</v>
      </c>
      <c r="CD25" s="44">
        <v>2</v>
      </c>
      <c r="CE25" s="50" t="s">
        <v>490</v>
      </c>
      <c r="CF25" s="80">
        <v>2</v>
      </c>
      <c r="CG25" s="80">
        <v>7</v>
      </c>
      <c r="CH25" s="44" t="s">
        <v>348</v>
      </c>
      <c r="CI25" s="44">
        <v>2</v>
      </c>
      <c r="CJ25" s="44">
        <v>42</v>
      </c>
      <c r="CK25" s="44">
        <v>10</v>
      </c>
      <c r="CL25" s="43" t="str">
        <f t="shared" si="8"/>
        <v>K00_R_0581</v>
      </c>
      <c r="CM25" s="43">
        <f t="shared" si="9"/>
        <v>1</v>
      </c>
      <c r="CN25" s="55" t="s">
        <v>909</v>
      </c>
      <c r="CO25" s="43" t="str">
        <f t="shared" ca="1" si="10"/>
        <v>17.05.2022</v>
      </c>
      <c r="CP25" s="43" t="str">
        <f t="shared" si="11"/>
        <v>31.12.9999</v>
      </c>
      <c r="CR25" s="44">
        <v>2</v>
      </c>
      <c r="CS25" s="44"/>
      <c r="CT25" s="44">
        <v>1</v>
      </c>
      <c r="CU25" s="44" t="s">
        <v>910</v>
      </c>
      <c r="CV25" s="44">
        <v>12</v>
      </c>
      <c r="CW25" s="43">
        <f t="shared" si="12"/>
        <v>0.01</v>
      </c>
      <c r="CX25" s="43" t="str">
        <f t="shared" si="13"/>
        <v>KG</v>
      </c>
      <c r="CY25" s="44">
        <v>1</v>
      </c>
      <c r="CZ25" s="50" t="s">
        <v>223</v>
      </c>
      <c r="DA25" s="50" t="s">
        <v>902</v>
      </c>
      <c r="DB25" s="43" t="str">
        <f>IFERROR(IF(INDEX(Estrutura_P01[#All],MATCH($D25,Estrutura_P01[[#All],[txtMAKT-MAKTX]],0),MATCH(DB$3,Estrutura_P01[#Headers],0))=0,"",INDEX(Estrutura_P01[#All],MATCH($D25,Estrutura_P01[[#All],[txtMAKT-MAKTX]],0),MATCH(DB$3,Estrutura_P01[#Headers],0))),"")</f>
        <v/>
      </c>
      <c r="DC25" s="44">
        <v>1000</v>
      </c>
      <c r="DD25" s="60">
        <v>1</v>
      </c>
      <c r="DE25" s="44"/>
      <c r="DF25" s="44">
        <v>1</v>
      </c>
      <c r="DG25" s="44">
        <v>0</v>
      </c>
      <c r="DH25" s="44" t="s">
        <v>913</v>
      </c>
      <c r="DI25" s="45">
        <v>0</v>
      </c>
      <c r="DJ25" s="44">
        <v>1000</v>
      </c>
      <c r="DK25" s="65"/>
    </row>
    <row r="26" spans="1:115" x14ac:dyDescent="0.2">
      <c r="A26" s="7" t="str">
        <f t="shared" si="0"/>
        <v>Execução 22</v>
      </c>
      <c r="B26" s="87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79" t="s">
        <v>4</v>
      </c>
      <c r="H26" s="79" t="s">
        <v>15</v>
      </c>
      <c r="I26" s="49" t="str">
        <f t="shared" si="2"/>
        <v>0581</v>
      </c>
      <c r="J26" s="79" t="s">
        <v>6</v>
      </c>
      <c r="K26" s="79"/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 t="s">
        <v>109</v>
      </c>
      <c r="V26" s="45" t="s">
        <v>110</v>
      </c>
      <c r="W26" s="45" t="s">
        <v>111</v>
      </c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297</v>
      </c>
      <c r="AP26" s="43" t="str">
        <f>IFERROR(IF(INDEX('MM01-BOB'!$A:$DM,MATCH('MM01'!$B26,'MM01-BOB'!$B:$B,0),MATCH('MM01'!AP$3,'MM01-BOB'!$3:$3,0))=0,"",INDEX('MM01-BOB'!$A:$DM,MATCH('MM01'!$B26,'MM01-BOB'!$B:$B,0),MATCH('MM01'!AP$3,'MM01-BOB'!$3:$3,0))),"")</f>
        <v/>
      </c>
      <c r="AQ26" s="45"/>
      <c r="AR26" s="43" t="str">
        <f>IFERROR(IF(INDEX('MM01-BOB'!$A:$DM,MATCH('MM01'!$B26,'MM01-BOB'!$B:$B,0),MATCH('MM01'!AR$3,'MM01-BOB'!$3:$3,0))=0,"",INDEX('MM01-BOB'!$A:$DM,MATCH('MM01'!$B26,'MM01-BOB'!$B:$B,0),MATCH('MM01'!AR$3,'MM01-BOB'!$3:$3,0))),"")</f>
        <v/>
      </c>
      <c r="AS26" s="45"/>
      <c r="AT26" s="46" t="str">
        <f t="shared" ca="1" si="3"/>
        <v/>
      </c>
      <c r="AU26" s="50" t="s">
        <v>203</v>
      </c>
      <c r="AV26" s="44">
        <v>1</v>
      </c>
      <c r="AW26" s="43">
        <f t="shared" si="4"/>
        <v>1</v>
      </c>
      <c r="AX26" s="48" t="s">
        <v>297</v>
      </c>
      <c r="AY26" s="43" t="str">
        <f>IFERROR(IF(INDEX('MM01-BOB'!$A:$DM,MATCH('MM01'!$B26,'MM01-BOB'!$B:$B,0),MATCH('MM01'!AY$3,'MM01-BOB'!$3:$3,0))=0,"",INDEX('MM01-BOB'!$A:$DM,MATCH('MM01'!$B26,'MM01-BOB'!$B:$B,0),MATCH('MM01'!AY$3,'MM01-BOB'!$3:$3,0))),"")</f>
        <v/>
      </c>
      <c r="AZ26" s="44"/>
      <c r="BA26" s="44"/>
      <c r="BB26" s="47"/>
      <c r="BC26" s="50" t="s">
        <v>4</v>
      </c>
      <c r="BD26" s="50">
        <v>1</v>
      </c>
      <c r="BE26" s="50" t="s">
        <v>192</v>
      </c>
      <c r="BF26" s="50" t="s">
        <v>192</v>
      </c>
      <c r="BG26" s="50" t="s">
        <v>727</v>
      </c>
      <c r="BH26" s="44">
        <v>0</v>
      </c>
      <c r="BI26" s="44">
        <v>1</v>
      </c>
      <c r="BJ26" s="44">
        <v>0</v>
      </c>
      <c r="BK26" s="44" t="s">
        <v>348</v>
      </c>
      <c r="BL26" s="50" t="s">
        <v>195</v>
      </c>
      <c r="BM26" s="50" t="s">
        <v>195</v>
      </c>
      <c r="BN26" s="43" t="str">
        <f>IFERROR(IF(INDEX('MM01-BOB'!$A:$DM,MATCH('MM01'!$B26,'MM01-BOB'!$B:$B,0),MATCH('MM01'!BN$3,'MM01-BOB'!$3:$3,0))=0,"",INDEX('MM01-BOB'!$A:$DM,MATCH('MM01'!$B26,'MM01-BOB'!$B:$B,0),MATCH('MM01'!BN$3,'MM01-BOB'!$3:$3,0))),"")</f>
        <v/>
      </c>
      <c r="BO26" s="44"/>
      <c r="BP26" s="50">
        <v>0</v>
      </c>
      <c r="BQ26" s="45" t="s">
        <v>378</v>
      </c>
      <c r="BR26" s="45" t="s">
        <v>84</v>
      </c>
      <c r="BS26" s="43" t="str">
        <f t="shared" si="5"/>
        <v>581</v>
      </c>
      <c r="BT26" s="45" t="s">
        <v>426</v>
      </c>
      <c r="BU26" s="80"/>
      <c r="BV26" s="45">
        <v>1</v>
      </c>
      <c r="BW26" s="45" t="s">
        <v>471</v>
      </c>
      <c r="BX26" s="45"/>
      <c r="BY26" s="44"/>
      <c r="BZ26" s="49" t="str">
        <f t="shared" si="6"/>
        <v>0120</v>
      </c>
      <c r="CA26" s="49" t="str">
        <f t="shared" si="7"/>
        <v>0120</v>
      </c>
      <c r="CB26" s="45"/>
      <c r="CC26" s="44">
        <v>1</v>
      </c>
      <c r="CD26" s="44">
        <v>2</v>
      </c>
      <c r="CE26" s="50" t="s">
        <v>490</v>
      </c>
      <c r="CF26" s="80">
        <v>2</v>
      </c>
      <c r="CG26" s="80">
        <v>7</v>
      </c>
      <c r="CH26" s="44" t="s">
        <v>348</v>
      </c>
      <c r="CI26" s="44">
        <v>2</v>
      </c>
      <c r="CJ26" s="44">
        <v>42</v>
      </c>
      <c r="CK26" s="44">
        <v>10</v>
      </c>
      <c r="CL26" s="43" t="str">
        <f t="shared" si="8"/>
        <v>K00_R_0581</v>
      </c>
      <c r="CM26" s="43">
        <f t="shared" si="9"/>
        <v>1</v>
      </c>
      <c r="CN26" s="55" t="s">
        <v>909</v>
      </c>
      <c r="CO26" s="43" t="str">
        <f t="shared" ca="1" si="10"/>
        <v>17.05.2022</v>
      </c>
      <c r="CP26" s="43" t="str">
        <f t="shared" si="11"/>
        <v>31.12.9999</v>
      </c>
      <c r="CR26" s="44">
        <v>2</v>
      </c>
      <c r="CS26" s="44"/>
      <c r="CT26" s="44">
        <v>1</v>
      </c>
      <c r="CU26" s="44" t="s">
        <v>910</v>
      </c>
      <c r="CV26" s="44">
        <v>12</v>
      </c>
      <c r="CW26" s="43">
        <f t="shared" si="12"/>
        <v>0.01</v>
      </c>
      <c r="CX26" s="43" t="str">
        <f t="shared" si="13"/>
        <v>KG</v>
      </c>
      <c r="CY26" s="44">
        <v>1</v>
      </c>
      <c r="CZ26" s="50" t="s">
        <v>223</v>
      </c>
      <c r="DA26" s="50" t="s">
        <v>902</v>
      </c>
      <c r="DB26" s="43" t="str">
        <f>IFERROR(IF(INDEX(Estrutura_P01[#All],MATCH($D26,Estrutura_P01[[#All],[txtMAKT-MAKTX]],0),MATCH(DB$3,Estrutura_P01[#Headers],0))=0,"",INDEX(Estrutura_P01[#All],MATCH($D26,Estrutura_P01[[#All],[txtMAKT-MAKTX]],0),MATCH(DB$3,Estrutura_P01[#Headers],0))),"")</f>
        <v/>
      </c>
      <c r="DC26" s="44">
        <v>1000</v>
      </c>
      <c r="DD26" s="60">
        <v>1</v>
      </c>
      <c r="DE26" s="44"/>
      <c r="DF26" s="44">
        <v>1</v>
      </c>
      <c r="DG26" s="44">
        <v>0</v>
      </c>
      <c r="DH26" s="44" t="s">
        <v>913</v>
      </c>
      <c r="DI26" s="45">
        <v>0</v>
      </c>
      <c r="DJ26" s="44">
        <v>1000</v>
      </c>
      <c r="DK26" s="65"/>
    </row>
    <row r="27" spans="1:115" x14ac:dyDescent="0.2">
      <c r="A27" s="7" t="str">
        <f t="shared" si="0"/>
        <v>Execução 23</v>
      </c>
      <c r="B27" s="87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79" t="s">
        <v>4</v>
      </c>
      <c r="H27" s="79" t="s">
        <v>15</v>
      </c>
      <c r="I27" s="49" t="str">
        <f t="shared" si="2"/>
        <v>0581</v>
      </c>
      <c r="J27" s="79" t="s">
        <v>6</v>
      </c>
      <c r="K27" s="79"/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 t="s">
        <v>109</v>
      </c>
      <c r="V27" s="45" t="s">
        <v>110</v>
      </c>
      <c r="W27" s="45" t="s">
        <v>111</v>
      </c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297</v>
      </c>
      <c r="AP27" s="43" t="str">
        <f>IFERROR(IF(INDEX('MM01-BOB'!$A:$DM,MATCH('MM01'!$B27,'MM01-BOB'!$B:$B,0),MATCH('MM01'!AP$3,'MM01-BOB'!$3:$3,0))=0,"",INDEX('MM01-BOB'!$A:$DM,MATCH('MM01'!$B27,'MM01-BOB'!$B:$B,0),MATCH('MM01'!AP$3,'MM01-BOB'!$3:$3,0))),"")</f>
        <v/>
      </c>
      <c r="AQ27" s="45"/>
      <c r="AR27" s="43" t="str">
        <f>IFERROR(IF(INDEX('MM01-BOB'!$A:$DM,MATCH('MM01'!$B27,'MM01-BOB'!$B:$B,0),MATCH('MM01'!AR$3,'MM01-BOB'!$3:$3,0))=0,"",INDEX('MM01-BOB'!$A:$DM,MATCH('MM01'!$B27,'MM01-BOB'!$B:$B,0),MATCH('MM01'!AR$3,'MM01-BOB'!$3:$3,0))),"")</f>
        <v/>
      </c>
      <c r="AS27" s="45"/>
      <c r="AT27" s="46" t="str">
        <f t="shared" ca="1" si="3"/>
        <v/>
      </c>
      <c r="AU27" s="50" t="s">
        <v>203</v>
      </c>
      <c r="AV27" s="44">
        <v>1</v>
      </c>
      <c r="AW27" s="43">
        <f t="shared" si="4"/>
        <v>1</v>
      </c>
      <c r="AX27" s="48" t="s">
        <v>297</v>
      </c>
      <c r="AY27" s="43" t="str">
        <f>IFERROR(IF(INDEX('MM01-BOB'!$A:$DM,MATCH('MM01'!$B27,'MM01-BOB'!$B:$B,0),MATCH('MM01'!AY$3,'MM01-BOB'!$3:$3,0))=0,"",INDEX('MM01-BOB'!$A:$DM,MATCH('MM01'!$B27,'MM01-BOB'!$B:$B,0),MATCH('MM01'!AY$3,'MM01-BOB'!$3:$3,0))),"")</f>
        <v/>
      </c>
      <c r="AZ27" s="44"/>
      <c r="BA27" s="44"/>
      <c r="BB27" s="47"/>
      <c r="BC27" s="50" t="s">
        <v>4</v>
      </c>
      <c r="BD27" s="50">
        <v>1</v>
      </c>
      <c r="BE27" s="50" t="s">
        <v>192</v>
      </c>
      <c r="BF27" s="50" t="s">
        <v>192</v>
      </c>
      <c r="BG27" s="50" t="s">
        <v>727</v>
      </c>
      <c r="BH27" s="44">
        <v>0</v>
      </c>
      <c r="BI27" s="44">
        <v>1</v>
      </c>
      <c r="BJ27" s="44">
        <v>0</v>
      </c>
      <c r="BK27" s="44" t="s">
        <v>348</v>
      </c>
      <c r="BL27" s="50" t="s">
        <v>195</v>
      </c>
      <c r="BM27" s="50" t="s">
        <v>195</v>
      </c>
      <c r="BN27" s="43" t="str">
        <f>IFERROR(IF(INDEX('MM01-BOB'!$A:$DM,MATCH('MM01'!$B27,'MM01-BOB'!$B:$B,0),MATCH('MM01'!BN$3,'MM01-BOB'!$3:$3,0))=0,"",INDEX('MM01-BOB'!$A:$DM,MATCH('MM01'!$B27,'MM01-BOB'!$B:$B,0),MATCH('MM01'!BN$3,'MM01-BOB'!$3:$3,0))),"")</f>
        <v/>
      </c>
      <c r="BO27" s="44"/>
      <c r="BP27" s="50">
        <v>0</v>
      </c>
      <c r="BQ27" s="45" t="s">
        <v>378</v>
      </c>
      <c r="BR27" s="45" t="s">
        <v>84</v>
      </c>
      <c r="BS27" s="43" t="str">
        <f t="shared" si="5"/>
        <v>581</v>
      </c>
      <c r="BT27" s="45" t="s">
        <v>426</v>
      </c>
      <c r="BU27" s="80"/>
      <c r="BV27" s="45">
        <v>1</v>
      </c>
      <c r="BW27" s="45" t="s">
        <v>471</v>
      </c>
      <c r="BX27" s="45"/>
      <c r="BY27" s="44"/>
      <c r="BZ27" s="49" t="str">
        <f t="shared" si="6"/>
        <v>0120</v>
      </c>
      <c r="CA27" s="49" t="str">
        <f t="shared" si="7"/>
        <v>0120</v>
      </c>
      <c r="CB27" s="45"/>
      <c r="CC27" s="44">
        <v>1</v>
      </c>
      <c r="CD27" s="44">
        <v>2</v>
      </c>
      <c r="CE27" s="50" t="s">
        <v>490</v>
      </c>
      <c r="CF27" s="80">
        <v>2</v>
      </c>
      <c r="CG27" s="80">
        <v>7</v>
      </c>
      <c r="CH27" s="44" t="s">
        <v>348</v>
      </c>
      <c r="CI27" s="44">
        <v>2</v>
      </c>
      <c r="CJ27" s="44">
        <v>42</v>
      </c>
      <c r="CK27" s="44">
        <v>10</v>
      </c>
      <c r="CL27" s="43" t="str">
        <f t="shared" si="8"/>
        <v>K00_R_0581</v>
      </c>
      <c r="CM27" s="43">
        <f t="shared" si="9"/>
        <v>1</v>
      </c>
      <c r="CN27" s="55" t="s">
        <v>909</v>
      </c>
      <c r="CO27" s="43" t="str">
        <f t="shared" ca="1" si="10"/>
        <v>17.05.2022</v>
      </c>
      <c r="CP27" s="43" t="str">
        <f t="shared" si="11"/>
        <v>31.12.9999</v>
      </c>
      <c r="CR27" s="44">
        <v>2</v>
      </c>
      <c r="CS27" s="44"/>
      <c r="CT27" s="44">
        <v>1</v>
      </c>
      <c r="CU27" s="44" t="s">
        <v>910</v>
      </c>
      <c r="CV27" s="44">
        <v>12</v>
      </c>
      <c r="CW27" s="43">
        <f t="shared" si="12"/>
        <v>0.01</v>
      </c>
      <c r="CX27" s="43" t="str">
        <f t="shared" si="13"/>
        <v>KG</v>
      </c>
      <c r="CY27" s="44">
        <v>1</v>
      </c>
      <c r="CZ27" s="50" t="s">
        <v>223</v>
      </c>
      <c r="DA27" s="50" t="s">
        <v>902</v>
      </c>
      <c r="DB27" s="43" t="str">
        <f>IFERROR(IF(INDEX(Estrutura_P01[#All],MATCH($D27,Estrutura_P01[[#All],[txtMAKT-MAKTX]],0),MATCH(DB$3,Estrutura_P01[#Headers],0))=0,"",INDEX(Estrutura_P01[#All],MATCH($D27,Estrutura_P01[[#All],[txtMAKT-MAKTX]],0),MATCH(DB$3,Estrutura_P01[#Headers],0))),"")</f>
        <v/>
      </c>
      <c r="DC27" s="44">
        <v>1000</v>
      </c>
      <c r="DD27" s="60">
        <v>1</v>
      </c>
      <c r="DE27" s="44"/>
      <c r="DF27" s="44">
        <v>1</v>
      </c>
      <c r="DG27" s="44">
        <v>0</v>
      </c>
      <c r="DH27" s="44" t="s">
        <v>913</v>
      </c>
      <c r="DI27" s="45">
        <v>0</v>
      </c>
      <c r="DJ27" s="44">
        <v>1000</v>
      </c>
      <c r="DK27" s="65"/>
    </row>
    <row r="28" spans="1:115" x14ac:dyDescent="0.2">
      <c r="A28" s="7" t="str">
        <f t="shared" si="0"/>
        <v>Execução 24</v>
      </c>
      <c r="B28" s="87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79" t="s">
        <v>4</v>
      </c>
      <c r="H28" s="79" t="s">
        <v>15</v>
      </c>
      <c r="I28" s="49" t="str">
        <f t="shared" si="2"/>
        <v>0581</v>
      </c>
      <c r="J28" s="79" t="s">
        <v>6</v>
      </c>
      <c r="K28" s="79"/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 t="s">
        <v>109</v>
      </c>
      <c r="V28" s="45" t="s">
        <v>110</v>
      </c>
      <c r="W28" s="45" t="s">
        <v>111</v>
      </c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297</v>
      </c>
      <c r="AP28" s="43" t="str">
        <f>IFERROR(IF(INDEX('MM01-BOB'!$A:$DM,MATCH('MM01'!$B28,'MM01-BOB'!$B:$B,0),MATCH('MM01'!AP$3,'MM01-BOB'!$3:$3,0))=0,"",INDEX('MM01-BOB'!$A:$DM,MATCH('MM01'!$B28,'MM01-BOB'!$B:$B,0),MATCH('MM01'!AP$3,'MM01-BOB'!$3:$3,0))),"")</f>
        <v/>
      </c>
      <c r="AQ28" s="45"/>
      <c r="AR28" s="43" t="str">
        <f>IFERROR(IF(INDEX('MM01-BOB'!$A:$DM,MATCH('MM01'!$B28,'MM01-BOB'!$B:$B,0),MATCH('MM01'!AR$3,'MM01-BOB'!$3:$3,0))=0,"",INDEX('MM01-BOB'!$A:$DM,MATCH('MM01'!$B28,'MM01-BOB'!$B:$B,0),MATCH('MM01'!AR$3,'MM01-BOB'!$3:$3,0))),"")</f>
        <v/>
      </c>
      <c r="AS28" s="45"/>
      <c r="AT28" s="46" t="str">
        <f t="shared" ca="1" si="3"/>
        <v/>
      </c>
      <c r="AU28" s="50" t="s">
        <v>203</v>
      </c>
      <c r="AV28" s="44">
        <v>1</v>
      </c>
      <c r="AW28" s="43">
        <f t="shared" si="4"/>
        <v>1</v>
      </c>
      <c r="AX28" s="48" t="s">
        <v>297</v>
      </c>
      <c r="AY28" s="43" t="str">
        <f>IFERROR(IF(INDEX('MM01-BOB'!$A:$DM,MATCH('MM01'!$B28,'MM01-BOB'!$B:$B,0),MATCH('MM01'!AY$3,'MM01-BOB'!$3:$3,0))=0,"",INDEX('MM01-BOB'!$A:$DM,MATCH('MM01'!$B28,'MM01-BOB'!$B:$B,0),MATCH('MM01'!AY$3,'MM01-BOB'!$3:$3,0))),"")</f>
        <v/>
      </c>
      <c r="AZ28" s="44"/>
      <c r="BA28" s="44"/>
      <c r="BB28" s="47"/>
      <c r="BC28" s="50" t="s">
        <v>4</v>
      </c>
      <c r="BD28" s="50">
        <v>1</v>
      </c>
      <c r="BE28" s="50" t="s">
        <v>192</v>
      </c>
      <c r="BF28" s="50" t="s">
        <v>192</v>
      </c>
      <c r="BG28" s="50" t="s">
        <v>727</v>
      </c>
      <c r="BH28" s="44">
        <v>0</v>
      </c>
      <c r="BI28" s="44">
        <v>1</v>
      </c>
      <c r="BJ28" s="44">
        <v>0</v>
      </c>
      <c r="BK28" s="44" t="s">
        <v>348</v>
      </c>
      <c r="BL28" s="50" t="s">
        <v>195</v>
      </c>
      <c r="BM28" s="50" t="s">
        <v>195</v>
      </c>
      <c r="BN28" s="43" t="str">
        <f>IFERROR(IF(INDEX('MM01-BOB'!$A:$DM,MATCH('MM01'!$B28,'MM01-BOB'!$B:$B,0),MATCH('MM01'!BN$3,'MM01-BOB'!$3:$3,0))=0,"",INDEX('MM01-BOB'!$A:$DM,MATCH('MM01'!$B28,'MM01-BOB'!$B:$B,0),MATCH('MM01'!BN$3,'MM01-BOB'!$3:$3,0))),"")</f>
        <v/>
      </c>
      <c r="BO28" s="44"/>
      <c r="BP28" s="50">
        <v>0</v>
      </c>
      <c r="BQ28" s="45" t="s">
        <v>378</v>
      </c>
      <c r="BR28" s="45" t="s">
        <v>84</v>
      </c>
      <c r="BS28" s="43" t="str">
        <f t="shared" si="5"/>
        <v>581</v>
      </c>
      <c r="BT28" s="45" t="s">
        <v>426</v>
      </c>
      <c r="BU28" s="80"/>
      <c r="BV28" s="45">
        <v>1</v>
      </c>
      <c r="BW28" s="45" t="s">
        <v>471</v>
      </c>
      <c r="BX28" s="45"/>
      <c r="BY28" s="44"/>
      <c r="BZ28" s="49" t="str">
        <f t="shared" si="6"/>
        <v>0120</v>
      </c>
      <c r="CA28" s="49" t="str">
        <f t="shared" si="7"/>
        <v>0120</v>
      </c>
      <c r="CB28" s="45"/>
      <c r="CC28" s="44">
        <v>1</v>
      </c>
      <c r="CD28" s="44">
        <v>2</v>
      </c>
      <c r="CE28" s="50" t="s">
        <v>490</v>
      </c>
      <c r="CF28" s="80">
        <v>2</v>
      </c>
      <c r="CG28" s="80">
        <v>7</v>
      </c>
      <c r="CH28" s="44" t="s">
        <v>348</v>
      </c>
      <c r="CI28" s="44">
        <v>2</v>
      </c>
      <c r="CJ28" s="44">
        <v>42</v>
      </c>
      <c r="CK28" s="44">
        <v>10</v>
      </c>
      <c r="CL28" s="43" t="str">
        <f t="shared" si="8"/>
        <v>K00_R_0581</v>
      </c>
      <c r="CM28" s="43">
        <f t="shared" si="9"/>
        <v>1</v>
      </c>
      <c r="CN28" s="55" t="s">
        <v>909</v>
      </c>
      <c r="CO28" s="43" t="str">
        <f t="shared" ca="1" si="10"/>
        <v>17.05.2022</v>
      </c>
      <c r="CP28" s="43" t="str">
        <f t="shared" si="11"/>
        <v>31.12.9999</v>
      </c>
      <c r="CR28" s="44">
        <v>2</v>
      </c>
      <c r="CS28" s="44"/>
      <c r="CT28" s="44">
        <v>1</v>
      </c>
      <c r="CU28" s="44" t="s">
        <v>910</v>
      </c>
      <c r="CV28" s="44">
        <v>12</v>
      </c>
      <c r="CW28" s="43">
        <f t="shared" si="12"/>
        <v>0.01</v>
      </c>
      <c r="CX28" s="43" t="str">
        <f t="shared" si="13"/>
        <v>KG</v>
      </c>
      <c r="CY28" s="44">
        <v>1</v>
      </c>
      <c r="CZ28" s="50" t="s">
        <v>223</v>
      </c>
      <c r="DA28" s="50" t="s">
        <v>902</v>
      </c>
      <c r="DB28" s="43" t="str">
        <f>IFERROR(IF(INDEX(Estrutura_P01[#All],MATCH($D28,Estrutura_P01[[#All],[txtMAKT-MAKTX]],0),MATCH(DB$3,Estrutura_P01[#Headers],0))=0,"",INDEX(Estrutura_P01[#All],MATCH($D28,Estrutura_P01[[#All],[txtMAKT-MAKTX]],0),MATCH(DB$3,Estrutura_P01[#Headers],0))),"")</f>
        <v/>
      </c>
      <c r="DC28" s="44">
        <v>1000</v>
      </c>
      <c r="DD28" s="60">
        <v>1</v>
      </c>
      <c r="DE28" s="44"/>
      <c r="DF28" s="44">
        <v>1</v>
      </c>
      <c r="DG28" s="44">
        <v>0</v>
      </c>
      <c r="DH28" s="44" t="s">
        <v>913</v>
      </c>
      <c r="DI28" s="45">
        <v>0</v>
      </c>
      <c r="DJ28" s="44">
        <v>1000</v>
      </c>
      <c r="DK28" s="65"/>
    </row>
    <row r="29" spans="1:115" x14ac:dyDescent="0.2">
      <c r="A29" s="7" t="str">
        <f t="shared" si="0"/>
        <v>Execução 25</v>
      </c>
      <c r="B29" s="87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79" t="s">
        <v>4</v>
      </c>
      <c r="H29" s="79" t="s">
        <v>15</v>
      </c>
      <c r="I29" s="49" t="str">
        <f t="shared" si="2"/>
        <v>0581</v>
      </c>
      <c r="J29" s="79" t="s">
        <v>6</v>
      </c>
      <c r="K29" s="79"/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 t="s">
        <v>109</v>
      </c>
      <c r="V29" s="45" t="s">
        <v>110</v>
      </c>
      <c r="W29" s="45" t="s">
        <v>111</v>
      </c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297</v>
      </c>
      <c r="AP29" s="43" t="str">
        <f>IFERROR(IF(INDEX('MM01-BOB'!$A:$DM,MATCH('MM01'!$B29,'MM01-BOB'!$B:$B,0),MATCH('MM01'!AP$3,'MM01-BOB'!$3:$3,0))=0,"",INDEX('MM01-BOB'!$A:$DM,MATCH('MM01'!$B29,'MM01-BOB'!$B:$B,0),MATCH('MM01'!AP$3,'MM01-BOB'!$3:$3,0))),"")</f>
        <v/>
      </c>
      <c r="AQ29" s="45"/>
      <c r="AR29" s="43" t="str">
        <f>IFERROR(IF(INDEX('MM01-BOB'!$A:$DM,MATCH('MM01'!$B29,'MM01-BOB'!$B:$B,0),MATCH('MM01'!AR$3,'MM01-BOB'!$3:$3,0))=0,"",INDEX('MM01-BOB'!$A:$DM,MATCH('MM01'!$B29,'MM01-BOB'!$B:$B,0),MATCH('MM01'!AR$3,'MM01-BOB'!$3:$3,0))),"")</f>
        <v/>
      </c>
      <c r="AS29" s="45"/>
      <c r="AT29" s="46" t="str">
        <f t="shared" ca="1" si="3"/>
        <v/>
      </c>
      <c r="AU29" s="50" t="s">
        <v>203</v>
      </c>
      <c r="AV29" s="44">
        <v>1</v>
      </c>
      <c r="AW29" s="43">
        <f t="shared" si="4"/>
        <v>1</v>
      </c>
      <c r="AX29" s="48" t="s">
        <v>297</v>
      </c>
      <c r="AY29" s="43" t="str">
        <f>IFERROR(IF(INDEX('MM01-BOB'!$A:$DM,MATCH('MM01'!$B29,'MM01-BOB'!$B:$B,0),MATCH('MM01'!AY$3,'MM01-BOB'!$3:$3,0))=0,"",INDEX('MM01-BOB'!$A:$DM,MATCH('MM01'!$B29,'MM01-BOB'!$B:$B,0),MATCH('MM01'!AY$3,'MM01-BOB'!$3:$3,0))),"")</f>
        <v/>
      </c>
      <c r="AZ29" s="44"/>
      <c r="BA29" s="44"/>
      <c r="BB29" s="47"/>
      <c r="BC29" s="50" t="s">
        <v>4</v>
      </c>
      <c r="BD29" s="50">
        <v>1</v>
      </c>
      <c r="BE29" s="50" t="s">
        <v>192</v>
      </c>
      <c r="BF29" s="50" t="s">
        <v>192</v>
      </c>
      <c r="BG29" s="50" t="s">
        <v>727</v>
      </c>
      <c r="BH29" s="44">
        <v>0</v>
      </c>
      <c r="BI29" s="44">
        <v>1</v>
      </c>
      <c r="BJ29" s="44">
        <v>0</v>
      </c>
      <c r="BK29" s="44" t="s">
        <v>348</v>
      </c>
      <c r="BL29" s="50" t="s">
        <v>195</v>
      </c>
      <c r="BM29" s="50" t="s">
        <v>195</v>
      </c>
      <c r="BN29" s="43" t="str">
        <f>IFERROR(IF(INDEX('MM01-BOB'!$A:$DM,MATCH('MM01'!$B29,'MM01-BOB'!$B:$B,0),MATCH('MM01'!BN$3,'MM01-BOB'!$3:$3,0))=0,"",INDEX('MM01-BOB'!$A:$DM,MATCH('MM01'!$B29,'MM01-BOB'!$B:$B,0),MATCH('MM01'!BN$3,'MM01-BOB'!$3:$3,0))),"")</f>
        <v/>
      </c>
      <c r="BO29" s="44"/>
      <c r="BP29" s="50">
        <v>0</v>
      </c>
      <c r="BQ29" s="45" t="s">
        <v>378</v>
      </c>
      <c r="BR29" s="45" t="s">
        <v>84</v>
      </c>
      <c r="BS29" s="43" t="str">
        <f t="shared" si="5"/>
        <v>581</v>
      </c>
      <c r="BT29" s="45" t="s">
        <v>426</v>
      </c>
      <c r="BU29" s="80"/>
      <c r="BV29" s="45">
        <v>1</v>
      </c>
      <c r="BW29" s="45" t="s">
        <v>471</v>
      </c>
      <c r="BX29" s="45"/>
      <c r="BY29" s="44"/>
      <c r="BZ29" s="49" t="str">
        <f t="shared" si="6"/>
        <v>0120</v>
      </c>
      <c r="CA29" s="49" t="str">
        <f t="shared" si="7"/>
        <v>0120</v>
      </c>
      <c r="CB29" s="45"/>
      <c r="CC29" s="44">
        <v>1</v>
      </c>
      <c r="CD29" s="44">
        <v>2</v>
      </c>
      <c r="CE29" s="50" t="s">
        <v>490</v>
      </c>
      <c r="CF29" s="80">
        <v>2</v>
      </c>
      <c r="CG29" s="80">
        <v>7</v>
      </c>
      <c r="CH29" s="44" t="s">
        <v>348</v>
      </c>
      <c r="CI29" s="44">
        <v>2</v>
      </c>
      <c r="CJ29" s="44">
        <v>42</v>
      </c>
      <c r="CK29" s="44">
        <v>10</v>
      </c>
      <c r="CL29" s="43" t="str">
        <f t="shared" si="8"/>
        <v>K00_R_0581</v>
      </c>
      <c r="CM29" s="43">
        <f t="shared" si="9"/>
        <v>1</v>
      </c>
      <c r="CN29" s="55" t="s">
        <v>909</v>
      </c>
      <c r="CO29" s="43" t="str">
        <f t="shared" ca="1" si="10"/>
        <v>17.05.2022</v>
      </c>
      <c r="CP29" s="43" t="str">
        <f t="shared" si="11"/>
        <v>31.12.9999</v>
      </c>
      <c r="CR29" s="44">
        <v>2</v>
      </c>
      <c r="CS29" s="44"/>
      <c r="CT29" s="44">
        <v>1</v>
      </c>
      <c r="CU29" s="44" t="s">
        <v>910</v>
      </c>
      <c r="CV29" s="44">
        <v>12</v>
      </c>
      <c r="CW29" s="43">
        <f t="shared" si="12"/>
        <v>0.01</v>
      </c>
      <c r="CX29" s="43" t="str">
        <f t="shared" si="13"/>
        <v>KG</v>
      </c>
      <c r="CY29" s="44">
        <v>1</v>
      </c>
      <c r="CZ29" s="50" t="s">
        <v>223</v>
      </c>
      <c r="DA29" s="50" t="s">
        <v>902</v>
      </c>
      <c r="DB29" s="43" t="str">
        <f>IFERROR(IF(INDEX(Estrutura_P01[#All],MATCH($D29,Estrutura_P01[[#All],[txtMAKT-MAKTX]],0),MATCH(DB$3,Estrutura_P01[#Headers],0))=0,"",INDEX(Estrutura_P01[#All],MATCH($D29,Estrutura_P01[[#All],[txtMAKT-MAKTX]],0),MATCH(DB$3,Estrutura_P01[#Headers],0))),"")</f>
        <v/>
      </c>
      <c r="DC29" s="44">
        <v>1000</v>
      </c>
      <c r="DD29" s="60">
        <v>1</v>
      </c>
      <c r="DE29" s="44"/>
      <c r="DF29" s="44">
        <v>1</v>
      </c>
      <c r="DG29" s="44">
        <v>0</v>
      </c>
      <c r="DH29" s="44" t="s">
        <v>913</v>
      </c>
      <c r="DI29" s="45">
        <v>0</v>
      </c>
      <c r="DJ29" s="44">
        <v>1000</v>
      </c>
      <c r="DK29" s="65"/>
    </row>
    <row r="30" spans="1:115" x14ac:dyDescent="0.2">
      <c r="A30" s="7" t="str">
        <f t="shared" si="0"/>
        <v>Execução 26</v>
      </c>
      <c r="B30" s="87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79" t="s">
        <v>4</v>
      </c>
      <c r="H30" s="79" t="s">
        <v>15</v>
      </c>
      <c r="I30" s="49" t="str">
        <f t="shared" si="2"/>
        <v>0581</v>
      </c>
      <c r="J30" s="79" t="s">
        <v>6</v>
      </c>
      <c r="K30" s="79"/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 t="s">
        <v>109</v>
      </c>
      <c r="V30" s="45" t="s">
        <v>110</v>
      </c>
      <c r="W30" s="45" t="s">
        <v>111</v>
      </c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297</v>
      </c>
      <c r="AP30" s="43" t="str">
        <f>IFERROR(IF(INDEX('MM01-BOB'!$A:$DM,MATCH('MM01'!$B30,'MM01-BOB'!$B:$B,0),MATCH('MM01'!AP$3,'MM01-BOB'!$3:$3,0))=0,"",INDEX('MM01-BOB'!$A:$DM,MATCH('MM01'!$B30,'MM01-BOB'!$B:$B,0),MATCH('MM01'!AP$3,'MM01-BOB'!$3:$3,0))),"")</f>
        <v/>
      </c>
      <c r="AQ30" s="45"/>
      <c r="AR30" s="43" t="str">
        <f>IFERROR(IF(INDEX('MM01-BOB'!$A:$DM,MATCH('MM01'!$B30,'MM01-BOB'!$B:$B,0),MATCH('MM01'!AR$3,'MM01-BOB'!$3:$3,0))=0,"",INDEX('MM01-BOB'!$A:$DM,MATCH('MM01'!$B30,'MM01-BOB'!$B:$B,0),MATCH('MM01'!AR$3,'MM01-BOB'!$3:$3,0))),"")</f>
        <v/>
      </c>
      <c r="AS30" s="45"/>
      <c r="AT30" s="46" t="str">
        <f t="shared" ca="1" si="3"/>
        <v/>
      </c>
      <c r="AU30" s="50" t="s">
        <v>203</v>
      </c>
      <c r="AV30" s="44">
        <v>1</v>
      </c>
      <c r="AW30" s="43">
        <f t="shared" si="4"/>
        <v>1</v>
      </c>
      <c r="AX30" s="48" t="s">
        <v>297</v>
      </c>
      <c r="AY30" s="43" t="str">
        <f>IFERROR(IF(INDEX('MM01-BOB'!$A:$DM,MATCH('MM01'!$B30,'MM01-BOB'!$B:$B,0),MATCH('MM01'!AY$3,'MM01-BOB'!$3:$3,0))=0,"",INDEX('MM01-BOB'!$A:$DM,MATCH('MM01'!$B30,'MM01-BOB'!$B:$B,0),MATCH('MM01'!AY$3,'MM01-BOB'!$3:$3,0))),"")</f>
        <v/>
      </c>
      <c r="AZ30" s="44"/>
      <c r="BA30" s="44"/>
      <c r="BB30" s="47"/>
      <c r="BC30" s="50" t="s">
        <v>4</v>
      </c>
      <c r="BD30" s="50">
        <v>1</v>
      </c>
      <c r="BE30" s="50" t="s">
        <v>192</v>
      </c>
      <c r="BF30" s="50" t="s">
        <v>192</v>
      </c>
      <c r="BG30" s="50" t="s">
        <v>727</v>
      </c>
      <c r="BH30" s="44">
        <v>0</v>
      </c>
      <c r="BI30" s="44">
        <v>1</v>
      </c>
      <c r="BJ30" s="44">
        <v>0</v>
      </c>
      <c r="BK30" s="44" t="s">
        <v>348</v>
      </c>
      <c r="BL30" s="50" t="s">
        <v>195</v>
      </c>
      <c r="BM30" s="50" t="s">
        <v>195</v>
      </c>
      <c r="BN30" s="43" t="str">
        <f>IFERROR(IF(INDEX('MM01-BOB'!$A:$DM,MATCH('MM01'!$B30,'MM01-BOB'!$B:$B,0),MATCH('MM01'!BN$3,'MM01-BOB'!$3:$3,0))=0,"",INDEX('MM01-BOB'!$A:$DM,MATCH('MM01'!$B30,'MM01-BOB'!$B:$B,0),MATCH('MM01'!BN$3,'MM01-BOB'!$3:$3,0))),"")</f>
        <v/>
      </c>
      <c r="BO30" s="44"/>
      <c r="BP30" s="50">
        <v>0</v>
      </c>
      <c r="BQ30" s="45" t="s">
        <v>378</v>
      </c>
      <c r="BR30" s="45" t="s">
        <v>84</v>
      </c>
      <c r="BS30" s="43" t="str">
        <f t="shared" si="5"/>
        <v>581</v>
      </c>
      <c r="BT30" s="45" t="s">
        <v>426</v>
      </c>
      <c r="BU30" s="80"/>
      <c r="BV30" s="45">
        <v>1</v>
      </c>
      <c r="BW30" s="45" t="s">
        <v>471</v>
      </c>
      <c r="BX30" s="45"/>
      <c r="BY30" s="44"/>
      <c r="BZ30" s="49" t="str">
        <f t="shared" si="6"/>
        <v>0120</v>
      </c>
      <c r="CA30" s="49" t="str">
        <f t="shared" si="7"/>
        <v>0120</v>
      </c>
      <c r="CB30" s="45"/>
      <c r="CC30" s="44">
        <v>1</v>
      </c>
      <c r="CD30" s="44">
        <v>2</v>
      </c>
      <c r="CE30" s="50" t="s">
        <v>490</v>
      </c>
      <c r="CF30" s="80">
        <v>2</v>
      </c>
      <c r="CG30" s="80">
        <v>7</v>
      </c>
      <c r="CH30" s="44" t="s">
        <v>348</v>
      </c>
      <c r="CI30" s="44">
        <v>2</v>
      </c>
      <c r="CJ30" s="44">
        <v>42</v>
      </c>
      <c r="CK30" s="44">
        <v>10</v>
      </c>
      <c r="CL30" s="43" t="str">
        <f t="shared" si="8"/>
        <v>K00_R_0581</v>
      </c>
      <c r="CM30" s="43">
        <f t="shared" si="9"/>
        <v>1</v>
      </c>
      <c r="CN30" s="55" t="s">
        <v>909</v>
      </c>
      <c r="CO30" s="43" t="str">
        <f t="shared" ca="1" si="10"/>
        <v>17.05.2022</v>
      </c>
      <c r="CP30" s="43" t="str">
        <f t="shared" si="11"/>
        <v>31.12.9999</v>
      </c>
      <c r="CR30" s="44">
        <v>2</v>
      </c>
      <c r="CS30" s="44"/>
      <c r="CT30" s="44">
        <v>1</v>
      </c>
      <c r="CU30" s="44" t="s">
        <v>910</v>
      </c>
      <c r="CV30" s="44">
        <v>12</v>
      </c>
      <c r="CW30" s="43">
        <f t="shared" si="12"/>
        <v>0.01</v>
      </c>
      <c r="CX30" s="43" t="str">
        <f t="shared" si="13"/>
        <v>KG</v>
      </c>
      <c r="CY30" s="44">
        <v>1</v>
      </c>
      <c r="CZ30" s="50" t="s">
        <v>223</v>
      </c>
      <c r="DA30" s="50" t="s">
        <v>902</v>
      </c>
      <c r="DB30" s="43" t="str">
        <f>IFERROR(IF(INDEX(Estrutura_P01[#All],MATCH($D30,Estrutura_P01[[#All],[txtMAKT-MAKTX]],0),MATCH(DB$3,Estrutura_P01[#Headers],0))=0,"",INDEX(Estrutura_P01[#All],MATCH($D30,Estrutura_P01[[#All],[txtMAKT-MAKTX]],0),MATCH(DB$3,Estrutura_P01[#Headers],0))),"")</f>
        <v/>
      </c>
      <c r="DC30" s="44">
        <v>1000</v>
      </c>
      <c r="DD30" s="60">
        <v>1</v>
      </c>
      <c r="DE30" s="44"/>
      <c r="DF30" s="44">
        <v>1</v>
      </c>
      <c r="DG30" s="44">
        <v>0</v>
      </c>
      <c r="DH30" s="44" t="s">
        <v>913</v>
      </c>
      <c r="DI30" s="45">
        <v>0</v>
      </c>
      <c r="DJ30" s="44">
        <v>1000</v>
      </c>
      <c r="DK30" s="65"/>
    </row>
    <row r="31" spans="1:115" x14ac:dyDescent="0.2">
      <c r="A31" s="7" t="str">
        <f t="shared" si="0"/>
        <v>Execução 27</v>
      </c>
      <c r="B31" s="87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79" t="s">
        <v>4</v>
      </c>
      <c r="H31" s="79" t="s">
        <v>15</v>
      </c>
      <c r="I31" s="49" t="str">
        <f t="shared" si="2"/>
        <v>0581</v>
      </c>
      <c r="J31" s="79" t="s">
        <v>6</v>
      </c>
      <c r="K31" s="79"/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 t="s">
        <v>109</v>
      </c>
      <c r="V31" s="45" t="s">
        <v>110</v>
      </c>
      <c r="W31" s="45" t="s">
        <v>111</v>
      </c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297</v>
      </c>
      <c r="AP31" s="43" t="str">
        <f>IFERROR(IF(INDEX('MM01-BOB'!$A:$DM,MATCH('MM01'!$B31,'MM01-BOB'!$B:$B,0),MATCH('MM01'!AP$3,'MM01-BOB'!$3:$3,0))=0,"",INDEX('MM01-BOB'!$A:$DM,MATCH('MM01'!$B31,'MM01-BOB'!$B:$B,0),MATCH('MM01'!AP$3,'MM01-BOB'!$3:$3,0))),"")</f>
        <v/>
      </c>
      <c r="AQ31" s="45"/>
      <c r="AR31" s="43" t="str">
        <f>IFERROR(IF(INDEX('MM01-BOB'!$A:$DM,MATCH('MM01'!$B31,'MM01-BOB'!$B:$B,0),MATCH('MM01'!AR$3,'MM01-BOB'!$3:$3,0))=0,"",INDEX('MM01-BOB'!$A:$DM,MATCH('MM01'!$B31,'MM01-BOB'!$B:$B,0),MATCH('MM01'!AR$3,'MM01-BOB'!$3:$3,0))),"")</f>
        <v/>
      </c>
      <c r="AS31" s="45"/>
      <c r="AT31" s="46" t="str">
        <f t="shared" ca="1" si="3"/>
        <v/>
      </c>
      <c r="AU31" s="50" t="s">
        <v>203</v>
      </c>
      <c r="AV31" s="44">
        <v>1</v>
      </c>
      <c r="AW31" s="43">
        <f t="shared" si="4"/>
        <v>1</v>
      </c>
      <c r="AX31" s="48" t="s">
        <v>297</v>
      </c>
      <c r="AY31" s="43" t="str">
        <f>IFERROR(IF(INDEX('MM01-BOB'!$A:$DM,MATCH('MM01'!$B31,'MM01-BOB'!$B:$B,0),MATCH('MM01'!AY$3,'MM01-BOB'!$3:$3,0))=0,"",INDEX('MM01-BOB'!$A:$DM,MATCH('MM01'!$B31,'MM01-BOB'!$B:$B,0),MATCH('MM01'!AY$3,'MM01-BOB'!$3:$3,0))),"")</f>
        <v/>
      </c>
      <c r="AZ31" s="44"/>
      <c r="BA31" s="44"/>
      <c r="BB31" s="47"/>
      <c r="BC31" s="50" t="s">
        <v>4</v>
      </c>
      <c r="BD31" s="50">
        <v>1</v>
      </c>
      <c r="BE31" s="50" t="s">
        <v>192</v>
      </c>
      <c r="BF31" s="50" t="s">
        <v>192</v>
      </c>
      <c r="BG31" s="50" t="s">
        <v>727</v>
      </c>
      <c r="BH31" s="44">
        <v>0</v>
      </c>
      <c r="BI31" s="44">
        <v>1</v>
      </c>
      <c r="BJ31" s="44">
        <v>0</v>
      </c>
      <c r="BK31" s="44" t="s">
        <v>348</v>
      </c>
      <c r="BL31" s="50" t="s">
        <v>195</v>
      </c>
      <c r="BM31" s="50" t="s">
        <v>195</v>
      </c>
      <c r="BN31" s="43" t="str">
        <f>IFERROR(IF(INDEX('MM01-BOB'!$A:$DM,MATCH('MM01'!$B31,'MM01-BOB'!$B:$B,0),MATCH('MM01'!BN$3,'MM01-BOB'!$3:$3,0))=0,"",INDEX('MM01-BOB'!$A:$DM,MATCH('MM01'!$B31,'MM01-BOB'!$B:$B,0),MATCH('MM01'!BN$3,'MM01-BOB'!$3:$3,0))),"")</f>
        <v/>
      </c>
      <c r="BO31" s="44"/>
      <c r="BP31" s="50">
        <v>0</v>
      </c>
      <c r="BQ31" s="45" t="s">
        <v>378</v>
      </c>
      <c r="BR31" s="45" t="s">
        <v>84</v>
      </c>
      <c r="BS31" s="43" t="str">
        <f t="shared" si="5"/>
        <v>581</v>
      </c>
      <c r="BT31" s="45" t="s">
        <v>426</v>
      </c>
      <c r="BU31" s="80"/>
      <c r="BV31" s="45">
        <v>1</v>
      </c>
      <c r="BW31" s="45" t="s">
        <v>471</v>
      </c>
      <c r="BX31" s="45"/>
      <c r="BY31" s="44"/>
      <c r="BZ31" s="49" t="str">
        <f t="shared" si="6"/>
        <v>0120</v>
      </c>
      <c r="CA31" s="49" t="str">
        <f t="shared" si="7"/>
        <v>0120</v>
      </c>
      <c r="CB31" s="45"/>
      <c r="CC31" s="44">
        <v>1</v>
      </c>
      <c r="CD31" s="44">
        <v>2</v>
      </c>
      <c r="CE31" s="50" t="s">
        <v>490</v>
      </c>
      <c r="CF31" s="80">
        <v>2</v>
      </c>
      <c r="CG31" s="80">
        <v>7</v>
      </c>
      <c r="CH31" s="44" t="s">
        <v>348</v>
      </c>
      <c r="CI31" s="44">
        <v>2</v>
      </c>
      <c r="CJ31" s="44">
        <v>42</v>
      </c>
      <c r="CK31" s="44">
        <v>10</v>
      </c>
      <c r="CL31" s="43" t="str">
        <f t="shared" si="8"/>
        <v>K00_R_0581</v>
      </c>
      <c r="CM31" s="43">
        <f t="shared" si="9"/>
        <v>1</v>
      </c>
      <c r="CN31" s="55" t="s">
        <v>909</v>
      </c>
      <c r="CO31" s="43" t="str">
        <f t="shared" ca="1" si="10"/>
        <v>17.05.2022</v>
      </c>
      <c r="CP31" s="43" t="str">
        <f t="shared" si="11"/>
        <v>31.12.9999</v>
      </c>
      <c r="CR31" s="44">
        <v>2</v>
      </c>
      <c r="CS31" s="44"/>
      <c r="CT31" s="44">
        <v>1</v>
      </c>
      <c r="CU31" s="44" t="s">
        <v>910</v>
      </c>
      <c r="CV31" s="44">
        <v>12</v>
      </c>
      <c r="CW31" s="43">
        <f t="shared" si="12"/>
        <v>0.01</v>
      </c>
      <c r="CX31" s="43" t="str">
        <f t="shared" si="13"/>
        <v>KG</v>
      </c>
      <c r="CY31" s="44">
        <v>1</v>
      </c>
      <c r="CZ31" s="50" t="s">
        <v>223</v>
      </c>
      <c r="DA31" s="50" t="s">
        <v>902</v>
      </c>
      <c r="DB31" s="43" t="str">
        <f>IFERROR(IF(INDEX(Estrutura_P01[#All],MATCH($D31,Estrutura_P01[[#All],[txtMAKT-MAKTX]],0),MATCH(DB$3,Estrutura_P01[#Headers],0))=0,"",INDEX(Estrutura_P01[#All],MATCH($D31,Estrutura_P01[[#All],[txtMAKT-MAKTX]],0),MATCH(DB$3,Estrutura_P01[#Headers],0))),"")</f>
        <v/>
      </c>
      <c r="DC31" s="44">
        <v>1000</v>
      </c>
      <c r="DD31" s="60">
        <v>1</v>
      </c>
      <c r="DE31" s="44"/>
      <c r="DF31" s="44">
        <v>1</v>
      </c>
      <c r="DG31" s="44">
        <v>0</v>
      </c>
      <c r="DH31" s="44" t="s">
        <v>913</v>
      </c>
      <c r="DI31" s="45">
        <v>0</v>
      </c>
      <c r="DJ31" s="44">
        <v>1000</v>
      </c>
      <c r="DK31" s="65"/>
    </row>
    <row r="32" spans="1:115" x14ac:dyDescent="0.2">
      <c r="A32" s="7" t="str">
        <f t="shared" si="0"/>
        <v>Execução 28</v>
      </c>
      <c r="B32" s="87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79" t="s">
        <v>4</v>
      </c>
      <c r="H32" s="79" t="s">
        <v>15</v>
      </c>
      <c r="I32" s="49" t="str">
        <f t="shared" si="2"/>
        <v>0581</v>
      </c>
      <c r="J32" s="79" t="s">
        <v>6</v>
      </c>
      <c r="K32" s="79"/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 t="s">
        <v>109</v>
      </c>
      <c r="V32" s="45" t="s">
        <v>110</v>
      </c>
      <c r="W32" s="45" t="s">
        <v>111</v>
      </c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297</v>
      </c>
      <c r="AP32" s="43" t="str">
        <f>IFERROR(IF(INDEX('MM01-BOB'!$A:$DM,MATCH('MM01'!$B32,'MM01-BOB'!$B:$B,0),MATCH('MM01'!AP$3,'MM01-BOB'!$3:$3,0))=0,"",INDEX('MM01-BOB'!$A:$DM,MATCH('MM01'!$B32,'MM01-BOB'!$B:$B,0),MATCH('MM01'!AP$3,'MM01-BOB'!$3:$3,0))),"")</f>
        <v/>
      </c>
      <c r="AQ32" s="45"/>
      <c r="AR32" s="43" t="str">
        <f>IFERROR(IF(INDEX('MM01-BOB'!$A:$DM,MATCH('MM01'!$B32,'MM01-BOB'!$B:$B,0),MATCH('MM01'!AR$3,'MM01-BOB'!$3:$3,0))=0,"",INDEX('MM01-BOB'!$A:$DM,MATCH('MM01'!$B32,'MM01-BOB'!$B:$B,0),MATCH('MM01'!AR$3,'MM01-BOB'!$3:$3,0))),"")</f>
        <v/>
      </c>
      <c r="AS32" s="45"/>
      <c r="AT32" s="46" t="str">
        <f t="shared" ca="1" si="3"/>
        <v/>
      </c>
      <c r="AU32" s="50" t="s">
        <v>203</v>
      </c>
      <c r="AV32" s="44">
        <v>1</v>
      </c>
      <c r="AW32" s="43">
        <f t="shared" si="4"/>
        <v>1</v>
      </c>
      <c r="AX32" s="48" t="s">
        <v>297</v>
      </c>
      <c r="AY32" s="43" t="str">
        <f>IFERROR(IF(INDEX('MM01-BOB'!$A:$DM,MATCH('MM01'!$B32,'MM01-BOB'!$B:$B,0),MATCH('MM01'!AY$3,'MM01-BOB'!$3:$3,0))=0,"",INDEX('MM01-BOB'!$A:$DM,MATCH('MM01'!$B32,'MM01-BOB'!$B:$B,0),MATCH('MM01'!AY$3,'MM01-BOB'!$3:$3,0))),"")</f>
        <v/>
      </c>
      <c r="AZ32" s="44"/>
      <c r="BA32" s="44"/>
      <c r="BB32" s="47"/>
      <c r="BC32" s="50" t="s">
        <v>4</v>
      </c>
      <c r="BD32" s="50">
        <v>1</v>
      </c>
      <c r="BE32" s="50" t="s">
        <v>192</v>
      </c>
      <c r="BF32" s="50" t="s">
        <v>192</v>
      </c>
      <c r="BG32" s="50" t="s">
        <v>727</v>
      </c>
      <c r="BH32" s="44">
        <v>0</v>
      </c>
      <c r="BI32" s="44">
        <v>1</v>
      </c>
      <c r="BJ32" s="44">
        <v>0</v>
      </c>
      <c r="BK32" s="44" t="s">
        <v>348</v>
      </c>
      <c r="BL32" s="50" t="s">
        <v>195</v>
      </c>
      <c r="BM32" s="50" t="s">
        <v>195</v>
      </c>
      <c r="BN32" s="43" t="str">
        <f>IFERROR(IF(INDEX('MM01-BOB'!$A:$DM,MATCH('MM01'!$B32,'MM01-BOB'!$B:$B,0),MATCH('MM01'!BN$3,'MM01-BOB'!$3:$3,0))=0,"",INDEX('MM01-BOB'!$A:$DM,MATCH('MM01'!$B32,'MM01-BOB'!$B:$B,0),MATCH('MM01'!BN$3,'MM01-BOB'!$3:$3,0))),"")</f>
        <v/>
      </c>
      <c r="BO32" s="44"/>
      <c r="BP32" s="50">
        <v>0</v>
      </c>
      <c r="BQ32" s="45" t="s">
        <v>378</v>
      </c>
      <c r="BR32" s="45" t="s">
        <v>84</v>
      </c>
      <c r="BS32" s="43" t="str">
        <f t="shared" si="5"/>
        <v>581</v>
      </c>
      <c r="BT32" s="45" t="s">
        <v>426</v>
      </c>
      <c r="BU32" s="80"/>
      <c r="BV32" s="45">
        <v>1</v>
      </c>
      <c r="BW32" s="45" t="s">
        <v>471</v>
      </c>
      <c r="BX32" s="45"/>
      <c r="BY32" s="44"/>
      <c r="BZ32" s="49" t="str">
        <f t="shared" si="6"/>
        <v>0120</v>
      </c>
      <c r="CA32" s="49" t="str">
        <f t="shared" si="7"/>
        <v>0120</v>
      </c>
      <c r="CB32" s="45"/>
      <c r="CC32" s="44">
        <v>1</v>
      </c>
      <c r="CD32" s="44">
        <v>2</v>
      </c>
      <c r="CE32" s="50" t="s">
        <v>490</v>
      </c>
      <c r="CF32" s="80">
        <v>2</v>
      </c>
      <c r="CG32" s="80">
        <v>7</v>
      </c>
      <c r="CH32" s="44" t="s">
        <v>348</v>
      </c>
      <c r="CI32" s="44">
        <v>2</v>
      </c>
      <c r="CJ32" s="44">
        <v>42</v>
      </c>
      <c r="CK32" s="44">
        <v>10</v>
      </c>
      <c r="CL32" s="43" t="str">
        <f t="shared" si="8"/>
        <v>K00_R_0581</v>
      </c>
      <c r="CM32" s="43">
        <f t="shared" si="9"/>
        <v>1</v>
      </c>
      <c r="CN32" s="55" t="s">
        <v>909</v>
      </c>
      <c r="CO32" s="43" t="str">
        <f t="shared" ca="1" si="10"/>
        <v>17.05.2022</v>
      </c>
      <c r="CP32" s="43" t="str">
        <f t="shared" si="11"/>
        <v>31.12.9999</v>
      </c>
      <c r="CR32" s="44">
        <v>2</v>
      </c>
      <c r="CS32" s="44"/>
      <c r="CT32" s="44">
        <v>1</v>
      </c>
      <c r="CU32" s="44" t="s">
        <v>910</v>
      </c>
      <c r="CV32" s="44">
        <v>12</v>
      </c>
      <c r="CW32" s="43">
        <f t="shared" si="12"/>
        <v>0.01</v>
      </c>
      <c r="CX32" s="43" t="str">
        <f t="shared" si="13"/>
        <v>KG</v>
      </c>
      <c r="CY32" s="44">
        <v>1</v>
      </c>
      <c r="CZ32" s="50" t="s">
        <v>223</v>
      </c>
      <c r="DA32" s="50" t="s">
        <v>902</v>
      </c>
      <c r="DB32" s="43" t="str">
        <f>IFERROR(IF(INDEX(Estrutura_P01[#All],MATCH($D32,Estrutura_P01[[#All],[txtMAKT-MAKTX]],0),MATCH(DB$3,Estrutura_P01[#Headers],0))=0,"",INDEX(Estrutura_P01[#All],MATCH($D32,Estrutura_P01[[#All],[txtMAKT-MAKTX]],0),MATCH(DB$3,Estrutura_P01[#Headers],0))),"")</f>
        <v/>
      </c>
      <c r="DC32" s="44">
        <v>1000</v>
      </c>
      <c r="DD32" s="60">
        <v>1</v>
      </c>
      <c r="DE32" s="44"/>
      <c r="DF32" s="44">
        <v>1</v>
      </c>
      <c r="DG32" s="44">
        <v>0</v>
      </c>
      <c r="DH32" s="44" t="s">
        <v>913</v>
      </c>
      <c r="DI32" s="45">
        <v>0</v>
      </c>
      <c r="DJ32" s="44">
        <v>1000</v>
      </c>
      <c r="DK32" s="65"/>
    </row>
    <row r="33" spans="1:115" x14ac:dyDescent="0.2">
      <c r="A33" s="7" t="str">
        <f t="shared" si="0"/>
        <v>Execução 29</v>
      </c>
      <c r="B33" s="87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79" t="s">
        <v>4</v>
      </c>
      <c r="H33" s="79" t="s">
        <v>15</v>
      </c>
      <c r="I33" s="49" t="str">
        <f t="shared" si="2"/>
        <v>0581</v>
      </c>
      <c r="J33" s="79" t="s">
        <v>6</v>
      </c>
      <c r="K33" s="79"/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 t="s">
        <v>109</v>
      </c>
      <c r="V33" s="45" t="s">
        <v>110</v>
      </c>
      <c r="W33" s="45" t="s">
        <v>111</v>
      </c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297</v>
      </c>
      <c r="AP33" s="43" t="str">
        <f>IFERROR(IF(INDEX('MM01-BOB'!$A:$DM,MATCH('MM01'!$B33,'MM01-BOB'!$B:$B,0),MATCH('MM01'!AP$3,'MM01-BOB'!$3:$3,0))=0,"",INDEX('MM01-BOB'!$A:$DM,MATCH('MM01'!$B33,'MM01-BOB'!$B:$B,0),MATCH('MM01'!AP$3,'MM01-BOB'!$3:$3,0))),"")</f>
        <v/>
      </c>
      <c r="AQ33" s="45"/>
      <c r="AR33" s="43" t="str">
        <f>IFERROR(IF(INDEX('MM01-BOB'!$A:$DM,MATCH('MM01'!$B33,'MM01-BOB'!$B:$B,0),MATCH('MM01'!AR$3,'MM01-BOB'!$3:$3,0))=0,"",INDEX('MM01-BOB'!$A:$DM,MATCH('MM01'!$B33,'MM01-BOB'!$B:$B,0),MATCH('MM01'!AR$3,'MM01-BOB'!$3:$3,0))),"")</f>
        <v/>
      </c>
      <c r="AS33" s="45"/>
      <c r="AT33" s="46" t="str">
        <f t="shared" ca="1" si="3"/>
        <v/>
      </c>
      <c r="AU33" s="50" t="s">
        <v>203</v>
      </c>
      <c r="AV33" s="44">
        <v>1</v>
      </c>
      <c r="AW33" s="43">
        <f t="shared" si="4"/>
        <v>1</v>
      </c>
      <c r="AX33" s="48" t="s">
        <v>297</v>
      </c>
      <c r="AY33" s="43" t="str">
        <f>IFERROR(IF(INDEX('MM01-BOB'!$A:$DM,MATCH('MM01'!$B33,'MM01-BOB'!$B:$B,0),MATCH('MM01'!AY$3,'MM01-BOB'!$3:$3,0))=0,"",INDEX('MM01-BOB'!$A:$DM,MATCH('MM01'!$B33,'MM01-BOB'!$B:$B,0),MATCH('MM01'!AY$3,'MM01-BOB'!$3:$3,0))),"")</f>
        <v/>
      </c>
      <c r="AZ33" s="44"/>
      <c r="BA33" s="44"/>
      <c r="BB33" s="47"/>
      <c r="BC33" s="50" t="s">
        <v>4</v>
      </c>
      <c r="BD33" s="50">
        <v>1</v>
      </c>
      <c r="BE33" s="50" t="s">
        <v>192</v>
      </c>
      <c r="BF33" s="50" t="s">
        <v>192</v>
      </c>
      <c r="BG33" s="50" t="s">
        <v>727</v>
      </c>
      <c r="BH33" s="44">
        <v>0</v>
      </c>
      <c r="BI33" s="44">
        <v>1</v>
      </c>
      <c r="BJ33" s="44">
        <v>0</v>
      </c>
      <c r="BK33" s="44" t="s">
        <v>348</v>
      </c>
      <c r="BL33" s="50" t="s">
        <v>195</v>
      </c>
      <c r="BM33" s="50" t="s">
        <v>195</v>
      </c>
      <c r="BN33" s="43" t="str">
        <f>IFERROR(IF(INDEX('MM01-BOB'!$A:$DM,MATCH('MM01'!$B33,'MM01-BOB'!$B:$B,0),MATCH('MM01'!BN$3,'MM01-BOB'!$3:$3,0))=0,"",INDEX('MM01-BOB'!$A:$DM,MATCH('MM01'!$B33,'MM01-BOB'!$B:$B,0),MATCH('MM01'!BN$3,'MM01-BOB'!$3:$3,0))),"")</f>
        <v/>
      </c>
      <c r="BO33" s="44"/>
      <c r="BP33" s="50">
        <v>0</v>
      </c>
      <c r="BQ33" s="45" t="s">
        <v>378</v>
      </c>
      <c r="BR33" s="45" t="s">
        <v>84</v>
      </c>
      <c r="BS33" s="43" t="str">
        <f t="shared" si="5"/>
        <v>581</v>
      </c>
      <c r="BT33" s="45" t="s">
        <v>426</v>
      </c>
      <c r="BU33" s="80"/>
      <c r="BV33" s="45">
        <v>1</v>
      </c>
      <c r="BW33" s="45" t="s">
        <v>471</v>
      </c>
      <c r="BX33" s="45"/>
      <c r="BY33" s="44"/>
      <c r="BZ33" s="49" t="str">
        <f t="shared" si="6"/>
        <v>0120</v>
      </c>
      <c r="CA33" s="49" t="str">
        <f t="shared" si="7"/>
        <v>0120</v>
      </c>
      <c r="CB33" s="45"/>
      <c r="CC33" s="44">
        <v>1</v>
      </c>
      <c r="CD33" s="44">
        <v>2</v>
      </c>
      <c r="CE33" s="50" t="s">
        <v>490</v>
      </c>
      <c r="CF33" s="80">
        <v>2</v>
      </c>
      <c r="CG33" s="80">
        <v>7</v>
      </c>
      <c r="CH33" s="44" t="s">
        <v>348</v>
      </c>
      <c r="CI33" s="44">
        <v>2</v>
      </c>
      <c r="CJ33" s="44">
        <v>42</v>
      </c>
      <c r="CK33" s="44">
        <v>10</v>
      </c>
      <c r="CL33" s="43" t="str">
        <f t="shared" si="8"/>
        <v>K00_R_0581</v>
      </c>
      <c r="CM33" s="43">
        <f t="shared" si="9"/>
        <v>1</v>
      </c>
      <c r="CN33" s="55" t="s">
        <v>909</v>
      </c>
      <c r="CO33" s="43" t="str">
        <f t="shared" ca="1" si="10"/>
        <v>17.05.2022</v>
      </c>
      <c r="CP33" s="43" t="str">
        <f t="shared" si="11"/>
        <v>31.12.9999</v>
      </c>
      <c r="CR33" s="44">
        <v>2</v>
      </c>
      <c r="CS33" s="44"/>
      <c r="CT33" s="44">
        <v>1</v>
      </c>
      <c r="CU33" s="44" t="s">
        <v>910</v>
      </c>
      <c r="CV33" s="44">
        <v>12</v>
      </c>
      <c r="CW33" s="43">
        <f t="shared" si="12"/>
        <v>0.01</v>
      </c>
      <c r="CX33" s="43" t="str">
        <f t="shared" si="13"/>
        <v>KG</v>
      </c>
      <c r="CY33" s="44">
        <v>1</v>
      </c>
      <c r="CZ33" s="50" t="s">
        <v>223</v>
      </c>
      <c r="DA33" s="50" t="s">
        <v>902</v>
      </c>
      <c r="DB33" s="43" t="str">
        <f>IFERROR(IF(INDEX(Estrutura_P01[#All],MATCH($D33,Estrutura_P01[[#All],[txtMAKT-MAKTX]],0),MATCH(DB$3,Estrutura_P01[#Headers],0))=0,"",INDEX(Estrutura_P01[#All],MATCH($D33,Estrutura_P01[[#All],[txtMAKT-MAKTX]],0),MATCH(DB$3,Estrutura_P01[#Headers],0))),"")</f>
        <v/>
      </c>
      <c r="DC33" s="44">
        <v>1000</v>
      </c>
      <c r="DD33" s="60">
        <v>1</v>
      </c>
      <c r="DE33" s="44"/>
      <c r="DF33" s="44">
        <v>1</v>
      </c>
      <c r="DG33" s="44">
        <v>0</v>
      </c>
      <c r="DH33" s="44" t="s">
        <v>913</v>
      </c>
      <c r="DI33" s="45">
        <v>0</v>
      </c>
      <c r="DJ33" s="44">
        <v>1000</v>
      </c>
      <c r="DK33" s="65"/>
    </row>
    <row r="34" spans="1:115" x14ac:dyDescent="0.2">
      <c r="A34" s="7" t="str">
        <f t="shared" si="0"/>
        <v>Execução 30</v>
      </c>
      <c r="B34" s="87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79" t="s">
        <v>4</v>
      </c>
      <c r="H34" s="79" t="s">
        <v>15</v>
      </c>
      <c r="I34" s="49" t="str">
        <f t="shared" si="2"/>
        <v>0581</v>
      </c>
      <c r="J34" s="79" t="s">
        <v>6</v>
      </c>
      <c r="K34" s="79"/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 t="s">
        <v>109</v>
      </c>
      <c r="V34" s="45" t="s">
        <v>110</v>
      </c>
      <c r="W34" s="45" t="s">
        <v>111</v>
      </c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297</v>
      </c>
      <c r="AP34" s="43" t="str">
        <f>IFERROR(IF(INDEX('MM01-BOB'!$A:$DM,MATCH('MM01'!$B34,'MM01-BOB'!$B:$B,0),MATCH('MM01'!AP$3,'MM01-BOB'!$3:$3,0))=0,"",INDEX('MM01-BOB'!$A:$DM,MATCH('MM01'!$B34,'MM01-BOB'!$B:$B,0),MATCH('MM01'!AP$3,'MM01-BOB'!$3:$3,0))),"")</f>
        <v/>
      </c>
      <c r="AQ34" s="45"/>
      <c r="AR34" s="43" t="str">
        <f>IFERROR(IF(INDEX('MM01-BOB'!$A:$DM,MATCH('MM01'!$B34,'MM01-BOB'!$B:$B,0),MATCH('MM01'!AR$3,'MM01-BOB'!$3:$3,0))=0,"",INDEX('MM01-BOB'!$A:$DM,MATCH('MM01'!$B34,'MM01-BOB'!$B:$B,0),MATCH('MM01'!AR$3,'MM01-BOB'!$3:$3,0))),"")</f>
        <v/>
      </c>
      <c r="AS34" s="45"/>
      <c r="AT34" s="46" t="str">
        <f t="shared" ca="1" si="3"/>
        <v/>
      </c>
      <c r="AU34" s="50" t="s">
        <v>203</v>
      </c>
      <c r="AV34" s="44">
        <v>1</v>
      </c>
      <c r="AW34" s="43">
        <f t="shared" si="4"/>
        <v>1</v>
      </c>
      <c r="AX34" s="48" t="s">
        <v>297</v>
      </c>
      <c r="AY34" s="43" t="str">
        <f>IFERROR(IF(INDEX('MM01-BOB'!$A:$DM,MATCH('MM01'!$B34,'MM01-BOB'!$B:$B,0),MATCH('MM01'!AY$3,'MM01-BOB'!$3:$3,0))=0,"",INDEX('MM01-BOB'!$A:$DM,MATCH('MM01'!$B34,'MM01-BOB'!$B:$B,0),MATCH('MM01'!AY$3,'MM01-BOB'!$3:$3,0))),"")</f>
        <v/>
      </c>
      <c r="AZ34" s="44"/>
      <c r="BA34" s="44"/>
      <c r="BB34" s="47"/>
      <c r="BC34" s="50" t="s">
        <v>4</v>
      </c>
      <c r="BD34" s="50">
        <v>1</v>
      </c>
      <c r="BE34" s="50" t="s">
        <v>192</v>
      </c>
      <c r="BF34" s="50" t="s">
        <v>192</v>
      </c>
      <c r="BG34" s="50" t="s">
        <v>727</v>
      </c>
      <c r="BH34" s="44">
        <v>0</v>
      </c>
      <c r="BI34" s="44">
        <v>1</v>
      </c>
      <c r="BJ34" s="44">
        <v>0</v>
      </c>
      <c r="BK34" s="44" t="s">
        <v>348</v>
      </c>
      <c r="BL34" s="50" t="s">
        <v>195</v>
      </c>
      <c r="BM34" s="50" t="s">
        <v>195</v>
      </c>
      <c r="BN34" s="43" t="str">
        <f>IFERROR(IF(INDEX('MM01-BOB'!$A:$DM,MATCH('MM01'!$B34,'MM01-BOB'!$B:$B,0),MATCH('MM01'!BN$3,'MM01-BOB'!$3:$3,0))=0,"",INDEX('MM01-BOB'!$A:$DM,MATCH('MM01'!$B34,'MM01-BOB'!$B:$B,0),MATCH('MM01'!BN$3,'MM01-BOB'!$3:$3,0))),"")</f>
        <v/>
      </c>
      <c r="BO34" s="44"/>
      <c r="BP34" s="50">
        <v>0</v>
      </c>
      <c r="BQ34" s="45" t="s">
        <v>378</v>
      </c>
      <c r="BR34" s="45" t="s">
        <v>84</v>
      </c>
      <c r="BS34" s="43" t="str">
        <f t="shared" si="5"/>
        <v>581</v>
      </c>
      <c r="BT34" s="45" t="s">
        <v>426</v>
      </c>
      <c r="BU34" s="80"/>
      <c r="BV34" s="45">
        <v>1</v>
      </c>
      <c r="BW34" s="45" t="s">
        <v>471</v>
      </c>
      <c r="BX34" s="45"/>
      <c r="BY34" s="44"/>
      <c r="BZ34" s="49" t="str">
        <f t="shared" si="6"/>
        <v>0120</v>
      </c>
      <c r="CA34" s="49" t="str">
        <f t="shared" si="7"/>
        <v>0120</v>
      </c>
      <c r="CB34" s="45"/>
      <c r="CC34" s="44">
        <v>1</v>
      </c>
      <c r="CD34" s="44">
        <v>2</v>
      </c>
      <c r="CE34" s="50" t="s">
        <v>490</v>
      </c>
      <c r="CF34" s="80">
        <v>2</v>
      </c>
      <c r="CG34" s="80">
        <v>7</v>
      </c>
      <c r="CH34" s="44" t="s">
        <v>348</v>
      </c>
      <c r="CI34" s="44">
        <v>2</v>
      </c>
      <c r="CJ34" s="44">
        <v>42</v>
      </c>
      <c r="CK34" s="44">
        <v>10</v>
      </c>
      <c r="CL34" s="43" t="str">
        <f t="shared" si="8"/>
        <v>K00_R_0581</v>
      </c>
      <c r="CM34" s="43">
        <f t="shared" si="9"/>
        <v>1</v>
      </c>
      <c r="CN34" s="55" t="s">
        <v>909</v>
      </c>
      <c r="CO34" s="43" t="str">
        <f t="shared" ca="1" si="10"/>
        <v>17.05.2022</v>
      </c>
      <c r="CP34" s="43" t="str">
        <f t="shared" si="11"/>
        <v>31.12.9999</v>
      </c>
      <c r="CR34" s="44">
        <v>2</v>
      </c>
      <c r="CS34" s="44"/>
      <c r="CT34" s="44">
        <v>1</v>
      </c>
      <c r="CU34" s="44" t="s">
        <v>910</v>
      </c>
      <c r="CV34" s="44">
        <v>12</v>
      </c>
      <c r="CW34" s="43">
        <f t="shared" si="12"/>
        <v>0.01</v>
      </c>
      <c r="CX34" s="43" t="str">
        <f t="shared" si="13"/>
        <v>KG</v>
      </c>
      <c r="CY34" s="44">
        <v>1</v>
      </c>
      <c r="CZ34" s="50" t="s">
        <v>223</v>
      </c>
      <c r="DA34" s="50" t="s">
        <v>902</v>
      </c>
      <c r="DB34" s="43" t="str">
        <f>IFERROR(IF(INDEX(Estrutura_P01[#All],MATCH($D34,Estrutura_P01[[#All],[txtMAKT-MAKTX]],0),MATCH(DB$3,Estrutura_P01[#Headers],0))=0,"",INDEX(Estrutura_P01[#All],MATCH($D34,Estrutura_P01[[#All],[txtMAKT-MAKTX]],0),MATCH(DB$3,Estrutura_P01[#Headers],0))),"")</f>
        <v/>
      </c>
      <c r="DC34" s="44">
        <v>1000</v>
      </c>
      <c r="DD34" s="60">
        <v>1</v>
      </c>
      <c r="DE34" s="44"/>
      <c r="DF34" s="44">
        <v>1</v>
      </c>
      <c r="DG34" s="44">
        <v>0</v>
      </c>
      <c r="DH34" s="44" t="s">
        <v>913</v>
      </c>
      <c r="DI34" s="45">
        <v>0</v>
      </c>
      <c r="DJ34" s="44">
        <v>1000</v>
      </c>
      <c r="DK34" s="65"/>
    </row>
    <row r="35" spans="1:115" x14ac:dyDescent="0.2">
      <c r="A35" s="7" t="str">
        <f t="shared" si="0"/>
        <v>Execução 31</v>
      </c>
      <c r="B35" s="87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79" t="s">
        <v>4</v>
      </c>
      <c r="H35" s="79" t="s">
        <v>15</v>
      </c>
      <c r="I35" s="49" t="str">
        <f t="shared" si="2"/>
        <v>0581</v>
      </c>
      <c r="J35" s="79" t="s">
        <v>6</v>
      </c>
      <c r="K35" s="79"/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 t="s">
        <v>109</v>
      </c>
      <c r="V35" s="45" t="s">
        <v>110</v>
      </c>
      <c r="W35" s="45" t="s">
        <v>111</v>
      </c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297</v>
      </c>
      <c r="AP35" s="43" t="str">
        <f>IFERROR(IF(INDEX('MM01-BOB'!$A:$DM,MATCH('MM01'!$B35,'MM01-BOB'!$B:$B,0),MATCH('MM01'!AP$3,'MM01-BOB'!$3:$3,0))=0,"",INDEX('MM01-BOB'!$A:$DM,MATCH('MM01'!$B35,'MM01-BOB'!$B:$B,0),MATCH('MM01'!AP$3,'MM01-BOB'!$3:$3,0))),"")</f>
        <v/>
      </c>
      <c r="AQ35" s="45"/>
      <c r="AR35" s="43" t="str">
        <f>IFERROR(IF(INDEX('MM01-BOB'!$A:$DM,MATCH('MM01'!$B35,'MM01-BOB'!$B:$B,0),MATCH('MM01'!AR$3,'MM01-BOB'!$3:$3,0))=0,"",INDEX('MM01-BOB'!$A:$DM,MATCH('MM01'!$B35,'MM01-BOB'!$B:$B,0),MATCH('MM01'!AR$3,'MM01-BOB'!$3:$3,0))),"")</f>
        <v/>
      </c>
      <c r="AS35" s="45"/>
      <c r="AT35" s="46" t="str">
        <f t="shared" ca="1" si="3"/>
        <v/>
      </c>
      <c r="AU35" s="50" t="s">
        <v>203</v>
      </c>
      <c r="AV35" s="44">
        <v>1</v>
      </c>
      <c r="AW35" s="43">
        <f t="shared" si="4"/>
        <v>1</v>
      </c>
      <c r="AX35" s="48" t="s">
        <v>297</v>
      </c>
      <c r="AY35" s="43" t="str">
        <f>IFERROR(IF(INDEX('MM01-BOB'!$A:$DM,MATCH('MM01'!$B35,'MM01-BOB'!$B:$B,0),MATCH('MM01'!AY$3,'MM01-BOB'!$3:$3,0))=0,"",INDEX('MM01-BOB'!$A:$DM,MATCH('MM01'!$B35,'MM01-BOB'!$B:$B,0),MATCH('MM01'!AY$3,'MM01-BOB'!$3:$3,0))),"")</f>
        <v/>
      </c>
      <c r="AZ35" s="44"/>
      <c r="BA35" s="44"/>
      <c r="BB35" s="47"/>
      <c r="BC35" s="50" t="s">
        <v>4</v>
      </c>
      <c r="BD35" s="50">
        <v>1</v>
      </c>
      <c r="BE35" s="50" t="s">
        <v>192</v>
      </c>
      <c r="BF35" s="50" t="s">
        <v>192</v>
      </c>
      <c r="BG35" s="50" t="s">
        <v>727</v>
      </c>
      <c r="BH35" s="44">
        <v>0</v>
      </c>
      <c r="BI35" s="44">
        <v>1</v>
      </c>
      <c r="BJ35" s="44">
        <v>0</v>
      </c>
      <c r="BK35" s="44" t="s">
        <v>348</v>
      </c>
      <c r="BL35" s="50" t="s">
        <v>195</v>
      </c>
      <c r="BM35" s="50" t="s">
        <v>195</v>
      </c>
      <c r="BN35" s="43" t="str">
        <f>IFERROR(IF(INDEX('MM01-BOB'!$A:$DM,MATCH('MM01'!$B35,'MM01-BOB'!$B:$B,0),MATCH('MM01'!BN$3,'MM01-BOB'!$3:$3,0))=0,"",INDEX('MM01-BOB'!$A:$DM,MATCH('MM01'!$B35,'MM01-BOB'!$B:$B,0),MATCH('MM01'!BN$3,'MM01-BOB'!$3:$3,0))),"")</f>
        <v/>
      </c>
      <c r="BO35" s="44"/>
      <c r="BP35" s="50">
        <v>0</v>
      </c>
      <c r="BQ35" s="45" t="s">
        <v>378</v>
      </c>
      <c r="BR35" s="45" t="s">
        <v>84</v>
      </c>
      <c r="BS35" s="43" t="str">
        <f t="shared" si="5"/>
        <v>581</v>
      </c>
      <c r="BT35" s="45" t="s">
        <v>426</v>
      </c>
      <c r="BU35" s="80"/>
      <c r="BV35" s="45">
        <v>1</v>
      </c>
      <c r="BW35" s="45" t="s">
        <v>471</v>
      </c>
      <c r="BX35" s="45"/>
      <c r="BY35" s="44"/>
      <c r="BZ35" s="49" t="str">
        <f t="shared" si="6"/>
        <v>0120</v>
      </c>
      <c r="CA35" s="49" t="str">
        <f t="shared" si="7"/>
        <v>0120</v>
      </c>
      <c r="CB35" s="45"/>
      <c r="CC35" s="44">
        <v>1</v>
      </c>
      <c r="CD35" s="44">
        <v>2</v>
      </c>
      <c r="CE35" s="50" t="s">
        <v>490</v>
      </c>
      <c r="CF35" s="80">
        <v>2</v>
      </c>
      <c r="CG35" s="80">
        <v>7</v>
      </c>
      <c r="CH35" s="44" t="s">
        <v>348</v>
      </c>
      <c r="CI35" s="44">
        <v>2</v>
      </c>
      <c r="CJ35" s="44">
        <v>42</v>
      </c>
      <c r="CK35" s="44">
        <v>10</v>
      </c>
      <c r="CL35" s="43" t="str">
        <f t="shared" si="8"/>
        <v>K00_R_0581</v>
      </c>
      <c r="CM35" s="43">
        <f t="shared" si="9"/>
        <v>1</v>
      </c>
      <c r="CN35" s="55" t="s">
        <v>909</v>
      </c>
      <c r="CO35" s="43" t="str">
        <f t="shared" ca="1" si="10"/>
        <v>17.05.2022</v>
      </c>
      <c r="CP35" s="43" t="str">
        <f t="shared" si="11"/>
        <v>31.12.9999</v>
      </c>
      <c r="CR35" s="44">
        <v>2</v>
      </c>
      <c r="CS35" s="44"/>
      <c r="CT35" s="44">
        <v>1</v>
      </c>
      <c r="CU35" s="44" t="s">
        <v>910</v>
      </c>
      <c r="CV35" s="44">
        <v>12</v>
      </c>
      <c r="CW35" s="43">
        <f t="shared" si="12"/>
        <v>0.01</v>
      </c>
      <c r="CX35" s="43" t="str">
        <f t="shared" si="13"/>
        <v>KG</v>
      </c>
      <c r="CY35" s="44">
        <v>1</v>
      </c>
      <c r="CZ35" s="50" t="s">
        <v>223</v>
      </c>
      <c r="DA35" s="50" t="s">
        <v>902</v>
      </c>
      <c r="DB35" s="43" t="str">
        <f>IFERROR(IF(INDEX(Estrutura_P01[#All],MATCH($D35,Estrutura_P01[[#All],[txtMAKT-MAKTX]],0),MATCH(DB$3,Estrutura_P01[#Headers],0))=0,"",INDEX(Estrutura_P01[#All],MATCH($D35,Estrutura_P01[[#All],[txtMAKT-MAKTX]],0),MATCH(DB$3,Estrutura_P01[#Headers],0))),"")</f>
        <v/>
      </c>
      <c r="DC35" s="44">
        <v>1000</v>
      </c>
      <c r="DD35" s="60">
        <v>1</v>
      </c>
      <c r="DE35" s="44"/>
      <c r="DF35" s="44">
        <v>1</v>
      </c>
      <c r="DG35" s="44">
        <v>0</v>
      </c>
      <c r="DH35" s="44" t="s">
        <v>913</v>
      </c>
      <c r="DI35" s="45">
        <v>0</v>
      </c>
      <c r="DJ35" s="44">
        <v>1000</v>
      </c>
      <c r="DK35" s="65"/>
    </row>
    <row r="36" spans="1:115" x14ac:dyDescent="0.2">
      <c r="A36" s="7" t="str">
        <f t="shared" si="0"/>
        <v>Execução 32</v>
      </c>
      <c r="B36" s="87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79" t="s">
        <v>4</v>
      </c>
      <c r="H36" s="79" t="s">
        <v>15</v>
      </c>
      <c r="I36" s="49" t="str">
        <f t="shared" si="2"/>
        <v>0581</v>
      </c>
      <c r="J36" s="79" t="s">
        <v>6</v>
      </c>
      <c r="K36" s="79"/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 t="s">
        <v>109</v>
      </c>
      <c r="V36" s="45" t="s">
        <v>110</v>
      </c>
      <c r="W36" s="45" t="s">
        <v>111</v>
      </c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297</v>
      </c>
      <c r="AP36" s="43" t="str">
        <f>IFERROR(IF(INDEX('MM01-BOB'!$A:$DM,MATCH('MM01'!$B36,'MM01-BOB'!$B:$B,0),MATCH('MM01'!AP$3,'MM01-BOB'!$3:$3,0))=0,"",INDEX('MM01-BOB'!$A:$DM,MATCH('MM01'!$B36,'MM01-BOB'!$B:$B,0),MATCH('MM01'!AP$3,'MM01-BOB'!$3:$3,0))),"")</f>
        <v/>
      </c>
      <c r="AQ36" s="45"/>
      <c r="AR36" s="43" t="str">
        <f>IFERROR(IF(INDEX('MM01-BOB'!$A:$DM,MATCH('MM01'!$B36,'MM01-BOB'!$B:$B,0),MATCH('MM01'!AR$3,'MM01-BOB'!$3:$3,0))=0,"",INDEX('MM01-BOB'!$A:$DM,MATCH('MM01'!$B36,'MM01-BOB'!$B:$B,0),MATCH('MM01'!AR$3,'MM01-BOB'!$3:$3,0))),"")</f>
        <v/>
      </c>
      <c r="AS36" s="45"/>
      <c r="AT36" s="46" t="str">
        <f t="shared" ca="1" si="3"/>
        <v/>
      </c>
      <c r="AU36" s="50" t="s">
        <v>203</v>
      </c>
      <c r="AV36" s="44">
        <v>1</v>
      </c>
      <c r="AW36" s="43">
        <f t="shared" si="4"/>
        <v>1</v>
      </c>
      <c r="AX36" s="48" t="s">
        <v>297</v>
      </c>
      <c r="AY36" s="43" t="str">
        <f>IFERROR(IF(INDEX('MM01-BOB'!$A:$DM,MATCH('MM01'!$B36,'MM01-BOB'!$B:$B,0),MATCH('MM01'!AY$3,'MM01-BOB'!$3:$3,0))=0,"",INDEX('MM01-BOB'!$A:$DM,MATCH('MM01'!$B36,'MM01-BOB'!$B:$B,0),MATCH('MM01'!AY$3,'MM01-BOB'!$3:$3,0))),"")</f>
        <v/>
      </c>
      <c r="AZ36" s="44"/>
      <c r="BA36" s="44"/>
      <c r="BB36" s="47"/>
      <c r="BC36" s="50" t="s">
        <v>4</v>
      </c>
      <c r="BD36" s="50">
        <v>1</v>
      </c>
      <c r="BE36" s="50" t="s">
        <v>192</v>
      </c>
      <c r="BF36" s="50" t="s">
        <v>192</v>
      </c>
      <c r="BG36" s="50" t="s">
        <v>727</v>
      </c>
      <c r="BH36" s="44">
        <v>0</v>
      </c>
      <c r="BI36" s="44">
        <v>1</v>
      </c>
      <c r="BJ36" s="44">
        <v>0</v>
      </c>
      <c r="BK36" s="44" t="s">
        <v>348</v>
      </c>
      <c r="BL36" s="50" t="s">
        <v>195</v>
      </c>
      <c r="BM36" s="50" t="s">
        <v>195</v>
      </c>
      <c r="BN36" s="43" t="str">
        <f>IFERROR(IF(INDEX('MM01-BOB'!$A:$DM,MATCH('MM01'!$B36,'MM01-BOB'!$B:$B,0),MATCH('MM01'!BN$3,'MM01-BOB'!$3:$3,0))=0,"",INDEX('MM01-BOB'!$A:$DM,MATCH('MM01'!$B36,'MM01-BOB'!$B:$B,0),MATCH('MM01'!BN$3,'MM01-BOB'!$3:$3,0))),"")</f>
        <v/>
      </c>
      <c r="BO36" s="44"/>
      <c r="BP36" s="50">
        <v>0</v>
      </c>
      <c r="BQ36" s="45" t="s">
        <v>378</v>
      </c>
      <c r="BR36" s="45" t="s">
        <v>84</v>
      </c>
      <c r="BS36" s="43" t="str">
        <f t="shared" si="5"/>
        <v>581</v>
      </c>
      <c r="BT36" s="45" t="s">
        <v>426</v>
      </c>
      <c r="BU36" s="80"/>
      <c r="BV36" s="45">
        <v>1</v>
      </c>
      <c r="BW36" s="45" t="s">
        <v>471</v>
      </c>
      <c r="BX36" s="45"/>
      <c r="BY36" s="44"/>
      <c r="BZ36" s="49" t="str">
        <f t="shared" si="6"/>
        <v>0120</v>
      </c>
      <c r="CA36" s="49" t="str">
        <f t="shared" si="7"/>
        <v>0120</v>
      </c>
      <c r="CB36" s="45"/>
      <c r="CC36" s="44">
        <v>1</v>
      </c>
      <c r="CD36" s="44">
        <v>2</v>
      </c>
      <c r="CE36" s="50" t="s">
        <v>490</v>
      </c>
      <c r="CF36" s="80">
        <v>2</v>
      </c>
      <c r="CG36" s="80">
        <v>7</v>
      </c>
      <c r="CH36" s="44" t="s">
        <v>348</v>
      </c>
      <c r="CI36" s="44">
        <v>2</v>
      </c>
      <c r="CJ36" s="44">
        <v>42</v>
      </c>
      <c r="CK36" s="44">
        <v>10</v>
      </c>
      <c r="CL36" s="43" t="str">
        <f t="shared" si="8"/>
        <v>K00_R_0581</v>
      </c>
      <c r="CM36" s="43">
        <f t="shared" si="9"/>
        <v>1</v>
      </c>
      <c r="CN36" s="55" t="s">
        <v>909</v>
      </c>
      <c r="CO36" s="43" t="str">
        <f t="shared" ca="1" si="10"/>
        <v>17.05.2022</v>
      </c>
      <c r="CP36" s="43" t="str">
        <f t="shared" si="11"/>
        <v>31.12.9999</v>
      </c>
      <c r="CR36" s="44">
        <v>2</v>
      </c>
      <c r="CS36" s="44"/>
      <c r="CT36" s="44">
        <v>1</v>
      </c>
      <c r="CU36" s="44" t="s">
        <v>910</v>
      </c>
      <c r="CV36" s="44">
        <v>12</v>
      </c>
      <c r="CW36" s="43">
        <f t="shared" si="12"/>
        <v>0.01</v>
      </c>
      <c r="CX36" s="43" t="str">
        <f t="shared" si="13"/>
        <v>KG</v>
      </c>
      <c r="CY36" s="44">
        <v>1</v>
      </c>
      <c r="CZ36" s="50" t="s">
        <v>223</v>
      </c>
      <c r="DA36" s="50" t="s">
        <v>902</v>
      </c>
      <c r="DB36" s="43" t="str">
        <f>IFERROR(IF(INDEX(Estrutura_P01[#All],MATCH($D36,Estrutura_P01[[#All],[txtMAKT-MAKTX]],0),MATCH(DB$3,Estrutura_P01[#Headers],0))=0,"",INDEX(Estrutura_P01[#All],MATCH($D36,Estrutura_P01[[#All],[txtMAKT-MAKTX]],0),MATCH(DB$3,Estrutura_P01[#Headers],0))),"")</f>
        <v/>
      </c>
      <c r="DC36" s="44">
        <v>1000</v>
      </c>
      <c r="DD36" s="60">
        <v>1</v>
      </c>
      <c r="DE36" s="44"/>
      <c r="DF36" s="44">
        <v>1</v>
      </c>
      <c r="DG36" s="44">
        <v>0</v>
      </c>
      <c r="DH36" s="44" t="s">
        <v>913</v>
      </c>
      <c r="DI36" s="45">
        <v>0</v>
      </c>
      <c r="DJ36" s="44">
        <v>1000</v>
      </c>
      <c r="DK36" s="65"/>
    </row>
    <row r="37" spans="1:115" x14ac:dyDescent="0.2">
      <c r="A37" s="7" t="str">
        <f t="shared" si="0"/>
        <v>Execução 33</v>
      </c>
      <c r="B37" s="87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79" t="s">
        <v>4</v>
      </c>
      <c r="H37" s="79" t="s">
        <v>15</v>
      </c>
      <c r="I37" s="49" t="str">
        <f t="shared" si="2"/>
        <v>0581</v>
      </c>
      <c r="J37" s="79" t="s">
        <v>6</v>
      </c>
      <c r="K37" s="79"/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 t="s">
        <v>109</v>
      </c>
      <c r="V37" s="45" t="s">
        <v>110</v>
      </c>
      <c r="W37" s="45" t="s">
        <v>111</v>
      </c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297</v>
      </c>
      <c r="AP37" s="43" t="str">
        <f>IFERROR(IF(INDEX('MM01-BOB'!$A:$DM,MATCH('MM01'!$B37,'MM01-BOB'!$B:$B,0),MATCH('MM01'!AP$3,'MM01-BOB'!$3:$3,0))=0,"",INDEX('MM01-BOB'!$A:$DM,MATCH('MM01'!$B37,'MM01-BOB'!$B:$B,0),MATCH('MM01'!AP$3,'MM01-BOB'!$3:$3,0))),"")</f>
        <v/>
      </c>
      <c r="AQ37" s="45"/>
      <c r="AR37" s="43" t="str">
        <f>IFERROR(IF(INDEX('MM01-BOB'!$A:$DM,MATCH('MM01'!$B37,'MM01-BOB'!$B:$B,0),MATCH('MM01'!AR$3,'MM01-BOB'!$3:$3,0))=0,"",INDEX('MM01-BOB'!$A:$DM,MATCH('MM01'!$B37,'MM01-BOB'!$B:$B,0),MATCH('MM01'!AR$3,'MM01-BOB'!$3:$3,0))),"")</f>
        <v/>
      </c>
      <c r="AS37" s="45"/>
      <c r="AT37" s="46" t="str">
        <f t="shared" ca="1" si="3"/>
        <v/>
      </c>
      <c r="AU37" s="50" t="s">
        <v>203</v>
      </c>
      <c r="AV37" s="44">
        <v>1</v>
      </c>
      <c r="AW37" s="43">
        <f t="shared" si="4"/>
        <v>1</v>
      </c>
      <c r="AX37" s="48" t="s">
        <v>297</v>
      </c>
      <c r="AY37" s="43" t="str">
        <f>IFERROR(IF(INDEX('MM01-BOB'!$A:$DM,MATCH('MM01'!$B37,'MM01-BOB'!$B:$B,0),MATCH('MM01'!AY$3,'MM01-BOB'!$3:$3,0))=0,"",INDEX('MM01-BOB'!$A:$DM,MATCH('MM01'!$B37,'MM01-BOB'!$B:$B,0),MATCH('MM01'!AY$3,'MM01-BOB'!$3:$3,0))),"")</f>
        <v/>
      </c>
      <c r="AZ37" s="44"/>
      <c r="BA37" s="44"/>
      <c r="BB37" s="47"/>
      <c r="BC37" s="50" t="s">
        <v>4</v>
      </c>
      <c r="BD37" s="50">
        <v>1</v>
      </c>
      <c r="BE37" s="50" t="s">
        <v>192</v>
      </c>
      <c r="BF37" s="50" t="s">
        <v>192</v>
      </c>
      <c r="BG37" s="50" t="s">
        <v>727</v>
      </c>
      <c r="BH37" s="44">
        <v>0</v>
      </c>
      <c r="BI37" s="44">
        <v>1</v>
      </c>
      <c r="BJ37" s="44">
        <v>0</v>
      </c>
      <c r="BK37" s="44" t="s">
        <v>348</v>
      </c>
      <c r="BL37" s="50" t="s">
        <v>195</v>
      </c>
      <c r="BM37" s="50" t="s">
        <v>195</v>
      </c>
      <c r="BN37" s="43" t="str">
        <f>IFERROR(IF(INDEX('MM01-BOB'!$A:$DM,MATCH('MM01'!$B37,'MM01-BOB'!$B:$B,0),MATCH('MM01'!BN$3,'MM01-BOB'!$3:$3,0))=0,"",INDEX('MM01-BOB'!$A:$DM,MATCH('MM01'!$B37,'MM01-BOB'!$B:$B,0),MATCH('MM01'!BN$3,'MM01-BOB'!$3:$3,0))),"")</f>
        <v/>
      </c>
      <c r="BO37" s="44"/>
      <c r="BP37" s="50">
        <v>0</v>
      </c>
      <c r="BQ37" s="45" t="s">
        <v>378</v>
      </c>
      <c r="BR37" s="45" t="s">
        <v>84</v>
      </c>
      <c r="BS37" s="43" t="str">
        <f t="shared" si="5"/>
        <v>581</v>
      </c>
      <c r="BT37" s="45" t="s">
        <v>426</v>
      </c>
      <c r="BU37" s="80"/>
      <c r="BV37" s="45">
        <v>1</v>
      </c>
      <c r="BW37" s="45" t="s">
        <v>471</v>
      </c>
      <c r="BX37" s="45"/>
      <c r="BY37" s="44"/>
      <c r="BZ37" s="49" t="str">
        <f t="shared" si="6"/>
        <v>0120</v>
      </c>
      <c r="CA37" s="49" t="str">
        <f t="shared" si="7"/>
        <v>0120</v>
      </c>
      <c r="CB37" s="45"/>
      <c r="CC37" s="44">
        <v>1</v>
      </c>
      <c r="CD37" s="44">
        <v>2</v>
      </c>
      <c r="CE37" s="50" t="s">
        <v>490</v>
      </c>
      <c r="CF37" s="80">
        <v>2</v>
      </c>
      <c r="CG37" s="80">
        <v>7</v>
      </c>
      <c r="CH37" s="44" t="s">
        <v>348</v>
      </c>
      <c r="CI37" s="44">
        <v>2</v>
      </c>
      <c r="CJ37" s="44">
        <v>42</v>
      </c>
      <c r="CK37" s="44">
        <v>10</v>
      </c>
      <c r="CL37" s="43" t="str">
        <f t="shared" si="8"/>
        <v>K00_R_0581</v>
      </c>
      <c r="CM37" s="43">
        <f t="shared" si="9"/>
        <v>1</v>
      </c>
      <c r="CN37" s="55" t="s">
        <v>909</v>
      </c>
      <c r="CO37" s="43" t="str">
        <f t="shared" ca="1" si="10"/>
        <v>17.05.2022</v>
      </c>
      <c r="CP37" s="43" t="str">
        <f t="shared" si="11"/>
        <v>31.12.9999</v>
      </c>
      <c r="CR37" s="44">
        <v>2</v>
      </c>
      <c r="CS37" s="44"/>
      <c r="CT37" s="44">
        <v>1</v>
      </c>
      <c r="CU37" s="44" t="s">
        <v>910</v>
      </c>
      <c r="CV37" s="44">
        <v>12</v>
      </c>
      <c r="CW37" s="43">
        <f t="shared" si="12"/>
        <v>0.01</v>
      </c>
      <c r="CX37" s="43" t="str">
        <f t="shared" si="13"/>
        <v>KG</v>
      </c>
      <c r="CY37" s="44">
        <v>1</v>
      </c>
      <c r="CZ37" s="50" t="s">
        <v>223</v>
      </c>
      <c r="DA37" s="50" t="s">
        <v>902</v>
      </c>
      <c r="DB37" s="43" t="str">
        <f>IFERROR(IF(INDEX(Estrutura_P01[#All],MATCH($D37,Estrutura_P01[[#All],[txtMAKT-MAKTX]],0),MATCH(DB$3,Estrutura_P01[#Headers],0))=0,"",INDEX(Estrutura_P01[#All],MATCH($D37,Estrutura_P01[[#All],[txtMAKT-MAKTX]],0),MATCH(DB$3,Estrutura_P01[#Headers],0))),"")</f>
        <v/>
      </c>
      <c r="DC37" s="44">
        <v>1000</v>
      </c>
      <c r="DD37" s="60">
        <v>1</v>
      </c>
      <c r="DE37" s="44"/>
      <c r="DF37" s="44">
        <v>1</v>
      </c>
      <c r="DG37" s="44">
        <v>0</v>
      </c>
      <c r="DH37" s="44" t="s">
        <v>913</v>
      </c>
      <c r="DI37" s="45">
        <v>0</v>
      </c>
      <c r="DJ37" s="44">
        <v>1000</v>
      </c>
      <c r="DK37" s="65"/>
    </row>
    <row r="38" spans="1:115" x14ac:dyDescent="0.2">
      <c r="A38" s="7" t="str">
        <f t="shared" si="0"/>
        <v>Execução 34</v>
      </c>
      <c r="B38" s="87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79" t="s">
        <v>4</v>
      </c>
      <c r="H38" s="79" t="s">
        <v>15</v>
      </c>
      <c r="I38" s="49" t="str">
        <f t="shared" si="2"/>
        <v>0581</v>
      </c>
      <c r="J38" s="79" t="s">
        <v>6</v>
      </c>
      <c r="K38" s="79"/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 t="s">
        <v>109</v>
      </c>
      <c r="V38" s="45" t="s">
        <v>110</v>
      </c>
      <c r="W38" s="45" t="s">
        <v>111</v>
      </c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297</v>
      </c>
      <c r="AP38" s="43" t="str">
        <f>IFERROR(IF(INDEX('MM01-BOB'!$A:$DM,MATCH('MM01'!$B38,'MM01-BOB'!$B:$B,0),MATCH('MM01'!AP$3,'MM01-BOB'!$3:$3,0))=0,"",INDEX('MM01-BOB'!$A:$DM,MATCH('MM01'!$B38,'MM01-BOB'!$B:$B,0),MATCH('MM01'!AP$3,'MM01-BOB'!$3:$3,0))),"")</f>
        <v/>
      </c>
      <c r="AQ38" s="45"/>
      <c r="AR38" s="43" t="str">
        <f>IFERROR(IF(INDEX('MM01-BOB'!$A:$DM,MATCH('MM01'!$B38,'MM01-BOB'!$B:$B,0),MATCH('MM01'!AR$3,'MM01-BOB'!$3:$3,0))=0,"",INDEX('MM01-BOB'!$A:$DM,MATCH('MM01'!$B38,'MM01-BOB'!$B:$B,0),MATCH('MM01'!AR$3,'MM01-BOB'!$3:$3,0))),"")</f>
        <v/>
      </c>
      <c r="AS38" s="45"/>
      <c r="AT38" s="46" t="str">
        <f t="shared" ca="1" si="3"/>
        <v/>
      </c>
      <c r="AU38" s="50" t="s">
        <v>203</v>
      </c>
      <c r="AV38" s="44">
        <v>1</v>
      </c>
      <c r="AW38" s="43">
        <f t="shared" si="4"/>
        <v>1</v>
      </c>
      <c r="AX38" s="48" t="s">
        <v>297</v>
      </c>
      <c r="AY38" s="43" t="str">
        <f>IFERROR(IF(INDEX('MM01-BOB'!$A:$DM,MATCH('MM01'!$B38,'MM01-BOB'!$B:$B,0),MATCH('MM01'!AY$3,'MM01-BOB'!$3:$3,0))=0,"",INDEX('MM01-BOB'!$A:$DM,MATCH('MM01'!$B38,'MM01-BOB'!$B:$B,0),MATCH('MM01'!AY$3,'MM01-BOB'!$3:$3,0))),"")</f>
        <v/>
      </c>
      <c r="AZ38" s="44"/>
      <c r="BA38" s="44"/>
      <c r="BB38" s="47"/>
      <c r="BC38" s="50" t="s">
        <v>4</v>
      </c>
      <c r="BD38" s="50">
        <v>1</v>
      </c>
      <c r="BE38" s="50" t="s">
        <v>192</v>
      </c>
      <c r="BF38" s="50" t="s">
        <v>192</v>
      </c>
      <c r="BG38" s="50" t="s">
        <v>727</v>
      </c>
      <c r="BH38" s="44">
        <v>0</v>
      </c>
      <c r="BI38" s="44">
        <v>1</v>
      </c>
      <c r="BJ38" s="44">
        <v>0</v>
      </c>
      <c r="BK38" s="44" t="s">
        <v>348</v>
      </c>
      <c r="BL38" s="50" t="s">
        <v>195</v>
      </c>
      <c r="BM38" s="50" t="s">
        <v>195</v>
      </c>
      <c r="BN38" s="43" t="str">
        <f>IFERROR(IF(INDEX('MM01-BOB'!$A:$DM,MATCH('MM01'!$B38,'MM01-BOB'!$B:$B,0),MATCH('MM01'!BN$3,'MM01-BOB'!$3:$3,0))=0,"",INDEX('MM01-BOB'!$A:$DM,MATCH('MM01'!$B38,'MM01-BOB'!$B:$B,0),MATCH('MM01'!BN$3,'MM01-BOB'!$3:$3,0))),"")</f>
        <v/>
      </c>
      <c r="BO38" s="44"/>
      <c r="BP38" s="50">
        <v>0</v>
      </c>
      <c r="BQ38" s="45" t="s">
        <v>378</v>
      </c>
      <c r="BR38" s="45" t="s">
        <v>84</v>
      </c>
      <c r="BS38" s="43" t="str">
        <f t="shared" si="5"/>
        <v>581</v>
      </c>
      <c r="BT38" s="45" t="s">
        <v>426</v>
      </c>
      <c r="BU38" s="80"/>
      <c r="BV38" s="45">
        <v>1</v>
      </c>
      <c r="BW38" s="45" t="s">
        <v>471</v>
      </c>
      <c r="BX38" s="45"/>
      <c r="BY38" s="44"/>
      <c r="BZ38" s="49" t="str">
        <f t="shared" si="6"/>
        <v>0120</v>
      </c>
      <c r="CA38" s="49" t="str">
        <f t="shared" si="7"/>
        <v>0120</v>
      </c>
      <c r="CB38" s="45"/>
      <c r="CC38" s="44">
        <v>1</v>
      </c>
      <c r="CD38" s="44">
        <v>2</v>
      </c>
      <c r="CE38" s="50" t="s">
        <v>490</v>
      </c>
      <c r="CF38" s="80">
        <v>2</v>
      </c>
      <c r="CG38" s="80">
        <v>7</v>
      </c>
      <c r="CH38" s="44" t="s">
        <v>348</v>
      </c>
      <c r="CI38" s="44">
        <v>2</v>
      </c>
      <c r="CJ38" s="44">
        <v>42</v>
      </c>
      <c r="CK38" s="44">
        <v>10</v>
      </c>
      <c r="CL38" s="43" t="str">
        <f t="shared" si="8"/>
        <v>K00_R_0581</v>
      </c>
      <c r="CM38" s="43">
        <f t="shared" si="9"/>
        <v>1</v>
      </c>
      <c r="CN38" s="55" t="s">
        <v>909</v>
      </c>
      <c r="CO38" s="43" t="str">
        <f t="shared" ca="1" si="10"/>
        <v>17.05.2022</v>
      </c>
      <c r="CP38" s="43" t="str">
        <f t="shared" si="11"/>
        <v>31.12.9999</v>
      </c>
      <c r="CR38" s="44">
        <v>2</v>
      </c>
      <c r="CS38" s="44"/>
      <c r="CT38" s="44">
        <v>1</v>
      </c>
      <c r="CU38" s="44" t="s">
        <v>910</v>
      </c>
      <c r="CV38" s="44">
        <v>12</v>
      </c>
      <c r="CW38" s="43">
        <f t="shared" si="12"/>
        <v>0.01</v>
      </c>
      <c r="CX38" s="43" t="str">
        <f t="shared" si="13"/>
        <v>KG</v>
      </c>
      <c r="CY38" s="44">
        <v>1</v>
      </c>
      <c r="CZ38" s="50" t="s">
        <v>223</v>
      </c>
      <c r="DA38" s="50" t="s">
        <v>902</v>
      </c>
      <c r="DB38" s="43" t="str">
        <f>IFERROR(IF(INDEX(Estrutura_P01[#All],MATCH($D38,Estrutura_P01[[#All],[txtMAKT-MAKTX]],0),MATCH(DB$3,Estrutura_P01[#Headers],0))=0,"",INDEX(Estrutura_P01[#All],MATCH($D38,Estrutura_P01[[#All],[txtMAKT-MAKTX]],0),MATCH(DB$3,Estrutura_P01[#Headers],0))),"")</f>
        <v/>
      </c>
      <c r="DC38" s="44">
        <v>1000</v>
      </c>
      <c r="DD38" s="60">
        <v>1</v>
      </c>
      <c r="DE38" s="44"/>
      <c r="DF38" s="44">
        <v>1</v>
      </c>
      <c r="DG38" s="44">
        <v>0</v>
      </c>
      <c r="DH38" s="44" t="s">
        <v>913</v>
      </c>
      <c r="DI38" s="45">
        <v>0</v>
      </c>
      <c r="DJ38" s="44">
        <v>1000</v>
      </c>
      <c r="DK38" s="65"/>
    </row>
    <row r="39" spans="1:115" x14ac:dyDescent="0.2">
      <c r="A39" s="7" t="str">
        <f t="shared" si="0"/>
        <v>Execução 35</v>
      </c>
      <c r="B39" s="87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79" t="s">
        <v>4</v>
      </c>
      <c r="H39" s="79" t="s">
        <v>15</v>
      </c>
      <c r="I39" s="49" t="str">
        <f t="shared" si="2"/>
        <v>0581</v>
      </c>
      <c r="J39" s="79" t="s">
        <v>6</v>
      </c>
      <c r="K39" s="79"/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 t="s">
        <v>109</v>
      </c>
      <c r="V39" s="45" t="s">
        <v>110</v>
      </c>
      <c r="W39" s="45" t="s">
        <v>111</v>
      </c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297</v>
      </c>
      <c r="AP39" s="43" t="str">
        <f>IFERROR(IF(INDEX('MM01-BOB'!$A:$DM,MATCH('MM01'!$B39,'MM01-BOB'!$B:$B,0),MATCH('MM01'!AP$3,'MM01-BOB'!$3:$3,0))=0,"",INDEX('MM01-BOB'!$A:$DM,MATCH('MM01'!$B39,'MM01-BOB'!$B:$B,0),MATCH('MM01'!AP$3,'MM01-BOB'!$3:$3,0))),"")</f>
        <v/>
      </c>
      <c r="AQ39" s="45"/>
      <c r="AR39" s="43" t="str">
        <f>IFERROR(IF(INDEX('MM01-BOB'!$A:$DM,MATCH('MM01'!$B39,'MM01-BOB'!$B:$B,0),MATCH('MM01'!AR$3,'MM01-BOB'!$3:$3,0))=0,"",INDEX('MM01-BOB'!$A:$DM,MATCH('MM01'!$B39,'MM01-BOB'!$B:$B,0),MATCH('MM01'!AR$3,'MM01-BOB'!$3:$3,0))),"")</f>
        <v/>
      </c>
      <c r="AS39" s="45"/>
      <c r="AT39" s="46" t="str">
        <f t="shared" ca="1" si="3"/>
        <v/>
      </c>
      <c r="AU39" s="50" t="s">
        <v>203</v>
      </c>
      <c r="AV39" s="44">
        <v>1</v>
      </c>
      <c r="AW39" s="43">
        <f t="shared" si="4"/>
        <v>1</v>
      </c>
      <c r="AX39" s="48" t="s">
        <v>297</v>
      </c>
      <c r="AY39" s="43" t="str">
        <f>IFERROR(IF(INDEX('MM01-BOB'!$A:$DM,MATCH('MM01'!$B39,'MM01-BOB'!$B:$B,0),MATCH('MM01'!AY$3,'MM01-BOB'!$3:$3,0))=0,"",INDEX('MM01-BOB'!$A:$DM,MATCH('MM01'!$B39,'MM01-BOB'!$B:$B,0),MATCH('MM01'!AY$3,'MM01-BOB'!$3:$3,0))),"")</f>
        <v/>
      </c>
      <c r="AZ39" s="44"/>
      <c r="BA39" s="44"/>
      <c r="BB39" s="47"/>
      <c r="BC39" s="50" t="s">
        <v>4</v>
      </c>
      <c r="BD39" s="50">
        <v>1</v>
      </c>
      <c r="BE39" s="50" t="s">
        <v>192</v>
      </c>
      <c r="BF39" s="50" t="s">
        <v>192</v>
      </c>
      <c r="BG39" s="50" t="s">
        <v>727</v>
      </c>
      <c r="BH39" s="44">
        <v>0</v>
      </c>
      <c r="BI39" s="44">
        <v>1</v>
      </c>
      <c r="BJ39" s="44">
        <v>0</v>
      </c>
      <c r="BK39" s="44" t="s">
        <v>348</v>
      </c>
      <c r="BL39" s="50" t="s">
        <v>195</v>
      </c>
      <c r="BM39" s="50" t="s">
        <v>195</v>
      </c>
      <c r="BN39" s="43" t="str">
        <f>IFERROR(IF(INDEX('MM01-BOB'!$A:$DM,MATCH('MM01'!$B39,'MM01-BOB'!$B:$B,0),MATCH('MM01'!BN$3,'MM01-BOB'!$3:$3,0))=0,"",INDEX('MM01-BOB'!$A:$DM,MATCH('MM01'!$B39,'MM01-BOB'!$B:$B,0),MATCH('MM01'!BN$3,'MM01-BOB'!$3:$3,0))),"")</f>
        <v/>
      </c>
      <c r="BO39" s="44"/>
      <c r="BP39" s="50">
        <v>0</v>
      </c>
      <c r="BQ39" s="45" t="s">
        <v>378</v>
      </c>
      <c r="BR39" s="45" t="s">
        <v>84</v>
      </c>
      <c r="BS39" s="43" t="str">
        <f t="shared" si="5"/>
        <v>581</v>
      </c>
      <c r="BT39" s="45" t="s">
        <v>426</v>
      </c>
      <c r="BU39" s="80"/>
      <c r="BV39" s="45">
        <v>1</v>
      </c>
      <c r="BW39" s="45" t="s">
        <v>471</v>
      </c>
      <c r="BX39" s="45"/>
      <c r="BY39" s="44"/>
      <c r="BZ39" s="49" t="str">
        <f t="shared" si="6"/>
        <v>0120</v>
      </c>
      <c r="CA39" s="49" t="str">
        <f t="shared" si="7"/>
        <v>0120</v>
      </c>
      <c r="CB39" s="45"/>
      <c r="CC39" s="44">
        <v>1</v>
      </c>
      <c r="CD39" s="44">
        <v>2</v>
      </c>
      <c r="CE39" s="50" t="s">
        <v>490</v>
      </c>
      <c r="CF39" s="80">
        <v>2</v>
      </c>
      <c r="CG39" s="80">
        <v>7</v>
      </c>
      <c r="CH39" s="44" t="s">
        <v>348</v>
      </c>
      <c r="CI39" s="44">
        <v>2</v>
      </c>
      <c r="CJ39" s="44">
        <v>42</v>
      </c>
      <c r="CK39" s="44">
        <v>10</v>
      </c>
      <c r="CL39" s="43" t="str">
        <f t="shared" si="8"/>
        <v>K00_R_0581</v>
      </c>
      <c r="CM39" s="43">
        <f t="shared" si="9"/>
        <v>1</v>
      </c>
      <c r="CN39" s="55" t="s">
        <v>909</v>
      </c>
      <c r="CO39" s="43" t="str">
        <f t="shared" ca="1" si="10"/>
        <v>17.05.2022</v>
      </c>
      <c r="CP39" s="43" t="str">
        <f t="shared" si="11"/>
        <v>31.12.9999</v>
      </c>
      <c r="CR39" s="44">
        <v>2</v>
      </c>
      <c r="CS39" s="44"/>
      <c r="CT39" s="44">
        <v>1</v>
      </c>
      <c r="CU39" s="44" t="s">
        <v>910</v>
      </c>
      <c r="CV39" s="44">
        <v>12</v>
      </c>
      <c r="CW39" s="43">
        <f t="shared" si="12"/>
        <v>0.01</v>
      </c>
      <c r="CX39" s="43" t="str">
        <f t="shared" si="13"/>
        <v>KG</v>
      </c>
      <c r="CY39" s="44">
        <v>1</v>
      </c>
      <c r="CZ39" s="50" t="s">
        <v>223</v>
      </c>
      <c r="DA39" s="50" t="s">
        <v>902</v>
      </c>
      <c r="DB39" s="43" t="str">
        <f>IFERROR(IF(INDEX(Estrutura_P01[#All],MATCH($D39,Estrutura_P01[[#All],[txtMAKT-MAKTX]],0),MATCH(DB$3,Estrutura_P01[#Headers],0))=0,"",INDEX(Estrutura_P01[#All],MATCH($D39,Estrutura_P01[[#All],[txtMAKT-MAKTX]],0),MATCH(DB$3,Estrutura_P01[#Headers],0))),"")</f>
        <v/>
      </c>
      <c r="DC39" s="44">
        <v>1000</v>
      </c>
      <c r="DD39" s="60">
        <v>1</v>
      </c>
      <c r="DE39" s="44"/>
      <c r="DF39" s="44">
        <v>1</v>
      </c>
      <c r="DG39" s="44">
        <v>0</v>
      </c>
      <c r="DH39" s="44" t="s">
        <v>913</v>
      </c>
      <c r="DI39" s="45">
        <v>0</v>
      </c>
      <c r="DJ39" s="44">
        <v>1000</v>
      </c>
      <c r="DK39" s="65"/>
    </row>
    <row r="40" spans="1:115" x14ac:dyDescent="0.2">
      <c r="A40" s="7" t="str">
        <f t="shared" si="0"/>
        <v>Execução 36</v>
      </c>
      <c r="B40" s="87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79" t="s">
        <v>4</v>
      </c>
      <c r="H40" s="79" t="s">
        <v>15</v>
      </c>
      <c r="I40" s="49" t="str">
        <f t="shared" si="2"/>
        <v>0581</v>
      </c>
      <c r="J40" s="79" t="s">
        <v>6</v>
      </c>
      <c r="K40" s="79"/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 t="s">
        <v>109</v>
      </c>
      <c r="V40" s="45" t="s">
        <v>110</v>
      </c>
      <c r="W40" s="45" t="s">
        <v>111</v>
      </c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297</v>
      </c>
      <c r="AP40" s="43" t="str">
        <f>IFERROR(IF(INDEX('MM01-BOB'!$A:$DM,MATCH('MM01'!$B40,'MM01-BOB'!$B:$B,0),MATCH('MM01'!AP$3,'MM01-BOB'!$3:$3,0))=0,"",INDEX('MM01-BOB'!$A:$DM,MATCH('MM01'!$B40,'MM01-BOB'!$B:$B,0),MATCH('MM01'!AP$3,'MM01-BOB'!$3:$3,0))),"")</f>
        <v/>
      </c>
      <c r="AQ40" s="45"/>
      <c r="AR40" s="43" t="str">
        <f>IFERROR(IF(INDEX('MM01-BOB'!$A:$DM,MATCH('MM01'!$B40,'MM01-BOB'!$B:$B,0),MATCH('MM01'!AR$3,'MM01-BOB'!$3:$3,0))=0,"",INDEX('MM01-BOB'!$A:$DM,MATCH('MM01'!$B40,'MM01-BOB'!$B:$B,0),MATCH('MM01'!AR$3,'MM01-BOB'!$3:$3,0))),"")</f>
        <v/>
      </c>
      <c r="AS40" s="45"/>
      <c r="AT40" s="46" t="str">
        <f t="shared" ca="1" si="3"/>
        <v/>
      </c>
      <c r="AU40" s="50" t="s">
        <v>203</v>
      </c>
      <c r="AV40" s="44">
        <v>1</v>
      </c>
      <c r="AW40" s="43">
        <f t="shared" si="4"/>
        <v>1</v>
      </c>
      <c r="AX40" s="48" t="s">
        <v>297</v>
      </c>
      <c r="AY40" s="43" t="str">
        <f>IFERROR(IF(INDEX('MM01-BOB'!$A:$DM,MATCH('MM01'!$B40,'MM01-BOB'!$B:$B,0),MATCH('MM01'!AY$3,'MM01-BOB'!$3:$3,0))=0,"",INDEX('MM01-BOB'!$A:$DM,MATCH('MM01'!$B40,'MM01-BOB'!$B:$B,0),MATCH('MM01'!AY$3,'MM01-BOB'!$3:$3,0))),"")</f>
        <v/>
      </c>
      <c r="AZ40" s="44"/>
      <c r="BA40" s="44"/>
      <c r="BB40" s="47"/>
      <c r="BC40" s="50" t="s">
        <v>4</v>
      </c>
      <c r="BD40" s="50">
        <v>1</v>
      </c>
      <c r="BE40" s="50" t="s">
        <v>192</v>
      </c>
      <c r="BF40" s="50" t="s">
        <v>192</v>
      </c>
      <c r="BG40" s="50" t="s">
        <v>727</v>
      </c>
      <c r="BH40" s="44">
        <v>0</v>
      </c>
      <c r="BI40" s="44">
        <v>1</v>
      </c>
      <c r="BJ40" s="44">
        <v>0</v>
      </c>
      <c r="BK40" s="44" t="s">
        <v>348</v>
      </c>
      <c r="BL40" s="50" t="s">
        <v>195</v>
      </c>
      <c r="BM40" s="50" t="s">
        <v>195</v>
      </c>
      <c r="BN40" s="43" t="str">
        <f>IFERROR(IF(INDEX('MM01-BOB'!$A:$DM,MATCH('MM01'!$B40,'MM01-BOB'!$B:$B,0),MATCH('MM01'!BN$3,'MM01-BOB'!$3:$3,0))=0,"",INDEX('MM01-BOB'!$A:$DM,MATCH('MM01'!$B40,'MM01-BOB'!$B:$B,0),MATCH('MM01'!BN$3,'MM01-BOB'!$3:$3,0))),"")</f>
        <v/>
      </c>
      <c r="BO40" s="44"/>
      <c r="BP40" s="50">
        <v>0</v>
      </c>
      <c r="BQ40" s="45" t="s">
        <v>378</v>
      </c>
      <c r="BR40" s="45" t="s">
        <v>84</v>
      </c>
      <c r="BS40" s="43" t="str">
        <f t="shared" si="5"/>
        <v>581</v>
      </c>
      <c r="BT40" s="45" t="s">
        <v>426</v>
      </c>
      <c r="BU40" s="80"/>
      <c r="BV40" s="45">
        <v>1</v>
      </c>
      <c r="BW40" s="45" t="s">
        <v>471</v>
      </c>
      <c r="BX40" s="45"/>
      <c r="BY40" s="44"/>
      <c r="BZ40" s="49" t="str">
        <f t="shared" si="6"/>
        <v>0120</v>
      </c>
      <c r="CA40" s="49" t="str">
        <f t="shared" si="7"/>
        <v>0120</v>
      </c>
      <c r="CB40" s="45"/>
      <c r="CC40" s="44">
        <v>1</v>
      </c>
      <c r="CD40" s="44">
        <v>2</v>
      </c>
      <c r="CE40" s="50" t="s">
        <v>490</v>
      </c>
      <c r="CF40" s="80">
        <v>2</v>
      </c>
      <c r="CG40" s="80">
        <v>7</v>
      </c>
      <c r="CH40" s="44" t="s">
        <v>348</v>
      </c>
      <c r="CI40" s="44">
        <v>2</v>
      </c>
      <c r="CJ40" s="44">
        <v>42</v>
      </c>
      <c r="CK40" s="44">
        <v>10</v>
      </c>
      <c r="CL40" s="43" t="str">
        <f t="shared" si="8"/>
        <v>K00_R_0581</v>
      </c>
      <c r="CM40" s="43">
        <f t="shared" si="9"/>
        <v>1</v>
      </c>
      <c r="CN40" s="55" t="s">
        <v>909</v>
      </c>
      <c r="CO40" s="43" t="str">
        <f t="shared" ca="1" si="10"/>
        <v>17.05.2022</v>
      </c>
      <c r="CP40" s="43" t="str">
        <f t="shared" si="11"/>
        <v>31.12.9999</v>
      </c>
      <c r="CR40" s="44">
        <v>2</v>
      </c>
      <c r="CS40" s="44"/>
      <c r="CT40" s="44">
        <v>1</v>
      </c>
      <c r="CU40" s="44" t="s">
        <v>910</v>
      </c>
      <c r="CV40" s="44">
        <v>12</v>
      </c>
      <c r="CW40" s="43">
        <f t="shared" si="12"/>
        <v>0.01</v>
      </c>
      <c r="CX40" s="43" t="str">
        <f t="shared" si="13"/>
        <v>KG</v>
      </c>
      <c r="CY40" s="44">
        <v>1</v>
      </c>
      <c r="CZ40" s="50" t="s">
        <v>223</v>
      </c>
      <c r="DA40" s="50" t="s">
        <v>902</v>
      </c>
      <c r="DB40" s="43" t="str">
        <f>IFERROR(IF(INDEX(Estrutura_P01[#All],MATCH($D40,Estrutura_P01[[#All],[txtMAKT-MAKTX]],0),MATCH(DB$3,Estrutura_P01[#Headers],0))=0,"",INDEX(Estrutura_P01[#All],MATCH($D40,Estrutura_P01[[#All],[txtMAKT-MAKTX]],0),MATCH(DB$3,Estrutura_P01[#Headers],0))),"")</f>
        <v/>
      </c>
      <c r="DC40" s="44">
        <v>1000</v>
      </c>
      <c r="DD40" s="60">
        <v>1</v>
      </c>
      <c r="DE40" s="44"/>
      <c r="DF40" s="44">
        <v>1</v>
      </c>
      <c r="DG40" s="44">
        <v>0</v>
      </c>
      <c r="DH40" s="44" t="s">
        <v>913</v>
      </c>
      <c r="DI40" s="45">
        <v>0</v>
      </c>
      <c r="DJ40" s="44">
        <v>1000</v>
      </c>
      <c r="DK40" s="65"/>
    </row>
  </sheetData>
  <mergeCells count="5">
    <mergeCell ref="L1:L2"/>
    <mergeCell ref="AN1:AN2"/>
    <mergeCell ref="AY1:AY2"/>
    <mergeCell ref="CQ1:CQ2"/>
    <mergeCell ref="M3:AM3"/>
  </mergeCells>
  <conditionalFormatting sqref="D5">
    <cfRule type="beginsWith" dxfId="125" priority="50" operator="beginsWith" text="L">
      <formula>LEFT(D5,LEN("L"))="L"</formula>
    </cfRule>
  </conditionalFormatting>
  <conditionalFormatting sqref="AV5">
    <cfRule type="beginsWith" dxfId="124" priority="47" operator="beginsWith" text="L">
      <formula>LEFT(AV5,LEN("L"))="L"</formula>
    </cfRule>
  </conditionalFormatting>
  <conditionalFormatting sqref="AZ5">
    <cfRule type="beginsWith" dxfId="123" priority="46" operator="beginsWith" text="L">
      <formula>LEFT(AZ5,LEN("L"))="L"</formula>
    </cfRule>
  </conditionalFormatting>
  <conditionalFormatting sqref="DK1:DK5 DK41:DK1048576">
    <cfRule type="containsText" dxfId="122" priority="36" operator="containsText" text="criadas">
      <formula>NOT(ISERROR(SEARCH("criadas",DK1)))</formula>
    </cfRule>
    <cfRule type="containsText" dxfId="121" priority="37" operator="containsText" text="é gravado">
      <formula>NOT(ISERROR(SEARCH("é gravado",DK1)))</formula>
    </cfRule>
    <cfRule type="containsText" dxfId="120" priority="38" operator="containsText" text="é modificado">
      <formula>NOT(ISERROR(SEARCH("é modificado",DK1)))</formula>
    </cfRule>
    <cfRule type="containsText" dxfId="119" priority="39" operator="containsText" text="Error">
      <formula>NOT(ISERROR(SEARCH("Error",DK1)))</formula>
    </cfRule>
    <cfRule type="containsText" dxfId="118" priority="40" operator="containsText" text="é criado">
      <formula>NOT(ISERROR(SEARCH("é criado",DK1)))</formula>
    </cfRule>
  </conditionalFormatting>
  <conditionalFormatting sqref="J5">
    <cfRule type="beginsWith" dxfId="117" priority="32" operator="beginsWith" text="L">
      <formula>LEFT(J5,LEN("L"))="L"</formula>
    </cfRule>
  </conditionalFormatting>
  <conditionalFormatting sqref="G5">
    <cfRule type="beginsWith" dxfId="116" priority="34" operator="beginsWith" text="L">
      <formula>LEFT(G5,LEN("L"))="L"</formula>
    </cfRule>
  </conditionalFormatting>
  <conditionalFormatting sqref="H5">
    <cfRule type="beginsWith" dxfId="115" priority="33" operator="beginsWith" text="L">
      <formula>LEFT(H5,LEN("L"))="L"</formula>
    </cfRule>
  </conditionalFormatting>
  <conditionalFormatting sqref="B5">
    <cfRule type="beginsWith" dxfId="114" priority="30" operator="beginsWith" text="L">
      <formula>LEFT(B5,LEN("L"))="L"</formula>
    </cfRule>
  </conditionalFormatting>
  <conditionalFormatting sqref="AY5">
    <cfRule type="beginsWith" dxfId="113" priority="28" operator="beginsWith" text="L">
      <formula>LEFT(AY5,LEN("L"))="L"</formula>
    </cfRule>
  </conditionalFormatting>
  <conditionalFormatting sqref="AR5">
    <cfRule type="beginsWith" dxfId="112" priority="27" operator="beginsWith" text="L">
      <formula>LEFT(AR5,LEN("L"))="L"</formula>
    </cfRule>
  </conditionalFormatting>
  <conditionalFormatting sqref="AP5">
    <cfRule type="beginsWith" dxfId="111" priority="26" operator="beginsWith" text="L">
      <formula>LEFT(AP5,LEN("L"))="L"</formula>
    </cfRule>
  </conditionalFormatting>
  <conditionalFormatting sqref="BN5">
    <cfRule type="beginsWith" dxfId="110" priority="25" operator="beginsWith" text="L">
      <formula>LEFT(BN5,LEN("L"))="L"</formula>
    </cfRule>
  </conditionalFormatting>
  <conditionalFormatting sqref="E5">
    <cfRule type="beginsWith" dxfId="109" priority="22" operator="beginsWith" text="L">
      <formula>LEFT(E5,LEN("L"))="L"</formula>
    </cfRule>
  </conditionalFormatting>
  <conditionalFormatting sqref="DB5">
    <cfRule type="beginsWith" dxfId="108" priority="21" operator="beginsWith" text="L">
      <formula>LEFT(DB5,LEN("L"))="L"</formula>
    </cfRule>
  </conditionalFormatting>
  <conditionalFormatting sqref="C5">
    <cfRule type="beginsWith" dxfId="107" priority="20" operator="beginsWith" text="L">
      <formula>LEFT(C5,LEN("L"))="L"</formula>
    </cfRule>
  </conditionalFormatting>
  <conditionalFormatting sqref="D6:D40">
    <cfRule type="beginsWith" dxfId="106" priority="19" operator="beginsWith" text="L">
      <formula>LEFT(D6,LEN("L"))="L"</formula>
    </cfRule>
  </conditionalFormatting>
  <conditionalFormatting sqref="AV6:AV40">
    <cfRule type="beginsWith" dxfId="105" priority="18" operator="beginsWith" text="L">
      <formula>LEFT(AV6,LEN("L"))="L"</formula>
    </cfRule>
  </conditionalFormatting>
  <conditionalFormatting sqref="AZ6:AZ40">
    <cfRule type="beginsWith" dxfId="104" priority="17" operator="beginsWith" text="L">
      <formula>LEFT(AZ6,LEN("L"))="L"</formula>
    </cfRule>
  </conditionalFormatting>
  <conditionalFormatting sqref="DK6:DK40">
    <cfRule type="containsText" dxfId="103" priority="12" operator="containsText" text="criadas">
      <formula>NOT(ISERROR(SEARCH("criadas",DK6)))</formula>
    </cfRule>
    <cfRule type="containsText" dxfId="102" priority="13" operator="containsText" text="é gravado">
      <formula>NOT(ISERROR(SEARCH("é gravado",DK6)))</formula>
    </cfRule>
    <cfRule type="containsText" dxfId="101" priority="14" operator="containsText" text="é modificado">
      <formula>NOT(ISERROR(SEARCH("é modificado",DK6)))</formula>
    </cfRule>
    <cfRule type="containsText" dxfId="100" priority="15" operator="containsText" text="Error">
      <formula>NOT(ISERROR(SEARCH("Error",DK6)))</formula>
    </cfRule>
    <cfRule type="containsText" dxfId="99" priority="16" operator="containsText" text="é criado">
      <formula>NOT(ISERROR(SEARCH("é criado",DK6)))</formula>
    </cfRule>
  </conditionalFormatting>
  <conditionalFormatting sqref="J6:J40">
    <cfRule type="beginsWith" dxfId="98" priority="9" operator="beginsWith" text="L">
      <formula>LEFT(J6,LEN("L"))="L"</formula>
    </cfRule>
  </conditionalFormatting>
  <conditionalFormatting sqref="G6:G40">
    <cfRule type="beginsWith" dxfId="97" priority="11" operator="beginsWith" text="L">
      <formula>LEFT(G6,LEN("L"))="L"</formula>
    </cfRule>
  </conditionalFormatting>
  <conditionalFormatting sqref="H6:H40">
    <cfRule type="beginsWith" dxfId="96" priority="10" operator="beginsWith" text="L">
      <formula>LEFT(H6,LEN("L"))="L"</formula>
    </cfRule>
  </conditionalFormatting>
  <conditionalFormatting sqref="B6:B40">
    <cfRule type="beginsWith" dxfId="95" priority="8" operator="beginsWith" text="L">
      <formula>LEFT(B6,LEN("L"))="L"</formula>
    </cfRule>
  </conditionalFormatting>
  <conditionalFormatting sqref="AY6:AY40">
    <cfRule type="beginsWith" dxfId="94" priority="7" operator="beginsWith" text="L">
      <formula>LEFT(AY6,LEN("L"))="L"</formula>
    </cfRule>
  </conditionalFormatting>
  <conditionalFormatting sqref="AR6:AR40">
    <cfRule type="beginsWith" dxfId="93" priority="6" operator="beginsWith" text="L">
      <formula>LEFT(AR6,LEN("L"))="L"</formula>
    </cfRule>
  </conditionalFormatting>
  <conditionalFormatting sqref="AP6:AP40">
    <cfRule type="beginsWith" dxfId="92" priority="5" operator="beginsWith" text="L">
      <formula>LEFT(AP6,LEN("L"))="L"</formula>
    </cfRule>
  </conditionalFormatting>
  <conditionalFormatting sqref="BN6:BN40">
    <cfRule type="beginsWith" dxfId="91" priority="4" operator="beginsWith" text="L">
      <formula>LEFT(BN6,LEN("L"))="L"</formula>
    </cfRule>
  </conditionalFormatting>
  <conditionalFormatting sqref="E6:E40">
    <cfRule type="beginsWith" dxfId="90" priority="3" operator="beginsWith" text="L">
      <formula>LEFT(E6,LEN("L"))="L"</formula>
    </cfRule>
  </conditionalFormatting>
  <conditionalFormatting sqref="DB6:DB40">
    <cfRule type="beginsWith" dxfId="89" priority="2" operator="beginsWith" text="L">
      <formula>LEFT(DB6,LEN("L"))="L"</formula>
    </cfRule>
  </conditionalFormatting>
  <conditionalFormatting sqref="C6:C40">
    <cfRule type="beginsWith" dxfId="88" priority="1" operator="beginsWith" text="L">
      <formula>LEFT(C6,LEN("L"))="L"</formula>
    </cfRule>
  </conditionalFormatting>
  <dataValidations disablePrompts="1" count="4">
    <dataValidation type="list" allowBlank="1" showInputMessage="1" showErrorMessage="1" sqref="CN5:CN40">
      <formula1>#REF!</formula1>
    </dataValidation>
    <dataValidation type="list" allowBlank="1" showInputMessage="1" showErrorMessage="1" errorTitle="N° de descimais exedido" error="SAP somente aceita até 3 casas decimais. Por favor inserir um número dentro do limite._x000a_" sqref="AV5:AV40">
      <formula1>MOD(AV5*1000,QUOTIENT(AV5*1000,1))=0</formula1>
    </dataValidation>
    <dataValidation type="list" allowBlank="1" showInputMessage="1" showErrorMessage="1" sqref="DD5:DD40 DI5:DI40 CT5:CT40">
      <formula1>"1,0"</formula1>
    </dataValidation>
    <dataValidation type="list" allowBlank="1" showInputMessage="1" showErrorMessage="1" sqref="BV5:BV40 BH5:BJ40 CY5:CY40">
      <formula1>"0,1"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4">
        <x14:dataValidation type="list" allowBlank="1" showInputMessage="1" showErrorMessage="1">
          <x14:formula1>
            <xm:f>'Listas de Dados'!$D$4:$D$8</xm:f>
          </x14:formula1>
          <xm:sqref>J5:J40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Dados'!$AR$4:$AR$11</xm:f>
          </x14:formula1>
          <xm:sqref>BS5:BS40</xm:sqref>
        </x14:dataValidation>
        <x14:dataValidation type="list" allowBlank="1" showInputMessage="1" showErrorMessage="1">
          <x14:formula1>
            <xm:f>'Listas de Dados'!$BR$4:$BR$6</xm:f>
          </x14:formula1>
          <xm:sqref>AZ5:AZ40</xm:sqref>
        </x14:dataValidation>
        <x14:dataValidation type="list" allowBlank="1" showInputMessage="1" showErrorMessage="1">
          <x14:formula1>
            <xm:f>'Listas de Dados'!$AX$6:$AX$8</xm:f>
          </x14:formula1>
          <xm:sqref>BX5:BX40</xm:sqref>
        </x14:dataValidation>
        <x14:dataValidation type="list" allowBlank="1" showInputMessage="1" showErrorMessage="1">
          <x14:formula1>
            <xm:f>'Listas de Dados'!$AX$4:$AX$5</xm:f>
          </x14:formula1>
          <xm:sqref>BW5:BW40</xm:sqref>
        </x14:dataValidation>
        <x14:dataValidation type="list" allowBlank="1" showInputMessage="1" showErrorMessage="1">
          <x14:formula1>
            <xm:f>'Listas de Dados'!$AU$4:$AU$35</xm:f>
          </x14:formula1>
          <xm:sqref>BT5:BT40</xm:sqref>
        </x14:dataValidation>
        <x14:dataValidation type="list" allowBlank="1" showInputMessage="1" showErrorMessage="1">
          <x14:formula1>
            <xm:f>'Listas de Dados'!$AO$4:$AO$32</xm:f>
          </x14:formula1>
          <xm:sqref>BR5:BR40</xm:sqref>
        </x14:dataValidation>
        <x14:dataValidation type="list" allowBlank="1" showInputMessage="1" showErrorMessage="1">
          <x14:formula1>
            <xm:f>'Listas de Dados'!$AL$4:$AL$10</xm:f>
          </x14:formula1>
          <xm:sqref>BQ5:BQ40</xm:sqref>
        </x14:dataValidation>
        <x14:dataValidation type="list" allowBlank="1" showInputMessage="1" showErrorMessage="1">
          <x14:formula1>
            <xm:f>'Listas de Dados'!$AI$4:$AI$11</xm:f>
          </x14:formula1>
          <xm:sqref>BK5:BK40</xm:sqref>
        </x14:dataValidation>
        <x14:dataValidation type="list" allowBlank="1" showInputMessage="1" showErrorMessage="1">
          <x14:formula1>
            <xm:f>'Listas de Dados'!$AA$4:$AA$5</xm:f>
          </x14:formula1>
          <xm:sqref>BA5:BA40 AS5:AS40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6.140625" style="6" customWidth="1"/>
    <col min="5" max="5" width="100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Dados'!BJ:BK,2,0)</f>
        <v>K00_R_0581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754</v>
      </c>
      <c r="D3" s="36" t="s">
        <v>755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87" priority="26" operator="beginsWith" text="L">
      <formula>LEFT(B5,LEN("L"))="L"</formula>
    </cfRule>
  </conditionalFormatting>
  <conditionalFormatting sqref="B6:B54">
    <cfRule type="beginsWith" dxfId="86" priority="23" operator="beginsWith" text="L">
      <formula>LEFT(B6,LEN("L"))="L"</formula>
    </cfRule>
  </conditionalFormatting>
  <conditionalFormatting sqref="E1:E1048576">
    <cfRule type="containsText" dxfId="85" priority="2" operator="containsText" text="criadas">
      <formula>NOT(ISERROR(SEARCH("criadas",E1)))</formula>
    </cfRule>
    <cfRule type="containsText" dxfId="84" priority="3" operator="containsText" text="é gravado">
      <formula>NOT(ISERROR(SEARCH("é gravado",E1)))</formula>
    </cfRule>
    <cfRule type="containsText" dxfId="83" priority="4" operator="containsText" text="é modificado">
      <formula>NOT(ISERROR(SEARCH("é modificado",E1)))</formula>
    </cfRule>
    <cfRule type="containsText" dxfId="82" priority="5" operator="containsText" text="Error">
      <formula>NOT(ISERROR(SEARCH("Error",E1)))</formula>
    </cfRule>
    <cfRule type="containsText" dxfId="81" priority="6" operator="containsText" text="é criado">
      <formula>NOT(ISERROR(SEARCH("é criado",E1)))</formula>
    </cfRule>
  </conditionalFormatting>
  <conditionalFormatting sqref="C5:C54">
    <cfRule type="beginsWith" dxfId="80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F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7.5703125" style="6" customWidth="1"/>
    <col min="5" max="5" width="17.28515625" style="6" customWidth="1"/>
    <col min="6" max="6" width="75.7109375" style="1" customWidth="1"/>
    <col min="7" max="7" width="22" style="1" customWidth="1"/>
    <col min="8" max="16384" width="9.140625" style="1"/>
  </cols>
  <sheetData>
    <row r="1" spans="1:6" s="37" customFormat="1" x14ac:dyDescent="0.2">
      <c r="A1" s="7" t="s">
        <v>28</v>
      </c>
      <c r="C1" s="83"/>
      <c r="F1" s="61"/>
    </row>
    <row r="2" spans="1:6" s="41" customFormat="1" x14ac:dyDescent="0.2">
      <c r="A2" s="7"/>
      <c r="B2" s="40"/>
      <c r="C2" s="40"/>
      <c r="D2" s="37"/>
      <c r="E2" s="37"/>
    </row>
    <row r="3" spans="1:6" s="37" customFormat="1" ht="15" customHeight="1" x14ac:dyDescent="0.2">
      <c r="A3" s="7" t="s">
        <v>29</v>
      </c>
      <c r="B3" s="4"/>
      <c r="C3" s="84" t="s">
        <v>748</v>
      </c>
      <c r="D3" s="36" t="s">
        <v>749</v>
      </c>
      <c r="E3" s="36" t="s">
        <v>750</v>
      </c>
      <c r="F3" s="61" t="s">
        <v>32</v>
      </c>
    </row>
    <row r="4" spans="1:6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751</v>
      </c>
      <c r="F4" s="5" t="s">
        <v>835</v>
      </c>
    </row>
    <row r="5" spans="1:6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44">
        <v>1</v>
      </c>
      <c r="F5" s="65"/>
    </row>
    <row r="6" spans="1:6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44">
        <v>1</v>
      </c>
      <c r="F6" s="66"/>
    </row>
    <row r="7" spans="1:6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44">
        <v>1</v>
      </c>
      <c r="F7" s="66"/>
    </row>
    <row r="8" spans="1:6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44">
        <v>1</v>
      </c>
      <c r="F8" s="66"/>
    </row>
    <row r="9" spans="1:6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44">
        <v>1</v>
      </c>
      <c r="F9" s="66"/>
    </row>
    <row r="10" spans="1:6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44">
        <v>1</v>
      </c>
      <c r="F10" s="66"/>
    </row>
    <row r="11" spans="1:6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44">
        <v>1</v>
      </c>
      <c r="F11" s="66"/>
    </row>
    <row r="12" spans="1:6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44">
        <v>1</v>
      </c>
      <c r="F12" s="66"/>
    </row>
    <row r="13" spans="1:6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44">
        <v>1</v>
      </c>
      <c r="F13" s="66"/>
    </row>
    <row r="14" spans="1:6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44">
        <v>1</v>
      </c>
      <c r="F14" s="66"/>
    </row>
    <row r="15" spans="1:6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44">
        <v>1</v>
      </c>
      <c r="F15" s="66"/>
    </row>
    <row r="16" spans="1:6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44">
        <v>1</v>
      </c>
      <c r="F16" s="66"/>
    </row>
    <row r="17" spans="1:6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44">
        <v>1</v>
      </c>
      <c r="F17" s="66"/>
    </row>
    <row r="18" spans="1:6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44">
        <v>1</v>
      </c>
      <c r="F18" s="66"/>
    </row>
    <row r="19" spans="1:6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44">
        <v>1</v>
      </c>
      <c r="F19" s="66"/>
    </row>
    <row r="20" spans="1:6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44">
        <v>1</v>
      </c>
      <c r="F20" s="66"/>
    </row>
    <row r="21" spans="1:6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44">
        <v>1</v>
      </c>
      <c r="F21" s="66"/>
    </row>
    <row r="22" spans="1:6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44">
        <v>1</v>
      </c>
      <c r="F22" s="66"/>
    </row>
    <row r="23" spans="1:6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44">
        <v>1</v>
      </c>
      <c r="F23" s="66"/>
    </row>
    <row r="24" spans="1:6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44">
        <v>1</v>
      </c>
      <c r="F24" s="66"/>
    </row>
    <row r="25" spans="1:6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44">
        <v>1</v>
      </c>
      <c r="F25" s="66"/>
    </row>
    <row r="26" spans="1:6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44">
        <v>1</v>
      </c>
      <c r="F26" s="66"/>
    </row>
    <row r="27" spans="1:6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44">
        <v>1</v>
      </c>
      <c r="F27" s="66"/>
    </row>
    <row r="28" spans="1:6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44">
        <v>1</v>
      </c>
      <c r="F28" s="66"/>
    </row>
    <row r="29" spans="1:6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44">
        <v>1</v>
      </c>
      <c r="F29" s="66"/>
    </row>
    <row r="30" spans="1:6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44">
        <v>1</v>
      </c>
      <c r="F30" s="66"/>
    </row>
    <row r="31" spans="1:6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44">
        <v>1</v>
      </c>
      <c r="F31" s="66"/>
    </row>
    <row r="32" spans="1:6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44">
        <v>1</v>
      </c>
      <c r="F32" s="66"/>
    </row>
    <row r="33" spans="1:6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44">
        <v>1</v>
      </c>
      <c r="F33" s="66"/>
    </row>
    <row r="34" spans="1:6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44">
        <v>1</v>
      </c>
      <c r="F34" s="66"/>
    </row>
    <row r="35" spans="1:6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44">
        <v>1</v>
      </c>
      <c r="F35" s="66"/>
    </row>
    <row r="36" spans="1:6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44">
        <v>1</v>
      </c>
      <c r="F36" s="66"/>
    </row>
    <row r="37" spans="1:6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44">
        <v>1</v>
      </c>
      <c r="F37" s="66"/>
    </row>
    <row r="38" spans="1:6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44">
        <v>1</v>
      </c>
      <c r="F38" s="66"/>
    </row>
    <row r="39" spans="1:6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44">
        <v>1</v>
      </c>
      <c r="F39" s="66"/>
    </row>
    <row r="40" spans="1:6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44">
        <v>1</v>
      </c>
      <c r="F40" s="66"/>
    </row>
    <row r="41" spans="1:6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44">
        <v>1</v>
      </c>
      <c r="F41" s="66"/>
    </row>
    <row r="42" spans="1:6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44">
        <v>1</v>
      </c>
      <c r="F42" s="66"/>
    </row>
    <row r="43" spans="1:6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44">
        <v>1</v>
      </c>
      <c r="F43" s="66"/>
    </row>
    <row r="44" spans="1:6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44">
        <v>1</v>
      </c>
      <c r="F44" s="66"/>
    </row>
    <row r="45" spans="1:6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44">
        <v>1</v>
      </c>
      <c r="F45" s="66"/>
    </row>
    <row r="46" spans="1:6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44">
        <v>1</v>
      </c>
      <c r="F46" s="66"/>
    </row>
    <row r="47" spans="1:6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44">
        <v>1</v>
      </c>
      <c r="F47" s="66"/>
    </row>
    <row r="48" spans="1:6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44">
        <v>1</v>
      </c>
      <c r="F48" s="66"/>
    </row>
    <row r="49" spans="1:6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44">
        <v>1</v>
      </c>
      <c r="F49" s="66"/>
    </row>
    <row r="50" spans="1:6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44">
        <v>1</v>
      </c>
      <c r="F50" s="66"/>
    </row>
    <row r="51" spans="1:6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44">
        <v>1</v>
      </c>
      <c r="F51" s="66"/>
    </row>
    <row r="52" spans="1:6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44">
        <v>1</v>
      </c>
      <c r="F52" s="66"/>
    </row>
    <row r="53" spans="1:6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44">
        <v>1</v>
      </c>
      <c r="F53" s="66"/>
    </row>
    <row r="54" spans="1:6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44">
        <v>1</v>
      </c>
      <c r="F54" s="67"/>
    </row>
  </sheetData>
  <conditionalFormatting sqref="B5">
    <cfRule type="beginsWith" dxfId="79" priority="58" operator="beginsWith" text="L">
      <formula>LEFT(B5,LEN("L"))="L"</formula>
    </cfRule>
  </conditionalFormatting>
  <conditionalFormatting sqref="B6:B14">
    <cfRule type="beginsWith" dxfId="78" priority="42" operator="beginsWith" text="L">
      <formula>LEFT(B6,LEN("L"))="L"</formula>
    </cfRule>
  </conditionalFormatting>
  <conditionalFormatting sqref="B15:B54">
    <cfRule type="beginsWith" dxfId="77" priority="28" operator="beginsWith" text="L">
      <formula>LEFT(B15,LEN("L"))="L"</formula>
    </cfRule>
  </conditionalFormatting>
  <conditionalFormatting sqref="F1:F1048576">
    <cfRule type="containsText" dxfId="76" priority="3" operator="containsText" text="criadas">
      <formula>NOT(ISERROR(SEARCH("criadas",F1)))</formula>
    </cfRule>
    <cfRule type="containsText" dxfId="75" priority="4" operator="containsText" text="é gravado">
      <formula>NOT(ISERROR(SEARCH("é gravado",F1)))</formula>
    </cfRule>
    <cfRule type="containsText" dxfId="74" priority="5" operator="containsText" text="é modificado">
      <formula>NOT(ISERROR(SEARCH("é modificado",F1)))</formula>
    </cfRule>
    <cfRule type="containsText" dxfId="73" priority="6" operator="containsText" text="Error">
      <formula>NOT(ISERROR(SEARCH("Error",F1)))</formula>
    </cfRule>
    <cfRule type="containsText" dxfId="72" priority="7" operator="containsText" text="é criado">
      <formula>NOT(ISERROR(SEARCH("é criado",F1)))</formula>
    </cfRule>
  </conditionalFormatting>
  <conditionalFormatting sqref="C5:C54">
    <cfRule type="beginsWith" dxfId="71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E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B1" s="31" t="str">
        <f>VLOOKUP(B2,'Listas de Dados'!$BJ$6:$BK$7,2,0)</f>
        <v>K00_R_TRIM_0581</v>
      </c>
      <c r="C1" s="83"/>
      <c r="E1" s="61"/>
    </row>
    <row r="2" spans="1:5" s="41" customFormat="1" x14ac:dyDescent="0.2">
      <c r="A2" s="7"/>
      <c r="B2" s="75" t="s">
        <v>4</v>
      </c>
      <c r="C2" s="83"/>
      <c r="D2" s="37"/>
    </row>
    <row r="3" spans="1:5" s="37" customFormat="1" ht="15" customHeight="1" x14ac:dyDescent="0.2">
      <c r="A3" s="7" t="s">
        <v>29</v>
      </c>
      <c r="B3" s="4"/>
      <c r="C3" s="84" t="s">
        <v>756</v>
      </c>
      <c r="D3" s="36" t="s">
        <v>156</v>
      </c>
      <c r="E3" s="61" t="s">
        <v>32</v>
      </c>
    </row>
    <row r="4" spans="1:5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5" t="s">
        <v>835</v>
      </c>
    </row>
    <row r="5" spans="1:5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65"/>
    </row>
    <row r="6" spans="1:5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66"/>
    </row>
    <row r="7" spans="1:5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66"/>
    </row>
    <row r="8" spans="1:5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66"/>
    </row>
    <row r="9" spans="1:5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66"/>
    </row>
    <row r="10" spans="1:5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66"/>
    </row>
    <row r="11" spans="1:5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66"/>
    </row>
    <row r="12" spans="1:5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66"/>
    </row>
    <row r="13" spans="1:5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66"/>
    </row>
    <row r="14" spans="1:5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66"/>
    </row>
    <row r="15" spans="1:5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66"/>
    </row>
    <row r="16" spans="1:5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66"/>
    </row>
    <row r="17" spans="1:5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66"/>
    </row>
    <row r="18" spans="1:5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66"/>
    </row>
    <row r="19" spans="1:5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66"/>
    </row>
    <row r="20" spans="1:5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66"/>
    </row>
    <row r="21" spans="1:5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66"/>
    </row>
    <row r="22" spans="1:5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66"/>
    </row>
    <row r="23" spans="1:5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66"/>
    </row>
    <row r="24" spans="1:5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66"/>
    </row>
    <row r="25" spans="1:5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66"/>
    </row>
    <row r="26" spans="1:5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66"/>
    </row>
    <row r="27" spans="1:5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66"/>
    </row>
    <row r="28" spans="1:5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66"/>
    </row>
    <row r="29" spans="1:5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66"/>
    </row>
    <row r="30" spans="1:5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66"/>
    </row>
    <row r="31" spans="1:5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66"/>
    </row>
    <row r="32" spans="1:5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66"/>
    </row>
    <row r="33" spans="1:5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66"/>
    </row>
    <row r="34" spans="1:5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66"/>
    </row>
    <row r="35" spans="1:5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66"/>
    </row>
    <row r="36" spans="1:5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66"/>
    </row>
    <row r="37" spans="1:5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66"/>
    </row>
    <row r="38" spans="1:5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66"/>
    </row>
    <row r="39" spans="1:5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66"/>
    </row>
    <row r="40" spans="1:5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66"/>
    </row>
    <row r="41" spans="1:5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66"/>
    </row>
    <row r="42" spans="1:5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66"/>
    </row>
    <row r="43" spans="1:5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66"/>
    </row>
    <row r="44" spans="1:5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66"/>
    </row>
    <row r="45" spans="1:5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66"/>
    </row>
    <row r="46" spans="1:5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66"/>
    </row>
    <row r="47" spans="1:5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66"/>
    </row>
    <row r="48" spans="1:5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66"/>
    </row>
    <row r="49" spans="1:5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66"/>
    </row>
    <row r="50" spans="1:5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66"/>
    </row>
    <row r="51" spans="1:5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66"/>
    </row>
    <row r="52" spans="1:5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66"/>
    </row>
    <row r="53" spans="1:5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66"/>
    </row>
    <row r="54" spans="1:5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67"/>
    </row>
  </sheetData>
  <conditionalFormatting sqref="B5">
    <cfRule type="beginsWith" dxfId="70" priority="28" operator="beginsWith" text="L">
      <formula>LEFT(B5,LEN("L"))="L"</formula>
    </cfRule>
  </conditionalFormatting>
  <conditionalFormatting sqref="B6:B14">
    <cfRule type="beginsWith" dxfId="69" priority="25" operator="beginsWith" text="L">
      <formula>LEFT(B6,LEN("L"))="L"</formula>
    </cfRule>
  </conditionalFormatting>
  <conditionalFormatting sqref="B15:B54">
    <cfRule type="beginsWith" dxfId="68" priority="22" operator="beginsWith" text="L">
      <formula>LEFT(B15,LEN("L"))="L"</formula>
    </cfRule>
  </conditionalFormatting>
  <conditionalFormatting sqref="E1:E1048576">
    <cfRule type="containsText" dxfId="67" priority="2" operator="containsText" text="criadas">
      <formula>NOT(ISERROR(SEARCH("criadas",E1)))</formula>
    </cfRule>
    <cfRule type="containsText" dxfId="66" priority="3" operator="containsText" text="é gravado">
      <formula>NOT(ISERROR(SEARCH("é gravado",E1)))</formula>
    </cfRule>
    <cfRule type="containsText" dxfId="65" priority="4" operator="containsText" text="é modificado">
      <formula>NOT(ISERROR(SEARCH("é modificado",E1)))</formula>
    </cfRule>
    <cfRule type="containsText" dxfId="64" priority="5" operator="containsText" text="Error">
      <formula>NOT(ISERROR(SEARCH("Error",E1)))</formula>
    </cfRule>
    <cfRule type="containsText" dxfId="63" priority="6" operator="containsText" text="é criado">
      <formula>NOT(ISERROR(SEARCH("é criado",E1)))</formula>
    </cfRule>
  </conditionalFormatting>
  <conditionalFormatting sqref="C5:C54">
    <cfRule type="beginsWith" dxfId="62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 D5:D54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K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K5" sqref="K5:K8"/>
    </sheetView>
  </sheetViews>
  <sheetFormatPr defaultRowHeight="12.75" x14ac:dyDescent="0.2"/>
  <cols>
    <col min="1" max="1" width="11.7109375" style="7" customWidth="1"/>
    <col min="2" max="3" width="18.5703125" style="6" customWidth="1"/>
    <col min="4" max="4" width="18.140625" style="6" customWidth="1"/>
    <col min="5" max="5" width="30.140625" style="6" customWidth="1"/>
    <col min="6" max="7" width="30.5703125" style="6" customWidth="1"/>
    <col min="8" max="8" width="29.28515625" style="6" customWidth="1"/>
    <col min="9" max="9" width="29.85546875" style="6" customWidth="1"/>
    <col min="10" max="10" width="30" style="6" customWidth="1"/>
    <col min="11" max="11" width="75.7109375" style="1" customWidth="1"/>
    <col min="12" max="12" width="22" style="1" customWidth="1"/>
    <col min="13" max="16384" width="9.140625" style="1"/>
  </cols>
  <sheetData>
    <row r="1" spans="1:11" s="70" customFormat="1" x14ac:dyDescent="0.2">
      <c r="A1" s="7" t="s">
        <v>28</v>
      </c>
      <c r="C1" s="83"/>
    </row>
    <row r="2" spans="1:11" s="41" customFormat="1" x14ac:dyDescent="0.2">
      <c r="A2" s="7"/>
      <c r="B2" s="70"/>
      <c r="C2" s="83"/>
      <c r="D2" s="70"/>
      <c r="E2" s="70"/>
      <c r="F2" s="70"/>
      <c r="G2" s="70"/>
      <c r="H2" s="70"/>
      <c r="I2" s="70"/>
      <c r="J2" s="70"/>
    </row>
    <row r="3" spans="1:11" s="70" customFormat="1" ht="15" customHeight="1" x14ac:dyDescent="0.2">
      <c r="A3" s="7" t="s">
        <v>29</v>
      </c>
      <c r="B3" s="4"/>
      <c r="C3" s="84" t="s">
        <v>848</v>
      </c>
      <c r="D3" s="71" t="s">
        <v>846</v>
      </c>
      <c r="E3" s="71" t="s">
        <v>857</v>
      </c>
      <c r="F3" s="71" t="s">
        <v>849</v>
      </c>
      <c r="G3" s="71" t="s">
        <v>852</v>
      </c>
      <c r="H3" s="71" t="s">
        <v>853</v>
      </c>
      <c r="I3" s="71" t="s">
        <v>855</v>
      </c>
      <c r="J3" s="71" t="s">
        <v>859</v>
      </c>
      <c r="K3" s="70" t="s">
        <v>32</v>
      </c>
    </row>
    <row r="4" spans="1:11" s="5" customFormat="1" ht="15" customHeight="1" x14ac:dyDescent="0.2">
      <c r="A4" s="8" t="s">
        <v>30</v>
      </c>
      <c r="B4" s="3" t="s">
        <v>914</v>
      </c>
      <c r="C4" s="14" t="s">
        <v>904</v>
      </c>
      <c r="D4" s="14" t="s">
        <v>0</v>
      </c>
      <c r="E4" s="14" t="s">
        <v>858</v>
      </c>
      <c r="F4" s="14" t="s">
        <v>851</v>
      </c>
      <c r="G4" s="14" t="s">
        <v>850</v>
      </c>
      <c r="H4" s="14" t="s">
        <v>854</v>
      </c>
      <c r="I4" s="14" t="s">
        <v>856</v>
      </c>
      <c r="J4" s="14" t="s">
        <v>860</v>
      </c>
      <c r="K4" s="5" t="s">
        <v>835</v>
      </c>
    </row>
    <row r="5" spans="1:11" x14ac:dyDescent="0.2">
      <c r="A5" s="7" t="str">
        <f>"Execução "&amp;ROW()-4</f>
        <v>Execução 1</v>
      </c>
      <c r="B5" s="78"/>
      <c r="C5" s="43" t="str">
        <f>IF(B5&lt;&gt;"","H"&amp;RIGHT(B5,5),"")</f>
        <v/>
      </c>
      <c r="D5" s="49" t="str">
        <f>IFERROR(VLOOKUP(B5,'MM01-BOB'!B:F,5,0),"")</f>
        <v/>
      </c>
      <c r="E5" s="72" t="str">
        <f>IF(D5&lt;&gt;"",VLOOKUP(D5,'Listas de Dados'!BT:BV,2,0),"")</f>
        <v/>
      </c>
      <c r="F5" s="72" t="str">
        <f ca="1">TEXT(TODAY(),"DD.MM.AAAA")</f>
        <v>17.05.2022</v>
      </c>
      <c r="G5" s="74" t="s">
        <v>861</v>
      </c>
      <c r="H5" s="73">
        <v>1</v>
      </c>
      <c r="I5" s="73">
        <v>1</v>
      </c>
      <c r="J5" s="60" t="s">
        <v>507</v>
      </c>
      <c r="K5" s="65"/>
    </row>
    <row r="6" spans="1:11" x14ac:dyDescent="0.2">
      <c r="A6" s="7" t="str">
        <f t="shared" ref="A6:A54" si="0">"Execução "&amp;ROW()-4</f>
        <v>Execução 2</v>
      </c>
      <c r="B6" s="78"/>
      <c r="C6" s="43" t="str">
        <f t="shared" ref="C6:C54" si="1">IF(B6&lt;&gt;"","H"&amp;RIGHT(B6,5),"")</f>
        <v/>
      </c>
      <c r="D6" s="49" t="str">
        <f>IFERROR(VLOOKUP(B6,'MM01-BOB'!B:F,5,0),"")</f>
        <v/>
      </c>
      <c r="E6" s="72" t="str">
        <f>IF(D6&lt;&gt;"",VLOOKUP(D6,'Listas de Dados'!BT:BV,2,0),"")</f>
        <v/>
      </c>
      <c r="F6" s="72" t="str">
        <f t="shared" ref="F6:F54" ca="1" si="2">TEXT(TODAY(),"DD.MM.AAAA")</f>
        <v>17.05.2022</v>
      </c>
      <c r="G6" s="74" t="s">
        <v>861</v>
      </c>
      <c r="H6" s="73">
        <v>1</v>
      </c>
      <c r="I6" s="73">
        <v>1</v>
      </c>
      <c r="J6" s="60" t="s">
        <v>507</v>
      </c>
      <c r="K6" s="66"/>
    </row>
    <row r="7" spans="1:11" x14ac:dyDescent="0.2">
      <c r="A7" s="7" t="str">
        <f t="shared" si="0"/>
        <v>Execução 3</v>
      </c>
      <c r="B7" s="78"/>
      <c r="C7" s="43" t="str">
        <f t="shared" si="1"/>
        <v/>
      </c>
      <c r="D7" s="49" t="str">
        <f>IFERROR(VLOOKUP(B7,'MM01-BOB'!B:F,5,0),"")</f>
        <v/>
      </c>
      <c r="E7" s="72" t="str">
        <f>IF(D7&lt;&gt;"",VLOOKUP(D7,'Listas de Dados'!BT:BV,2,0),"")</f>
        <v/>
      </c>
      <c r="F7" s="72" t="str">
        <f t="shared" ca="1" si="2"/>
        <v>17.05.2022</v>
      </c>
      <c r="G7" s="74" t="s">
        <v>861</v>
      </c>
      <c r="H7" s="73">
        <v>1</v>
      </c>
      <c r="I7" s="73">
        <v>1</v>
      </c>
      <c r="J7" s="60" t="s">
        <v>507</v>
      </c>
      <c r="K7" s="66"/>
    </row>
    <row r="8" spans="1:11" x14ac:dyDescent="0.2">
      <c r="A8" s="7" t="str">
        <f t="shared" si="0"/>
        <v>Execução 4</v>
      </c>
      <c r="B8" s="78"/>
      <c r="C8" s="43" t="str">
        <f t="shared" si="1"/>
        <v/>
      </c>
      <c r="D8" s="49" t="str">
        <f>IFERROR(VLOOKUP(B8,'MM01-BOB'!B:F,5,0),"")</f>
        <v/>
      </c>
      <c r="E8" s="72" t="str">
        <f>IF(D8&lt;&gt;"",VLOOKUP(D8,'Listas de Dados'!BT:BV,2,0),"")</f>
        <v/>
      </c>
      <c r="F8" s="72" t="str">
        <f t="shared" ca="1" si="2"/>
        <v>17.05.2022</v>
      </c>
      <c r="G8" s="74" t="s">
        <v>861</v>
      </c>
      <c r="H8" s="73">
        <v>1</v>
      </c>
      <c r="I8" s="73">
        <v>1</v>
      </c>
      <c r="J8" s="60" t="s">
        <v>507</v>
      </c>
      <c r="K8" s="66"/>
    </row>
    <row r="9" spans="1:11" x14ac:dyDescent="0.2">
      <c r="A9" s="7" t="str">
        <f t="shared" si="0"/>
        <v>Execução 5</v>
      </c>
      <c r="B9" s="78"/>
      <c r="C9" s="43" t="str">
        <f t="shared" si="1"/>
        <v/>
      </c>
      <c r="D9" s="49" t="str">
        <f>IFERROR(VLOOKUP(B9,'MM01-BOB'!B:F,5,0),"")</f>
        <v/>
      </c>
      <c r="E9" s="72" t="str">
        <f>IF(D9&lt;&gt;"",VLOOKUP(D9,'Listas de Dados'!BT:BV,2,0),"")</f>
        <v/>
      </c>
      <c r="F9" s="72" t="str">
        <f t="shared" ca="1" si="2"/>
        <v>17.05.2022</v>
      </c>
      <c r="G9" s="74" t="s">
        <v>861</v>
      </c>
      <c r="H9" s="73">
        <v>1</v>
      </c>
      <c r="I9" s="73">
        <v>1</v>
      </c>
      <c r="J9" s="60" t="s">
        <v>507</v>
      </c>
      <c r="K9" s="66"/>
    </row>
    <row r="10" spans="1:11" x14ac:dyDescent="0.2">
      <c r="A10" s="7" t="str">
        <f t="shared" si="0"/>
        <v>Execução 6</v>
      </c>
      <c r="B10" s="78"/>
      <c r="C10" s="43" t="str">
        <f t="shared" si="1"/>
        <v/>
      </c>
      <c r="D10" s="49" t="str">
        <f>IFERROR(VLOOKUP(B10,'MM01-BOB'!B:F,5,0),"")</f>
        <v/>
      </c>
      <c r="E10" s="72" t="str">
        <f>IF(D10&lt;&gt;"",VLOOKUP(D10,'Listas de Dados'!BT:BV,2,0),"")</f>
        <v/>
      </c>
      <c r="F10" s="72" t="str">
        <f t="shared" ca="1" si="2"/>
        <v>17.05.2022</v>
      </c>
      <c r="G10" s="74" t="s">
        <v>861</v>
      </c>
      <c r="H10" s="73">
        <v>1</v>
      </c>
      <c r="I10" s="73">
        <v>1</v>
      </c>
      <c r="J10" s="60" t="s">
        <v>507</v>
      </c>
      <c r="K10" s="66"/>
    </row>
    <row r="11" spans="1:11" x14ac:dyDescent="0.2">
      <c r="A11" s="7" t="str">
        <f t="shared" si="0"/>
        <v>Execução 7</v>
      </c>
      <c r="B11" s="78"/>
      <c r="C11" s="43" t="str">
        <f t="shared" si="1"/>
        <v/>
      </c>
      <c r="D11" s="49" t="str">
        <f>IFERROR(VLOOKUP(B11,'MM01-BOB'!B:F,5,0),"")</f>
        <v/>
      </c>
      <c r="E11" s="72" t="str">
        <f>IF(D11&lt;&gt;"",VLOOKUP(D11,'Listas de Dados'!BT:BV,2,0),"")</f>
        <v/>
      </c>
      <c r="F11" s="72" t="str">
        <f t="shared" ca="1" si="2"/>
        <v>17.05.2022</v>
      </c>
      <c r="G11" s="74" t="s">
        <v>861</v>
      </c>
      <c r="H11" s="73">
        <v>1</v>
      </c>
      <c r="I11" s="73">
        <v>1</v>
      </c>
      <c r="J11" s="60" t="s">
        <v>507</v>
      </c>
      <c r="K11" s="66"/>
    </row>
    <row r="12" spans="1:11" x14ac:dyDescent="0.2">
      <c r="A12" s="7" t="str">
        <f t="shared" si="0"/>
        <v>Execução 8</v>
      </c>
      <c r="B12" s="78"/>
      <c r="C12" s="43" t="str">
        <f t="shared" si="1"/>
        <v/>
      </c>
      <c r="D12" s="49" t="str">
        <f>IFERROR(VLOOKUP(B12,'MM01-BOB'!B:F,5,0),"")</f>
        <v/>
      </c>
      <c r="E12" s="72" t="str">
        <f>IF(D12&lt;&gt;"",VLOOKUP(D12,'Listas de Dados'!BT:BV,2,0),"")</f>
        <v/>
      </c>
      <c r="F12" s="72" t="str">
        <f t="shared" ca="1" si="2"/>
        <v>17.05.2022</v>
      </c>
      <c r="G12" s="74" t="s">
        <v>861</v>
      </c>
      <c r="H12" s="73">
        <v>1</v>
      </c>
      <c r="I12" s="73">
        <v>1</v>
      </c>
      <c r="J12" s="60" t="s">
        <v>507</v>
      </c>
      <c r="K12" s="66"/>
    </row>
    <row r="13" spans="1:11" x14ac:dyDescent="0.2">
      <c r="A13" s="7" t="str">
        <f t="shared" si="0"/>
        <v>Execução 9</v>
      </c>
      <c r="B13" s="78"/>
      <c r="C13" s="43" t="str">
        <f t="shared" si="1"/>
        <v/>
      </c>
      <c r="D13" s="49" t="str">
        <f>IFERROR(VLOOKUP(B13,'MM01-BOB'!B:F,5,0),"")</f>
        <v/>
      </c>
      <c r="E13" s="72" t="str">
        <f>IF(D13&lt;&gt;"",VLOOKUP(D13,'Listas de Dados'!BT:BV,2,0),"")</f>
        <v/>
      </c>
      <c r="F13" s="72" t="str">
        <f t="shared" ca="1" si="2"/>
        <v>17.05.2022</v>
      </c>
      <c r="G13" s="74" t="s">
        <v>861</v>
      </c>
      <c r="H13" s="73">
        <v>1</v>
      </c>
      <c r="I13" s="73">
        <v>1</v>
      </c>
      <c r="J13" s="60" t="s">
        <v>507</v>
      </c>
      <c r="K13" s="66"/>
    </row>
    <row r="14" spans="1:11" x14ac:dyDescent="0.2">
      <c r="A14" s="7" t="str">
        <f t="shared" si="0"/>
        <v>Execução 10</v>
      </c>
      <c r="B14" s="78"/>
      <c r="C14" s="43" t="str">
        <f t="shared" si="1"/>
        <v/>
      </c>
      <c r="D14" s="49" t="str">
        <f>IFERROR(VLOOKUP(B14,'MM01-BOB'!B:F,5,0),"")</f>
        <v/>
      </c>
      <c r="E14" s="72" t="str">
        <f>IF(D14&lt;&gt;"",VLOOKUP(D14,'Listas de Dados'!BT:BV,2,0),"")</f>
        <v/>
      </c>
      <c r="F14" s="72" t="str">
        <f t="shared" ca="1" si="2"/>
        <v>17.05.2022</v>
      </c>
      <c r="G14" s="74" t="s">
        <v>861</v>
      </c>
      <c r="H14" s="73">
        <v>1</v>
      </c>
      <c r="I14" s="73">
        <v>1</v>
      </c>
      <c r="J14" s="60" t="s">
        <v>507</v>
      </c>
      <c r="K14" s="66"/>
    </row>
    <row r="15" spans="1:11" x14ac:dyDescent="0.2">
      <c r="A15" s="7" t="str">
        <f t="shared" si="0"/>
        <v>Execução 11</v>
      </c>
      <c r="B15" s="78"/>
      <c r="C15" s="43" t="str">
        <f t="shared" si="1"/>
        <v/>
      </c>
      <c r="D15" s="49" t="str">
        <f>IFERROR(VLOOKUP(B15,'MM01-BOB'!B:F,5,0),"")</f>
        <v/>
      </c>
      <c r="E15" s="72" t="str">
        <f>IF(D15&lt;&gt;"",VLOOKUP(D15,'Listas de Dados'!BT:BV,2,0),"")</f>
        <v/>
      </c>
      <c r="F15" s="72" t="str">
        <f t="shared" ca="1" si="2"/>
        <v>17.05.2022</v>
      </c>
      <c r="G15" s="74" t="s">
        <v>861</v>
      </c>
      <c r="H15" s="73">
        <v>1</v>
      </c>
      <c r="I15" s="73">
        <v>1</v>
      </c>
      <c r="J15" s="60" t="s">
        <v>507</v>
      </c>
      <c r="K15" s="66"/>
    </row>
    <row r="16" spans="1:11" x14ac:dyDescent="0.2">
      <c r="A16" s="7" t="str">
        <f t="shared" si="0"/>
        <v>Execução 12</v>
      </c>
      <c r="B16" s="78"/>
      <c r="C16" s="43" t="str">
        <f t="shared" si="1"/>
        <v/>
      </c>
      <c r="D16" s="49" t="str">
        <f>IFERROR(VLOOKUP(B16,'MM01-BOB'!B:F,5,0),"")</f>
        <v/>
      </c>
      <c r="E16" s="72" t="str">
        <f>IF(D16&lt;&gt;"",VLOOKUP(D16,'Listas de Dados'!BT:BV,2,0),"")</f>
        <v/>
      </c>
      <c r="F16" s="72" t="str">
        <f t="shared" ca="1" si="2"/>
        <v>17.05.2022</v>
      </c>
      <c r="G16" s="74" t="s">
        <v>861</v>
      </c>
      <c r="H16" s="73">
        <v>1</v>
      </c>
      <c r="I16" s="73">
        <v>1</v>
      </c>
      <c r="J16" s="60" t="s">
        <v>507</v>
      </c>
      <c r="K16" s="66"/>
    </row>
    <row r="17" spans="1:11" x14ac:dyDescent="0.2">
      <c r="A17" s="7" t="str">
        <f t="shared" si="0"/>
        <v>Execução 13</v>
      </c>
      <c r="B17" s="78"/>
      <c r="C17" s="43" t="str">
        <f t="shared" si="1"/>
        <v/>
      </c>
      <c r="D17" s="49" t="str">
        <f>IFERROR(VLOOKUP(B17,'MM01-BOB'!B:F,5,0),"")</f>
        <v/>
      </c>
      <c r="E17" s="72" t="str">
        <f>IF(D17&lt;&gt;"",VLOOKUP(D17,'Listas de Dados'!BT:BV,2,0),"")</f>
        <v/>
      </c>
      <c r="F17" s="72" t="str">
        <f t="shared" ca="1" si="2"/>
        <v>17.05.2022</v>
      </c>
      <c r="G17" s="74" t="s">
        <v>861</v>
      </c>
      <c r="H17" s="73">
        <v>1</v>
      </c>
      <c r="I17" s="73">
        <v>1</v>
      </c>
      <c r="J17" s="60" t="s">
        <v>507</v>
      </c>
      <c r="K17" s="66"/>
    </row>
    <row r="18" spans="1:11" x14ac:dyDescent="0.2">
      <c r="A18" s="7" t="str">
        <f t="shared" si="0"/>
        <v>Execução 14</v>
      </c>
      <c r="B18" s="78"/>
      <c r="C18" s="43" t="str">
        <f t="shared" si="1"/>
        <v/>
      </c>
      <c r="D18" s="49" t="str">
        <f>IFERROR(VLOOKUP(B18,'MM01-BOB'!B:F,5,0),"")</f>
        <v/>
      </c>
      <c r="E18" s="72" t="str">
        <f>IF(D18&lt;&gt;"",VLOOKUP(D18,'Listas de Dados'!BT:BV,2,0),"")</f>
        <v/>
      </c>
      <c r="F18" s="72" t="str">
        <f t="shared" ca="1" si="2"/>
        <v>17.05.2022</v>
      </c>
      <c r="G18" s="74" t="s">
        <v>861</v>
      </c>
      <c r="H18" s="73">
        <v>1</v>
      </c>
      <c r="I18" s="73">
        <v>1</v>
      </c>
      <c r="J18" s="60" t="s">
        <v>507</v>
      </c>
      <c r="K18" s="66"/>
    </row>
    <row r="19" spans="1:11" x14ac:dyDescent="0.2">
      <c r="A19" s="7" t="str">
        <f t="shared" si="0"/>
        <v>Execução 15</v>
      </c>
      <c r="B19" s="78"/>
      <c r="C19" s="43" t="str">
        <f t="shared" si="1"/>
        <v/>
      </c>
      <c r="D19" s="49" t="str">
        <f>IFERROR(VLOOKUP(B19,'MM01-BOB'!B:F,5,0),"")</f>
        <v/>
      </c>
      <c r="E19" s="72" t="str">
        <f>IF(D19&lt;&gt;"",VLOOKUP(D19,'Listas de Dados'!BT:BV,2,0),"")</f>
        <v/>
      </c>
      <c r="F19" s="72" t="str">
        <f t="shared" ca="1" si="2"/>
        <v>17.05.2022</v>
      </c>
      <c r="G19" s="74" t="s">
        <v>861</v>
      </c>
      <c r="H19" s="73">
        <v>1</v>
      </c>
      <c r="I19" s="73">
        <v>1</v>
      </c>
      <c r="J19" s="60" t="s">
        <v>507</v>
      </c>
      <c r="K19" s="66"/>
    </row>
    <row r="20" spans="1:11" x14ac:dyDescent="0.2">
      <c r="A20" s="7" t="str">
        <f t="shared" si="0"/>
        <v>Execução 16</v>
      </c>
      <c r="B20" s="78"/>
      <c r="C20" s="43" t="str">
        <f t="shared" si="1"/>
        <v/>
      </c>
      <c r="D20" s="49" t="str">
        <f>IFERROR(VLOOKUP(B20,'MM01-BOB'!B:F,5,0),"")</f>
        <v/>
      </c>
      <c r="E20" s="72" t="str">
        <f>IF(D20&lt;&gt;"",VLOOKUP(D20,'Listas de Dados'!BT:BV,2,0),"")</f>
        <v/>
      </c>
      <c r="F20" s="72" t="str">
        <f t="shared" ca="1" si="2"/>
        <v>17.05.2022</v>
      </c>
      <c r="G20" s="74" t="s">
        <v>861</v>
      </c>
      <c r="H20" s="73">
        <v>1</v>
      </c>
      <c r="I20" s="73">
        <v>1</v>
      </c>
      <c r="J20" s="60" t="s">
        <v>507</v>
      </c>
      <c r="K20" s="66"/>
    </row>
    <row r="21" spans="1:11" x14ac:dyDescent="0.2">
      <c r="A21" s="7" t="str">
        <f t="shared" si="0"/>
        <v>Execução 17</v>
      </c>
      <c r="B21" s="78"/>
      <c r="C21" s="43" t="str">
        <f t="shared" si="1"/>
        <v/>
      </c>
      <c r="D21" s="49" t="str">
        <f>IFERROR(VLOOKUP(B21,'MM01-BOB'!B:F,5,0),"")</f>
        <v/>
      </c>
      <c r="E21" s="72" t="str">
        <f>IF(D21&lt;&gt;"",VLOOKUP(D21,'Listas de Dados'!BT:BV,2,0),"")</f>
        <v/>
      </c>
      <c r="F21" s="72" t="str">
        <f t="shared" ca="1" si="2"/>
        <v>17.05.2022</v>
      </c>
      <c r="G21" s="74" t="s">
        <v>861</v>
      </c>
      <c r="H21" s="73">
        <v>1</v>
      </c>
      <c r="I21" s="73">
        <v>1</v>
      </c>
      <c r="J21" s="60" t="s">
        <v>507</v>
      </c>
      <c r="K21" s="66"/>
    </row>
    <row r="22" spans="1:11" x14ac:dyDescent="0.2">
      <c r="A22" s="7" t="str">
        <f t="shared" si="0"/>
        <v>Execução 18</v>
      </c>
      <c r="B22" s="78"/>
      <c r="C22" s="43" t="str">
        <f t="shared" si="1"/>
        <v/>
      </c>
      <c r="D22" s="49" t="str">
        <f>IFERROR(VLOOKUP(B22,'MM01-BOB'!B:F,5,0),"")</f>
        <v/>
      </c>
      <c r="E22" s="72" t="str">
        <f>IF(D22&lt;&gt;"",VLOOKUP(D22,'Listas de Dados'!BT:BV,2,0),"")</f>
        <v/>
      </c>
      <c r="F22" s="72" t="str">
        <f t="shared" ca="1" si="2"/>
        <v>17.05.2022</v>
      </c>
      <c r="G22" s="74" t="s">
        <v>861</v>
      </c>
      <c r="H22" s="73">
        <v>1</v>
      </c>
      <c r="I22" s="73">
        <v>1</v>
      </c>
      <c r="J22" s="60" t="s">
        <v>507</v>
      </c>
      <c r="K22" s="66"/>
    </row>
    <row r="23" spans="1:11" x14ac:dyDescent="0.2">
      <c r="A23" s="7" t="str">
        <f t="shared" si="0"/>
        <v>Execução 19</v>
      </c>
      <c r="B23" s="78"/>
      <c r="C23" s="43" t="str">
        <f t="shared" si="1"/>
        <v/>
      </c>
      <c r="D23" s="49" t="str">
        <f>IFERROR(VLOOKUP(B23,'MM01-BOB'!B:F,5,0),"")</f>
        <v/>
      </c>
      <c r="E23" s="72" t="str">
        <f>IF(D23&lt;&gt;"",VLOOKUP(D23,'Listas de Dados'!BT:BV,2,0),"")</f>
        <v/>
      </c>
      <c r="F23" s="72" t="str">
        <f t="shared" ca="1" si="2"/>
        <v>17.05.2022</v>
      </c>
      <c r="G23" s="74" t="s">
        <v>861</v>
      </c>
      <c r="H23" s="73">
        <v>1</v>
      </c>
      <c r="I23" s="73">
        <v>1</v>
      </c>
      <c r="J23" s="60" t="s">
        <v>507</v>
      </c>
      <c r="K23" s="66"/>
    </row>
    <row r="24" spans="1:11" x14ac:dyDescent="0.2">
      <c r="A24" s="7" t="str">
        <f t="shared" si="0"/>
        <v>Execução 20</v>
      </c>
      <c r="B24" s="78"/>
      <c r="C24" s="43" t="str">
        <f t="shared" si="1"/>
        <v/>
      </c>
      <c r="D24" s="49" t="str">
        <f>IFERROR(VLOOKUP(B24,'MM01-BOB'!B:F,5,0),"")</f>
        <v/>
      </c>
      <c r="E24" s="72" t="str">
        <f>IF(D24&lt;&gt;"",VLOOKUP(D24,'Listas de Dados'!BT:BV,2,0),"")</f>
        <v/>
      </c>
      <c r="F24" s="72" t="str">
        <f t="shared" ca="1" si="2"/>
        <v>17.05.2022</v>
      </c>
      <c r="G24" s="74" t="s">
        <v>861</v>
      </c>
      <c r="H24" s="73">
        <v>1</v>
      </c>
      <c r="I24" s="73">
        <v>1</v>
      </c>
      <c r="J24" s="60" t="s">
        <v>507</v>
      </c>
      <c r="K24" s="66"/>
    </row>
    <row r="25" spans="1:11" x14ac:dyDescent="0.2">
      <c r="A25" s="7" t="str">
        <f t="shared" si="0"/>
        <v>Execução 21</v>
      </c>
      <c r="B25" s="78"/>
      <c r="C25" s="43" t="str">
        <f t="shared" si="1"/>
        <v/>
      </c>
      <c r="D25" s="49" t="str">
        <f>IFERROR(VLOOKUP(B25,'MM01-BOB'!B:F,5,0),"")</f>
        <v/>
      </c>
      <c r="E25" s="72" t="str">
        <f>IF(D25&lt;&gt;"",VLOOKUP(D25,'Listas de Dados'!BT:BV,2,0),"")</f>
        <v/>
      </c>
      <c r="F25" s="72" t="str">
        <f t="shared" ca="1" si="2"/>
        <v>17.05.2022</v>
      </c>
      <c r="G25" s="74" t="s">
        <v>861</v>
      </c>
      <c r="H25" s="73">
        <v>1</v>
      </c>
      <c r="I25" s="73">
        <v>1</v>
      </c>
      <c r="J25" s="60" t="s">
        <v>507</v>
      </c>
      <c r="K25" s="66"/>
    </row>
    <row r="26" spans="1:11" x14ac:dyDescent="0.2">
      <c r="A26" s="7" t="str">
        <f t="shared" si="0"/>
        <v>Execução 22</v>
      </c>
      <c r="B26" s="78"/>
      <c r="C26" s="43" t="str">
        <f t="shared" si="1"/>
        <v/>
      </c>
      <c r="D26" s="49" t="str">
        <f>IFERROR(VLOOKUP(B26,'MM01-BOB'!B:F,5,0),"")</f>
        <v/>
      </c>
      <c r="E26" s="72" t="str">
        <f>IF(D26&lt;&gt;"",VLOOKUP(D26,'Listas de Dados'!BT:BV,2,0),"")</f>
        <v/>
      </c>
      <c r="F26" s="72" t="str">
        <f t="shared" ca="1" si="2"/>
        <v>17.05.2022</v>
      </c>
      <c r="G26" s="74" t="s">
        <v>861</v>
      </c>
      <c r="H26" s="73">
        <v>1</v>
      </c>
      <c r="I26" s="73">
        <v>1</v>
      </c>
      <c r="J26" s="60" t="s">
        <v>507</v>
      </c>
      <c r="K26" s="66"/>
    </row>
    <row r="27" spans="1:11" x14ac:dyDescent="0.2">
      <c r="A27" s="7" t="str">
        <f t="shared" si="0"/>
        <v>Execução 23</v>
      </c>
      <c r="B27" s="78"/>
      <c r="C27" s="43" t="str">
        <f t="shared" si="1"/>
        <v/>
      </c>
      <c r="D27" s="49" t="str">
        <f>IFERROR(VLOOKUP(B27,'MM01-BOB'!B:F,5,0),"")</f>
        <v/>
      </c>
      <c r="E27" s="72" t="str">
        <f>IF(D27&lt;&gt;"",VLOOKUP(D27,'Listas de Dados'!BT:BV,2,0),"")</f>
        <v/>
      </c>
      <c r="F27" s="72" t="str">
        <f t="shared" ca="1" si="2"/>
        <v>17.05.2022</v>
      </c>
      <c r="G27" s="74" t="s">
        <v>861</v>
      </c>
      <c r="H27" s="73">
        <v>1</v>
      </c>
      <c r="I27" s="73">
        <v>1</v>
      </c>
      <c r="J27" s="60" t="s">
        <v>507</v>
      </c>
      <c r="K27" s="66"/>
    </row>
    <row r="28" spans="1:11" x14ac:dyDescent="0.2">
      <c r="A28" s="7" t="str">
        <f t="shared" si="0"/>
        <v>Execução 24</v>
      </c>
      <c r="B28" s="78"/>
      <c r="C28" s="43" t="str">
        <f t="shared" si="1"/>
        <v/>
      </c>
      <c r="D28" s="49" t="str">
        <f>IFERROR(VLOOKUP(B28,'MM01-BOB'!B:F,5,0),"")</f>
        <v/>
      </c>
      <c r="E28" s="72" t="str">
        <f>IF(D28&lt;&gt;"",VLOOKUP(D28,'Listas de Dados'!BT:BV,2,0),"")</f>
        <v/>
      </c>
      <c r="F28" s="72" t="str">
        <f t="shared" ca="1" si="2"/>
        <v>17.05.2022</v>
      </c>
      <c r="G28" s="74" t="s">
        <v>861</v>
      </c>
      <c r="H28" s="73">
        <v>1</v>
      </c>
      <c r="I28" s="73">
        <v>1</v>
      </c>
      <c r="J28" s="60" t="s">
        <v>507</v>
      </c>
      <c r="K28" s="66"/>
    </row>
    <row r="29" spans="1:11" x14ac:dyDescent="0.2">
      <c r="A29" s="7" t="str">
        <f t="shared" si="0"/>
        <v>Execução 25</v>
      </c>
      <c r="B29" s="78"/>
      <c r="C29" s="43" t="str">
        <f t="shared" si="1"/>
        <v/>
      </c>
      <c r="D29" s="49" t="str">
        <f>IFERROR(VLOOKUP(B29,'MM01-BOB'!B:F,5,0),"")</f>
        <v/>
      </c>
      <c r="E29" s="72" t="str">
        <f>IF(D29&lt;&gt;"",VLOOKUP(D29,'Listas de Dados'!BT:BV,2,0),"")</f>
        <v/>
      </c>
      <c r="F29" s="72" t="str">
        <f t="shared" ca="1" si="2"/>
        <v>17.05.2022</v>
      </c>
      <c r="G29" s="74" t="s">
        <v>861</v>
      </c>
      <c r="H29" s="73">
        <v>1</v>
      </c>
      <c r="I29" s="73">
        <v>1</v>
      </c>
      <c r="J29" s="60" t="s">
        <v>507</v>
      </c>
      <c r="K29" s="66"/>
    </row>
    <row r="30" spans="1:11" x14ac:dyDescent="0.2">
      <c r="A30" s="7" t="str">
        <f t="shared" si="0"/>
        <v>Execução 26</v>
      </c>
      <c r="B30" s="78"/>
      <c r="C30" s="43" t="str">
        <f t="shared" si="1"/>
        <v/>
      </c>
      <c r="D30" s="49" t="str">
        <f>IFERROR(VLOOKUP(B30,'MM01-BOB'!B:F,5,0),"")</f>
        <v/>
      </c>
      <c r="E30" s="72" t="str">
        <f>IF(D30&lt;&gt;"",VLOOKUP(D30,'Listas de Dados'!BT:BV,2,0),"")</f>
        <v/>
      </c>
      <c r="F30" s="72" t="str">
        <f t="shared" ca="1" si="2"/>
        <v>17.05.2022</v>
      </c>
      <c r="G30" s="74" t="s">
        <v>861</v>
      </c>
      <c r="H30" s="73">
        <v>1</v>
      </c>
      <c r="I30" s="73">
        <v>1</v>
      </c>
      <c r="J30" s="60" t="s">
        <v>507</v>
      </c>
      <c r="K30" s="66"/>
    </row>
    <row r="31" spans="1:11" x14ac:dyDescent="0.2">
      <c r="A31" s="7" t="str">
        <f t="shared" si="0"/>
        <v>Execução 27</v>
      </c>
      <c r="B31" s="78"/>
      <c r="C31" s="43" t="str">
        <f t="shared" si="1"/>
        <v/>
      </c>
      <c r="D31" s="49" t="str">
        <f>IFERROR(VLOOKUP(B31,'MM01-BOB'!B:F,5,0),"")</f>
        <v/>
      </c>
      <c r="E31" s="72" t="str">
        <f>IF(D31&lt;&gt;"",VLOOKUP(D31,'Listas de Dados'!BT:BV,2,0),"")</f>
        <v/>
      </c>
      <c r="F31" s="72" t="str">
        <f t="shared" ca="1" si="2"/>
        <v>17.05.2022</v>
      </c>
      <c r="G31" s="74" t="s">
        <v>861</v>
      </c>
      <c r="H31" s="73">
        <v>1</v>
      </c>
      <c r="I31" s="73">
        <v>1</v>
      </c>
      <c r="J31" s="60" t="s">
        <v>507</v>
      </c>
      <c r="K31" s="66"/>
    </row>
    <row r="32" spans="1:11" x14ac:dyDescent="0.2">
      <c r="A32" s="7" t="str">
        <f t="shared" si="0"/>
        <v>Execução 28</v>
      </c>
      <c r="B32" s="78"/>
      <c r="C32" s="43" t="str">
        <f t="shared" si="1"/>
        <v/>
      </c>
      <c r="D32" s="49" t="str">
        <f>IFERROR(VLOOKUP(B32,'MM01-BOB'!B:F,5,0),"")</f>
        <v/>
      </c>
      <c r="E32" s="72" t="str">
        <f>IF(D32&lt;&gt;"",VLOOKUP(D32,'Listas de Dados'!BT:BV,2,0),"")</f>
        <v/>
      </c>
      <c r="F32" s="72" t="str">
        <f t="shared" ca="1" si="2"/>
        <v>17.05.2022</v>
      </c>
      <c r="G32" s="74" t="s">
        <v>861</v>
      </c>
      <c r="H32" s="73">
        <v>1</v>
      </c>
      <c r="I32" s="73">
        <v>1</v>
      </c>
      <c r="J32" s="60" t="s">
        <v>507</v>
      </c>
      <c r="K32" s="66"/>
    </row>
    <row r="33" spans="1:11" x14ac:dyDescent="0.2">
      <c r="A33" s="7" t="str">
        <f t="shared" si="0"/>
        <v>Execução 29</v>
      </c>
      <c r="B33" s="78"/>
      <c r="C33" s="43" t="str">
        <f t="shared" si="1"/>
        <v/>
      </c>
      <c r="D33" s="49" t="str">
        <f>IFERROR(VLOOKUP(B33,'MM01-BOB'!B:F,5,0),"")</f>
        <v/>
      </c>
      <c r="E33" s="72" t="str">
        <f>IF(D33&lt;&gt;"",VLOOKUP(D33,'Listas de Dados'!BT:BV,2,0),"")</f>
        <v/>
      </c>
      <c r="F33" s="72" t="str">
        <f t="shared" ca="1" si="2"/>
        <v>17.05.2022</v>
      </c>
      <c r="G33" s="74" t="s">
        <v>861</v>
      </c>
      <c r="H33" s="73">
        <v>1</v>
      </c>
      <c r="I33" s="73">
        <v>1</v>
      </c>
      <c r="J33" s="60" t="s">
        <v>507</v>
      </c>
      <c r="K33" s="66"/>
    </row>
    <row r="34" spans="1:11" x14ac:dyDescent="0.2">
      <c r="A34" s="7" t="str">
        <f t="shared" si="0"/>
        <v>Execução 30</v>
      </c>
      <c r="B34" s="78"/>
      <c r="C34" s="43" t="str">
        <f t="shared" si="1"/>
        <v/>
      </c>
      <c r="D34" s="49" t="str">
        <f>IFERROR(VLOOKUP(B34,'MM01-BOB'!B:F,5,0),"")</f>
        <v/>
      </c>
      <c r="E34" s="72" t="str">
        <f>IF(D34&lt;&gt;"",VLOOKUP(D34,'Listas de Dados'!BT:BV,2,0),"")</f>
        <v/>
      </c>
      <c r="F34" s="72" t="str">
        <f t="shared" ca="1" si="2"/>
        <v>17.05.2022</v>
      </c>
      <c r="G34" s="74" t="s">
        <v>861</v>
      </c>
      <c r="H34" s="73">
        <v>1</v>
      </c>
      <c r="I34" s="73">
        <v>1</v>
      </c>
      <c r="J34" s="60" t="s">
        <v>507</v>
      </c>
      <c r="K34" s="66"/>
    </row>
    <row r="35" spans="1:11" x14ac:dyDescent="0.2">
      <c r="A35" s="7" t="str">
        <f t="shared" si="0"/>
        <v>Execução 31</v>
      </c>
      <c r="B35" s="78"/>
      <c r="C35" s="43" t="str">
        <f t="shared" si="1"/>
        <v/>
      </c>
      <c r="D35" s="49" t="str">
        <f>IFERROR(VLOOKUP(B35,'MM01-BOB'!B:F,5,0),"")</f>
        <v/>
      </c>
      <c r="E35" s="72" t="str">
        <f>IF(D35&lt;&gt;"",VLOOKUP(D35,'Listas de Dados'!BT:BV,2,0),"")</f>
        <v/>
      </c>
      <c r="F35" s="72" t="str">
        <f t="shared" ca="1" si="2"/>
        <v>17.05.2022</v>
      </c>
      <c r="G35" s="74" t="s">
        <v>861</v>
      </c>
      <c r="H35" s="73">
        <v>1</v>
      </c>
      <c r="I35" s="73">
        <v>1</v>
      </c>
      <c r="J35" s="60" t="s">
        <v>507</v>
      </c>
      <c r="K35" s="66"/>
    </row>
    <row r="36" spans="1:11" x14ac:dyDescent="0.2">
      <c r="A36" s="7" t="str">
        <f t="shared" si="0"/>
        <v>Execução 32</v>
      </c>
      <c r="B36" s="78"/>
      <c r="C36" s="43" t="str">
        <f t="shared" si="1"/>
        <v/>
      </c>
      <c r="D36" s="49" t="str">
        <f>IFERROR(VLOOKUP(B36,'MM01-BOB'!B:F,5,0),"")</f>
        <v/>
      </c>
      <c r="E36" s="72" t="str">
        <f>IF(D36&lt;&gt;"",VLOOKUP(D36,'Listas de Dados'!BT:BV,2,0),"")</f>
        <v/>
      </c>
      <c r="F36" s="72" t="str">
        <f t="shared" ca="1" si="2"/>
        <v>17.05.2022</v>
      </c>
      <c r="G36" s="74" t="s">
        <v>861</v>
      </c>
      <c r="H36" s="73">
        <v>1</v>
      </c>
      <c r="I36" s="73">
        <v>1</v>
      </c>
      <c r="J36" s="60" t="s">
        <v>507</v>
      </c>
      <c r="K36" s="66"/>
    </row>
    <row r="37" spans="1:11" x14ac:dyDescent="0.2">
      <c r="A37" s="7" t="str">
        <f t="shared" si="0"/>
        <v>Execução 33</v>
      </c>
      <c r="B37" s="78"/>
      <c r="C37" s="43" t="str">
        <f t="shared" si="1"/>
        <v/>
      </c>
      <c r="D37" s="49" t="str">
        <f>IFERROR(VLOOKUP(B37,'MM01-BOB'!B:F,5,0),"")</f>
        <v/>
      </c>
      <c r="E37" s="72" t="str">
        <f>IF(D37&lt;&gt;"",VLOOKUP(D37,'Listas de Dados'!BT:BV,2,0),"")</f>
        <v/>
      </c>
      <c r="F37" s="72" t="str">
        <f t="shared" ca="1" si="2"/>
        <v>17.05.2022</v>
      </c>
      <c r="G37" s="74" t="s">
        <v>861</v>
      </c>
      <c r="H37" s="73">
        <v>1</v>
      </c>
      <c r="I37" s="73">
        <v>1</v>
      </c>
      <c r="J37" s="60" t="s">
        <v>507</v>
      </c>
      <c r="K37" s="66"/>
    </row>
    <row r="38" spans="1:11" x14ac:dyDescent="0.2">
      <c r="A38" s="7" t="str">
        <f t="shared" si="0"/>
        <v>Execução 34</v>
      </c>
      <c r="B38" s="78"/>
      <c r="C38" s="43" t="str">
        <f t="shared" si="1"/>
        <v/>
      </c>
      <c r="D38" s="49" t="str">
        <f>IFERROR(VLOOKUP(B38,'MM01-BOB'!B:F,5,0),"")</f>
        <v/>
      </c>
      <c r="E38" s="72" t="str">
        <f>IF(D38&lt;&gt;"",VLOOKUP(D38,'Listas de Dados'!BT:BV,2,0),"")</f>
        <v/>
      </c>
      <c r="F38" s="72" t="str">
        <f t="shared" ca="1" si="2"/>
        <v>17.05.2022</v>
      </c>
      <c r="G38" s="74" t="s">
        <v>861</v>
      </c>
      <c r="H38" s="73">
        <v>1</v>
      </c>
      <c r="I38" s="73">
        <v>1</v>
      </c>
      <c r="J38" s="60" t="s">
        <v>507</v>
      </c>
      <c r="K38" s="66"/>
    </row>
    <row r="39" spans="1:11" x14ac:dyDescent="0.2">
      <c r="A39" s="7" t="str">
        <f t="shared" si="0"/>
        <v>Execução 35</v>
      </c>
      <c r="B39" s="78"/>
      <c r="C39" s="43" t="str">
        <f t="shared" si="1"/>
        <v/>
      </c>
      <c r="D39" s="49" t="str">
        <f>IFERROR(VLOOKUP(B39,'MM01-BOB'!B:F,5,0),"")</f>
        <v/>
      </c>
      <c r="E39" s="72" t="str">
        <f>IF(D39&lt;&gt;"",VLOOKUP(D39,'Listas de Dados'!BT:BV,2,0),"")</f>
        <v/>
      </c>
      <c r="F39" s="72" t="str">
        <f t="shared" ca="1" si="2"/>
        <v>17.05.2022</v>
      </c>
      <c r="G39" s="74" t="s">
        <v>861</v>
      </c>
      <c r="H39" s="73">
        <v>1</v>
      </c>
      <c r="I39" s="73">
        <v>1</v>
      </c>
      <c r="J39" s="60" t="s">
        <v>507</v>
      </c>
      <c r="K39" s="66"/>
    </row>
    <row r="40" spans="1:11" x14ac:dyDescent="0.2">
      <c r="A40" s="7" t="str">
        <f t="shared" si="0"/>
        <v>Execução 36</v>
      </c>
      <c r="B40" s="78"/>
      <c r="C40" s="43" t="str">
        <f t="shared" si="1"/>
        <v/>
      </c>
      <c r="D40" s="49" t="str">
        <f>IFERROR(VLOOKUP(B40,'MM01-BOB'!B:F,5,0),"")</f>
        <v/>
      </c>
      <c r="E40" s="72" t="str">
        <f>IF(D40&lt;&gt;"",VLOOKUP(D40,'Listas de Dados'!BT:BV,2,0),"")</f>
        <v/>
      </c>
      <c r="F40" s="72" t="str">
        <f t="shared" ca="1" si="2"/>
        <v>17.05.2022</v>
      </c>
      <c r="G40" s="74" t="s">
        <v>861</v>
      </c>
      <c r="H40" s="73">
        <v>1</v>
      </c>
      <c r="I40" s="73">
        <v>1</v>
      </c>
      <c r="J40" s="60" t="s">
        <v>507</v>
      </c>
      <c r="K40" s="66"/>
    </row>
    <row r="41" spans="1:11" x14ac:dyDescent="0.2">
      <c r="A41" s="7" t="str">
        <f t="shared" si="0"/>
        <v>Execução 37</v>
      </c>
      <c r="B41" s="78"/>
      <c r="C41" s="43" t="str">
        <f t="shared" si="1"/>
        <v/>
      </c>
      <c r="D41" s="49" t="str">
        <f>IFERROR(VLOOKUP(B41,'MM01-BOB'!B:F,5,0),"")</f>
        <v/>
      </c>
      <c r="E41" s="72" t="str">
        <f>IF(D41&lt;&gt;"",VLOOKUP(D41,'Listas de Dados'!BT:BV,2,0),"")</f>
        <v/>
      </c>
      <c r="F41" s="72" t="str">
        <f t="shared" ca="1" si="2"/>
        <v>17.05.2022</v>
      </c>
      <c r="G41" s="74" t="s">
        <v>861</v>
      </c>
      <c r="H41" s="73">
        <v>1</v>
      </c>
      <c r="I41" s="73">
        <v>1</v>
      </c>
      <c r="J41" s="60" t="s">
        <v>507</v>
      </c>
      <c r="K41" s="66"/>
    </row>
    <row r="42" spans="1:11" x14ac:dyDescent="0.2">
      <c r="A42" s="7" t="str">
        <f t="shared" si="0"/>
        <v>Execução 38</v>
      </c>
      <c r="B42" s="78"/>
      <c r="C42" s="43" t="str">
        <f t="shared" si="1"/>
        <v/>
      </c>
      <c r="D42" s="49" t="str">
        <f>IFERROR(VLOOKUP(B42,'MM01-BOB'!B:F,5,0),"")</f>
        <v/>
      </c>
      <c r="E42" s="72" t="str">
        <f>IF(D42&lt;&gt;"",VLOOKUP(D42,'Listas de Dados'!BT:BV,2,0),"")</f>
        <v/>
      </c>
      <c r="F42" s="72" t="str">
        <f t="shared" ca="1" si="2"/>
        <v>17.05.2022</v>
      </c>
      <c r="G42" s="74" t="s">
        <v>861</v>
      </c>
      <c r="H42" s="73">
        <v>1</v>
      </c>
      <c r="I42" s="73">
        <v>1</v>
      </c>
      <c r="J42" s="60" t="s">
        <v>507</v>
      </c>
      <c r="K42" s="66"/>
    </row>
    <row r="43" spans="1:11" x14ac:dyDescent="0.2">
      <c r="A43" s="7" t="str">
        <f t="shared" si="0"/>
        <v>Execução 39</v>
      </c>
      <c r="B43" s="78"/>
      <c r="C43" s="43" t="str">
        <f t="shared" si="1"/>
        <v/>
      </c>
      <c r="D43" s="49" t="str">
        <f>IFERROR(VLOOKUP(B43,'MM01-BOB'!B:F,5,0),"")</f>
        <v/>
      </c>
      <c r="E43" s="72" t="str">
        <f>IF(D43&lt;&gt;"",VLOOKUP(D43,'Listas de Dados'!BT:BV,2,0),"")</f>
        <v/>
      </c>
      <c r="F43" s="72" t="str">
        <f t="shared" ca="1" si="2"/>
        <v>17.05.2022</v>
      </c>
      <c r="G43" s="74" t="s">
        <v>861</v>
      </c>
      <c r="H43" s="73">
        <v>1</v>
      </c>
      <c r="I43" s="73">
        <v>1</v>
      </c>
      <c r="J43" s="60" t="s">
        <v>507</v>
      </c>
      <c r="K43" s="66"/>
    </row>
    <row r="44" spans="1:11" x14ac:dyDescent="0.2">
      <c r="A44" s="7" t="str">
        <f t="shared" si="0"/>
        <v>Execução 40</v>
      </c>
      <c r="B44" s="78"/>
      <c r="C44" s="43" t="str">
        <f t="shared" si="1"/>
        <v/>
      </c>
      <c r="D44" s="49" t="str">
        <f>IFERROR(VLOOKUP(B44,'MM01-BOB'!B:F,5,0),"")</f>
        <v/>
      </c>
      <c r="E44" s="72" t="str">
        <f>IF(D44&lt;&gt;"",VLOOKUP(D44,'Listas de Dados'!BT:BV,2,0),"")</f>
        <v/>
      </c>
      <c r="F44" s="72" t="str">
        <f t="shared" ca="1" si="2"/>
        <v>17.05.2022</v>
      </c>
      <c r="G44" s="74" t="s">
        <v>861</v>
      </c>
      <c r="H44" s="73">
        <v>1</v>
      </c>
      <c r="I44" s="73">
        <v>1</v>
      </c>
      <c r="J44" s="60" t="s">
        <v>507</v>
      </c>
      <c r="K44" s="66"/>
    </row>
    <row r="45" spans="1:11" x14ac:dyDescent="0.2">
      <c r="A45" s="7" t="str">
        <f t="shared" si="0"/>
        <v>Execução 41</v>
      </c>
      <c r="B45" s="78"/>
      <c r="C45" s="43" t="str">
        <f t="shared" si="1"/>
        <v/>
      </c>
      <c r="D45" s="49" t="str">
        <f>IFERROR(VLOOKUP(B45,'MM01-BOB'!B:F,5,0),"")</f>
        <v/>
      </c>
      <c r="E45" s="72" t="str">
        <f>IF(D45&lt;&gt;"",VLOOKUP(D45,'Listas de Dados'!BT:BV,2,0),"")</f>
        <v/>
      </c>
      <c r="F45" s="72" t="str">
        <f t="shared" ca="1" si="2"/>
        <v>17.05.2022</v>
      </c>
      <c r="G45" s="74" t="s">
        <v>861</v>
      </c>
      <c r="H45" s="73">
        <v>1</v>
      </c>
      <c r="I45" s="73">
        <v>1</v>
      </c>
      <c r="J45" s="60" t="s">
        <v>507</v>
      </c>
      <c r="K45" s="66"/>
    </row>
    <row r="46" spans="1:11" x14ac:dyDescent="0.2">
      <c r="A46" s="7" t="str">
        <f t="shared" si="0"/>
        <v>Execução 42</v>
      </c>
      <c r="B46" s="78"/>
      <c r="C46" s="43" t="str">
        <f t="shared" si="1"/>
        <v/>
      </c>
      <c r="D46" s="49" t="str">
        <f>IFERROR(VLOOKUP(B46,'MM01-BOB'!B:F,5,0),"")</f>
        <v/>
      </c>
      <c r="E46" s="72" t="str">
        <f>IF(D46&lt;&gt;"",VLOOKUP(D46,'Listas de Dados'!BT:BV,2,0),"")</f>
        <v/>
      </c>
      <c r="F46" s="72" t="str">
        <f t="shared" ca="1" si="2"/>
        <v>17.05.2022</v>
      </c>
      <c r="G46" s="74" t="s">
        <v>861</v>
      </c>
      <c r="H46" s="73">
        <v>1</v>
      </c>
      <c r="I46" s="73">
        <v>1</v>
      </c>
      <c r="J46" s="60" t="s">
        <v>507</v>
      </c>
      <c r="K46" s="66"/>
    </row>
    <row r="47" spans="1:11" x14ac:dyDescent="0.2">
      <c r="A47" s="7" t="str">
        <f t="shared" si="0"/>
        <v>Execução 43</v>
      </c>
      <c r="B47" s="78"/>
      <c r="C47" s="43" t="str">
        <f t="shared" si="1"/>
        <v/>
      </c>
      <c r="D47" s="49" t="str">
        <f>IFERROR(VLOOKUP(B47,'MM01-BOB'!B:F,5,0),"")</f>
        <v/>
      </c>
      <c r="E47" s="72" t="str">
        <f>IF(D47&lt;&gt;"",VLOOKUP(D47,'Listas de Dados'!BT:BV,2,0),"")</f>
        <v/>
      </c>
      <c r="F47" s="72" t="str">
        <f t="shared" ca="1" si="2"/>
        <v>17.05.2022</v>
      </c>
      <c r="G47" s="74" t="s">
        <v>861</v>
      </c>
      <c r="H47" s="73">
        <v>1</v>
      </c>
      <c r="I47" s="73">
        <v>1</v>
      </c>
      <c r="J47" s="60" t="s">
        <v>507</v>
      </c>
      <c r="K47" s="66"/>
    </row>
    <row r="48" spans="1:11" x14ac:dyDescent="0.2">
      <c r="A48" s="7" t="str">
        <f t="shared" si="0"/>
        <v>Execução 44</v>
      </c>
      <c r="B48" s="78"/>
      <c r="C48" s="43" t="str">
        <f t="shared" si="1"/>
        <v/>
      </c>
      <c r="D48" s="49" t="str">
        <f>IFERROR(VLOOKUP(B48,'MM01-BOB'!B:F,5,0),"")</f>
        <v/>
      </c>
      <c r="E48" s="72" t="str">
        <f>IF(D48&lt;&gt;"",VLOOKUP(D48,'Listas de Dados'!BT:BV,2,0),"")</f>
        <v/>
      </c>
      <c r="F48" s="72" t="str">
        <f t="shared" ca="1" si="2"/>
        <v>17.05.2022</v>
      </c>
      <c r="G48" s="74" t="s">
        <v>861</v>
      </c>
      <c r="H48" s="73">
        <v>1</v>
      </c>
      <c r="I48" s="73">
        <v>1</v>
      </c>
      <c r="J48" s="60" t="s">
        <v>507</v>
      </c>
      <c r="K48" s="66"/>
    </row>
    <row r="49" spans="1:11" x14ac:dyDescent="0.2">
      <c r="A49" s="7" t="str">
        <f t="shared" si="0"/>
        <v>Execução 45</v>
      </c>
      <c r="B49" s="78"/>
      <c r="C49" s="43" t="str">
        <f t="shared" si="1"/>
        <v/>
      </c>
      <c r="D49" s="49" t="str">
        <f>IFERROR(VLOOKUP(B49,'MM01-BOB'!B:F,5,0),"")</f>
        <v/>
      </c>
      <c r="E49" s="72" t="str">
        <f>IF(D49&lt;&gt;"",VLOOKUP(D49,'Listas de Dados'!BT:BV,2,0),"")</f>
        <v/>
      </c>
      <c r="F49" s="72" t="str">
        <f t="shared" ca="1" si="2"/>
        <v>17.05.2022</v>
      </c>
      <c r="G49" s="74" t="s">
        <v>861</v>
      </c>
      <c r="H49" s="73">
        <v>1</v>
      </c>
      <c r="I49" s="73">
        <v>1</v>
      </c>
      <c r="J49" s="60" t="s">
        <v>507</v>
      </c>
      <c r="K49" s="66"/>
    </row>
    <row r="50" spans="1:11" x14ac:dyDescent="0.2">
      <c r="A50" s="7" t="str">
        <f t="shared" si="0"/>
        <v>Execução 46</v>
      </c>
      <c r="B50" s="78"/>
      <c r="C50" s="43" t="str">
        <f t="shared" si="1"/>
        <v/>
      </c>
      <c r="D50" s="49" t="str">
        <f>IFERROR(VLOOKUP(B50,'MM01-BOB'!B:F,5,0),"")</f>
        <v/>
      </c>
      <c r="E50" s="72" t="str">
        <f>IF(D50&lt;&gt;"",VLOOKUP(D50,'Listas de Dados'!BT:BV,2,0),"")</f>
        <v/>
      </c>
      <c r="F50" s="72" t="str">
        <f t="shared" ca="1" si="2"/>
        <v>17.05.2022</v>
      </c>
      <c r="G50" s="74" t="s">
        <v>861</v>
      </c>
      <c r="H50" s="73">
        <v>1</v>
      </c>
      <c r="I50" s="73">
        <v>1</v>
      </c>
      <c r="J50" s="60" t="s">
        <v>507</v>
      </c>
      <c r="K50" s="66"/>
    </row>
    <row r="51" spans="1:11" x14ac:dyDescent="0.2">
      <c r="A51" s="7" t="str">
        <f t="shared" si="0"/>
        <v>Execução 47</v>
      </c>
      <c r="B51" s="78"/>
      <c r="C51" s="43" t="str">
        <f t="shared" si="1"/>
        <v/>
      </c>
      <c r="D51" s="49" t="str">
        <f>IFERROR(VLOOKUP(B51,'MM01-BOB'!B:F,5,0),"")</f>
        <v/>
      </c>
      <c r="E51" s="72" t="str">
        <f>IF(D51&lt;&gt;"",VLOOKUP(D51,'Listas de Dados'!BT:BV,2,0),"")</f>
        <v/>
      </c>
      <c r="F51" s="72" t="str">
        <f t="shared" ca="1" si="2"/>
        <v>17.05.2022</v>
      </c>
      <c r="G51" s="74" t="s">
        <v>861</v>
      </c>
      <c r="H51" s="73">
        <v>1</v>
      </c>
      <c r="I51" s="73">
        <v>1</v>
      </c>
      <c r="J51" s="60" t="s">
        <v>507</v>
      </c>
      <c r="K51" s="66"/>
    </row>
    <row r="52" spans="1:11" x14ac:dyDescent="0.2">
      <c r="A52" s="7" t="str">
        <f t="shared" si="0"/>
        <v>Execução 48</v>
      </c>
      <c r="B52" s="78"/>
      <c r="C52" s="43" t="str">
        <f t="shared" si="1"/>
        <v/>
      </c>
      <c r="D52" s="49" t="str">
        <f>IFERROR(VLOOKUP(B52,'MM01-BOB'!B:F,5,0),"")</f>
        <v/>
      </c>
      <c r="E52" s="72" t="str">
        <f>IF(D52&lt;&gt;"",VLOOKUP(D52,'Listas de Dados'!BT:BV,2,0),"")</f>
        <v/>
      </c>
      <c r="F52" s="72" t="str">
        <f t="shared" ca="1" si="2"/>
        <v>17.05.2022</v>
      </c>
      <c r="G52" s="74" t="s">
        <v>861</v>
      </c>
      <c r="H52" s="73">
        <v>1</v>
      </c>
      <c r="I52" s="73">
        <v>1</v>
      </c>
      <c r="J52" s="60" t="s">
        <v>507</v>
      </c>
      <c r="K52" s="66"/>
    </row>
    <row r="53" spans="1:11" x14ac:dyDescent="0.2">
      <c r="A53" s="7" t="str">
        <f t="shared" si="0"/>
        <v>Execução 49</v>
      </c>
      <c r="B53" s="78"/>
      <c r="C53" s="43" t="str">
        <f t="shared" si="1"/>
        <v/>
      </c>
      <c r="D53" s="49" t="str">
        <f>IFERROR(VLOOKUP(B53,'MM01-BOB'!B:F,5,0),"")</f>
        <v/>
      </c>
      <c r="E53" s="72" t="str">
        <f>IF(D53&lt;&gt;"",VLOOKUP(D53,'Listas de Dados'!BT:BV,2,0),"")</f>
        <v/>
      </c>
      <c r="F53" s="72" t="str">
        <f t="shared" ca="1" si="2"/>
        <v>17.05.2022</v>
      </c>
      <c r="G53" s="74" t="s">
        <v>861</v>
      </c>
      <c r="H53" s="73">
        <v>1</v>
      </c>
      <c r="I53" s="73">
        <v>1</v>
      </c>
      <c r="J53" s="60" t="s">
        <v>507</v>
      </c>
      <c r="K53" s="66"/>
    </row>
    <row r="54" spans="1:11" x14ac:dyDescent="0.2">
      <c r="A54" s="7" t="str">
        <f t="shared" si="0"/>
        <v>Execução 50</v>
      </c>
      <c r="B54" s="78"/>
      <c r="C54" s="43" t="str">
        <f t="shared" si="1"/>
        <v/>
      </c>
      <c r="D54" s="49" t="str">
        <f>IFERROR(VLOOKUP(B54,'MM01-BOB'!B:F,5,0),"")</f>
        <v/>
      </c>
      <c r="E54" s="72" t="str">
        <f>IF(D54&lt;&gt;"",VLOOKUP(D54,'Listas de Dados'!BT:BV,2,0),"")</f>
        <v/>
      </c>
      <c r="F54" s="72" t="str">
        <f t="shared" ca="1" si="2"/>
        <v>17.05.2022</v>
      </c>
      <c r="G54" s="74" t="s">
        <v>861</v>
      </c>
      <c r="H54" s="73">
        <v>1</v>
      </c>
      <c r="I54" s="73">
        <v>1</v>
      </c>
      <c r="J54" s="60" t="s">
        <v>507</v>
      </c>
      <c r="K54" s="67"/>
    </row>
  </sheetData>
  <conditionalFormatting sqref="B5">
    <cfRule type="beginsWith" dxfId="61" priority="9" operator="beginsWith" text="L">
      <formula>LEFT(B5,LEN("L"))="L"</formula>
    </cfRule>
  </conditionalFormatting>
  <conditionalFormatting sqref="B6:B14">
    <cfRule type="beginsWith" dxfId="60" priority="8" operator="beginsWith" text="L">
      <formula>LEFT(B6,LEN("L"))="L"</formula>
    </cfRule>
  </conditionalFormatting>
  <conditionalFormatting sqref="B15:B54">
    <cfRule type="beginsWith" dxfId="59" priority="7" operator="beginsWith" text="L">
      <formula>LEFT(B15,LEN("L"))="L"</formula>
    </cfRule>
  </conditionalFormatting>
  <conditionalFormatting sqref="K1:K1048576">
    <cfRule type="containsText" dxfId="58" priority="2" operator="containsText" text="criadas">
      <formula>NOT(ISERROR(SEARCH("criadas",K1)))</formula>
    </cfRule>
    <cfRule type="containsText" dxfId="57" priority="3" operator="containsText" text="é gravado">
      <formula>NOT(ISERROR(SEARCH("é gravado",K1)))</formula>
    </cfRule>
    <cfRule type="containsText" dxfId="56" priority="4" operator="containsText" text="é modificado">
      <formula>NOT(ISERROR(SEARCH("é modificado",K1)))</formula>
    </cfRule>
    <cfRule type="containsText" dxfId="55" priority="5" operator="containsText" text="Error">
      <formula>NOT(ISERROR(SEARCH("Error",K1)))</formula>
    </cfRule>
    <cfRule type="containsText" dxfId="54" priority="6" operator="containsText" text="é criado">
      <formula>NOT(ISERROR(SEARCH("é criado",K1)))</formula>
    </cfRule>
  </conditionalFormatting>
  <conditionalFormatting sqref="C5:C54">
    <cfRule type="beginsWith" dxfId="53" priority="1" operator="beginsWith" text="L">
      <formula>LEFT(C5,LEN("L"))="L"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D5:D54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CX40"/>
  <sheetViews>
    <sheetView showGridLines="0" showRowColHeaders="0" workbookViewId="0">
      <pane xSplit="4" ySplit="4" topLeftCell="CX5" activePane="bottomRight" state="frozen"/>
      <selection pane="topRight" activeCell="D1" sqref="D1"/>
      <selection pane="bottomLeft" activeCell="A5" sqref="A5"/>
      <selection pane="bottomRight" activeCell="CQ5" sqref="CQ5:CQ40"/>
    </sheetView>
  </sheetViews>
  <sheetFormatPr defaultRowHeight="12.75" outlineLevelCol="1" x14ac:dyDescent="0.2"/>
  <cols>
    <col min="1" max="1" width="11.7109375" style="7" customWidth="1"/>
    <col min="2" max="3" width="18.5703125" style="6" customWidth="1"/>
    <col min="4" max="4" width="42.140625" style="6" customWidth="1"/>
    <col min="5" max="5" width="18.42578125" style="6" customWidth="1"/>
    <col min="6" max="6" width="18.7109375" style="6" customWidth="1"/>
    <col min="7" max="8" width="18.140625" style="6" customWidth="1" outlineLevel="1"/>
    <col min="9" max="9" width="18.5703125" style="6" customWidth="1" outlineLevel="1"/>
    <col min="10" max="10" width="23.42578125" style="6" customWidth="1" outlineLevel="1"/>
    <col min="11" max="11" width="18.85546875" style="6" customWidth="1" outlineLevel="1"/>
    <col min="12" max="12" width="11.7109375" style="6" customWidth="1"/>
    <col min="13" max="15" width="8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9.14062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6.42578125" style="6" customWidth="1"/>
    <col min="42" max="42" width="17" style="6" customWidth="1"/>
    <col min="43" max="43" width="26.28515625" style="6" customWidth="1"/>
    <col min="44" max="44" width="21.140625" style="6" customWidth="1"/>
    <col min="45" max="45" width="16" style="6" customWidth="1"/>
    <col min="46" max="46" width="17.5703125" style="6" customWidth="1"/>
    <col min="47" max="47" width="16.5703125" style="6" customWidth="1"/>
    <col min="48" max="48" width="16.42578125" style="6" customWidth="1"/>
    <col min="49" max="49" width="20.5703125" style="6" customWidth="1"/>
    <col min="50" max="50" width="17.42578125" style="6" customWidth="1"/>
    <col min="51" max="53" width="16.42578125" style="6" customWidth="1"/>
    <col min="54" max="54" width="16.7109375" style="6" customWidth="1"/>
    <col min="55" max="56" width="16.28515625" style="6" customWidth="1"/>
    <col min="57" max="57" width="16.42578125" style="6" customWidth="1"/>
    <col min="58" max="58" width="16.140625" style="6" customWidth="1"/>
    <col min="59" max="59" width="16.7109375" style="6" customWidth="1"/>
    <col min="60" max="60" width="17.5703125" style="6" customWidth="1"/>
    <col min="61" max="61" width="19.85546875" style="6" customWidth="1"/>
    <col min="62" max="62" width="20.140625" style="6" customWidth="1"/>
    <col min="63" max="63" width="16.140625" style="6" customWidth="1"/>
    <col min="64" max="64" width="20.140625" style="6" customWidth="1"/>
    <col min="65" max="65" width="21.7109375" style="6" customWidth="1"/>
    <col min="66" max="66" width="18.28515625" style="6" customWidth="1"/>
    <col min="67" max="67" width="18.7109375" style="6" customWidth="1"/>
    <col min="68" max="68" width="17.7109375" style="6" customWidth="1"/>
    <col min="69" max="69" width="18.85546875" style="6" customWidth="1"/>
    <col min="70" max="70" width="17.42578125" style="6" customWidth="1"/>
    <col min="71" max="71" width="15.85546875" style="6" customWidth="1"/>
    <col min="72" max="72" width="17.7109375" style="6" customWidth="1"/>
    <col min="73" max="73" width="18.7109375" style="6" customWidth="1"/>
    <col min="74" max="74" width="18.140625" style="6" customWidth="1"/>
    <col min="75" max="75" width="16.140625" style="6" customWidth="1"/>
    <col min="76" max="76" width="18.140625" style="6" customWidth="1"/>
    <col min="77" max="77" width="19.140625" style="6" customWidth="1"/>
    <col min="78" max="78" width="20.7109375" style="6" customWidth="1"/>
    <col min="79" max="79" width="19.7109375" style="6" customWidth="1"/>
    <col min="80" max="80" width="20.5703125" style="6" hidden="1" customWidth="1" outlineLevel="1"/>
    <col min="81" max="81" width="18.5703125" style="6" hidden="1" customWidth="1" outlineLevel="1"/>
    <col min="82" max="82" width="20.7109375" style="6" hidden="1" customWidth="1" outlineLevel="1"/>
    <col min="83" max="83" width="20.5703125" style="6" hidden="1" customWidth="1" outlineLevel="1"/>
    <col min="84" max="84" width="23.42578125" style="6" customWidth="1" collapsed="1"/>
    <col min="85" max="85" width="22" style="82" customWidth="1"/>
    <col min="86" max="86" width="22.42578125" style="82" customWidth="1"/>
    <col min="87" max="87" width="15.85546875" style="6" customWidth="1"/>
    <col min="88" max="88" width="20.5703125" style="6" customWidth="1"/>
    <col min="89" max="89" width="20.7109375" style="6" customWidth="1"/>
    <col min="90" max="91" width="22.42578125" style="6" customWidth="1"/>
    <col min="92" max="92" width="17.85546875" style="6" customWidth="1"/>
    <col min="93" max="93" width="17.42578125" style="6" customWidth="1"/>
    <col min="94" max="94" width="28.5703125" style="6" customWidth="1"/>
    <col min="95" max="95" width="17.42578125" style="6" customWidth="1"/>
    <col min="96" max="96" width="18.5703125" style="6" customWidth="1"/>
    <col min="97" max="97" width="16.7109375" style="6" customWidth="1"/>
    <col min="98" max="99" width="17.7109375" style="6" customWidth="1"/>
    <col min="100" max="100" width="23" style="6" customWidth="1"/>
    <col min="101" max="101" width="20.85546875" style="6" customWidth="1"/>
    <col min="102" max="102" width="75.7109375" style="1" customWidth="1"/>
    <col min="103" max="103" width="22" style="1" customWidth="1"/>
    <col min="104" max="16384" width="9.140625" style="1"/>
  </cols>
  <sheetData>
    <row r="1" spans="1:102" s="83" customFormat="1" x14ac:dyDescent="0.2">
      <c r="A1" s="7" t="s">
        <v>28</v>
      </c>
      <c r="L1" s="102" t="s">
        <v>170</v>
      </c>
      <c r="AN1" s="102" t="s">
        <v>127</v>
      </c>
      <c r="CF1" s="100" t="s">
        <v>699</v>
      </c>
      <c r="CG1" s="33"/>
      <c r="CH1" s="33"/>
    </row>
    <row r="2" spans="1:102" s="41" customFormat="1" x14ac:dyDescent="0.2">
      <c r="A2" s="7"/>
      <c r="B2" s="40"/>
      <c r="C2" s="40"/>
      <c r="D2" s="83"/>
      <c r="E2" s="83" t="s">
        <v>922</v>
      </c>
      <c r="F2" s="83"/>
      <c r="G2" s="83"/>
      <c r="H2" s="83"/>
      <c r="I2" s="83"/>
      <c r="J2" s="83"/>
      <c r="K2" s="83"/>
      <c r="L2" s="102"/>
      <c r="M2" s="83"/>
      <c r="N2" s="83"/>
      <c r="O2" s="83"/>
      <c r="P2" s="83"/>
      <c r="Q2" s="83"/>
      <c r="R2" s="83"/>
      <c r="S2" s="83"/>
      <c r="T2" s="83"/>
      <c r="U2" s="83"/>
      <c r="V2" s="83"/>
      <c r="W2" s="83"/>
      <c r="X2" s="83"/>
      <c r="Y2" s="83"/>
      <c r="Z2" s="83"/>
      <c r="AA2" s="83"/>
      <c r="AB2" s="83"/>
      <c r="AC2" s="83"/>
      <c r="AD2" s="83"/>
      <c r="AE2" s="83"/>
      <c r="AF2" s="83"/>
      <c r="AG2" s="83"/>
      <c r="AH2" s="83"/>
      <c r="AI2" s="83"/>
      <c r="AJ2" s="83"/>
      <c r="AK2" s="83"/>
      <c r="AL2" s="83"/>
      <c r="AM2" s="83"/>
      <c r="AN2" s="102"/>
      <c r="AO2" s="83" t="s">
        <v>922</v>
      </c>
      <c r="AP2" s="83" t="s">
        <v>922</v>
      </c>
      <c r="AQ2" s="83" t="s">
        <v>922</v>
      </c>
      <c r="AR2" s="83" t="s">
        <v>922</v>
      </c>
      <c r="AS2" s="83" t="s">
        <v>922</v>
      </c>
      <c r="AT2" s="83" t="s">
        <v>922</v>
      </c>
      <c r="AU2" s="83" t="s">
        <v>922</v>
      </c>
      <c r="AV2" s="83" t="s">
        <v>922</v>
      </c>
      <c r="AW2" s="83"/>
      <c r="AX2" s="83"/>
      <c r="AY2" s="83"/>
      <c r="AZ2" s="83"/>
      <c r="BA2" s="83"/>
      <c r="BB2" s="83"/>
      <c r="BC2" s="83" t="s">
        <v>509</v>
      </c>
      <c r="BD2" s="83"/>
      <c r="BE2" s="83"/>
      <c r="BF2" s="83"/>
      <c r="BG2" s="83"/>
      <c r="BH2" s="83"/>
      <c r="BI2" s="83"/>
      <c r="BJ2" s="83"/>
      <c r="BK2" s="83"/>
      <c r="BL2" s="83"/>
      <c r="BM2" s="83"/>
      <c r="BN2" s="83"/>
      <c r="BO2" s="83"/>
      <c r="BP2" s="83"/>
      <c r="BQ2" s="83"/>
      <c r="BR2" s="83"/>
      <c r="BS2" s="83"/>
      <c r="BT2" s="83"/>
      <c r="BU2" s="83"/>
      <c r="BV2" s="83"/>
      <c r="BW2" s="83"/>
      <c r="BX2" s="83"/>
      <c r="BY2" s="83"/>
      <c r="BZ2" s="83"/>
      <c r="CA2" s="83"/>
      <c r="CB2" s="83"/>
      <c r="CC2" s="83"/>
      <c r="CD2" s="83"/>
      <c r="CE2" s="83"/>
      <c r="CF2" s="100"/>
      <c r="CG2" s="33"/>
      <c r="CH2" s="33"/>
      <c r="CI2" s="83"/>
      <c r="CJ2" s="83" t="s">
        <v>922</v>
      </c>
      <c r="CK2" s="83"/>
      <c r="CL2" s="83"/>
      <c r="CM2" s="83"/>
      <c r="CN2" s="83"/>
      <c r="CO2" s="83" t="s">
        <v>922</v>
      </c>
      <c r="CP2" s="83" t="s">
        <v>922</v>
      </c>
      <c r="CQ2" s="83"/>
      <c r="CR2" s="83"/>
      <c r="CS2" s="83"/>
      <c r="CT2" s="83"/>
      <c r="CU2" s="83"/>
      <c r="CV2" s="83"/>
      <c r="CW2" s="83" t="s">
        <v>922</v>
      </c>
    </row>
    <row r="3" spans="1:102" s="83" customFormat="1" ht="15" customHeight="1" x14ac:dyDescent="0.2">
      <c r="A3" s="7" t="s">
        <v>29</v>
      </c>
      <c r="B3" s="4" t="s">
        <v>906</v>
      </c>
      <c r="C3" s="4" t="s">
        <v>94</v>
      </c>
      <c r="D3" s="84" t="s">
        <v>163</v>
      </c>
      <c r="E3" s="84" t="s">
        <v>98</v>
      </c>
      <c r="F3" s="84" t="s">
        <v>96</v>
      </c>
      <c r="G3" s="84" t="s">
        <v>156</v>
      </c>
      <c r="H3" s="84" t="s">
        <v>158</v>
      </c>
      <c r="I3" s="84" t="s">
        <v>157</v>
      </c>
      <c r="J3" s="84" t="s">
        <v>160</v>
      </c>
      <c r="K3" s="84" t="s">
        <v>161</v>
      </c>
      <c r="L3" s="84"/>
      <c r="M3" s="101" t="s">
        <v>155</v>
      </c>
      <c r="N3" s="101"/>
      <c r="O3" s="101"/>
      <c r="P3" s="101"/>
      <c r="Q3" s="101"/>
      <c r="R3" s="101"/>
      <c r="S3" s="101"/>
      <c r="T3" s="101"/>
      <c r="U3" s="101"/>
      <c r="V3" s="101"/>
      <c r="W3" s="101"/>
      <c r="X3" s="101"/>
      <c r="Y3" s="101"/>
      <c r="Z3" s="101"/>
      <c r="AA3" s="101"/>
      <c r="AB3" s="101"/>
      <c r="AC3" s="101"/>
      <c r="AD3" s="101"/>
      <c r="AE3" s="101"/>
      <c r="AF3" s="101"/>
      <c r="AG3" s="101"/>
      <c r="AH3" s="101"/>
      <c r="AI3" s="101"/>
      <c r="AJ3" s="101"/>
      <c r="AK3" s="101"/>
      <c r="AL3" s="101"/>
      <c r="AM3" s="101"/>
      <c r="AN3" s="84"/>
      <c r="AO3" s="84" t="s">
        <v>302</v>
      </c>
      <c r="AP3" s="84" t="s">
        <v>304</v>
      </c>
      <c r="AQ3" s="84" t="s">
        <v>305</v>
      </c>
      <c r="AR3" s="84" t="s">
        <v>308</v>
      </c>
      <c r="AS3" s="84" t="s">
        <v>338</v>
      </c>
      <c r="AT3" s="84" t="s">
        <v>340</v>
      </c>
      <c r="AU3" s="84" t="s">
        <v>342</v>
      </c>
      <c r="AV3" s="84" t="s">
        <v>725</v>
      </c>
      <c r="AW3" s="84" t="s">
        <v>865</v>
      </c>
      <c r="AX3" s="84" t="s">
        <v>344</v>
      </c>
      <c r="AY3" s="84" t="s">
        <v>867</v>
      </c>
      <c r="AZ3" s="84" t="s">
        <v>346</v>
      </c>
      <c r="BA3" s="84" t="s">
        <v>360</v>
      </c>
      <c r="BB3" s="84" t="s">
        <v>362</v>
      </c>
      <c r="BC3" s="84" t="s">
        <v>364</v>
      </c>
      <c r="BD3" s="84" t="s">
        <v>366</v>
      </c>
      <c r="BE3" s="84" t="s">
        <v>368</v>
      </c>
      <c r="BF3" s="84" t="s">
        <v>370</v>
      </c>
      <c r="BG3" s="84" t="s">
        <v>386</v>
      </c>
      <c r="BH3" s="84" t="s">
        <v>387</v>
      </c>
      <c r="BI3" s="84" t="s">
        <v>402</v>
      </c>
      <c r="BJ3" s="84" t="s">
        <v>869</v>
      </c>
      <c r="BK3" s="84" t="s">
        <v>465</v>
      </c>
      <c r="BL3" s="84" t="s">
        <v>467</v>
      </c>
      <c r="BM3" s="84" t="s">
        <v>475</v>
      </c>
      <c r="BN3" s="84" t="s">
        <v>469</v>
      </c>
      <c r="BO3" s="84" t="s">
        <v>480</v>
      </c>
      <c r="BP3" s="84" t="s">
        <v>481</v>
      </c>
      <c r="BQ3" s="84" t="s">
        <v>484</v>
      </c>
      <c r="BR3" s="84" t="s">
        <v>907</v>
      </c>
      <c r="BS3" s="84" t="s">
        <v>486</v>
      </c>
      <c r="BT3" s="84" t="s">
        <v>488</v>
      </c>
      <c r="BU3" s="84" t="s">
        <v>871</v>
      </c>
      <c r="BV3" s="84" t="s">
        <v>873</v>
      </c>
      <c r="BW3" s="84" t="s">
        <v>491</v>
      </c>
      <c r="BX3" s="84" t="s">
        <v>493</v>
      </c>
      <c r="BY3" s="84" t="s">
        <v>495</v>
      </c>
      <c r="BZ3" s="84" t="s">
        <v>497</v>
      </c>
      <c r="CA3" s="84" t="s">
        <v>499</v>
      </c>
      <c r="CB3" s="84" t="s">
        <v>616</v>
      </c>
      <c r="CC3" s="84" t="s">
        <v>617</v>
      </c>
      <c r="CD3" s="84" t="s">
        <v>700</v>
      </c>
      <c r="CE3" s="84" t="s">
        <v>701</v>
      </c>
      <c r="CF3" s="33"/>
      <c r="CG3" s="33" t="s">
        <v>892</v>
      </c>
      <c r="CH3" s="33" t="s">
        <v>894</v>
      </c>
      <c r="CI3" s="84" t="s">
        <v>702</v>
      </c>
      <c r="CJ3" s="84" t="s">
        <v>704</v>
      </c>
      <c r="CK3" s="84" t="s">
        <v>911</v>
      </c>
      <c r="CL3" s="84" t="s">
        <v>896</v>
      </c>
      <c r="CM3" s="84" t="s">
        <v>898</v>
      </c>
      <c r="CN3" s="84" t="s">
        <v>900</v>
      </c>
      <c r="CO3" s="84" t="s">
        <v>710</v>
      </c>
      <c r="CP3" s="84" t="s">
        <v>712</v>
      </c>
      <c r="CQ3" s="84" t="s">
        <v>714</v>
      </c>
      <c r="CR3" s="84" t="s">
        <v>716</v>
      </c>
      <c r="CS3" s="84" t="s">
        <v>717</v>
      </c>
      <c r="CT3" s="84" t="s">
        <v>719</v>
      </c>
      <c r="CU3" s="84" t="s">
        <v>836</v>
      </c>
      <c r="CV3" s="84" t="s">
        <v>721</v>
      </c>
      <c r="CW3" s="84" t="s">
        <v>723</v>
      </c>
      <c r="CX3" s="83" t="s">
        <v>32</v>
      </c>
    </row>
    <row r="4" spans="1:102" s="5" customFormat="1" ht="15" customHeight="1" x14ac:dyDescent="0.2">
      <c r="A4" s="8" t="s">
        <v>30</v>
      </c>
      <c r="B4" s="3" t="s">
        <v>905</v>
      </c>
      <c r="C4" s="3" t="s">
        <v>904</v>
      </c>
      <c r="D4" s="14" t="s">
        <v>93</v>
      </c>
      <c r="E4" s="14" t="s">
        <v>99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303</v>
      </c>
      <c r="AP4" s="14" t="s">
        <v>306</v>
      </c>
      <c r="AQ4" s="14" t="s">
        <v>307</v>
      </c>
      <c r="AR4" s="14" t="s">
        <v>309</v>
      </c>
      <c r="AS4" s="14" t="s">
        <v>339</v>
      </c>
      <c r="AT4" s="14" t="s">
        <v>341</v>
      </c>
      <c r="AU4" s="14" t="s">
        <v>343</v>
      </c>
      <c r="AV4" s="14" t="s">
        <v>726</v>
      </c>
      <c r="AW4" s="14" t="s">
        <v>866</v>
      </c>
      <c r="AX4" s="14" t="s">
        <v>345</v>
      </c>
      <c r="AY4" s="14" t="s">
        <v>868</v>
      </c>
      <c r="AZ4" s="14" t="s">
        <v>347</v>
      </c>
      <c r="BA4" s="14" t="s">
        <v>361</v>
      </c>
      <c r="BB4" s="14" t="s">
        <v>363</v>
      </c>
      <c r="BC4" s="14" t="s">
        <v>365</v>
      </c>
      <c r="BD4" s="14" t="s">
        <v>367</v>
      </c>
      <c r="BE4" s="14" t="s">
        <v>369</v>
      </c>
      <c r="BF4" s="14" t="s">
        <v>371</v>
      </c>
      <c r="BG4" s="14" t="s">
        <v>33</v>
      </c>
      <c r="BH4" s="14" t="s">
        <v>388</v>
      </c>
      <c r="BI4" s="14" t="s">
        <v>403</v>
      </c>
      <c r="BJ4" s="14" t="s">
        <v>870</v>
      </c>
      <c r="BK4" s="14" t="s">
        <v>466</v>
      </c>
      <c r="BL4" s="14" t="s">
        <v>468</v>
      </c>
      <c r="BM4" s="14" t="s">
        <v>476</v>
      </c>
      <c r="BN4" s="14" t="s">
        <v>470</v>
      </c>
      <c r="BO4" s="14" t="s">
        <v>483</v>
      </c>
      <c r="BP4" s="14" t="s">
        <v>482</v>
      </c>
      <c r="BQ4" s="14" t="s">
        <v>485</v>
      </c>
      <c r="BR4" s="14" t="s">
        <v>908</v>
      </c>
      <c r="BS4" s="14" t="s">
        <v>487</v>
      </c>
      <c r="BT4" s="14" t="s">
        <v>489</v>
      </c>
      <c r="BU4" s="14" t="s">
        <v>872</v>
      </c>
      <c r="BV4" s="14" t="s">
        <v>874</v>
      </c>
      <c r="BW4" s="14" t="s">
        <v>492</v>
      </c>
      <c r="BX4" s="14" t="s">
        <v>494</v>
      </c>
      <c r="BY4" s="14" t="s">
        <v>496</v>
      </c>
      <c r="BZ4" s="14" t="s">
        <v>498</v>
      </c>
      <c r="CA4" s="14" t="s">
        <v>500</v>
      </c>
      <c r="CB4" s="14" t="s">
        <v>619</v>
      </c>
      <c r="CC4" s="14" t="s">
        <v>618</v>
      </c>
      <c r="CD4" s="14" t="s">
        <v>614</v>
      </c>
      <c r="CE4" s="14" t="s">
        <v>615</v>
      </c>
      <c r="CF4" s="14"/>
      <c r="CG4" s="14" t="s">
        <v>893</v>
      </c>
      <c r="CH4" s="14" t="s">
        <v>895</v>
      </c>
      <c r="CI4" s="14" t="s">
        <v>703</v>
      </c>
      <c r="CJ4" s="14" t="s">
        <v>705</v>
      </c>
      <c r="CK4" s="14" t="s">
        <v>912</v>
      </c>
      <c r="CL4" s="14" t="s">
        <v>897</v>
      </c>
      <c r="CM4" s="14" t="s">
        <v>899</v>
      </c>
      <c r="CN4" s="14" t="s">
        <v>901</v>
      </c>
      <c r="CO4" s="14" t="s">
        <v>711</v>
      </c>
      <c r="CP4" s="14" t="s">
        <v>713</v>
      </c>
      <c r="CQ4" s="14" t="s">
        <v>715</v>
      </c>
      <c r="CR4" s="14" t="s">
        <v>713</v>
      </c>
      <c r="CS4" s="14" t="s">
        <v>718</v>
      </c>
      <c r="CT4" s="14" t="s">
        <v>720</v>
      </c>
      <c r="CU4" s="14" t="s">
        <v>837</v>
      </c>
      <c r="CV4" s="14" t="s">
        <v>722</v>
      </c>
      <c r="CW4" s="14" t="s">
        <v>724</v>
      </c>
      <c r="CX4" s="5" t="s">
        <v>835</v>
      </c>
    </row>
    <row r="5" spans="1:102" x14ac:dyDescent="0.2">
      <c r="A5" s="7" t="str">
        <f>"Execução "&amp;ROW()-4</f>
        <v>Execução 1</v>
      </c>
      <c r="B5" s="85"/>
      <c r="C5" s="43" t="str">
        <f>IF(B5&lt;&gt;"","H"&amp;RIGHT(B5,5),"")</f>
        <v/>
      </c>
      <c r="D5" s="43" t="str">
        <f>IF(B5&lt;&gt;"",SUBSTITUTE(VLOOKUP(B5,'MM01-BOB'!B:C,2,0),"BOBINA","TIRA"),"")</f>
        <v/>
      </c>
      <c r="E5" s="43" t="str">
        <f>IFERROR(IF(INDEX(Estrutura_P01[#All],MATCH($D5,Estrutura_P01[[#All],[txtMAKT-MAKTX]],0),MATCH(E$3,Estrutura_P01[#Headers],0))=0,"",INDEX(Estrutura_P01[#All],MATCH($D5,Estrutura_P01[[#All],[txtMAKT-MAKTX]],0),MATCH(E$3,Estrutura_P01[#Headers],0))),"")</f>
        <v/>
      </c>
      <c r="F5" s="44" t="s">
        <v>100</v>
      </c>
      <c r="G5" s="85" t="s">
        <v>4</v>
      </c>
      <c r="H5" s="86" t="s">
        <v>15</v>
      </c>
      <c r="I5" s="49" t="str">
        <f>G5</f>
        <v>0581</v>
      </c>
      <c r="J5" s="86" t="s">
        <v>24</v>
      </c>
      <c r="K5" s="86"/>
      <c r="M5" s="45"/>
      <c r="N5" s="45"/>
      <c r="O5" s="45"/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/>
      <c r="AF5" s="45"/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3" t="str">
        <f>IFERROR(IF(INDEX('MM01'!$A:$DK,MATCH('MM01-EXP'!$B5,'MM01'!$B:$B,0),MATCH('MM01-EXP'!AO$3,'MM01'!$3:$3,0))=0,"",INDEX('MM01'!$A:$DK,MATCH('MM01-EXP'!$B5,'MM01'!$B:$B,0),MATCH('MM01-EXP'!AO$3,'MM01'!$3:$3,0))),"")</f>
        <v/>
      </c>
      <c r="AP5" s="43" t="str">
        <f>IFERROR(IF(INDEX('MM01'!$A:$DK,MATCH('MM01-EXP'!$B5,'MM01'!$B:$B,0),MATCH('MM01-EXP'!AP$3,'MM01'!$3:$3,0))=0,"",INDEX('MM01'!$A:$DK,MATCH('MM01-EXP'!$B5,'MM01'!$B:$B,0),MATCH('MM01-EXP'!AP$3,'MM01'!$3:$3,0))),"")</f>
        <v/>
      </c>
      <c r="AQ5" s="43" t="str">
        <f>IFERROR(IF(INDEX('MM01'!$A:$DK,MATCH('MM01-EXP'!$B5,'MM01'!$B:$B,0),MATCH('MM01-EXP'!AQ$3,'MM01'!$3:$3,0))=0,"",INDEX('MM01'!$A:$DK,MATCH('MM01-EXP'!$B5,'MM01'!$B:$B,0),MATCH('MM01-EXP'!AQ$3,'MM01'!$3:$3,0))),"")</f>
        <v/>
      </c>
      <c r="AR5" s="43" t="str">
        <f>IFERROR(IF(INDEX('MM01'!$A:$DK,MATCH('MM01-EXP'!$B5,'MM01'!$B:$B,0),MATCH('MM01-EXP'!AR$3,'MM01'!$3:$3,0))=0,"",INDEX('MM01'!$A:$DK,MATCH('MM01-EXP'!$B5,'MM01'!$B:$B,0),MATCH('MM01-EXP'!AR$3,'MM01'!$3:$3,0))),"")</f>
        <v/>
      </c>
      <c r="AS5" s="43" t="str">
        <f>IFERROR(IF(INDEX('MM01'!$A:$DK,MATCH('MM01-EXP'!$B5,'MM01'!$B:$B,0),MATCH('MM01-EXP'!AS$3,'MM01'!$3:$3,0))=0,"",INDEX('MM01'!$A:$DK,MATCH('MM01-EXP'!$B5,'MM01'!$B:$B,0),MATCH('MM01-EXP'!AS$3,'MM01'!$3:$3,0))),"")</f>
        <v/>
      </c>
      <c r="AT5" s="43" t="str">
        <f>IFERROR(IF(INDEX('MM01'!$A:$DK,MATCH('MM01-EXP'!$B5,'MM01'!$B:$B,0),MATCH('MM01-EXP'!AT$3,'MM01'!$3:$3,0))=0,"",INDEX('MM01'!$A:$DK,MATCH('MM01-EXP'!$B5,'MM01'!$B:$B,0),MATCH('MM01-EXP'!AT$3,'MM01'!$3:$3,0))),"")</f>
        <v/>
      </c>
      <c r="AU5" s="43" t="str">
        <f>IFERROR(IF(INDEX('MM01'!$A:$DK,MATCH('MM01-EXP'!$B5,'MM01'!$B:$B,0),MATCH('MM01-EXP'!AU$3,'MM01'!$3:$3,0))=0,"",INDEX('MM01'!$A:$DK,MATCH('MM01-EXP'!$B5,'MM01'!$B:$B,0),MATCH('MM01-EXP'!AU$3,'MM01'!$3:$3,0))),"")</f>
        <v/>
      </c>
      <c r="AV5" s="43" t="str">
        <f>IFERROR(IF(INDEX('MM01'!$A:$DK,MATCH('MM01-EXP'!$B5,'MM01'!$B:$B,0),MATCH('MM01-EXP'!AV$3,'MM01'!$3:$3,0))=0,"",INDEX('MM01'!$A:$DK,MATCH('MM01-EXP'!$B5,'MM01'!$B:$B,0),MATCH('MM01-EXP'!AV$3,'MM01'!$3:$3,0))),"")</f>
        <v/>
      </c>
      <c r="AW5" s="44">
        <v>0</v>
      </c>
      <c r="AX5" s="44">
        <v>1</v>
      </c>
      <c r="AY5" s="44">
        <v>0</v>
      </c>
      <c r="AZ5" s="44" t="s">
        <v>348</v>
      </c>
      <c r="BA5" s="50" t="s">
        <v>195</v>
      </c>
      <c r="BB5" s="50" t="s">
        <v>195</v>
      </c>
      <c r="BC5" s="43" t="str">
        <f>IFERROR(IF(INDEX(Estrutura_P01[#All],MATCH($D5,Estrutura_P01[[#All],[txtMAKT-MAKTX]],0),MATCH(BC$3,Estrutura_P01[#Headers],0))=0,"",INDEX(Estrutura_P01[#All],MATCH($D5,Estrutura_P01[[#All],[txtMAKT-MAKTX]],0),MATCH(BC$3,Estrutura_P01[#Headers],0))),"")</f>
        <v/>
      </c>
      <c r="BD5" s="44"/>
      <c r="BE5" s="50">
        <v>0</v>
      </c>
      <c r="BF5" s="45" t="s">
        <v>378</v>
      </c>
      <c r="BG5" s="45" t="s">
        <v>84</v>
      </c>
      <c r="BH5" s="43" t="str">
        <f>RIGHT(G5,3)</f>
        <v>581</v>
      </c>
      <c r="BI5" s="45" t="s">
        <v>426</v>
      </c>
      <c r="BJ5" s="80"/>
      <c r="BK5" s="45">
        <v>0</v>
      </c>
      <c r="BL5" s="45" t="s">
        <v>473</v>
      </c>
      <c r="BM5" s="45" t="s">
        <v>90</v>
      </c>
      <c r="BN5" s="44"/>
      <c r="BO5" s="49" t="str">
        <f>H5</f>
        <v>0120</v>
      </c>
      <c r="BP5" s="49" t="str">
        <f>H5</f>
        <v>0120</v>
      </c>
      <c r="BQ5" s="45">
        <v>1</v>
      </c>
      <c r="BR5" s="44">
        <v>1</v>
      </c>
      <c r="BS5" s="44">
        <v>2</v>
      </c>
      <c r="BT5" s="50" t="s">
        <v>490</v>
      </c>
      <c r="BU5" s="80">
        <v>2</v>
      </c>
      <c r="BV5" s="80">
        <v>7</v>
      </c>
      <c r="BW5" s="44" t="s">
        <v>348</v>
      </c>
      <c r="BX5" s="44">
        <v>2</v>
      </c>
      <c r="BY5" s="44">
        <v>42</v>
      </c>
      <c r="BZ5" s="44">
        <v>10</v>
      </c>
      <c r="CA5" s="43" t="str">
        <f>"K00_R_"&amp;G5</f>
        <v>K00_R_0581</v>
      </c>
      <c r="CB5" s="43">
        <f>IF(CC5&lt;&gt;0,1,"")</f>
        <v>1</v>
      </c>
      <c r="CC5" s="55" t="s">
        <v>909</v>
      </c>
      <c r="CD5" s="43" t="str">
        <f ca="1">IF(CC5&lt;&gt;0,TEXT(TODAY(),"dd.mm.aaaa"),"")</f>
        <v>17.05.2022</v>
      </c>
      <c r="CE5" s="43" t="str">
        <f>IF(CC5&lt;&gt;0,"31.12.9999","")</f>
        <v>31.12.9999</v>
      </c>
      <c r="CG5" s="44">
        <v>2</v>
      </c>
      <c r="CH5" s="44"/>
      <c r="CI5" s="44">
        <v>1</v>
      </c>
      <c r="CJ5" s="43" t="str">
        <f>IFERROR(IF(INDEX('MM01'!$A:$DK,MATCH('MM01-EXP'!$B5,'MM01'!$B:$B,0),MATCH('MM01-EXP'!CJ$3,'MM01'!$3:$3,0))=0,"",INDEX('MM01'!$A:$DK,MATCH('MM01-EXP'!$B5,'MM01'!$B:$B,0),MATCH('MM01-EXP'!CJ$3,'MM01'!$3:$3,0))),"")</f>
        <v/>
      </c>
      <c r="CK5" s="44">
        <v>12</v>
      </c>
      <c r="CL5" s="44">
        <v>1</v>
      </c>
      <c r="CM5" s="50" t="s">
        <v>223</v>
      </c>
      <c r="CN5" s="50" t="s">
        <v>902</v>
      </c>
      <c r="CO5" s="43" t="str">
        <f>IFERROR(IF(INDEX('MM01'!$A:$DK,MATCH('MM01-EXP'!$B5,'MM01'!$B:$B,0),MATCH('MM01-EXP'!CO$3,'MM01'!$3:$3,0))=0,"",INDEX('MM01'!$A:$DK,MATCH('MM01-EXP'!$B5,'MM01'!$B:$B,0),MATCH('MM01-EXP'!CO$3,'MM01'!$3:$3,0))),"")</f>
        <v/>
      </c>
      <c r="CP5" s="43" t="str">
        <f>IFERROR(IF(INDEX('MM01'!$A:$DK,MATCH('MM01-EXP'!$B5,'MM01'!$B:$B,0),MATCH('MM01-EXP'!CP$3,'MM01'!$3:$3,0))=0,"",INDEX('MM01'!$A:$DK,MATCH('MM01-EXP'!$B5,'MM01'!$B:$B,0),MATCH('MM01-EXP'!CP$3,'MM01'!$3:$3,0))),"")</f>
        <v/>
      </c>
      <c r="CQ5" s="60">
        <v>1</v>
      </c>
      <c r="CR5" s="44"/>
      <c r="CS5" s="44">
        <v>1</v>
      </c>
      <c r="CT5" s="44">
        <v>0</v>
      </c>
      <c r="CU5" s="44" t="s">
        <v>913</v>
      </c>
      <c r="CV5" s="45">
        <v>0</v>
      </c>
      <c r="CW5" s="43" t="str">
        <f>IFERROR(IF(INDEX('MM01'!$A:$DK,MATCH('MM01-EXP'!$B5,'MM01'!$B:$B,0),MATCH('MM01-EXP'!CW$3,'MM01'!$3:$3,0))=0,"",INDEX('MM01'!$A:$DK,MATCH('MM01-EXP'!$B5,'MM01'!$B:$B,0),MATCH('MM01-EXP'!CW$3,'MM01'!$3:$3,0))),"")</f>
        <v/>
      </c>
      <c r="CX5" s="65"/>
    </row>
    <row r="6" spans="1:102" x14ac:dyDescent="0.2">
      <c r="A6" s="7" t="str">
        <f t="shared" ref="A6:A40" si="0">"Execução "&amp;ROW()-4</f>
        <v>Execução 2</v>
      </c>
      <c r="B6" s="85"/>
      <c r="C6" s="43" t="str">
        <f t="shared" ref="C6:C40" si="1">IF(B6&lt;&gt;"","H"&amp;RIGHT(B6,5),"")</f>
        <v/>
      </c>
      <c r="D6" s="43" t="str">
        <f>IF(B6&lt;&gt;"",SUBSTITUTE(VLOOKUP(B6,'MM01-BOB'!B:C,2,0),"BOBINA","TIRA"),"")</f>
        <v/>
      </c>
      <c r="E6" s="43" t="str">
        <f>IFERROR(IF(INDEX(Estrutura_P01[#All],MATCH($D6,Estrutura_P01[[#All],[txtMAKT-MAKTX]],0),MATCH(E$3,Estrutura_P01[#Headers],0))=0,"",INDEX(Estrutura_P01[#All],MATCH($D6,Estrutura_P01[[#All],[txtMAKT-MAKTX]],0),MATCH(E$3,Estrutura_P01[#Headers],0))),"")</f>
        <v/>
      </c>
      <c r="F6" s="44" t="s">
        <v>100</v>
      </c>
      <c r="G6" s="85" t="s">
        <v>4</v>
      </c>
      <c r="H6" s="86" t="s">
        <v>15</v>
      </c>
      <c r="I6" s="49" t="str">
        <f t="shared" ref="I6:I40" si="2">G6</f>
        <v>0581</v>
      </c>
      <c r="J6" s="86" t="s">
        <v>24</v>
      </c>
      <c r="K6" s="86"/>
      <c r="M6" s="45"/>
      <c r="N6" s="45"/>
      <c r="O6" s="45"/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/>
      <c r="AF6" s="45"/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3" t="str">
        <f>IFERROR(IF(INDEX('MM01'!$A:$DK,MATCH('MM01-EXP'!$B6,'MM01'!$B:$B,0),MATCH('MM01-EXP'!AO$3,'MM01'!$3:$3,0))=0,"",INDEX('MM01'!$A:$DK,MATCH('MM01-EXP'!$B6,'MM01'!$B:$B,0),MATCH('MM01-EXP'!AO$3,'MM01'!$3:$3,0))),"")</f>
        <v/>
      </c>
      <c r="AP6" s="43" t="str">
        <f>IFERROR(IF(INDEX('MM01'!$A:$DK,MATCH('MM01-EXP'!$B6,'MM01'!$B:$B,0),MATCH('MM01-EXP'!AP$3,'MM01'!$3:$3,0))=0,"",INDEX('MM01'!$A:$DK,MATCH('MM01-EXP'!$B6,'MM01'!$B:$B,0),MATCH('MM01-EXP'!AP$3,'MM01'!$3:$3,0))),"")</f>
        <v/>
      </c>
      <c r="AQ6" s="43" t="str">
        <f>IFERROR(IF(INDEX('MM01'!$A:$DK,MATCH('MM01-EXP'!$B6,'MM01'!$B:$B,0),MATCH('MM01-EXP'!AQ$3,'MM01'!$3:$3,0))=0,"",INDEX('MM01'!$A:$DK,MATCH('MM01-EXP'!$B6,'MM01'!$B:$B,0),MATCH('MM01-EXP'!AQ$3,'MM01'!$3:$3,0))),"")</f>
        <v/>
      </c>
      <c r="AR6" s="43" t="str">
        <f>IFERROR(IF(INDEX('MM01'!$A:$DK,MATCH('MM01-EXP'!$B6,'MM01'!$B:$B,0),MATCH('MM01-EXP'!AR$3,'MM01'!$3:$3,0))=0,"",INDEX('MM01'!$A:$DK,MATCH('MM01-EXP'!$B6,'MM01'!$B:$B,0),MATCH('MM01-EXP'!AR$3,'MM01'!$3:$3,0))),"")</f>
        <v/>
      </c>
      <c r="AS6" s="43" t="str">
        <f>IFERROR(IF(INDEX('MM01'!$A:$DK,MATCH('MM01-EXP'!$B6,'MM01'!$B:$B,0),MATCH('MM01-EXP'!AS$3,'MM01'!$3:$3,0))=0,"",INDEX('MM01'!$A:$DK,MATCH('MM01-EXP'!$B6,'MM01'!$B:$B,0),MATCH('MM01-EXP'!AS$3,'MM01'!$3:$3,0))),"")</f>
        <v/>
      </c>
      <c r="AT6" s="43" t="str">
        <f>IFERROR(IF(INDEX('MM01'!$A:$DK,MATCH('MM01-EXP'!$B6,'MM01'!$B:$B,0),MATCH('MM01-EXP'!AT$3,'MM01'!$3:$3,0))=0,"",INDEX('MM01'!$A:$DK,MATCH('MM01-EXP'!$B6,'MM01'!$B:$B,0),MATCH('MM01-EXP'!AT$3,'MM01'!$3:$3,0))),"")</f>
        <v/>
      </c>
      <c r="AU6" s="43" t="str">
        <f>IFERROR(IF(INDEX('MM01'!$A:$DK,MATCH('MM01-EXP'!$B6,'MM01'!$B:$B,0),MATCH('MM01-EXP'!AU$3,'MM01'!$3:$3,0))=0,"",INDEX('MM01'!$A:$DK,MATCH('MM01-EXP'!$B6,'MM01'!$B:$B,0),MATCH('MM01-EXP'!AU$3,'MM01'!$3:$3,0))),"")</f>
        <v/>
      </c>
      <c r="AV6" s="43" t="str">
        <f>IFERROR(IF(INDEX('MM01'!$A:$DK,MATCH('MM01-EXP'!$B6,'MM01'!$B:$B,0),MATCH('MM01-EXP'!AV$3,'MM01'!$3:$3,0))=0,"",INDEX('MM01'!$A:$DK,MATCH('MM01-EXP'!$B6,'MM01'!$B:$B,0),MATCH('MM01-EXP'!AV$3,'MM01'!$3:$3,0))),"")</f>
        <v/>
      </c>
      <c r="AW6" s="44">
        <v>0</v>
      </c>
      <c r="AX6" s="44">
        <v>1</v>
      </c>
      <c r="AY6" s="44">
        <v>0</v>
      </c>
      <c r="AZ6" s="44" t="s">
        <v>348</v>
      </c>
      <c r="BA6" s="50" t="s">
        <v>195</v>
      </c>
      <c r="BB6" s="50" t="s">
        <v>195</v>
      </c>
      <c r="BC6" s="43" t="str">
        <f>IFERROR(IF(INDEX(Estrutura_P01[#All],MATCH($D6,Estrutura_P01[[#All],[txtMAKT-MAKTX]],0),MATCH(BC$3,Estrutura_P01[#Headers],0))=0,"",INDEX(Estrutura_P01[#All],MATCH($D6,Estrutura_P01[[#All],[txtMAKT-MAKTX]],0),MATCH(BC$3,Estrutura_P01[#Headers],0))),"")</f>
        <v/>
      </c>
      <c r="BD6" s="44"/>
      <c r="BE6" s="50">
        <v>0</v>
      </c>
      <c r="BF6" s="45" t="s">
        <v>378</v>
      </c>
      <c r="BG6" s="45" t="s">
        <v>84</v>
      </c>
      <c r="BH6" s="43" t="str">
        <f t="shared" ref="BH6:BH40" si="3">RIGHT(G6,3)</f>
        <v>581</v>
      </c>
      <c r="BI6" s="45" t="s">
        <v>426</v>
      </c>
      <c r="BJ6" s="80"/>
      <c r="BK6" s="45">
        <v>0</v>
      </c>
      <c r="BL6" s="45" t="s">
        <v>473</v>
      </c>
      <c r="BM6" s="45" t="s">
        <v>90</v>
      </c>
      <c r="BN6" s="44"/>
      <c r="BO6" s="49" t="str">
        <f t="shared" ref="BO6:BO40" si="4">H6</f>
        <v>0120</v>
      </c>
      <c r="BP6" s="49" t="str">
        <f t="shared" ref="BP6:BP40" si="5">H6</f>
        <v>0120</v>
      </c>
      <c r="BQ6" s="45">
        <v>1</v>
      </c>
      <c r="BR6" s="44">
        <v>1</v>
      </c>
      <c r="BS6" s="44">
        <v>2</v>
      </c>
      <c r="BT6" s="50" t="s">
        <v>490</v>
      </c>
      <c r="BU6" s="80">
        <v>2</v>
      </c>
      <c r="BV6" s="80">
        <v>7</v>
      </c>
      <c r="BW6" s="44" t="s">
        <v>348</v>
      </c>
      <c r="BX6" s="44">
        <v>2</v>
      </c>
      <c r="BY6" s="44">
        <v>42</v>
      </c>
      <c r="BZ6" s="44">
        <v>10</v>
      </c>
      <c r="CA6" s="43" t="str">
        <f t="shared" ref="CA6:CA40" si="6">"K00_R_"&amp;G6</f>
        <v>K00_R_0581</v>
      </c>
      <c r="CB6" s="43">
        <f t="shared" ref="CB6:CB40" si="7">IF(CC6&lt;&gt;0,1,"")</f>
        <v>1</v>
      </c>
      <c r="CC6" s="55" t="s">
        <v>909</v>
      </c>
      <c r="CD6" s="43" t="str">
        <f t="shared" ref="CD6:CD40" ca="1" si="8">IF(CC6&lt;&gt;0,TEXT(TODAY(),"dd.mm.aaaa"),"")</f>
        <v>17.05.2022</v>
      </c>
      <c r="CE6" s="43" t="str">
        <f t="shared" ref="CE6:CE40" si="9">IF(CC6&lt;&gt;0,"31.12.9999","")</f>
        <v>31.12.9999</v>
      </c>
      <c r="CG6" s="44">
        <v>2</v>
      </c>
      <c r="CH6" s="44"/>
      <c r="CI6" s="44">
        <v>1</v>
      </c>
      <c r="CJ6" s="43" t="str">
        <f>IFERROR(IF(INDEX('MM01'!$A:$DK,MATCH('MM01-EXP'!$B6,'MM01'!$B:$B,0),MATCH('MM01-EXP'!CJ$3,'MM01'!$3:$3,0))=0,"",INDEX('MM01'!$A:$DK,MATCH('MM01-EXP'!$B6,'MM01'!$B:$B,0),MATCH('MM01-EXP'!CJ$3,'MM01'!$3:$3,0))),"")</f>
        <v/>
      </c>
      <c r="CK6" s="44">
        <v>12</v>
      </c>
      <c r="CL6" s="44">
        <v>1</v>
      </c>
      <c r="CM6" s="50" t="s">
        <v>223</v>
      </c>
      <c r="CN6" s="50" t="s">
        <v>902</v>
      </c>
      <c r="CO6" s="43" t="str">
        <f>IFERROR(IF(INDEX('MM01'!$A:$DK,MATCH('MM01-EXP'!$B6,'MM01'!$B:$B,0),MATCH('MM01-EXP'!CO$3,'MM01'!$3:$3,0))=0,"",INDEX('MM01'!$A:$DK,MATCH('MM01-EXP'!$B6,'MM01'!$B:$B,0),MATCH('MM01-EXP'!CO$3,'MM01'!$3:$3,0))),"")</f>
        <v/>
      </c>
      <c r="CP6" s="43" t="str">
        <f>IFERROR(IF(INDEX('MM01'!$A:$DK,MATCH('MM01-EXP'!$B6,'MM01'!$B:$B,0),MATCH('MM01-EXP'!CP$3,'MM01'!$3:$3,0))=0,"",INDEX('MM01'!$A:$DK,MATCH('MM01-EXP'!$B6,'MM01'!$B:$B,0),MATCH('MM01-EXP'!CP$3,'MM01'!$3:$3,0))),"")</f>
        <v/>
      </c>
      <c r="CQ6" s="60">
        <v>1</v>
      </c>
      <c r="CR6" s="44"/>
      <c r="CS6" s="44">
        <v>1</v>
      </c>
      <c r="CT6" s="44">
        <v>0</v>
      </c>
      <c r="CU6" s="44" t="s">
        <v>913</v>
      </c>
      <c r="CV6" s="45">
        <v>0</v>
      </c>
      <c r="CW6" s="43" t="str">
        <f>IFERROR(IF(INDEX('MM01'!$A:$DK,MATCH('MM01-EXP'!$B6,'MM01'!$B:$B,0),MATCH('MM01-EXP'!CW$3,'MM01'!$3:$3,0))=0,"",INDEX('MM01'!$A:$DK,MATCH('MM01-EXP'!$B6,'MM01'!$B:$B,0),MATCH('MM01-EXP'!CW$3,'MM01'!$3:$3,0))),"")</f>
        <v/>
      </c>
      <c r="CX6" s="65"/>
    </row>
    <row r="7" spans="1:102" x14ac:dyDescent="0.2">
      <c r="A7" s="7" t="str">
        <f t="shared" si="0"/>
        <v>Execução 3</v>
      </c>
      <c r="B7" s="85"/>
      <c r="C7" s="43" t="str">
        <f t="shared" si="1"/>
        <v/>
      </c>
      <c r="D7" s="43" t="str">
        <f>IF(B7&lt;&gt;"",SUBSTITUTE(VLOOKUP(B7,'MM01-BOB'!B:C,2,0),"BOBINA","TIRA"),"")</f>
        <v/>
      </c>
      <c r="E7" s="43" t="str">
        <f>IFERROR(IF(INDEX(Estrutura_P01[#All],MATCH($D7,Estrutura_P01[[#All],[txtMAKT-MAKTX]],0),MATCH(E$3,Estrutura_P01[#Headers],0))=0,"",INDEX(Estrutura_P01[#All],MATCH($D7,Estrutura_P01[[#All],[txtMAKT-MAKTX]],0),MATCH(E$3,Estrutura_P01[#Headers],0))),"")</f>
        <v/>
      </c>
      <c r="F7" s="44" t="s">
        <v>100</v>
      </c>
      <c r="G7" s="85" t="s">
        <v>4</v>
      </c>
      <c r="H7" s="86" t="s">
        <v>15</v>
      </c>
      <c r="I7" s="49" t="str">
        <f t="shared" si="2"/>
        <v>0581</v>
      </c>
      <c r="J7" s="86" t="s">
        <v>24</v>
      </c>
      <c r="K7" s="86"/>
      <c r="M7" s="45"/>
      <c r="N7" s="45"/>
      <c r="O7" s="45"/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/>
      <c r="AF7" s="45"/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3" t="str">
        <f>IFERROR(IF(INDEX('MM01'!$A:$DK,MATCH('MM01-EXP'!$B7,'MM01'!$B:$B,0),MATCH('MM01-EXP'!AO$3,'MM01'!$3:$3,0))=0,"",INDEX('MM01'!$A:$DK,MATCH('MM01-EXP'!$B7,'MM01'!$B:$B,0),MATCH('MM01-EXP'!AO$3,'MM01'!$3:$3,0))),"")</f>
        <v/>
      </c>
      <c r="AP7" s="43" t="str">
        <f>IFERROR(IF(INDEX('MM01'!$A:$DK,MATCH('MM01-EXP'!$B7,'MM01'!$B:$B,0),MATCH('MM01-EXP'!AP$3,'MM01'!$3:$3,0))=0,"",INDEX('MM01'!$A:$DK,MATCH('MM01-EXP'!$B7,'MM01'!$B:$B,0),MATCH('MM01-EXP'!AP$3,'MM01'!$3:$3,0))),"")</f>
        <v/>
      </c>
      <c r="AQ7" s="43" t="str">
        <f>IFERROR(IF(INDEX('MM01'!$A:$DK,MATCH('MM01-EXP'!$B7,'MM01'!$B:$B,0),MATCH('MM01-EXP'!AQ$3,'MM01'!$3:$3,0))=0,"",INDEX('MM01'!$A:$DK,MATCH('MM01-EXP'!$B7,'MM01'!$B:$B,0),MATCH('MM01-EXP'!AQ$3,'MM01'!$3:$3,0))),"")</f>
        <v/>
      </c>
      <c r="AR7" s="43" t="str">
        <f>IFERROR(IF(INDEX('MM01'!$A:$DK,MATCH('MM01-EXP'!$B7,'MM01'!$B:$B,0),MATCH('MM01-EXP'!AR$3,'MM01'!$3:$3,0))=0,"",INDEX('MM01'!$A:$DK,MATCH('MM01-EXP'!$B7,'MM01'!$B:$B,0),MATCH('MM01-EXP'!AR$3,'MM01'!$3:$3,0))),"")</f>
        <v/>
      </c>
      <c r="AS7" s="43" t="str">
        <f>IFERROR(IF(INDEX('MM01'!$A:$DK,MATCH('MM01-EXP'!$B7,'MM01'!$B:$B,0),MATCH('MM01-EXP'!AS$3,'MM01'!$3:$3,0))=0,"",INDEX('MM01'!$A:$DK,MATCH('MM01-EXP'!$B7,'MM01'!$B:$B,0),MATCH('MM01-EXP'!AS$3,'MM01'!$3:$3,0))),"")</f>
        <v/>
      </c>
      <c r="AT7" s="43" t="str">
        <f>IFERROR(IF(INDEX('MM01'!$A:$DK,MATCH('MM01-EXP'!$B7,'MM01'!$B:$B,0),MATCH('MM01-EXP'!AT$3,'MM01'!$3:$3,0))=0,"",INDEX('MM01'!$A:$DK,MATCH('MM01-EXP'!$B7,'MM01'!$B:$B,0),MATCH('MM01-EXP'!AT$3,'MM01'!$3:$3,0))),"")</f>
        <v/>
      </c>
      <c r="AU7" s="43" t="str">
        <f>IFERROR(IF(INDEX('MM01'!$A:$DK,MATCH('MM01-EXP'!$B7,'MM01'!$B:$B,0),MATCH('MM01-EXP'!AU$3,'MM01'!$3:$3,0))=0,"",INDEX('MM01'!$A:$DK,MATCH('MM01-EXP'!$B7,'MM01'!$B:$B,0),MATCH('MM01-EXP'!AU$3,'MM01'!$3:$3,0))),"")</f>
        <v/>
      </c>
      <c r="AV7" s="43" t="str">
        <f>IFERROR(IF(INDEX('MM01'!$A:$DK,MATCH('MM01-EXP'!$B7,'MM01'!$B:$B,0),MATCH('MM01-EXP'!AV$3,'MM01'!$3:$3,0))=0,"",INDEX('MM01'!$A:$DK,MATCH('MM01-EXP'!$B7,'MM01'!$B:$B,0),MATCH('MM01-EXP'!AV$3,'MM01'!$3:$3,0))),"")</f>
        <v/>
      </c>
      <c r="AW7" s="44">
        <v>0</v>
      </c>
      <c r="AX7" s="44">
        <v>1</v>
      </c>
      <c r="AY7" s="44">
        <v>0</v>
      </c>
      <c r="AZ7" s="44" t="s">
        <v>348</v>
      </c>
      <c r="BA7" s="50" t="s">
        <v>195</v>
      </c>
      <c r="BB7" s="50" t="s">
        <v>195</v>
      </c>
      <c r="BC7" s="43" t="str">
        <f>IFERROR(IF(INDEX(Estrutura_P01[#All],MATCH($D7,Estrutura_P01[[#All],[txtMAKT-MAKTX]],0),MATCH(BC$3,Estrutura_P01[#Headers],0))=0,"",INDEX(Estrutura_P01[#All],MATCH($D7,Estrutura_P01[[#All],[txtMAKT-MAKTX]],0),MATCH(BC$3,Estrutura_P01[#Headers],0))),"")</f>
        <v/>
      </c>
      <c r="BD7" s="44"/>
      <c r="BE7" s="50">
        <v>0</v>
      </c>
      <c r="BF7" s="45" t="s">
        <v>378</v>
      </c>
      <c r="BG7" s="45" t="s">
        <v>84</v>
      </c>
      <c r="BH7" s="43" t="str">
        <f t="shared" si="3"/>
        <v>581</v>
      </c>
      <c r="BI7" s="45" t="s">
        <v>426</v>
      </c>
      <c r="BJ7" s="80"/>
      <c r="BK7" s="45">
        <v>0</v>
      </c>
      <c r="BL7" s="45" t="s">
        <v>473</v>
      </c>
      <c r="BM7" s="45" t="s">
        <v>90</v>
      </c>
      <c r="BN7" s="44"/>
      <c r="BO7" s="49" t="str">
        <f t="shared" si="4"/>
        <v>0120</v>
      </c>
      <c r="BP7" s="49" t="str">
        <f t="shared" si="5"/>
        <v>0120</v>
      </c>
      <c r="BQ7" s="45">
        <v>1</v>
      </c>
      <c r="BR7" s="44">
        <v>1</v>
      </c>
      <c r="BS7" s="44">
        <v>2</v>
      </c>
      <c r="BT7" s="50" t="s">
        <v>490</v>
      </c>
      <c r="BU7" s="80">
        <v>2</v>
      </c>
      <c r="BV7" s="80">
        <v>7</v>
      </c>
      <c r="BW7" s="44" t="s">
        <v>348</v>
      </c>
      <c r="BX7" s="44">
        <v>2</v>
      </c>
      <c r="BY7" s="44">
        <v>42</v>
      </c>
      <c r="BZ7" s="44">
        <v>10</v>
      </c>
      <c r="CA7" s="43" t="str">
        <f t="shared" si="6"/>
        <v>K00_R_0581</v>
      </c>
      <c r="CB7" s="43">
        <f t="shared" si="7"/>
        <v>1</v>
      </c>
      <c r="CC7" s="55" t="s">
        <v>909</v>
      </c>
      <c r="CD7" s="43" t="str">
        <f t="shared" ca="1" si="8"/>
        <v>17.05.2022</v>
      </c>
      <c r="CE7" s="43" t="str">
        <f t="shared" si="9"/>
        <v>31.12.9999</v>
      </c>
      <c r="CG7" s="44">
        <v>2</v>
      </c>
      <c r="CH7" s="44"/>
      <c r="CI7" s="44">
        <v>1</v>
      </c>
      <c r="CJ7" s="43" t="str">
        <f>IFERROR(IF(INDEX('MM01'!$A:$DK,MATCH('MM01-EXP'!$B7,'MM01'!$B:$B,0),MATCH('MM01-EXP'!CJ$3,'MM01'!$3:$3,0))=0,"",INDEX('MM01'!$A:$DK,MATCH('MM01-EXP'!$B7,'MM01'!$B:$B,0),MATCH('MM01-EXP'!CJ$3,'MM01'!$3:$3,0))),"")</f>
        <v/>
      </c>
      <c r="CK7" s="44">
        <v>12</v>
      </c>
      <c r="CL7" s="44">
        <v>1</v>
      </c>
      <c r="CM7" s="50" t="s">
        <v>223</v>
      </c>
      <c r="CN7" s="50" t="s">
        <v>902</v>
      </c>
      <c r="CO7" s="43" t="str">
        <f>IFERROR(IF(INDEX('MM01'!$A:$DK,MATCH('MM01-EXP'!$B7,'MM01'!$B:$B,0),MATCH('MM01-EXP'!CO$3,'MM01'!$3:$3,0))=0,"",INDEX('MM01'!$A:$DK,MATCH('MM01-EXP'!$B7,'MM01'!$B:$B,0),MATCH('MM01-EXP'!CO$3,'MM01'!$3:$3,0))),"")</f>
        <v/>
      </c>
      <c r="CP7" s="43" t="str">
        <f>IFERROR(IF(INDEX('MM01'!$A:$DK,MATCH('MM01-EXP'!$B7,'MM01'!$B:$B,0),MATCH('MM01-EXP'!CP$3,'MM01'!$3:$3,0))=0,"",INDEX('MM01'!$A:$DK,MATCH('MM01-EXP'!$B7,'MM01'!$B:$B,0),MATCH('MM01-EXP'!CP$3,'MM01'!$3:$3,0))),"")</f>
        <v/>
      </c>
      <c r="CQ7" s="60">
        <v>1</v>
      </c>
      <c r="CR7" s="44"/>
      <c r="CS7" s="44">
        <v>1</v>
      </c>
      <c r="CT7" s="44">
        <v>0</v>
      </c>
      <c r="CU7" s="44" t="s">
        <v>913</v>
      </c>
      <c r="CV7" s="45">
        <v>0</v>
      </c>
      <c r="CW7" s="43" t="str">
        <f>IFERROR(IF(INDEX('MM01'!$A:$DK,MATCH('MM01-EXP'!$B7,'MM01'!$B:$B,0),MATCH('MM01-EXP'!CW$3,'MM01'!$3:$3,0))=0,"",INDEX('MM01'!$A:$DK,MATCH('MM01-EXP'!$B7,'MM01'!$B:$B,0),MATCH('MM01-EXP'!CW$3,'MM01'!$3:$3,0))),"")</f>
        <v/>
      </c>
      <c r="CX7" s="65"/>
    </row>
    <row r="8" spans="1:102" x14ac:dyDescent="0.2">
      <c r="A8" s="7" t="str">
        <f t="shared" si="0"/>
        <v>Execução 4</v>
      </c>
      <c r="B8" s="85"/>
      <c r="C8" s="43" t="str">
        <f t="shared" si="1"/>
        <v/>
      </c>
      <c r="D8" s="43" t="str">
        <f>IF(B8&lt;&gt;"",SUBSTITUTE(VLOOKUP(B8,'MM01-BOB'!B:C,2,0),"BOBINA","TIRA"),"")</f>
        <v/>
      </c>
      <c r="E8" s="43" t="str">
        <f>IFERROR(IF(INDEX(Estrutura_P01[#All],MATCH($D8,Estrutura_P01[[#All],[txtMAKT-MAKTX]],0),MATCH(E$3,Estrutura_P01[#Headers],0))=0,"",INDEX(Estrutura_P01[#All],MATCH($D8,Estrutura_P01[[#All],[txtMAKT-MAKTX]],0),MATCH(E$3,Estrutura_P01[#Headers],0))),"")</f>
        <v/>
      </c>
      <c r="F8" s="44" t="s">
        <v>100</v>
      </c>
      <c r="G8" s="85" t="s">
        <v>4</v>
      </c>
      <c r="H8" s="86" t="s">
        <v>15</v>
      </c>
      <c r="I8" s="49" t="str">
        <f t="shared" si="2"/>
        <v>0581</v>
      </c>
      <c r="J8" s="86" t="s">
        <v>24</v>
      </c>
      <c r="K8" s="86"/>
      <c r="M8" s="45"/>
      <c r="N8" s="45"/>
      <c r="O8" s="45"/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/>
      <c r="AF8" s="45"/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3" t="str">
        <f>IFERROR(IF(INDEX('MM01'!$A:$DK,MATCH('MM01-EXP'!$B8,'MM01'!$B:$B,0),MATCH('MM01-EXP'!AO$3,'MM01'!$3:$3,0))=0,"",INDEX('MM01'!$A:$DK,MATCH('MM01-EXP'!$B8,'MM01'!$B:$B,0),MATCH('MM01-EXP'!AO$3,'MM01'!$3:$3,0))),"")</f>
        <v/>
      </c>
      <c r="AP8" s="43" t="str">
        <f>IFERROR(IF(INDEX('MM01'!$A:$DK,MATCH('MM01-EXP'!$B8,'MM01'!$B:$B,0),MATCH('MM01-EXP'!AP$3,'MM01'!$3:$3,0))=0,"",INDEX('MM01'!$A:$DK,MATCH('MM01-EXP'!$B8,'MM01'!$B:$B,0),MATCH('MM01-EXP'!AP$3,'MM01'!$3:$3,0))),"")</f>
        <v/>
      </c>
      <c r="AQ8" s="43" t="str">
        <f>IFERROR(IF(INDEX('MM01'!$A:$DK,MATCH('MM01-EXP'!$B8,'MM01'!$B:$B,0),MATCH('MM01-EXP'!AQ$3,'MM01'!$3:$3,0))=0,"",INDEX('MM01'!$A:$DK,MATCH('MM01-EXP'!$B8,'MM01'!$B:$B,0),MATCH('MM01-EXP'!AQ$3,'MM01'!$3:$3,0))),"")</f>
        <v/>
      </c>
      <c r="AR8" s="43" t="str">
        <f>IFERROR(IF(INDEX('MM01'!$A:$DK,MATCH('MM01-EXP'!$B8,'MM01'!$B:$B,0),MATCH('MM01-EXP'!AR$3,'MM01'!$3:$3,0))=0,"",INDEX('MM01'!$A:$DK,MATCH('MM01-EXP'!$B8,'MM01'!$B:$B,0),MATCH('MM01-EXP'!AR$3,'MM01'!$3:$3,0))),"")</f>
        <v/>
      </c>
      <c r="AS8" s="43" t="str">
        <f>IFERROR(IF(INDEX('MM01'!$A:$DK,MATCH('MM01-EXP'!$B8,'MM01'!$B:$B,0),MATCH('MM01-EXP'!AS$3,'MM01'!$3:$3,0))=0,"",INDEX('MM01'!$A:$DK,MATCH('MM01-EXP'!$B8,'MM01'!$B:$B,0),MATCH('MM01-EXP'!AS$3,'MM01'!$3:$3,0))),"")</f>
        <v/>
      </c>
      <c r="AT8" s="43" t="str">
        <f>IFERROR(IF(INDEX('MM01'!$A:$DK,MATCH('MM01-EXP'!$B8,'MM01'!$B:$B,0),MATCH('MM01-EXP'!AT$3,'MM01'!$3:$3,0))=0,"",INDEX('MM01'!$A:$DK,MATCH('MM01-EXP'!$B8,'MM01'!$B:$B,0),MATCH('MM01-EXP'!AT$3,'MM01'!$3:$3,0))),"")</f>
        <v/>
      </c>
      <c r="AU8" s="43" t="str">
        <f>IFERROR(IF(INDEX('MM01'!$A:$DK,MATCH('MM01-EXP'!$B8,'MM01'!$B:$B,0),MATCH('MM01-EXP'!AU$3,'MM01'!$3:$3,0))=0,"",INDEX('MM01'!$A:$DK,MATCH('MM01-EXP'!$B8,'MM01'!$B:$B,0),MATCH('MM01-EXP'!AU$3,'MM01'!$3:$3,0))),"")</f>
        <v/>
      </c>
      <c r="AV8" s="43" t="str">
        <f>IFERROR(IF(INDEX('MM01'!$A:$DK,MATCH('MM01-EXP'!$B8,'MM01'!$B:$B,0),MATCH('MM01-EXP'!AV$3,'MM01'!$3:$3,0))=0,"",INDEX('MM01'!$A:$DK,MATCH('MM01-EXP'!$B8,'MM01'!$B:$B,0),MATCH('MM01-EXP'!AV$3,'MM01'!$3:$3,0))),"")</f>
        <v/>
      </c>
      <c r="AW8" s="44">
        <v>0</v>
      </c>
      <c r="AX8" s="44">
        <v>1</v>
      </c>
      <c r="AY8" s="44">
        <v>0</v>
      </c>
      <c r="AZ8" s="44" t="s">
        <v>348</v>
      </c>
      <c r="BA8" s="50" t="s">
        <v>195</v>
      </c>
      <c r="BB8" s="50" t="s">
        <v>195</v>
      </c>
      <c r="BC8" s="43" t="str">
        <f>IFERROR(IF(INDEX(Estrutura_P01[#All],MATCH($D8,Estrutura_P01[[#All],[txtMAKT-MAKTX]],0),MATCH(BC$3,Estrutura_P01[#Headers],0))=0,"",INDEX(Estrutura_P01[#All],MATCH($D8,Estrutura_P01[[#All],[txtMAKT-MAKTX]],0),MATCH(BC$3,Estrutura_P01[#Headers],0))),"")</f>
        <v/>
      </c>
      <c r="BD8" s="44"/>
      <c r="BE8" s="50">
        <v>0</v>
      </c>
      <c r="BF8" s="45" t="s">
        <v>378</v>
      </c>
      <c r="BG8" s="45" t="s">
        <v>84</v>
      </c>
      <c r="BH8" s="43" t="str">
        <f t="shared" si="3"/>
        <v>581</v>
      </c>
      <c r="BI8" s="45" t="s">
        <v>426</v>
      </c>
      <c r="BJ8" s="80"/>
      <c r="BK8" s="45">
        <v>0</v>
      </c>
      <c r="BL8" s="45" t="s">
        <v>473</v>
      </c>
      <c r="BM8" s="45" t="s">
        <v>90</v>
      </c>
      <c r="BN8" s="44"/>
      <c r="BO8" s="49" t="str">
        <f t="shared" si="4"/>
        <v>0120</v>
      </c>
      <c r="BP8" s="49" t="str">
        <f t="shared" si="5"/>
        <v>0120</v>
      </c>
      <c r="BQ8" s="45">
        <v>1</v>
      </c>
      <c r="BR8" s="44">
        <v>1</v>
      </c>
      <c r="BS8" s="44">
        <v>2</v>
      </c>
      <c r="BT8" s="50" t="s">
        <v>490</v>
      </c>
      <c r="BU8" s="80">
        <v>2</v>
      </c>
      <c r="BV8" s="80">
        <v>7</v>
      </c>
      <c r="BW8" s="44" t="s">
        <v>348</v>
      </c>
      <c r="BX8" s="44">
        <v>2</v>
      </c>
      <c r="BY8" s="44">
        <v>42</v>
      </c>
      <c r="BZ8" s="44">
        <v>10</v>
      </c>
      <c r="CA8" s="43" t="str">
        <f t="shared" si="6"/>
        <v>K00_R_0581</v>
      </c>
      <c r="CB8" s="43">
        <f t="shared" si="7"/>
        <v>1</v>
      </c>
      <c r="CC8" s="55" t="s">
        <v>909</v>
      </c>
      <c r="CD8" s="43" t="str">
        <f t="shared" ca="1" si="8"/>
        <v>17.05.2022</v>
      </c>
      <c r="CE8" s="43" t="str">
        <f t="shared" si="9"/>
        <v>31.12.9999</v>
      </c>
      <c r="CG8" s="44">
        <v>2</v>
      </c>
      <c r="CH8" s="44"/>
      <c r="CI8" s="44">
        <v>1</v>
      </c>
      <c r="CJ8" s="43" t="str">
        <f>IFERROR(IF(INDEX('MM01'!$A:$DK,MATCH('MM01-EXP'!$B8,'MM01'!$B:$B,0),MATCH('MM01-EXP'!CJ$3,'MM01'!$3:$3,0))=0,"",INDEX('MM01'!$A:$DK,MATCH('MM01-EXP'!$B8,'MM01'!$B:$B,0),MATCH('MM01-EXP'!CJ$3,'MM01'!$3:$3,0))),"")</f>
        <v/>
      </c>
      <c r="CK8" s="44">
        <v>12</v>
      </c>
      <c r="CL8" s="44">
        <v>1</v>
      </c>
      <c r="CM8" s="50" t="s">
        <v>223</v>
      </c>
      <c r="CN8" s="50" t="s">
        <v>902</v>
      </c>
      <c r="CO8" s="43" t="str">
        <f>IFERROR(IF(INDEX('MM01'!$A:$DK,MATCH('MM01-EXP'!$B8,'MM01'!$B:$B,0),MATCH('MM01-EXP'!CO$3,'MM01'!$3:$3,0))=0,"",INDEX('MM01'!$A:$DK,MATCH('MM01-EXP'!$B8,'MM01'!$B:$B,0),MATCH('MM01-EXP'!CO$3,'MM01'!$3:$3,0))),"")</f>
        <v/>
      </c>
      <c r="CP8" s="43" t="str">
        <f>IFERROR(IF(INDEX('MM01'!$A:$DK,MATCH('MM01-EXP'!$B8,'MM01'!$B:$B,0),MATCH('MM01-EXP'!CP$3,'MM01'!$3:$3,0))=0,"",INDEX('MM01'!$A:$DK,MATCH('MM01-EXP'!$B8,'MM01'!$B:$B,0),MATCH('MM01-EXP'!CP$3,'MM01'!$3:$3,0))),"")</f>
        <v/>
      </c>
      <c r="CQ8" s="60">
        <v>1</v>
      </c>
      <c r="CR8" s="44"/>
      <c r="CS8" s="44">
        <v>1</v>
      </c>
      <c r="CT8" s="44">
        <v>0</v>
      </c>
      <c r="CU8" s="44" t="s">
        <v>913</v>
      </c>
      <c r="CV8" s="45">
        <v>0</v>
      </c>
      <c r="CW8" s="43" t="str">
        <f>IFERROR(IF(INDEX('MM01'!$A:$DK,MATCH('MM01-EXP'!$B8,'MM01'!$B:$B,0),MATCH('MM01-EXP'!CW$3,'MM01'!$3:$3,0))=0,"",INDEX('MM01'!$A:$DK,MATCH('MM01-EXP'!$B8,'MM01'!$B:$B,0),MATCH('MM01-EXP'!CW$3,'MM01'!$3:$3,0))),"")</f>
        <v/>
      </c>
      <c r="CX8" s="65"/>
    </row>
    <row r="9" spans="1:102" x14ac:dyDescent="0.2">
      <c r="A9" s="7" t="str">
        <f t="shared" si="0"/>
        <v>Execução 5</v>
      </c>
      <c r="B9" s="85"/>
      <c r="C9" s="43" t="str">
        <f t="shared" si="1"/>
        <v/>
      </c>
      <c r="D9" s="43" t="str">
        <f>IF(B9&lt;&gt;"",SUBSTITUTE(VLOOKUP(B9,'MM01-BOB'!B:C,2,0),"BOBINA","TIRA"),"")</f>
        <v/>
      </c>
      <c r="E9" s="43" t="str">
        <f>IFERROR(IF(INDEX(Estrutura_P01[#All],MATCH($D9,Estrutura_P01[[#All],[txtMAKT-MAKTX]],0),MATCH(E$3,Estrutura_P01[#Headers],0))=0,"",INDEX(Estrutura_P01[#All],MATCH($D9,Estrutura_P01[[#All],[txtMAKT-MAKTX]],0),MATCH(E$3,Estrutura_P01[#Headers],0))),"")</f>
        <v/>
      </c>
      <c r="F9" s="44" t="s">
        <v>100</v>
      </c>
      <c r="G9" s="85" t="s">
        <v>4</v>
      </c>
      <c r="H9" s="86" t="s">
        <v>15</v>
      </c>
      <c r="I9" s="49" t="str">
        <f t="shared" si="2"/>
        <v>0581</v>
      </c>
      <c r="J9" s="86" t="s">
        <v>24</v>
      </c>
      <c r="K9" s="86"/>
      <c r="M9" s="45"/>
      <c r="N9" s="45"/>
      <c r="O9" s="45"/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/>
      <c r="AF9" s="45"/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3" t="str">
        <f>IFERROR(IF(INDEX('MM01'!$A:$DK,MATCH('MM01-EXP'!$B9,'MM01'!$B:$B,0),MATCH('MM01-EXP'!AO$3,'MM01'!$3:$3,0))=0,"",INDEX('MM01'!$A:$DK,MATCH('MM01-EXP'!$B9,'MM01'!$B:$B,0),MATCH('MM01-EXP'!AO$3,'MM01'!$3:$3,0))),"")</f>
        <v/>
      </c>
      <c r="AP9" s="43" t="str">
        <f>IFERROR(IF(INDEX('MM01'!$A:$DK,MATCH('MM01-EXP'!$B9,'MM01'!$B:$B,0),MATCH('MM01-EXP'!AP$3,'MM01'!$3:$3,0))=0,"",INDEX('MM01'!$A:$DK,MATCH('MM01-EXP'!$B9,'MM01'!$B:$B,0),MATCH('MM01-EXP'!AP$3,'MM01'!$3:$3,0))),"")</f>
        <v/>
      </c>
      <c r="AQ9" s="43" t="str">
        <f>IFERROR(IF(INDEX('MM01'!$A:$DK,MATCH('MM01-EXP'!$B9,'MM01'!$B:$B,0),MATCH('MM01-EXP'!AQ$3,'MM01'!$3:$3,0))=0,"",INDEX('MM01'!$A:$DK,MATCH('MM01-EXP'!$B9,'MM01'!$B:$B,0),MATCH('MM01-EXP'!AQ$3,'MM01'!$3:$3,0))),"")</f>
        <v/>
      </c>
      <c r="AR9" s="43" t="str">
        <f>IFERROR(IF(INDEX('MM01'!$A:$DK,MATCH('MM01-EXP'!$B9,'MM01'!$B:$B,0),MATCH('MM01-EXP'!AR$3,'MM01'!$3:$3,0))=0,"",INDEX('MM01'!$A:$DK,MATCH('MM01-EXP'!$B9,'MM01'!$B:$B,0),MATCH('MM01-EXP'!AR$3,'MM01'!$3:$3,0))),"")</f>
        <v/>
      </c>
      <c r="AS9" s="43" t="str">
        <f>IFERROR(IF(INDEX('MM01'!$A:$DK,MATCH('MM01-EXP'!$B9,'MM01'!$B:$B,0),MATCH('MM01-EXP'!AS$3,'MM01'!$3:$3,0))=0,"",INDEX('MM01'!$A:$DK,MATCH('MM01-EXP'!$B9,'MM01'!$B:$B,0),MATCH('MM01-EXP'!AS$3,'MM01'!$3:$3,0))),"")</f>
        <v/>
      </c>
      <c r="AT9" s="43" t="str">
        <f>IFERROR(IF(INDEX('MM01'!$A:$DK,MATCH('MM01-EXP'!$B9,'MM01'!$B:$B,0),MATCH('MM01-EXP'!AT$3,'MM01'!$3:$3,0))=0,"",INDEX('MM01'!$A:$DK,MATCH('MM01-EXP'!$B9,'MM01'!$B:$B,0),MATCH('MM01-EXP'!AT$3,'MM01'!$3:$3,0))),"")</f>
        <v/>
      </c>
      <c r="AU9" s="43" t="str">
        <f>IFERROR(IF(INDEX('MM01'!$A:$DK,MATCH('MM01-EXP'!$B9,'MM01'!$B:$B,0),MATCH('MM01-EXP'!AU$3,'MM01'!$3:$3,0))=0,"",INDEX('MM01'!$A:$DK,MATCH('MM01-EXP'!$B9,'MM01'!$B:$B,0),MATCH('MM01-EXP'!AU$3,'MM01'!$3:$3,0))),"")</f>
        <v/>
      </c>
      <c r="AV9" s="43" t="str">
        <f>IFERROR(IF(INDEX('MM01'!$A:$DK,MATCH('MM01-EXP'!$B9,'MM01'!$B:$B,0),MATCH('MM01-EXP'!AV$3,'MM01'!$3:$3,0))=0,"",INDEX('MM01'!$A:$DK,MATCH('MM01-EXP'!$B9,'MM01'!$B:$B,0),MATCH('MM01-EXP'!AV$3,'MM01'!$3:$3,0))),"")</f>
        <v/>
      </c>
      <c r="AW9" s="44">
        <v>0</v>
      </c>
      <c r="AX9" s="44">
        <v>1</v>
      </c>
      <c r="AY9" s="44">
        <v>0</v>
      </c>
      <c r="AZ9" s="44" t="s">
        <v>348</v>
      </c>
      <c r="BA9" s="50" t="s">
        <v>195</v>
      </c>
      <c r="BB9" s="50" t="s">
        <v>195</v>
      </c>
      <c r="BC9" s="43" t="str">
        <f>IFERROR(IF(INDEX(Estrutura_P01[#All],MATCH($D9,Estrutura_P01[[#All],[txtMAKT-MAKTX]],0),MATCH(BC$3,Estrutura_P01[#Headers],0))=0,"",INDEX(Estrutura_P01[#All],MATCH($D9,Estrutura_P01[[#All],[txtMAKT-MAKTX]],0),MATCH(BC$3,Estrutura_P01[#Headers],0))),"")</f>
        <v/>
      </c>
      <c r="BD9" s="44"/>
      <c r="BE9" s="50">
        <v>0</v>
      </c>
      <c r="BF9" s="45" t="s">
        <v>378</v>
      </c>
      <c r="BG9" s="45" t="s">
        <v>84</v>
      </c>
      <c r="BH9" s="43" t="str">
        <f t="shared" si="3"/>
        <v>581</v>
      </c>
      <c r="BI9" s="45" t="s">
        <v>426</v>
      </c>
      <c r="BJ9" s="80"/>
      <c r="BK9" s="45">
        <v>0</v>
      </c>
      <c r="BL9" s="45" t="s">
        <v>473</v>
      </c>
      <c r="BM9" s="45" t="s">
        <v>90</v>
      </c>
      <c r="BN9" s="44"/>
      <c r="BO9" s="49" t="str">
        <f t="shared" si="4"/>
        <v>0120</v>
      </c>
      <c r="BP9" s="49" t="str">
        <f t="shared" si="5"/>
        <v>0120</v>
      </c>
      <c r="BQ9" s="45">
        <v>1</v>
      </c>
      <c r="BR9" s="44">
        <v>1</v>
      </c>
      <c r="BS9" s="44">
        <v>2</v>
      </c>
      <c r="BT9" s="50" t="s">
        <v>490</v>
      </c>
      <c r="BU9" s="80">
        <v>2</v>
      </c>
      <c r="BV9" s="80">
        <v>7</v>
      </c>
      <c r="BW9" s="44" t="s">
        <v>348</v>
      </c>
      <c r="BX9" s="44">
        <v>2</v>
      </c>
      <c r="BY9" s="44">
        <v>42</v>
      </c>
      <c r="BZ9" s="44">
        <v>10</v>
      </c>
      <c r="CA9" s="43" t="str">
        <f t="shared" si="6"/>
        <v>K00_R_0581</v>
      </c>
      <c r="CB9" s="43">
        <f t="shared" si="7"/>
        <v>1</v>
      </c>
      <c r="CC9" s="55" t="s">
        <v>909</v>
      </c>
      <c r="CD9" s="43" t="str">
        <f t="shared" ca="1" si="8"/>
        <v>17.05.2022</v>
      </c>
      <c r="CE9" s="43" t="str">
        <f t="shared" si="9"/>
        <v>31.12.9999</v>
      </c>
      <c r="CG9" s="44">
        <v>2</v>
      </c>
      <c r="CH9" s="44"/>
      <c r="CI9" s="44">
        <v>1</v>
      </c>
      <c r="CJ9" s="43" t="str">
        <f>IFERROR(IF(INDEX('MM01'!$A:$DK,MATCH('MM01-EXP'!$B9,'MM01'!$B:$B,0),MATCH('MM01-EXP'!CJ$3,'MM01'!$3:$3,0))=0,"",INDEX('MM01'!$A:$DK,MATCH('MM01-EXP'!$B9,'MM01'!$B:$B,0),MATCH('MM01-EXP'!CJ$3,'MM01'!$3:$3,0))),"")</f>
        <v/>
      </c>
      <c r="CK9" s="44">
        <v>12</v>
      </c>
      <c r="CL9" s="44">
        <v>1</v>
      </c>
      <c r="CM9" s="50" t="s">
        <v>223</v>
      </c>
      <c r="CN9" s="50" t="s">
        <v>902</v>
      </c>
      <c r="CO9" s="43" t="str">
        <f>IFERROR(IF(INDEX('MM01'!$A:$DK,MATCH('MM01-EXP'!$B9,'MM01'!$B:$B,0),MATCH('MM01-EXP'!CO$3,'MM01'!$3:$3,0))=0,"",INDEX('MM01'!$A:$DK,MATCH('MM01-EXP'!$B9,'MM01'!$B:$B,0),MATCH('MM01-EXP'!CO$3,'MM01'!$3:$3,0))),"")</f>
        <v/>
      </c>
      <c r="CP9" s="43" t="str">
        <f>IFERROR(IF(INDEX('MM01'!$A:$DK,MATCH('MM01-EXP'!$B9,'MM01'!$B:$B,0),MATCH('MM01-EXP'!CP$3,'MM01'!$3:$3,0))=0,"",INDEX('MM01'!$A:$DK,MATCH('MM01-EXP'!$B9,'MM01'!$B:$B,0),MATCH('MM01-EXP'!CP$3,'MM01'!$3:$3,0))),"")</f>
        <v/>
      </c>
      <c r="CQ9" s="60">
        <v>1</v>
      </c>
      <c r="CR9" s="44"/>
      <c r="CS9" s="44">
        <v>1</v>
      </c>
      <c r="CT9" s="44">
        <v>0</v>
      </c>
      <c r="CU9" s="44" t="s">
        <v>913</v>
      </c>
      <c r="CV9" s="45">
        <v>0</v>
      </c>
      <c r="CW9" s="43" t="str">
        <f>IFERROR(IF(INDEX('MM01'!$A:$DK,MATCH('MM01-EXP'!$B9,'MM01'!$B:$B,0),MATCH('MM01-EXP'!CW$3,'MM01'!$3:$3,0))=0,"",INDEX('MM01'!$A:$DK,MATCH('MM01-EXP'!$B9,'MM01'!$B:$B,0),MATCH('MM01-EXP'!CW$3,'MM01'!$3:$3,0))),"")</f>
        <v/>
      </c>
      <c r="CX9" s="65"/>
    </row>
    <row r="10" spans="1:102" x14ac:dyDescent="0.2">
      <c r="A10" s="7" t="str">
        <f t="shared" si="0"/>
        <v>Execução 6</v>
      </c>
      <c r="B10" s="85"/>
      <c r="C10" s="43" t="str">
        <f t="shared" si="1"/>
        <v/>
      </c>
      <c r="D10" s="43" t="str">
        <f>IF(B10&lt;&gt;"",SUBSTITUTE(VLOOKUP(B10,'MM01-BOB'!B:C,2,0),"BOBINA","TIRA"),"")</f>
        <v/>
      </c>
      <c r="E10" s="43" t="str">
        <f>IFERROR(IF(INDEX(Estrutura_P01[#All],MATCH($D10,Estrutura_P01[[#All],[txtMAKT-MAKTX]],0),MATCH(E$3,Estrutura_P01[#Headers],0))=0,"",INDEX(Estrutura_P01[#All],MATCH($D10,Estrutura_P01[[#All],[txtMAKT-MAKTX]],0),MATCH(E$3,Estrutura_P01[#Headers],0))),"")</f>
        <v/>
      </c>
      <c r="F10" s="44" t="s">
        <v>100</v>
      </c>
      <c r="G10" s="85" t="s">
        <v>4</v>
      </c>
      <c r="H10" s="86" t="s">
        <v>15</v>
      </c>
      <c r="I10" s="49" t="str">
        <f t="shared" si="2"/>
        <v>0581</v>
      </c>
      <c r="J10" s="86" t="s">
        <v>24</v>
      </c>
      <c r="K10" s="86"/>
      <c r="M10" s="45"/>
      <c r="N10" s="45"/>
      <c r="O10" s="45"/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/>
      <c r="AF10" s="45"/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3" t="str">
        <f>IFERROR(IF(INDEX('MM01'!$A:$DK,MATCH('MM01-EXP'!$B10,'MM01'!$B:$B,0),MATCH('MM01-EXP'!AO$3,'MM01'!$3:$3,0))=0,"",INDEX('MM01'!$A:$DK,MATCH('MM01-EXP'!$B10,'MM01'!$B:$B,0),MATCH('MM01-EXP'!AO$3,'MM01'!$3:$3,0))),"")</f>
        <v/>
      </c>
      <c r="AP10" s="43" t="str">
        <f>IFERROR(IF(INDEX('MM01'!$A:$DK,MATCH('MM01-EXP'!$B10,'MM01'!$B:$B,0),MATCH('MM01-EXP'!AP$3,'MM01'!$3:$3,0))=0,"",INDEX('MM01'!$A:$DK,MATCH('MM01-EXP'!$B10,'MM01'!$B:$B,0),MATCH('MM01-EXP'!AP$3,'MM01'!$3:$3,0))),"")</f>
        <v/>
      </c>
      <c r="AQ10" s="43" t="str">
        <f>IFERROR(IF(INDEX('MM01'!$A:$DK,MATCH('MM01-EXP'!$B10,'MM01'!$B:$B,0),MATCH('MM01-EXP'!AQ$3,'MM01'!$3:$3,0))=0,"",INDEX('MM01'!$A:$DK,MATCH('MM01-EXP'!$B10,'MM01'!$B:$B,0),MATCH('MM01-EXP'!AQ$3,'MM01'!$3:$3,0))),"")</f>
        <v/>
      </c>
      <c r="AR10" s="43" t="str">
        <f>IFERROR(IF(INDEX('MM01'!$A:$DK,MATCH('MM01-EXP'!$B10,'MM01'!$B:$B,0),MATCH('MM01-EXP'!AR$3,'MM01'!$3:$3,0))=0,"",INDEX('MM01'!$A:$DK,MATCH('MM01-EXP'!$B10,'MM01'!$B:$B,0),MATCH('MM01-EXP'!AR$3,'MM01'!$3:$3,0))),"")</f>
        <v/>
      </c>
      <c r="AS10" s="43" t="str">
        <f>IFERROR(IF(INDEX('MM01'!$A:$DK,MATCH('MM01-EXP'!$B10,'MM01'!$B:$B,0),MATCH('MM01-EXP'!AS$3,'MM01'!$3:$3,0))=0,"",INDEX('MM01'!$A:$DK,MATCH('MM01-EXP'!$B10,'MM01'!$B:$B,0),MATCH('MM01-EXP'!AS$3,'MM01'!$3:$3,0))),"")</f>
        <v/>
      </c>
      <c r="AT10" s="43" t="str">
        <f>IFERROR(IF(INDEX('MM01'!$A:$DK,MATCH('MM01-EXP'!$B10,'MM01'!$B:$B,0),MATCH('MM01-EXP'!AT$3,'MM01'!$3:$3,0))=0,"",INDEX('MM01'!$A:$DK,MATCH('MM01-EXP'!$B10,'MM01'!$B:$B,0),MATCH('MM01-EXP'!AT$3,'MM01'!$3:$3,0))),"")</f>
        <v/>
      </c>
      <c r="AU10" s="43" t="str">
        <f>IFERROR(IF(INDEX('MM01'!$A:$DK,MATCH('MM01-EXP'!$B10,'MM01'!$B:$B,0),MATCH('MM01-EXP'!AU$3,'MM01'!$3:$3,0))=0,"",INDEX('MM01'!$A:$DK,MATCH('MM01-EXP'!$B10,'MM01'!$B:$B,0),MATCH('MM01-EXP'!AU$3,'MM01'!$3:$3,0))),"")</f>
        <v/>
      </c>
      <c r="AV10" s="43" t="str">
        <f>IFERROR(IF(INDEX('MM01'!$A:$DK,MATCH('MM01-EXP'!$B10,'MM01'!$B:$B,0),MATCH('MM01-EXP'!AV$3,'MM01'!$3:$3,0))=0,"",INDEX('MM01'!$A:$DK,MATCH('MM01-EXP'!$B10,'MM01'!$B:$B,0),MATCH('MM01-EXP'!AV$3,'MM01'!$3:$3,0))),"")</f>
        <v/>
      </c>
      <c r="AW10" s="44">
        <v>0</v>
      </c>
      <c r="AX10" s="44">
        <v>1</v>
      </c>
      <c r="AY10" s="44">
        <v>0</v>
      </c>
      <c r="AZ10" s="44" t="s">
        <v>348</v>
      </c>
      <c r="BA10" s="50" t="s">
        <v>195</v>
      </c>
      <c r="BB10" s="50" t="s">
        <v>195</v>
      </c>
      <c r="BC10" s="43" t="str">
        <f>IFERROR(IF(INDEX(Estrutura_P01[#All],MATCH($D10,Estrutura_P01[[#All],[txtMAKT-MAKTX]],0),MATCH(BC$3,Estrutura_P01[#Headers],0))=0,"",INDEX(Estrutura_P01[#All],MATCH($D10,Estrutura_P01[[#All],[txtMAKT-MAKTX]],0),MATCH(BC$3,Estrutura_P01[#Headers],0))),"")</f>
        <v/>
      </c>
      <c r="BD10" s="44"/>
      <c r="BE10" s="50">
        <v>0</v>
      </c>
      <c r="BF10" s="45" t="s">
        <v>378</v>
      </c>
      <c r="BG10" s="45" t="s">
        <v>84</v>
      </c>
      <c r="BH10" s="43" t="str">
        <f t="shared" si="3"/>
        <v>581</v>
      </c>
      <c r="BI10" s="45" t="s">
        <v>426</v>
      </c>
      <c r="BJ10" s="80"/>
      <c r="BK10" s="45">
        <v>0</v>
      </c>
      <c r="BL10" s="45" t="s">
        <v>473</v>
      </c>
      <c r="BM10" s="45" t="s">
        <v>90</v>
      </c>
      <c r="BN10" s="44"/>
      <c r="BO10" s="49" t="str">
        <f t="shared" si="4"/>
        <v>0120</v>
      </c>
      <c r="BP10" s="49" t="str">
        <f t="shared" si="5"/>
        <v>0120</v>
      </c>
      <c r="BQ10" s="45">
        <v>1</v>
      </c>
      <c r="BR10" s="44">
        <v>1</v>
      </c>
      <c r="BS10" s="44">
        <v>2</v>
      </c>
      <c r="BT10" s="50" t="s">
        <v>490</v>
      </c>
      <c r="BU10" s="80">
        <v>2</v>
      </c>
      <c r="BV10" s="80">
        <v>7</v>
      </c>
      <c r="BW10" s="44" t="s">
        <v>348</v>
      </c>
      <c r="BX10" s="44">
        <v>2</v>
      </c>
      <c r="BY10" s="44">
        <v>42</v>
      </c>
      <c r="BZ10" s="44">
        <v>10</v>
      </c>
      <c r="CA10" s="43" t="str">
        <f t="shared" si="6"/>
        <v>K00_R_0581</v>
      </c>
      <c r="CB10" s="43">
        <f t="shared" si="7"/>
        <v>1</v>
      </c>
      <c r="CC10" s="55" t="s">
        <v>909</v>
      </c>
      <c r="CD10" s="43" t="str">
        <f t="shared" ca="1" si="8"/>
        <v>17.05.2022</v>
      </c>
      <c r="CE10" s="43" t="str">
        <f t="shared" si="9"/>
        <v>31.12.9999</v>
      </c>
      <c r="CG10" s="44">
        <v>2</v>
      </c>
      <c r="CH10" s="44"/>
      <c r="CI10" s="44">
        <v>1</v>
      </c>
      <c r="CJ10" s="43" t="str">
        <f>IFERROR(IF(INDEX('MM01'!$A:$DK,MATCH('MM01-EXP'!$B10,'MM01'!$B:$B,0),MATCH('MM01-EXP'!CJ$3,'MM01'!$3:$3,0))=0,"",INDEX('MM01'!$A:$DK,MATCH('MM01-EXP'!$B10,'MM01'!$B:$B,0),MATCH('MM01-EXP'!CJ$3,'MM01'!$3:$3,0))),"")</f>
        <v/>
      </c>
      <c r="CK10" s="44">
        <v>12</v>
      </c>
      <c r="CL10" s="44">
        <v>1</v>
      </c>
      <c r="CM10" s="50" t="s">
        <v>223</v>
      </c>
      <c r="CN10" s="50" t="s">
        <v>902</v>
      </c>
      <c r="CO10" s="43" t="str">
        <f>IFERROR(IF(INDEX('MM01'!$A:$DK,MATCH('MM01-EXP'!$B10,'MM01'!$B:$B,0),MATCH('MM01-EXP'!CO$3,'MM01'!$3:$3,0))=0,"",INDEX('MM01'!$A:$DK,MATCH('MM01-EXP'!$B10,'MM01'!$B:$B,0),MATCH('MM01-EXP'!CO$3,'MM01'!$3:$3,0))),"")</f>
        <v/>
      </c>
      <c r="CP10" s="43" t="str">
        <f>IFERROR(IF(INDEX('MM01'!$A:$DK,MATCH('MM01-EXP'!$B10,'MM01'!$B:$B,0),MATCH('MM01-EXP'!CP$3,'MM01'!$3:$3,0))=0,"",INDEX('MM01'!$A:$DK,MATCH('MM01-EXP'!$B10,'MM01'!$B:$B,0),MATCH('MM01-EXP'!CP$3,'MM01'!$3:$3,0))),"")</f>
        <v/>
      </c>
      <c r="CQ10" s="60">
        <v>1</v>
      </c>
      <c r="CR10" s="44"/>
      <c r="CS10" s="44">
        <v>1</v>
      </c>
      <c r="CT10" s="44">
        <v>0</v>
      </c>
      <c r="CU10" s="44" t="s">
        <v>913</v>
      </c>
      <c r="CV10" s="45">
        <v>0</v>
      </c>
      <c r="CW10" s="43" t="str">
        <f>IFERROR(IF(INDEX('MM01'!$A:$DK,MATCH('MM01-EXP'!$B10,'MM01'!$B:$B,0),MATCH('MM01-EXP'!CW$3,'MM01'!$3:$3,0))=0,"",INDEX('MM01'!$A:$DK,MATCH('MM01-EXP'!$B10,'MM01'!$B:$B,0),MATCH('MM01-EXP'!CW$3,'MM01'!$3:$3,0))),"")</f>
        <v/>
      </c>
      <c r="CX10" s="65"/>
    </row>
    <row r="11" spans="1:102" x14ac:dyDescent="0.2">
      <c r="A11" s="7" t="str">
        <f t="shared" si="0"/>
        <v>Execução 7</v>
      </c>
      <c r="B11" s="85"/>
      <c r="C11" s="43" t="str">
        <f t="shared" si="1"/>
        <v/>
      </c>
      <c r="D11" s="43" t="str">
        <f>IF(B11&lt;&gt;"",SUBSTITUTE(VLOOKUP(B11,'MM01-BOB'!B:C,2,0),"BOBINA","TIRA"),"")</f>
        <v/>
      </c>
      <c r="E11" s="43" t="str">
        <f>IFERROR(IF(INDEX(Estrutura_P01[#All],MATCH($D11,Estrutura_P01[[#All],[txtMAKT-MAKTX]],0),MATCH(E$3,Estrutura_P01[#Headers],0))=0,"",INDEX(Estrutura_P01[#All],MATCH($D11,Estrutura_P01[[#All],[txtMAKT-MAKTX]],0),MATCH(E$3,Estrutura_P01[#Headers],0))),"")</f>
        <v/>
      </c>
      <c r="F11" s="44" t="s">
        <v>100</v>
      </c>
      <c r="G11" s="85" t="s">
        <v>4</v>
      </c>
      <c r="H11" s="86" t="s">
        <v>15</v>
      </c>
      <c r="I11" s="49" t="str">
        <f t="shared" si="2"/>
        <v>0581</v>
      </c>
      <c r="J11" s="86" t="s">
        <v>24</v>
      </c>
      <c r="K11" s="86"/>
      <c r="M11" s="45"/>
      <c r="N11" s="45"/>
      <c r="O11" s="45"/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/>
      <c r="AF11" s="45"/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3" t="str">
        <f>IFERROR(IF(INDEX('MM01'!$A:$DK,MATCH('MM01-EXP'!$B11,'MM01'!$B:$B,0),MATCH('MM01-EXP'!AO$3,'MM01'!$3:$3,0))=0,"",INDEX('MM01'!$A:$DK,MATCH('MM01-EXP'!$B11,'MM01'!$B:$B,0),MATCH('MM01-EXP'!AO$3,'MM01'!$3:$3,0))),"")</f>
        <v/>
      </c>
      <c r="AP11" s="43" t="str">
        <f>IFERROR(IF(INDEX('MM01'!$A:$DK,MATCH('MM01-EXP'!$B11,'MM01'!$B:$B,0),MATCH('MM01-EXP'!AP$3,'MM01'!$3:$3,0))=0,"",INDEX('MM01'!$A:$DK,MATCH('MM01-EXP'!$B11,'MM01'!$B:$B,0),MATCH('MM01-EXP'!AP$3,'MM01'!$3:$3,0))),"")</f>
        <v/>
      </c>
      <c r="AQ11" s="43" t="str">
        <f>IFERROR(IF(INDEX('MM01'!$A:$DK,MATCH('MM01-EXP'!$B11,'MM01'!$B:$B,0),MATCH('MM01-EXP'!AQ$3,'MM01'!$3:$3,0))=0,"",INDEX('MM01'!$A:$DK,MATCH('MM01-EXP'!$B11,'MM01'!$B:$B,0),MATCH('MM01-EXP'!AQ$3,'MM01'!$3:$3,0))),"")</f>
        <v/>
      </c>
      <c r="AR11" s="43" t="str">
        <f>IFERROR(IF(INDEX('MM01'!$A:$DK,MATCH('MM01-EXP'!$B11,'MM01'!$B:$B,0),MATCH('MM01-EXP'!AR$3,'MM01'!$3:$3,0))=0,"",INDEX('MM01'!$A:$DK,MATCH('MM01-EXP'!$B11,'MM01'!$B:$B,0),MATCH('MM01-EXP'!AR$3,'MM01'!$3:$3,0))),"")</f>
        <v/>
      </c>
      <c r="AS11" s="43" t="str">
        <f>IFERROR(IF(INDEX('MM01'!$A:$DK,MATCH('MM01-EXP'!$B11,'MM01'!$B:$B,0),MATCH('MM01-EXP'!AS$3,'MM01'!$3:$3,0))=0,"",INDEX('MM01'!$A:$DK,MATCH('MM01-EXP'!$B11,'MM01'!$B:$B,0),MATCH('MM01-EXP'!AS$3,'MM01'!$3:$3,0))),"")</f>
        <v/>
      </c>
      <c r="AT11" s="43" t="str">
        <f>IFERROR(IF(INDEX('MM01'!$A:$DK,MATCH('MM01-EXP'!$B11,'MM01'!$B:$B,0),MATCH('MM01-EXP'!AT$3,'MM01'!$3:$3,0))=0,"",INDEX('MM01'!$A:$DK,MATCH('MM01-EXP'!$B11,'MM01'!$B:$B,0),MATCH('MM01-EXP'!AT$3,'MM01'!$3:$3,0))),"")</f>
        <v/>
      </c>
      <c r="AU11" s="43" t="str">
        <f>IFERROR(IF(INDEX('MM01'!$A:$DK,MATCH('MM01-EXP'!$B11,'MM01'!$B:$B,0),MATCH('MM01-EXP'!AU$3,'MM01'!$3:$3,0))=0,"",INDEX('MM01'!$A:$DK,MATCH('MM01-EXP'!$B11,'MM01'!$B:$B,0),MATCH('MM01-EXP'!AU$3,'MM01'!$3:$3,0))),"")</f>
        <v/>
      </c>
      <c r="AV11" s="43" t="str">
        <f>IFERROR(IF(INDEX('MM01'!$A:$DK,MATCH('MM01-EXP'!$B11,'MM01'!$B:$B,0),MATCH('MM01-EXP'!AV$3,'MM01'!$3:$3,0))=0,"",INDEX('MM01'!$A:$DK,MATCH('MM01-EXP'!$B11,'MM01'!$B:$B,0),MATCH('MM01-EXP'!AV$3,'MM01'!$3:$3,0))),"")</f>
        <v/>
      </c>
      <c r="AW11" s="44">
        <v>0</v>
      </c>
      <c r="AX11" s="44">
        <v>1</v>
      </c>
      <c r="AY11" s="44">
        <v>0</v>
      </c>
      <c r="AZ11" s="44" t="s">
        <v>348</v>
      </c>
      <c r="BA11" s="50" t="s">
        <v>195</v>
      </c>
      <c r="BB11" s="50" t="s">
        <v>195</v>
      </c>
      <c r="BC11" s="43" t="str">
        <f>IFERROR(IF(INDEX(Estrutura_P01[#All],MATCH($D11,Estrutura_P01[[#All],[txtMAKT-MAKTX]],0),MATCH(BC$3,Estrutura_P01[#Headers],0))=0,"",INDEX(Estrutura_P01[#All],MATCH($D11,Estrutura_P01[[#All],[txtMAKT-MAKTX]],0),MATCH(BC$3,Estrutura_P01[#Headers],0))),"")</f>
        <v/>
      </c>
      <c r="BD11" s="44"/>
      <c r="BE11" s="50">
        <v>0</v>
      </c>
      <c r="BF11" s="45" t="s">
        <v>378</v>
      </c>
      <c r="BG11" s="45" t="s">
        <v>84</v>
      </c>
      <c r="BH11" s="43" t="str">
        <f t="shared" si="3"/>
        <v>581</v>
      </c>
      <c r="BI11" s="45" t="s">
        <v>426</v>
      </c>
      <c r="BJ11" s="80"/>
      <c r="BK11" s="45">
        <v>0</v>
      </c>
      <c r="BL11" s="45" t="s">
        <v>473</v>
      </c>
      <c r="BM11" s="45" t="s">
        <v>90</v>
      </c>
      <c r="BN11" s="44"/>
      <c r="BO11" s="49" t="str">
        <f t="shared" si="4"/>
        <v>0120</v>
      </c>
      <c r="BP11" s="49" t="str">
        <f t="shared" si="5"/>
        <v>0120</v>
      </c>
      <c r="BQ11" s="45">
        <v>1</v>
      </c>
      <c r="BR11" s="44">
        <v>1</v>
      </c>
      <c r="BS11" s="44">
        <v>2</v>
      </c>
      <c r="BT11" s="50" t="s">
        <v>490</v>
      </c>
      <c r="BU11" s="80">
        <v>2</v>
      </c>
      <c r="BV11" s="80">
        <v>7</v>
      </c>
      <c r="BW11" s="44" t="s">
        <v>348</v>
      </c>
      <c r="BX11" s="44">
        <v>2</v>
      </c>
      <c r="BY11" s="44">
        <v>42</v>
      </c>
      <c r="BZ11" s="44">
        <v>10</v>
      </c>
      <c r="CA11" s="43" t="str">
        <f t="shared" si="6"/>
        <v>K00_R_0581</v>
      </c>
      <c r="CB11" s="43">
        <f t="shared" si="7"/>
        <v>1</v>
      </c>
      <c r="CC11" s="55" t="s">
        <v>909</v>
      </c>
      <c r="CD11" s="43" t="str">
        <f t="shared" ca="1" si="8"/>
        <v>17.05.2022</v>
      </c>
      <c r="CE11" s="43" t="str">
        <f t="shared" si="9"/>
        <v>31.12.9999</v>
      </c>
      <c r="CG11" s="44">
        <v>2</v>
      </c>
      <c r="CH11" s="44"/>
      <c r="CI11" s="44">
        <v>1</v>
      </c>
      <c r="CJ11" s="43" t="str">
        <f>IFERROR(IF(INDEX('MM01'!$A:$DK,MATCH('MM01-EXP'!$B11,'MM01'!$B:$B,0),MATCH('MM01-EXP'!CJ$3,'MM01'!$3:$3,0))=0,"",INDEX('MM01'!$A:$DK,MATCH('MM01-EXP'!$B11,'MM01'!$B:$B,0),MATCH('MM01-EXP'!CJ$3,'MM01'!$3:$3,0))),"")</f>
        <v/>
      </c>
      <c r="CK11" s="44">
        <v>12</v>
      </c>
      <c r="CL11" s="44">
        <v>1</v>
      </c>
      <c r="CM11" s="50" t="s">
        <v>223</v>
      </c>
      <c r="CN11" s="50" t="s">
        <v>902</v>
      </c>
      <c r="CO11" s="43" t="str">
        <f>IFERROR(IF(INDEX('MM01'!$A:$DK,MATCH('MM01-EXP'!$B11,'MM01'!$B:$B,0),MATCH('MM01-EXP'!CO$3,'MM01'!$3:$3,0))=0,"",INDEX('MM01'!$A:$DK,MATCH('MM01-EXP'!$B11,'MM01'!$B:$B,0),MATCH('MM01-EXP'!CO$3,'MM01'!$3:$3,0))),"")</f>
        <v/>
      </c>
      <c r="CP11" s="43" t="str">
        <f>IFERROR(IF(INDEX('MM01'!$A:$DK,MATCH('MM01-EXP'!$B11,'MM01'!$B:$B,0),MATCH('MM01-EXP'!CP$3,'MM01'!$3:$3,0))=0,"",INDEX('MM01'!$A:$DK,MATCH('MM01-EXP'!$B11,'MM01'!$B:$B,0),MATCH('MM01-EXP'!CP$3,'MM01'!$3:$3,0))),"")</f>
        <v/>
      </c>
      <c r="CQ11" s="60">
        <v>1</v>
      </c>
      <c r="CR11" s="44"/>
      <c r="CS11" s="44">
        <v>1</v>
      </c>
      <c r="CT11" s="44">
        <v>0</v>
      </c>
      <c r="CU11" s="44" t="s">
        <v>913</v>
      </c>
      <c r="CV11" s="45">
        <v>0</v>
      </c>
      <c r="CW11" s="43" t="str">
        <f>IFERROR(IF(INDEX('MM01'!$A:$DK,MATCH('MM01-EXP'!$B11,'MM01'!$B:$B,0),MATCH('MM01-EXP'!CW$3,'MM01'!$3:$3,0))=0,"",INDEX('MM01'!$A:$DK,MATCH('MM01-EXP'!$B11,'MM01'!$B:$B,0),MATCH('MM01-EXP'!CW$3,'MM01'!$3:$3,0))),"")</f>
        <v/>
      </c>
      <c r="CX11" s="65"/>
    </row>
    <row r="12" spans="1:102" x14ac:dyDescent="0.2">
      <c r="A12" s="7" t="str">
        <f t="shared" si="0"/>
        <v>Execução 8</v>
      </c>
      <c r="B12" s="85"/>
      <c r="C12" s="43" t="str">
        <f t="shared" si="1"/>
        <v/>
      </c>
      <c r="D12" s="43" t="str">
        <f>IF(B12&lt;&gt;"",SUBSTITUTE(VLOOKUP(B12,'MM01-BOB'!B:C,2,0),"BOBINA","TIRA"),"")</f>
        <v/>
      </c>
      <c r="E12" s="43" t="str">
        <f>IFERROR(IF(INDEX(Estrutura_P01[#All],MATCH($D12,Estrutura_P01[[#All],[txtMAKT-MAKTX]],0),MATCH(E$3,Estrutura_P01[#Headers],0))=0,"",INDEX(Estrutura_P01[#All],MATCH($D12,Estrutura_P01[[#All],[txtMAKT-MAKTX]],0),MATCH(E$3,Estrutura_P01[#Headers],0))),"")</f>
        <v/>
      </c>
      <c r="F12" s="44" t="s">
        <v>100</v>
      </c>
      <c r="G12" s="85" t="s">
        <v>4</v>
      </c>
      <c r="H12" s="86" t="s">
        <v>15</v>
      </c>
      <c r="I12" s="49" t="str">
        <f t="shared" si="2"/>
        <v>0581</v>
      </c>
      <c r="J12" s="86" t="s">
        <v>24</v>
      </c>
      <c r="K12" s="86"/>
      <c r="M12" s="45"/>
      <c r="N12" s="45"/>
      <c r="O12" s="45"/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/>
      <c r="AF12" s="45"/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3" t="str">
        <f>IFERROR(IF(INDEX('MM01'!$A:$DK,MATCH('MM01-EXP'!$B12,'MM01'!$B:$B,0),MATCH('MM01-EXP'!AO$3,'MM01'!$3:$3,0))=0,"",INDEX('MM01'!$A:$DK,MATCH('MM01-EXP'!$B12,'MM01'!$B:$B,0),MATCH('MM01-EXP'!AO$3,'MM01'!$3:$3,0))),"")</f>
        <v/>
      </c>
      <c r="AP12" s="43" t="str">
        <f>IFERROR(IF(INDEX('MM01'!$A:$DK,MATCH('MM01-EXP'!$B12,'MM01'!$B:$B,0),MATCH('MM01-EXP'!AP$3,'MM01'!$3:$3,0))=0,"",INDEX('MM01'!$A:$DK,MATCH('MM01-EXP'!$B12,'MM01'!$B:$B,0),MATCH('MM01-EXP'!AP$3,'MM01'!$3:$3,0))),"")</f>
        <v/>
      </c>
      <c r="AQ12" s="43" t="str">
        <f>IFERROR(IF(INDEX('MM01'!$A:$DK,MATCH('MM01-EXP'!$B12,'MM01'!$B:$B,0),MATCH('MM01-EXP'!AQ$3,'MM01'!$3:$3,0))=0,"",INDEX('MM01'!$A:$DK,MATCH('MM01-EXP'!$B12,'MM01'!$B:$B,0),MATCH('MM01-EXP'!AQ$3,'MM01'!$3:$3,0))),"")</f>
        <v/>
      </c>
      <c r="AR12" s="43" t="str">
        <f>IFERROR(IF(INDEX('MM01'!$A:$DK,MATCH('MM01-EXP'!$B12,'MM01'!$B:$B,0),MATCH('MM01-EXP'!AR$3,'MM01'!$3:$3,0))=0,"",INDEX('MM01'!$A:$DK,MATCH('MM01-EXP'!$B12,'MM01'!$B:$B,0),MATCH('MM01-EXP'!AR$3,'MM01'!$3:$3,0))),"")</f>
        <v/>
      </c>
      <c r="AS12" s="43" t="str">
        <f>IFERROR(IF(INDEX('MM01'!$A:$DK,MATCH('MM01-EXP'!$B12,'MM01'!$B:$B,0),MATCH('MM01-EXP'!AS$3,'MM01'!$3:$3,0))=0,"",INDEX('MM01'!$A:$DK,MATCH('MM01-EXP'!$B12,'MM01'!$B:$B,0),MATCH('MM01-EXP'!AS$3,'MM01'!$3:$3,0))),"")</f>
        <v/>
      </c>
      <c r="AT12" s="43" t="str">
        <f>IFERROR(IF(INDEX('MM01'!$A:$DK,MATCH('MM01-EXP'!$B12,'MM01'!$B:$B,0),MATCH('MM01-EXP'!AT$3,'MM01'!$3:$3,0))=0,"",INDEX('MM01'!$A:$DK,MATCH('MM01-EXP'!$B12,'MM01'!$B:$B,0),MATCH('MM01-EXP'!AT$3,'MM01'!$3:$3,0))),"")</f>
        <v/>
      </c>
      <c r="AU12" s="43" t="str">
        <f>IFERROR(IF(INDEX('MM01'!$A:$DK,MATCH('MM01-EXP'!$B12,'MM01'!$B:$B,0),MATCH('MM01-EXP'!AU$3,'MM01'!$3:$3,0))=0,"",INDEX('MM01'!$A:$DK,MATCH('MM01-EXP'!$B12,'MM01'!$B:$B,0),MATCH('MM01-EXP'!AU$3,'MM01'!$3:$3,0))),"")</f>
        <v/>
      </c>
      <c r="AV12" s="43" t="str">
        <f>IFERROR(IF(INDEX('MM01'!$A:$DK,MATCH('MM01-EXP'!$B12,'MM01'!$B:$B,0),MATCH('MM01-EXP'!AV$3,'MM01'!$3:$3,0))=0,"",INDEX('MM01'!$A:$DK,MATCH('MM01-EXP'!$B12,'MM01'!$B:$B,0),MATCH('MM01-EXP'!AV$3,'MM01'!$3:$3,0))),"")</f>
        <v/>
      </c>
      <c r="AW12" s="44">
        <v>0</v>
      </c>
      <c r="AX12" s="44">
        <v>1</v>
      </c>
      <c r="AY12" s="44">
        <v>0</v>
      </c>
      <c r="AZ12" s="44" t="s">
        <v>348</v>
      </c>
      <c r="BA12" s="50" t="s">
        <v>195</v>
      </c>
      <c r="BB12" s="50" t="s">
        <v>195</v>
      </c>
      <c r="BC12" s="43" t="str">
        <f>IFERROR(IF(INDEX(Estrutura_P01[#All],MATCH($D12,Estrutura_P01[[#All],[txtMAKT-MAKTX]],0),MATCH(BC$3,Estrutura_P01[#Headers],0))=0,"",INDEX(Estrutura_P01[#All],MATCH($D12,Estrutura_P01[[#All],[txtMAKT-MAKTX]],0),MATCH(BC$3,Estrutura_P01[#Headers],0))),"")</f>
        <v/>
      </c>
      <c r="BD12" s="44"/>
      <c r="BE12" s="50">
        <v>0</v>
      </c>
      <c r="BF12" s="45" t="s">
        <v>378</v>
      </c>
      <c r="BG12" s="45" t="s">
        <v>84</v>
      </c>
      <c r="BH12" s="43" t="str">
        <f t="shared" si="3"/>
        <v>581</v>
      </c>
      <c r="BI12" s="45" t="s">
        <v>426</v>
      </c>
      <c r="BJ12" s="80"/>
      <c r="BK12" s="45">
        <v>0</v>
      </c>
      <c r="BL12" s="45" t="s">
        <v>473</v>
      </c>
      <c r="BM12" s="45" t="s">
        <v>90</v>
      </c>
      <c r="BN12" s="44"/>
      <c r="BO12" s="49" t="str">
        <f t="shared" si="4"/>
        <v>0120</v>
      </c>
      <c r="BP12" s="49" t="str">
        <f t="shared" si="5"/>
        <v>0120</v>
      </c>
      <c r="BQ12" s="45">
        <v>1</v>
      </c>
      <c r="BR12" s="44">
        <v>1</v>
      </c>
      <c r="BS12" s="44">
        <v>2</v>
      </c>
      <c r="BT12" s="50" t="s">
        <v>490</v>
      </c>
      <c r="BU12" s="80">
        <v>2</v>
      </c>
      <c r="BV12" s="80">
        <v>7</v>
      </c>
      <c r="BW12" s="44" t="s">
        <v>348</v>
      </c>
      <c r="BX12" s="44">
        <v>2</v>
      </c>
      <c r="BY12" s="44">
        <v>42</v>
      </c>
      <c r="BZ12" s="44">
        <v>10</v>
      </c>
      <c r="CA12" s="43" t="str">
        <f t="shared" si="6"/>
        <v>K00_R_0581</v>
      </c>
      <c r="CB12" s="43">
        <f t="shared" si="7"/>
        <v>1</v>
      </c>
      <c r="CC12" s="55" t="s">
        <v>909</v>
      </c>
      <c r="CD12" s="43" t="str">
        <f t="shared" ca="1" si="8"/>
        <v>17.05.2022</v>
      </c>
      <c r="CE12" s="43" t="str">
        <f t="shared" si="9"/>
        <v>31.12.9999</v>
      </c>
      <c r="CG12" s="44">
        <v>2</v>
      </c>
      <c r="CH12" s="44"/>
      <c r="CI12" s="44">
        <v>1</v>
      </c>
      <c r="CJ12" s="43" t="str">
        <f>IFERROR(IF(INDEX('MM01'!$A:$DK,MATCH('MM01-EXP'!$B12,'MM01'!$B:$B,0),MATCH('MM01-EXP'!CJ$3,'MM01'!$3:$3,0))=0,"",INDEX('MM01'!$A:$DK,MATCH('MM01-EXP'!$B12,'MM01'!$B:$B,0),MATCH('MM01-EXP'!CJ$3,'MM01'!$3:$3,0))),"")</f>
        <v/>
      </c>
      <c r="CK12" s="44">
        <v>12</v>
      </c>
      <c r="CL12" s="44">
        <v>1</v>
      </c>
      <c r="CM12" s="50" t="s">
        <v>223</v>
      </c>
      <c r="CN12" s="50" t="s">
        <v>902</v>
      </c>
      <c r="CO12" s="43" t="str">
        <f>IFERROR(IF(INDEX('MM01'!$A:$DK,MATCH('MM01-EXP'!$B12,'MM01'!$B:$B,0),MATCH('MM01-EXP'!CO$3,'MM01'!$3:$3,0))=0,"",INDEX('MM01'!$A:$DK,MATCH('MM01-EXP'!$B12,'MM01'!$B:$B,0),MATCH('MM01-EXP'!CO$3,'MM01'!$3:$3,0))),"")</f>
        <v/>
      </c>
      <c r="CP12" s="43" t="str">
        <f>IFERROR(IF(INDEX('MM01'!$A:$DK,MATCH('MM01-EXP'!$B12,'MM01'!$B:$B,0),MATCH('MM01-EXP'!CP$3,'MM01'!$3:$3,0))=0,"",INDEX('MM01'!$A:$DK,MATCH('MM01-EXP'!$B12,'MM01'!$B:$B,0),MATCH('MM01-EXP'!CP$3,'MM01'!$3:$3,0))),"")</f>
        <v/>
      </c>
      <c r="CQ12" s="60">
        <v>1</v>
      </c>
      <c r="CR12" s="44"/>
      <c r="CS12" s="44">
        <v>1</v>
      </c>
      <c r="CT12" s="44">
        <v>0</v>
      </c>
      <c r="CU12" s="44" t="s">
        <v>913</v>
      </c>
      <c r="CV12" s="45">
        <v>0</v>
      </c>
      <c r="CW12" s="43" t="str">
        <f>IFERROR(IF(INDEX('MM01'!$A:$DK,MATCH('MM01-EXP'!$B12,'MM01'!$B:$B,0),MATCH('MM01-EXP'!CW$3,'MM01'!$3:$3,0))=0,"",INDEX('MM01'!$A:$DK,MATCH('MM01-EXP'!$B12,'MM01'!$B:$B,0),MATCH('MM01-EXP'!CW$3,'MM01'!$3:$3,0))),"")</f>
        <v/>
      </c>
      <c r="CX12" s="65"/>
    </row>
    <row r="13" spans="1:102" x14ac:dyDescent="0.2">
      <c r="A13" s="7" t="str">
        <f t="shared" si="0"/>
        <v>Execução 9</v>
      </c>
      <c r="B13" s="85"/>
      <c r="C13" s="43" t="str">
        <f t="shared" si="1"/>
        <v/>
      </c>
      <c r="D13" s="43" t="str">
        <f>IF(B13&lt;&gt;"",SUBSTITUTE(VLOOKUP(B13,'MM01-BOB'!B:C,2,0),"BOBINA","TIRA"),"")</f>
        <v/>
      </c>
      <c r="E13" s="43" t="str">
        <f>IFERROR(IF(INDEX(Estrutura_P01[#All],MATCH($D13,Estrutura_P01[[#All],[txtMAKT-MAKTX]],0),MATCH(E$3,Estrutura_P01[#Headers],0))=0,"",INDEX(Estrutura_P01[#All],MATCH($D13,Estrutura_P01[[#All],[txtMAKT-MAKTX]],0),MATCH(E$3,Estrutura_P01[#Headers],0))),"")</f>
        <v/>
      </c>
      <c r="F13" s="44" t="s">
        <v>100</v>
      </c>
      <c r="G13" s="85" t="s">
        <v>4</v>
      </c>
      <c r="H13" s="86" t="s">
        <v>15</v>
      </c>
      <c r="I13" s="49" t="str">
        <f t="shared" si="2"/>
        <v>0581</v>
      </c>
      <c r="J13" s="86" t="s">
        <v>24</v>
      </c>
      <c r="K13" s="86"/>
      <c r="M13" s="45"/>
      <c r="N13" s="45"/>
      <c r="O13" s="45"/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/>
      <c r="AF13" s="45"/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3" t="str">
        <f>IFERROR(IF(INDEX('MM01'!$A:$DK,MATCH('MM01-EXP'!$B13,'MM01'!$B:$B,0),MATCH('MM01-EXP'!AO$3,'MM01'!$3:$3,0))=0,"",INDEX('MM01'!$A:$DK,MATCH('MM01-EXP'!$B13,'MM01'!$B:$B,0),MATCH('MM01-EXP'!AO$3,'MM01'!$3:$3,0))),"")</f>
        <v/>
      </c>
      <c r="AP13" s="43" t="str">
        <f>IFERROR(IF(INDEX('MM01'!$A:$DK,MATCH('MM01-EXP'!$B13,'MM01'!$B:$B,0),MATCH('MM01-EXP'!AP$3,'MM01'!$3:$3,0))=0,"",INDEX('MM01'!$A:$DK,MATCH('MM01-EXP'!$B13,'MM01'!$B:$B,0),MATCH('MM01-EXP'!AP$3,'MM01'!$3:$3,0))),"")</f>
        <v/>
      </c>
      <c r="AQ13" s="43" t="str">
        <f>IFERROR(IF(INDEX('MM01'!$A:$DK,MATCH('MM01-EXP'!$B13,'MM01'!$B:$B,0),MATCH('MM01-EXP'!AQ$3,'MM01'!$3:$3,0))=0,"",INDEX('MM01'!$A:$DK,MATCH('MM01-EXP'!$B13,'MM01'!$B:$B,0),MATCH('MM01-EXP'!AQ$3,'MM01'!$3:$3,0))),"")</f>
        <v/>
      </c>
      <c r="AR13" s="43" t="str">
        <f>IFERROR(IF(INDEX('MM01'!$A:$DK,MATCH('MM01-EXP'!$B13,'MM01'!$B:$B,0),MATCH('MM01-EXP'!AR$3,'MM01'!$3:$3,0))=0,"",INDEX('MM01'!$A:$DK,MATCH('MM01-EXP'!$B13,'MM01'!$B:$B,0),MATCH('MM01-EXP'!AR$3,'MM01'!$3:$3,0))),"")</f>
        <v/>
      </c>
      <c r="AS13" s="43" t="str">
        <f>IFERROR(IF(INDEX('MM01'!$A:$DK,MATCH('MM01-EXP'!$B13,'MM01'!$B:$B,0),MATCH('MM01-EXP'!AS$3,'MM01'!$3:$3,0))=0,"",INDEX('MM01'!$A:$DK,MATCH('MM01-EXP'!$B13,'MM01'!$B:$B,0),MATCH('MM01-EXP'!AS$3,'MM01'!$3:$3,0))),"")</f>
        <v/>
      </c>
      <c r="AT13" s="43" t="str">
        <f>IFERROR(IF(INDEX('MM01'!$A:$DK,MATCH('MM01-EXP'!$B13,'MM01'!$B:$B,0),MATCH('MM01-EXP'!AT$3,'MM01'!$3:$3,0))=0,"",INDEX('MM01'!$A:$DK,MATCH('MM01-EXP'!$B13,'MM01'!$B:$B,0),MATCH('MM01-EXP'!AT$3,'MM01'!$3:$3,0))),"")</f>
        <v/>
      </c>
      <c r="AU13" s="43" t="str">
        <f>IFERROR(IF(INDEX('MM01'!$A:$DK,MATCH('MM01-EXP'!$B13,'MM01'!$B:$B,0),MATCH('MM01-EXP'!AU$3,'MM01'!$3:$3,0))=0,"",INDEX('MM01'!$A:$DK,MATCH('MM01-EXP'!$B13,'MM01'!$B:$B,0),MATCH('MM01-EXP'!AU$3,'MM01'!$3:$3,0))),"")</f>
        <v/>
      </c>
      <c r="AV13" s="43" t="str">
        <f>IFERROR(IF(INDEX('MM01'!$A:$DK,MATCH('MM01-EXP'!$B13,'MM01'!$B:$B,0),MATCH('MM01-EXP'!AV$3,'MM01'!$3:$3,0))=0,"",INDEX('MM01'!$A:$DK,MATCH('MM01-EXP'!$B13,'MM01'!$B:$B,0),MATCH('MM01-EXP'!AV$3,'MM01'!$3:$3,0))),"")</f>
        <v/>
      </c>
      <c r="AW13" s="44">
        <v>0</v>
      </c>
      <c r="AX13" s="44">
        <v>1</v>
      </c>
      <c r="AY13" s="44">
        <v>0</v>
      </c>
      <c r="AZ13" s="44" t="s">
        <v>348</v>
      </c>
      <c r="BA13" s="50" t="s">
        <v>195</v>
      </c>
      <c r="BB13" s="50" t="s">
        <v>195</v>
      </c>
      <c r="BC13" s="43" t="str">
        <f>IFERROR(IF(INDEX(Estrutura_P01[#All],MATCH($D13,Estrutura_P01[[#All],[txtMAKT-MAKTX]],0),MATCH(BC$3,Estrutura_P01[#Headers],0))=0,"",INDEX(Estrutura_P01[#All],MATCH($D13,Estrutura_P01[[#All],[txtMAKT-MAKTX]],0),MATCH(BC$3,Estrutura_P01[#Headers],0))),"")</f>
        <v/>
      </c>
      <c r="BD13" s="44"/>
      <c r="BE13" s="50">
        <v>0</v>
      </c>
      <c r="BF13" s="45" t="s">
        <v>378</v>
      </c>
      <c r="BG13" s="45" t="s">
        <v>84</v>
      </c>
      <c r="BH13" s="43" t="str">
        <f t="shared" si="3"/>
        <v>581</v>
      </c>
      <c r="BI13" s="45" t="s">
        <v>426</v>
      </c>
      <c r="BJ13" s="80"/>
      <c r="BK13" s="45">
        <v>0</v>
      </c>
      <c r="BL13" s="45" t="s">
        <v>473</v>
      </c>
      <c r="BM13" s="45" t="s">
        <v>90</v>
      </c>
      <c r="BN13" s="44"/>
      <c r="BO13" s="49" t="str">
        <f t="shared" si="4"/>
        <v>0120</v>
      </c>
      <c r="BP13" s="49" t="str">
        <f t="shared" si="5"/>
        <v>0120</v>
      </c>
      <c r="BQ13" s="45">
        <v>1</v>
      </c>
      <c r="BR13" s="44">
        <v>1</v>
      </c>
      <c r="BS13" s="44">
        <v>2</v>
      </c>
      <c r="BT13" s="50" t="s">
        <v>490</v>
      </c>
      <c r="BU13" s="80">
        <v>2</v>
      </c>
      <c r="BV13" s="80">
        <v>7</v>
      </c>
      <c r="BW13" s="44" t="s">
        <v>348</v>
      </c>
      <c r="BX13" s="44">
        <v>2</v>
      </c>
      <c r="BY13" s="44">
        <v>42</v>
      </c>
      <c r="BZ13" s="44">
        <v>10</v>
      </c>
      <c r="CA13" s="43" t="str">
        <f t="shared" si="6"/>
        <v>K00_R_0581</v>
      </c>
      <c r="CB13" s="43">
        <f t="shared" si="7"/>
        <v>1</v>
      </c>
      <c r="CC13" s="55" t="s">
        <v>909</v>
      </c>
      <c r="CD13" s="43" t="str">
        <f t="shared" ca="1" si="8"/>
        <v>17.05.2022</v>
      </c>
      <c r="CE13" s="43" t="str">
        <f t="shared" si="9"/>
        <v>31.12.9999</v>
      </c>
      <c r="CG13" s="44">
        <v>2</v>
      </c>
      <c r="CH13" s="44"/>
      <c r="CI13" s="44">
        <v>1</v>
      </c>
      <c r="CJ13" s="43" t="str">
        <f>IFERROR(IF(INDEX('MM01'!$A:$DK,MATCH('MM01-EXP'!$B13,'MM01'!$B:$B,0),MATCH('MM01-EXP'!CJ$3,'MM01'!$3:$3,0))=0,"",INDEX('MM01'!$A:$DK,MATCH('MM01-EXP'!$B13,'MM01'!$B:$B,0),MATCH('MM01-EXP'!CJ$3,'MM01'!$3:$3,0))),"")</f>
        <v/>
      </c>
      <c r="CK13" s="44">
        <v>12</v>
      </c>
      <c r="CL13" s="44">
        <v>1</v>
      </c>
      <c r="CM13" s="50" t="s">
        <v>223</v>
      </c>
      <c r="CN13" s="50" t="s">
        <v>902</v>
      </c>
      <c r="CO13" s="43" t="str">
        <f>IFERROR(IF(INDEX('MM01'!$A:$DK,MATCH('MM01-EXP'!$B13,'MM01'!$B:$B,0),MATCH('MM01-EXP'!CO$3,'MM01'!$3:$3,0))=0,"",INDEX('MM01'!$A:$DK,MATCH('MM01-EXP'!$B13,'MM01'!$B:$B,0),MATCH('MM01-EXP'!CO$3,'MM01'!$3:$3,0))),"")</f>
        <v/>
      </c>
      <c r="CP13" s="43" t="str">
        <f>IFERROR(IF(INDEX('MM01'!$A:$DK,MATCH('MM01-EXP'!$B13,'MM01'!$B:$B,0),MATCH('MM01-EXP'!CP$3,'MM01'!$3:$3,0))=0,"",INDEX('MM01'!$A:$DK,MATCH('MM01-EXP'!$B13,'MM01'!$B:$B,0),MATCH('MM01-EXP'!CP$3,'MM01'!$3:$3,0))),"")</f>
        <v/>
      </c>
      <c r="CQ13" s="60">
        <v>1</v>
      </c>
      <c r="CR13" s="44"/>
      <c r="CS13" s="44">
        <v>1</v>
      </c>
      <c r="CT13" s="44">
        <v>0</v>
      </c>
      <c r="CU13" s="44" t="s">
        <v>913</v>
      </c>
      <c r="CV13" s="45">
        <v>0</v>
      </c>
      <c r="CW13" s="43" t="str">
        <f>IFERROR(IF(INDEX('MM01'!$A:$DK,MATCH('MM01-EXP'!$B13,'MM01'!$B:$B,0),MATCH('MM01-EXP'!CW$3,'MM01'!$3:$3,0))=0,"",INDEX('MM01'!$A:$DK,MATCH('MM01-EXP'!$B13,'MM01'!$B:$B,0),MATCH('MM01-EXP'!CW$3,'MM01'!$3:$3,0))),"")</f>
        <v/>
      </c>
      <c r="CX13" s="65"/>
    </row>
    <row r="14" spans="1:102" x14ac:dyDescent="0.2">
      <c r="A14" s="7" t="str">
        <f t="shared" si="0"/>
        <v>Execução 10</v>
      </c>
      <c r="B14" s="85"/>
      <c r="C14" s="43" t="str">
        <f t="shared" si="1"/>
        <v/>
      </c>
      <c r="D14" s="43" t="str">
        <f>IF(B14&lt;&gt;"",SUBSTITUTE(VLOOKUP(B14,'MM01-BOB'!B:C,2,0),"BOBINA","TIRA"),"")</f>
        <v/>
      </c>
      <c r="E14" s="43" t="str">
        <f>IFERROR(IF(INDEX(Estrutura_P01[#All],MATCH($D14,Estrutura_P01[[#All],[txtMAKT-MAKTX]],0),MATCH(E$3,Estrutura_P01[#Headers],0))=0,"",INDEX(Estrutura_P01[#All],MATCH($D14,Estrutura_P01[[#All],[txtMAKT-MAKTX]],0),MATCH(E$3,Estrutura_P01[#Headers],0))),"")</f>
        <v/>
      </c>
      <c r="F14" s="44" t="s">
        <v>100</v>
      </c>
      <c r="G14" s="85" t="s">
        <v>4</v>
      </c>
      <c r="H14" s="86" t="s">
        <v>15</v>
      </c>
      <c r="I14" s="49" t="str">
        <f t="shared" si="2"/>
        <v>0581</v>
      </c>
      <c r="J14" s="86" t="s">
        <v>24</v>
      </c>
      <c r="K14" s="86"/>
      <c r="M14" s="45"/>
      <c r="N14" s="45"/>
      <c r="O14" s="45"/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/>
      <c r="AF14" s="45"/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3" t="str">
        <f>IFERROR(IF(INDEX('MM01'!$A:$DK,MATCH('MM01-EXP'!$B14,'MM01'!$B:$B,0),MATCH('MM01-EXP'!AO$3,'MM01'!$3:$3,0))=0,"",INDEX('MM01'!$A:$DK,MATCH('MM01-EXP'!$B14,'MM01'!$B:$B,0),MATCH('MM01-EXP'!AO$3,'MM01'!$3:$3,0))),"")</f>
        <v/>
      </c>
      <c r="AP14" s="43" t="str">
        <f>IFERROR(IF(INDEX('MM01'!$A:$DK,MATCH('MM01-EXP'!$B14,'MM01'!$B:$B,0),MATCH('MM01-EXP'!AP$3,'MM01'!$3:$3,0))=0,"",INDEX('MM01'!$A:$DK,MATCH('MM01-EXP'!$B14,'MM01'!$B:$B,0),MATCH('MM01-EXP'!AP$3,'MM01'!$3:$3,0))),"")</f>
        <v/>
      </c>
      <c r="AQ14" s="43" t="str">
        <f>IFERROR(IF(INDEX('MM01'!$A:$DK,MATCH('MM01-EXP'!$B14,'MM01'!$B:$B,0),MATCH('MM01-EXP'!AQ$3,'MM01'!$3:$3,0))=0,"",INDEX('MM01'!$A:$DK,MATCH('MM01-EXP'!$B14,'MM01'!$B:$B,0),MATCH('MM01-EXP'!AQ$3,'MM01'!$3:$3,0))),"")</f>
        <v/>
      </c>
      <c r="AR14" s="43" t="str">
        <f>IFERROR(IF(INDEX('MM01'!$A:$DK,MATCH('MM01-EXP'!$B14,'MM01'!$B:$B,0),MATCH('MM01-EXP'!AR$3,'MM01'!$3:$3,0))=0,"",INDEX('MM01'!$A:$DK,MATCH('MM01-EXP'!$B14,'MM01'!$B:$B,0),MATCH('MM01-EXP'!AR$3,'MM01'!$3:$3,0))),"")</f>
        <v/>
      </c>
      <c r="AS14" s="43" t="str">
        <f>IFERROR(IF(INDEX('MM01'!$A:$DK,MATCH('MM01-EXP'!$B14,'MM01'!$B:$B,0),MATCH('MM01-EXP'!AS$3,'MM01'!$3:$3,0))=0,"",INDEX('MM01'!$A:$DK,MATCH('MM01-EXP'!$B14,'MM01'!$B:$B,0),MATCH('MM01-EXP'!AS$3,'MM01'!$3:$3,0))),"")</f>
        <v/>
      </c>
      <c r="AT14" s="43" t="str">
        <f>IFERROR(IF(INDEX('MM01'!$A:$DK,MATCH('MM01-EXP'!$B14,'MM01'!$B:$B,0),MATCH('MM01-EXP'!AT$3,'MM01'!$3:$3,0))=0,"",INDEX('MM01'!$A:$DK,MATCH('MM01-EXP'!$B14,'MM01'!$B:$B,0),MATCH('MM01-EXP'!AT$3,'MM01'!$3:$3,0))),"")</f>
        <v/>
      </c>
      <c r="AU14" s="43" t="str">
        <f>IFERROR(IF(INDEX('MM01'!$A:$DK,MATCH('MM01-EXP'!$B14,'MM01'!$B:$B,0),MATCH('MM01-EXP'!AU$3,'MM01'!$3:$3,0))=0,"",INDEX('MM01'!$A:$DK,MATCH('MM01-EXP'!$B14,'MM01'!$B:$B,0),MATCH('MM01-EXP'!AU$3,'MM01'!$3:$3,0))),"")</f>
        <v/>
      </c>
      <c r="AV14" s="43" t="str">
        <f>IFERROR(IF(INDEX('MM01'!$A:$DK,MATCH('MM01-EXP'!$B14,'MM01'!$B:$B,0),MATCH('MM01-EXP'!AV$3,'MM01'!$3:$3,0))=0,"",INDEX('MM01'!$A:$DK,MATCH('MM01-EXP'!$B14,'MM01'!$B:$B,0),MATCH('MM01-EXP'!AV$3,'MM01'!$3:$3,0))),"")</f>
        <v/>
      </c>
      <c r="AW14" s="44">
        <v>0</v>
      </c>
      <c r="AX14" s="44">
        <v>1</v>
      </c>
      <c r="AY14" s="44">
        <v>0</v>
      </c>
      <c r="AZ14" s="44" t="s">
        <v>348</v>
      </c>
      <c r="BA14" s="50" t="s">
        <v>195</v>
      </c>
      <c r="BB14" s="50" t="s">
        <v>195</v>
      </c>
      <c r="BC14" s="43" t="str">
        <f>IFERROR(IF(INDEX(Estrutura_P01[#All],MATCH($D14,Estrutura_P01[[#All],[txtMAKT-MAKTX]],0),MATCH(BC$3,Estrutura_P01[#Headers],0))=0,"",INDEX(Estrutura_P01[#All],MATCH($D14,Estrutura_P01[[#All],[txtMAKT-MAKTX]],0),MATCH(BC$3,Estrutura_P01[#Headers],0))),"")</f>
        <v/>
      </c>
      <c r="BD14" s="44"/>
      <c r="BE14" s="50">
        <v>0</v>
      </c>
      <c r="BF14" s="45" t="s">
        <v>378</v>
      </c>
      <c r="BG14" s="45" t="s">
        <v>84</v>
      </c>
      <c r="BH14" s="43" t="str">
        <f t="shared" si="3"/>
        <v>581</v>
      </c>
      <c r="BI14" s="45" t="s">
        <v>426</v>
      </c>
      <c r="BJ14" s="80"/>
      <c r="BK14" s="45">
        <v>0</v>
      </c>
      <c r="BL14" s="45" t="s">
        <v>473</v>
      </c>
      <c r="BM14" s="45" t="s">
        <v>90</v>
      </c>
      <c r="BN14" s="44"/>
      <c r="BO14" s="49" t="str">
        <f t="shared" si="4"/>
        <v>0120</v>
      </c>
      <c r="BP14" s="49" t="str">
        <f t="shared" si="5"/>
        <v>0120</v>
      </c>
      <c r="BQ14" s="45">
        <v>1</v>
      </c>
      <c r="BR14" s="44">
        <v>1</v>
      </c>
      <c r="BS14" s="44">
        <v>2</v>
      </c>
      <c r="BT14" s="50" t="s">
        <v>490</v>
      </c>
      <c r="BU14" s="80">
        <v>2</v>
      </c>
      <c r="BV14" s="80">
        <v>7</v>
      </c>
      <c r="BW14" s="44" t="s">
        <v>348</v>
      </c>
      <c r="BX14" s="44">
        <v>2</v>
      </c>
      <c r="BY14" s="44">
        <v>42</v>
      </c>
      <c r="BZ14" s="44">
        <v>10</v>
      </c>
      <c r="CA14" s="43" t="str">
        <f t="shared" si="6"/>
        <v>K00_R_0581</v>
      </c>
      <c r="CB14" s="43">
        <f t="shared" si="7"/>
        <v>1</v>
      </c>
      <c r="CC14" s="55" t="s">
        <v>909</v>
      </c>
      <c r="CD14" s="43" t="str">
        <f t="shared" ca="1" si="8"/>
        <v>17.05.2022</v>
      </c>
      <c r="CE14" s="43" t="str">
        <f t="shared" si="9"/>
        <v>31.12.9999</v>
      </c>
      <c r="CG14" s="44">
        <v>2</v>
      </c>
      <c r="CH14" s="44"/>
      <c r="CI14" s="44">
        <v>1</v>
      </c>
      <c r="CJ14" s="43" t="str">
        <f>IFERROR(IF(INDEX('MM01'!$A:$DK,MATCH('MM01-EXP'!$B14,'MM01'!$B:$B,0),MATCH('MM01-EXP'!CJ$3,'MM01'!$3:$3,0))=0,"",INDEX('MM01'!$A:$DK,MATCH('MM01-EXP'!$B14,'MM01'!$B:$B,0),MATCH('MM01-EXP'!CJ$3,'MM01'!$3:$3,0))),"")</f>
        <v/>
      </c>
      <c r="CK14" s="44">
        <v>12</v>
      </c>
      <c r="CL14" s="44">
        <v>1</v>
      </c>
      <c r="CM14" s="50" t="s">
        <v>223</v>
      </c>
      <c r="CN14" s="50" t="s">
        <v>902</v>
      </c>
      <c r="CO14" s="43" t="str">
        <f>IFERROR(IF(INDEX('MM01'!$A:$DK,MATCH('MM01-EXP'!$B14,'MM01'!$B:$B,0),MATCH('MM01-EXP'!CO$3,'MM01'!$3:$3,0))=0,"",INDEX('MM01'!$A:$DK,MATCH('MM01-EXP'!$B14,'MM01'!$B:$B,0),MATCH('MM01-EXP'!CO$3,'MM01'!$3:$3,0))),"")</f>
        <v/>
      </c>
      <c r="CP14" s="43" t="str">
        <f>IFERROR(IF(INDEX('MM01'!$A:$DK,MATCH('MM01-EXP'!$B14,'MM01'!$B:$B,0),MATCH('MM01-EXP'!CP$3,'MM01'!$3:$3,0))=0,"",INDEX('MM01'!$A:$DK,MATCH('MM01-EXP'!$B14,'MM01'!$B:$B,0),MATCH('MM01-EXP'!CP$3,'MM01'!$3:$3,0))),"")</f>
        <v/>
      </c>
      <c r="CQ14" s="60">
        <v>1</v>
      </c>
      <c r="CR14" s="44"/>
      <c r="CS14" s="44">
        <v>1</v>
      </c>
      <c r="CT14" s="44">
        <v>0</v>
      </c>
      <c r="CU14" s="44" t="s">
        <v>913</v>
      </c>
      <c r="CV14" s="45">
        <v>0</v>
      </c>
      <c r="CW14" s="43" t="str">
        <f>IFERROR(IF(INDEX('MM01'!$A:$DK,MATCH('MM01-EXP'!$B14,'MM01'!$B:$B,0),MATCH('MM01-EXP'!CW$3,'MM01'!$3:$3,0))=0,"",INDEX('MM01'!$A:$DK,MATCH('MM01-EXP'!$B14,'MM01'!$B:$B,0),MATCH('MM01-EXP'!CW$3,'MM01'!$3:$3,0))),"")</f>
        <v/>
      </c>
      <c r="CX14" s="65"/>
    </row>
    <row r="15" spans="1:102" x14ac:dyDescent="0.2">
      <c r="A15" s="7" t="str">
        <f t="shared" si="0"/>
        <v>Execução 11</v>
      </c>
      <c r="B15" s="85"/>
      <c r="C15" s="43" t="str">
        <f t="shared" si="1"/>
        <v/>
      </c>
      <c r="D15" s="43" t="str">
        <f>IF(B15&lt;&gt;"",SUBSTITUTE(VLOOKUP(B15,'MM01-BOB'!B:C,2,0),"BOBINA","TIRA"),"")</f>
        <v/>
      </c>
      <c r="E15" s="43" t="str">
        <f>IFERROR(IF(INDEX(Estrutura_P01[#All],MATCH($D15,Estrutura_P01[[#All],[txtMAKT-MAKTX]],0),MATCH(E$3,Estrutura_P01[#Headers],0))=0,"",INDEX(Estrutura_P01[#All],MATCH($D15,Estrutura_P01[[#All],[txtMAKT-MAKTX]],0),MATCH(E$3,Estrutura_P01[#Headers],0))),"")</f>
        <v/>
      </c>
      <c r="F15" s="44" t="s">
        <v>100</v>
      </c>
      <c r="G15" s="85" t="s">
        <v>4</v>
      </c>
      <c r="H15" s="86" t="s">
        <v>15</v>
      </c>
      <c r="I15" s="49" t="str">
        <f t="shared" si="2"/>
        <v>0581</v>
      </c>
      <c r="J15" s="86" t="s">
        <v>24</v>
      </c>
      <c r="K15" s="86"/>
      <c r="M15" s="45"/>
      <c r="N15" s="45"/>
      <c r="O15" s="45"/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/>
      <c r="AF15" s="45"/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3" t="str">
        <f>IFERROR(IF(INDEX('MM01'!$A:$DK,MATCH('MM01-EXP'!$B15,'MM01'!$B:$B,0),MATCH('MM01-EXP'!AO$3,'MM01'!$3:$3,0))=0,"",INDEX('MM01'!$A:$DK,MATCH('MM01-EXP'!$B15,'MM01'!$B:$B,0),MATCH('MM01-EXP'!AO$3,'MM01'!$3:$3,0))),"")</f>
        <v/>
      </c>
      <c r="AP15" s="43" t="str">
        <f>IFERROR(IF(INDEX('MM01'!$A:$DK,MATCH('MM01-EXP'!$B15,'MM01'!$B:$B,0),MATCH('MM01-EXP'!AP$3,'MM01'!$3:$3,0))=0,"",INDEX('MM01'!$A:$DK,MATCH('MM01-EXP'!$B15,'MM01'!$B:$B,0),MATCH('MM01-EXP'!AP$3,'MM01'!$3:$3,0))),"")</f>
        <v/>
      </c>
      <c r="AQ15" s="43" t="str">
        <f>IFERROR(IF(INDEX('MM01'!$A:$DK,MATCH('MM01-EXP'!$B15,'MM01'!$B:$B,0),MATCH('MM01-EXP'!AQ$3,'MM01'!$3:$3,0))=0,"",INDEX('MM01'!$A:$DK,MATCH('MM01-EXP'!$B15,'MM01'!$B:$B,0),MATCH('MM01-EXP'!AQ$3,'MM01'!$3:$3,0))),"")</f>
        <v/>
      </c>
      <c r="AR15" s="43" t="str">
        <f>IFERROR(IF(INDEX('MM01'!$A:$DK,MATCH('MM01-EXP'!$B15,'MM01'!$B:$B,0),MATCH('MM01-EXP'!AR$3,'MM01'!$3:$3,0))=0,"",INDEX('MM01'!$A:$DK,MATCH('MM01-EXP'!$B15,'MM01'!$B:$B,0),MATCH('MM01-EXP'!AR$3,'MM01'!$3:$3,0))),"")</f>
        <v/>
      </c>
      <c r="AS15" s="43" t="str">
        <f>IFERROR(IF(INDEX('MM01'!$A:$DK,MATCH('MM01-EXP'!$B15,'MM01'!$B:$B,0),MATCH('MM01-EXP'!AS$3,'MM01'!$3:$3,0))=0,"",INDEX('MM01'!$A:$DK,MATCH('MM01-EXP'!$B15,'MM01'!$B:$B,0),MATCH('MM01-EXP'!AS$3,'MM01'!$3:$3,0))),"")</f>
        <v/>
      </c>
      <c r="AT15" s="43" t="str">
        <f>IFERROR(IF(INDEX('MM01'!$A:$DK,MATCH('MM01-EXP'!$B15,'MM01'!$B:$B,0),MATCH('MM01-EXP'!AT$3,'MM01'!$3:$3,0))=0,"",INDEX('MM01'!$A:$DK,MATCH('MM01-EXP'!$B15,'MM01'!$B:$B,0),MATCH('MM01-EXP'!AT$3,'MM01'!$3:$3,0))),"")</f>
        <v/>
      </c>
      <c r="AU15" s="43" t="str">
        <f>IFERROR(IF(INDEX('MM01'!$A:$DK,MATCH('MM01-EXP'!$B15,'MM01'!$B:$B,0),MATCH('MM01-EXP'!AU$3,'MM01'!$3:$3,0))=0,"",INDEX('MM01'!$A:$DK,MATCH('MM01-EXP'!$B15,'MM01'!$B:$B,0),MATCH('MM01-EXP'!AU$3,'MM01'!$3:$3,0))),"")</f>
        <v/>
      </c>
      <c r="AV15" s="43" t="str">
        <f>IFERROR(IF(INDEX('MM01'!$A:$DK,MATCH('MM01-EXP'!$B15,'MM01'!$B:$B,0),MATCH('MM01-EXP'!AV$3,'MM01'!$3:$3,0))=0,"",INDEX('MM01'!$A:$DK,MATCH('MM01-EXP'!$B15,'MM01'!$B:$B,0),MATCH('MM01-EXP'!AV$3,'MM01'!$3:$3,0))),"")</f>
        <v/>
      </c>
      <c r="AW15" s="44">
        <v>0</v>
      </c>
      <c r="AX15" s="44">
        <v>1</v>
      </c>
      <c r="AY15" s="44">
        <v>0</v>
      </c>
      <c r="AZ15" s="44" t="s">
        <v>348</v>
      </c>
      <c r="BA15" s="50" t="s">
        <v>195</v>
      </c>
      <c r="BB15" s="50" t="s">
        <v>195</v>
      </c>
      <c r="BC15" s="43" t="str">
        <f>IFERROR(IF(INDEX(Estrutura_P01[#All],MATCH($D15,Estrutura_P01[[#All],[txtMAKT-MAKTX]],0),MATCH(BC$3,Estrutura_P01[#Headers],0))=0,"",INDEX(Estrutura_P01[#All],MATCH($D15,Estrutura_P01[[#All],[txtMAKT-MAKTX]],0),MATCH(BC$3,Estrutura_P01[#Headers],0))),"")</f>
        <v/>
      </c>
      <c r="BD15" s="44"/>
      <c r="BE15" s="50">
        <v>0</v>
      </c>
      <c r="BF15" s="45" t="s">
        <v>378</v>
      </c>
      <c r="BG15" s="45" t="s">
        <v>84</v>
      </c>
      <c r="BH15" s="43" t="str">
        <f t="shared" si="3"/>
        <v>581</v>
      </c>
      <c r="BI15" s="45" t="s">
        <v>426</v>
      </c>
      <c r="BJ15" s="80"/>
      <c r="BK15" s="45">
        <v>0</v>
      </c>
      <c r="BL15" s="45" t="s">
        <v>473</v>
      </c>
      <c r="BM15" s="45" t="s">
        <v>90</v>
      </c>
      <c r="BN15" s="44"/>
      <c r="BO15" s="49" t="str">
        <f t="shared" si="4"/>
        <v>0120</v>
      </c>
      <c r="BP15" s="49" t="str">
        <f t="shared" si="5"/>
        <v>0120</v>
      </c>
      <c r="BQ15" s="45">
        <v>1</v>
      </c>
      <c r="BR15" s="44">
        <v>1</v>
      </c>
      <c r="BS15" s="44">
        <v>2</v>
      </c>
      <c r="BT15" s="50" t="s">
        <v>490</v>
      </c>
      <c r="BU15" s="80">
        <v>2</v>
      </c>
      <c r="BV15" s="80">
        <v>7</v>
      </c>
      <c r="BW15" s="44" t="s">
        <v>348</v>
      </c>
      <c r="BX15" s="44">
        <v>2</v>
      </c>
      <c r="BY15" s="44">
        <v>42</v>
      </c>
      <c r="BZ15" s="44">
        <v>10</v>
      </c>
      <c r="CA15" s="43" t="str">
        <f t="shared" si="6"/>
        <v>K00_R_0581</v>
      </c>
      <c r="CB15" s="43">
        <f t="shared" si="7"/>
        <v>1</v>
      </c>
      <c r="CC15" s="55" t="s">
        <v>909</v>
      </c>
      <c r="CD15" s="43" t="str">
        <f t="shared" ca="1" si="8"/>
        <v>17.05.2022</v>
      </c>
      <c r="CE15" s="43" t="str">
        <f t="shared" si="9"/>
        <v>31.12.9999</v>
      </c>
      <c r="CG15" s="44">
        <v>2</v>
      </c>
      <c r="CH15" s="44"/>
      <c r="CI15" s="44">
        <v>1</v>
      </c>
      <c r="CJ15" s="43" t="str">
        <f>IFERROR(IF(INDEX('MM01'!$A:$DK,MATCH('MM01-EXP'!$B15,'MM01'!$B:$B,0),MATCH('MM01-EXP'!CJ$3,'MM01'!$3:$3,0))=0,"",INDEX('MM01'!$A:$DK,MATCH('MM01-EXP'!$B15,'MM01'!$B:$B,0),MATCH('MM01-EXP'!CJ$3,'MM01'!$3:$3,0))),"")</f>
        <v/>
      </c>
      <c r="CK15" s="44">
        <v>12</v>
      </c>
      <c r="CL15" s="44">
        <v>1</v>
      </c>
      <c r="CM15" s="50" t="s">
        <v>223</v>
      </c>
      <c r="CN15" s="50" t="s">
        <v>902</v>
      </c>
      <c r="CO15" s="43" t="str">
        <f>IFERROR(IF(INDEX('MM01'!$A:$DK,MATCH('MM01-EXP'!$B15,'MM01'!$B:$B,0),MATCH('MM01-EXP'!CO$3,'MM01'!$3:$3,0))=0,"",INDEX('MM01'!$A:$DK,MATCH('MM01-EXP'!$B15,'MM01'!$B:$B,0),MATCH('MM01-EXP'!CO$3,'MM01'!$3:$3,0))),"")</f>
        <v/>
      </c>
      <c r="CP15" s="43" t="str">
        <f>IFERROR(IF(INDEX('MM01'!$A:$DK,MATCH('MM01-EXP'!$B15,'MM01'!$B:$B,0),MATCH('MM01-EXP'!CP$3,'MM01'!$3:$3,0))=0,"",INDEX('MM01'!$A:$DK,MATCH('MM01-EXP'!$B15,'MM01'!$B:$B,0),MATCH('MM01-EXP'!CP$3,'MM01'!$3:$3,0))),"")</f>
        <v/>
      </c>
      <c r="CQ15" s="60">
        <v>1</v>
      </c>
      <c r="CR15" s="44"/>
      <c r="CS15" s="44">
        <v>1</v>
      </c>
      <c r="CT15" s="44">
        <v>0</v>
      </c>
      <c r="CU15" s="44" t="s">
        <v>913</v>
      </c>
      <c r="CV15" s="45">
        <v>0</v>
      </c>
      <c r="CW15" s="43" t="str">
        <f>IFERROR(IF(INDEX('MM01'!$A:$DK,MATCH('MM01-EXP'!$B15,'MM01'!$B:$B,0),MATCH('MM01-EXP'!CW$3,'MM01'!$3:$3,0))=0,"",INDEX('MM01'!$A:$DK,MATCH('MM01-EXP'!$B15,'MM01'!$B:$B,0),MATCH('MM01-EXP'!CW$3,'MM01'!$3:$3,0))),"")</f>
        <v/>
      </c>
      <c r="CX15" s="65"/>
    </row>
    <row r="16" spans="1:102" x14ac:dyDescent="0.2">
      <c r="A16" s="7" t="str">
        <f t="shared" si="0"/>
        <v>Execução 12</v>
      </c>
      <c r="B16" s="85"/>
      <c r="C16" s="43" t="str">
        <f t="shared" si="1"/>
        <v/>
      </c>
      <c r="D16" s="43" t="str">
        <f>IF(B16&lt;&gt;"",SUBSTITUTE(VLOOKUP(B16,'MM01-BOB'!B:C,2,0),"BOBINA","TIRA"),"")</f>
        <v/>
      </c>
      <c r="E16" s="43" t="str">
        <f>IFERROR(IF(INDEX(Estrutura_P01[#All],MATCH($D16,Estrutura_P01[[#All],[txtMAKT-MAKTX]],0),MATCH(E$3,Estrutura_P01[#Headers],0))=0,"",INDEX(Estrutura_P01[#All],MATCH($D16,Estrutura_P01[[#All],[txtMAKT-MAKTX]],0),MATCH(E$3,Estrutura_P01[#Headers],0))),"")</f>
        <v/>
      </c>
      <c r="F16" s="44" t="s">
        <v>100</v>
      </c>
      <c r="G16" s="85" t="s">
        <v>4</v>
      </c>
      <c r="H16" s="86" t="s">
        <v>15</v>
      </c>
      <c r="I16" s="49" t="str">
        <f t="shared" si="2"/>
        <v>0581</v>
      </c>
      <c r="J16" s="86" t="s">
        <v>24</v>
      </c>
      <c r="K16" s="86"/>
      <c r="M16" s="45"/>
      <c r="N16" s="45"/>
      <c r="O16" s="45"/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/>
      <c r="AF16" s="45"/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3" t="str">
        <f>IFERROR(IF(INDEX('MM01'!$A:$DK,MATCH('MM01-EXP'!$B16,'MM01'!$B:$B,0),MATCH('MM01-EXP'!AO$3,'MM01'!$3:$3,0))=0,"",INDEX('MM01'!$A:$DK,MATCH('MM01-EXP'!$B16,'MM01'!$B:$B,0),MATCH('MM01-EXP'!AO$3,'MM01'!$3:$3,0))),"")</f>
        <v/>
      </c>
      <c r="AP16" s="43" t="str">
        <f>IFERROR(IF(INDEX('MM01'!$A:$DK,MATCH('MM01-EXP'!$B16,'MM01'!$B:$B,0),MATCH('MM01-EXP'!AP$3,'MM01'!$3:$3,0))=0,"",INDEX('MM01'!$A:$DK,MATCH('MM01-EXP'!$B16,'MM01'!$B:$B,0),MATCH('MM01-EXP'!AP$3,'MM01'!$3:$3,0))),"")</f>
        <v/>
      </c>
      <c r="AQ16" s="43" t="str">
        <f>IFERROR(IF(INDEX('MM01'!$A:$DK,MATCH('MM01-EXP'!$B16,'MM01'!$B:$B,0),MATCH('MM01-EXP'!AQ$3,'MM01'!$3:$3,0))=0,"",INDEX('MM01'!$A:$DK,MATCH('MM01-EXP'!$B16,'MM01'!$B:$B,0),MATCH('MM01-EXP'!AQ$3,'MM01'!$3:$3,0))),"")</f>
        <v/>
      </c>
      <c r="AR16" s="43" t="str">
        <f>IFERROR(IF(INDEX('MM01'!$A:$DK,MATCH('MM01-EXP'!$B16,'MM01'!$B:$B,0),MATCH('MM01-EXP'!AR$3,'MM01'!$3:$3,0))=0,"",INDEX('MM01'!$A:$DK,MATCH('MM01-EXP'!$B16,'MM01'!$B:$B,0),MATCH('MM01-EXP'!AR$3,'MM01'!$3:$3,0))),"")</f>
        <v/>
      </c>
      <c r="AS16" s="43" t="str">
        <f>IFERROR(IF(INDEX('MM01'!$A:$DK,MATCH('MM01-EXP'!$B16,'MM01'!$B:$B,0),MATCH('MM01-EXP'!AS$3,'MM01'!$3:$3,0))=0,"",INDEX('MM01'!$A:$DK,MATCH('MM01-EXP'!$B16,'MM01'!$B:$B,0),MATCH('MM01-EXP'!AS$3,'MM01'!$3:$3,0))),"")</f>
        <v/>
      </c>
      <c r="AT16" s="43" t="str">
        <f>IFERROR(IF(INDEX('MM01'!$A:$DK,MATCH('MM01-EXP'!$B16,'MM01'!$B:$B,0),MATCH('MM01-EXP'!AT$3,'MM01'!$3:$3,0))=0,"",INDEX('MM01'!$A:$DK,MATCH('MM01-EXP'!$B16,'MM01'!$B:$B,0),MATCH('MM01-EXP'!AT$3,'MM01'!$3:$3,0))),"")</f>
        <v/>
      </c>
      <c r="AU16" s="43" t="str">
        <f>IFERROR(IF(INDEX('MM01'!$A:$DK,MATCH('MM01-EXP'!$B16,'MM01'!$B:$B,0),MATCH('MM01-EXP'!AU$3,'MM01'!$3:$3,0))=0,"",INDEX('MM01'!$A:$DK,MATCH('MM01-EXP'!$B16,'MM01'!$B:$B,0),MATCH('MM01-EXP'!AU$3,'MM01'!$3:$3,0))),"")</f>
        <v/>
      </c>
      <c r="AV16" s="43" t="str">
        <f>IFERROR(IF(INDEX('MM01'!$A:$DK,MATCH('MM01-EXP'!$B16,'MM01'!$B:$B,0),MATCH('MM01-EXP'!AV$3,'MM01'!$3:$3,0))=0,"",INDEX('MM01'!$A:$DK,MATCH('MM01-EXP'!$B16,'MM01'!$B:$B,0),MATCH('MM01-EXP'!AV$3,'MM01'!$3:$3,0))),"")</f>
        <v/>
      </c>
      <c r="AW16" s="44">
        <v>0</v>
      </c>
      <c r="AX16" s="44">
        <v>1</v>
      </c>
      <c r="AY16" s="44">
        <v>0</v>
      </c>
      <c r="AZ16" s="44" t="s">
        <v>348</v>
      </c>
      <c r="BA16" s="50" t="s">
        <v>195</v>
      </c>
      <c r="BB16" s="50" t="s">
        <v>195</v>
      </c>
      <c r="BC16" s="43" t="str">
        <f>IFERROR(IF(INDEX(Estrutura_P01[#All],MATCH($D16,Estrutura_P01[[#All],[txtMAKT-MAKTX]],0),MATCH(BC$3,Estrutura_P01[#Headers],0))=0,"",INDEX(Estrutura_P01[#All],MATCH($D16,Estrutura_P01[[#All],[txtMAKT-MAKTX]],0),MATCH(BC$3,Estrutura_P01[#Headers],0))),"")</f>
        <v/>
      </c>
      <c r="BD16" s="44"/>
      <c r="BE16" s="50">
        <v>0</v>
      </c>
      <c r="BF16" s="45" t="s">
        <v>378</v>
      </c>
      <c r="BG16" s="45" t="s">
        <v>84</v>
      </c>
      <c r="BH16" s="43" t="str">
        <f t="shared" si="3"/>
        <v>581</v>
      </c>
      <c r="BI16" s="45" t="s">
        <v>426</v>
      </c>
      <c r="BJ16" s="80"/>
      <c r="BK16" s="45">
        <v>0</v>
      </c>
      <c r="BL16" s="45" t="s">
        <v>473</v>
      </c>
      <c r="BM16" s="45" t="s">
        <v>90</v>
      </c>
      <c r="BN16" s="44"/>
      <c r="BO16" s="49" t="str">
        <f t="shared" si="4"/>
        <v>0120</v>
      </c>
      <c r="BP16" s="49" t="str">
        <f t="shared" si="5"/>
        <v>0120</v>
      </c>
      <c r="BQ16" s="45">
        <v>1</v>
      </c>
      <c r="BR16" s="44">
        <v>1</v>
      </c>
      <c r="BS16" s="44">
        <v>2</v>
      </c>
      <c r="BT16" s="50" t="s">
        <v>490</v>
      </c>
      <c r="BU16" s="80">
        <v>2</v>
      </c>
      <c r="BV16" s="80">
        <v>7</v>
      </c>
      <c r="BW16" s="44" t="s">
        <v>348</v>
      </c>
      <c r="BX16" s="44">
        <v>2</v>
      </c>
      <c r="BY16" s="44">
        <v>42</v>
      </c>
      <c r="BZ16" s="44">
        <v>10</v>
      </c>
      <c r="CA16" s="43" t="str">
        <f t="shared" si="6"/>
        <v>K00_R_0581</v>
      </c>
      <c r="CB16" s="43">
        <f t="shared" si="7"/>
        <v>1</v>
      </c>
      <c r="CC16" s="55" t="s">
        <v>909</v>
      </c>
      <c r="CD16" s="43" t="str">
        <f t="shared" ca="1" si="8"/>
        <v>17.05.2022</v>
      </c>
      <c r="CE16" s="43" t="str">
        <f t="shared" si="9"/>
        <v>31.12.9999</v>
      </c>
      <c r="CG16" s="44">
        <v>2</v>
      </c>
      <c r="CH16" s="44"/>
      <c r="CI16" s="44">
        <v>1</v>
      </c>
      <c r="CJ16" s="43" t="str">
        <f>IFERROR(IF(INDEX('MM01'!$A:$DK,MATCH('MM01-EXP'!$B16,'MM01'!$B:$B,0),MATCH('MM01-EXP'!CJ$3,'MM01'!$3:$3,0))=0,"",INDEX('MM01'!$A:$DK,MATCH('MM01-EXP'!$B16,'MM01'!$B:$B,0),MATCH('MM01-EXP'!CJ$3,'MM01'!$3:$3,0))),"")</f>
        <v/>
      </c>
      <c r="CK16" s="44">
        <v>12</v>
      </c>
      <c r="CL16" s="44">
        <v>1</v>
      </c>
      <c r="CM16" s="50" t="s">
        <v>223</v>
      </c>
      <c r="CN16" s="50" t="s">
        <v>902</v>
      </c>
      <c r="CO16" s="43" t="str">
        <f>IFERROR(IF(INDEX('MM01'!$A:$DK,MATCH('MM01-EXP'!$B16,'MM01'!$B:$B,0),MATCH('MM01-EXP'!CO$3,'MM01'!$3:$3,0))=0,"",INDEX('MM01'!$A:$DK,MATCH('MM01-EXP'!$B16,'MM01'!$B:$B,0),MATCH('MM01-EXP'!CO$3,'MM01'!$3:$3,0))),"")</f>
        <v/>
      </c>
      <c r="CP16" s="43" t="str">
        <f>IFERROR(IF(INDEX('MM01'!$A:$DK,MATCH('MM01-EXP'!$B16,'MM01'!$B:$B,0),MATCH('MM01-EXP'!CP$3,'MM01'!$3:$3,0))=0,"",INDEX('MM01'!$A:$DK,MATCH('MM01-EXP'!$B16,'MM01'!$B:$B,0),MATCH('MM01-EXP'!CP$3,'MM01'!$3:$3,0))),"")</f>
        <v/>
      </c>
      <c r="CQ16" s="60">
        <v>1</v>
      </c>
      <c r="CR16" s="44"/>
      <c r="CS16" s="44">
        <v>1</v>
      </c>
      <c r="CT16" s="44">
        <v>0</v>
      </c>
      <c r="CU16" s="44" t="s">
        <v>913</v>
      </c>
      <c r="CV16" s="45">
        <v>0</v>
      </c>
      <c r="CW16" s="43" t="str">
        <f>IFERROR(IF(INDEX('MM01'!$A:$DK,MATCH('MM01-EXP'!$B16,'MM01'!$B:$B,0),MATCH('MM01-EXP'!CW$3,'MM01'!$3:$3,0))=0,"",INDEX('MM01'!$A:$DK,MATCH('MM01-EXP'!$B16,'MM01'!$B:$B,0),MATCH('MM01-EXP'!CW$3,'MM01'!$3:$3,0))),"")</f>
        <v/>
      </c>
      <c r="CX16" s="65"/>
    </row>
    <row r="17" spans="1:102" x14ac:dyDescent="0.2">
      <c r="A17" s="7" t="str">
        <f t="shared" si="0"/>
        <v>Execução 13</v>
      </c>
      <c r="B17" s="85"/>
      <c r="C17" s="43" t="str">
        <f t="shared" si="1"/>
        <v/>
      </c>
      <c r="D17" s="43" t="str">
        <f>IF(B17&lt;&gt;"",SUBSTITUTE(VLOOKUP(B17,'MM01-BOB'!B:C,2,0),"BOBINA","TIRA"),"")</f>
        <v/>
      </c>
      <c r="E17" s="43" t="str">
        <f>IFERROR(IF(INDEX(Estrutura_P01[#All],MATCH($D17,Estrutura_P01[[#All],[txtMAKT-MAKTX]],0),MATCH(E$3,Estrutura_P01[#Headers],0))=0,"",INDEX(Estrutura_P01[#All],MATCH($D17,Estrutura_P01[[#All],[txtMAKT-MAKTX]],0),MATCH(E$3,Estrutura_P01[#Headers],0))),"")</f>
        <v/>
      </c>
      <c r="F17" s="44" t="s">
        <v>100</v>
      </c>
      <c r="G17" s="85" t="s">
        <v>4</v>
      </c>
      <c r="H17" s="86" t="s">
        <v>15</v>
      </c>
      <c r="I17" s="49" t="str">
        <f t="shared" si="2"/>
        <v>0581</v>
      </c>
      <c r="J17" s="86" t="s">
        <v>24</v>
      </c>
      <c r="K17" s="86"/>
      <c r="M17" s="45"/>
      <c r="N17" s="45"/>
      <c r="O17" s="45"/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/>
      <c r="AF17" s="45"/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3" t="str">
        <f>IFERROR(IF(INDEX('MM01'!$A:$DK,MATCH('MM01-EXP'!$B17,'MM01'!$B:$B,0),MATCH('MM01-EXP'!AO$3,'MM01'!$3:$3,0))=0,"",INDEX('MM01'!$A:$DK,MATCH('MM01-EXP'!$B17,'MM01'!$B:$B,0),MATCH('MM01-EXP'!AO$3,'MM01'!$3:$3,0))),"")</f>
        <v/>
      </c>
      <c r="AP17" s="43" t="str">
        <f>IFERROR(IF(INDEX('MM01'!$A:$DK,MATCH('MM01-EXP'!$B17,'MM01'!$B:$B,0),MATCH('MM01-EXP'!AP$3,'MM01'!$3:$3,0))=0,"",INDEX('MM01'!$A:$DK,MATCH('MM01-EXP'!$B17,'MM01'!$B:$B,0),MATCH('MM01-EXP'!AP$3,'MM01'!$3:$3,0))),"")</f>
        <v/>
      </c>
      <c r="AQ17" s="43" t="str">
        <f>IFERROR(IF(INDEX('MM01'!$A:$DK,MATCH('MM01-EXP'!$B17,'MM01'!$B:$B,0),MATCH('MM01-EXP'!AQ$3,'MM01'!$3:$3,0))=0,"",INDEX('MM01'!$A:$DK,MATCH('MM01-EXP'!$B17,'MM01'!$B:$B,0),MATCH('MM01-EXP'!AQ$3,'MM01'!$3:$3,0))),"")</f>
        <v/>
      </c>
      <c r="AR17" s="43" t="str">
        <f>IFERROR(IF(INDEX('MM01'!$A:$DK,MATCH('MM01-EXP'!$B17,'MM01'!$B:$B,0),MATCH('MM01-EXP'!AR$3,'MM01'!$3:$3,0))=0,"",INDEX('MM01'!$A:$DK,MATCH('MM01-EXP'!$B17,'MM01'!$B:$B,0),MATCH('MM01-EXP'!AR$3,'MM01'!$3:$3,0))),"")</f>
        <v/>
      </c>
      <c r="AS17" s="43" t="str">
        <f>IFERROR(IF(INDEX('MM01'!$A:$DK,MATCH('MM01-EXP'!$B17,'MM01'!$B:$B,0),MATCH('MM01-EXP'!AS$3,'MM01'!$3:$3,0))=0,"",INDEX('MM01'!$A:$DK,MATCH('MM01-EXP'!$B17,'MM01'!$B:$B,0),MATCH('MM01-EXP'!AS$3,'MM01'!$3:$3,0))),"")</f>
        <v/>
      </c>
      <c r="AT17" s="43" t="str">
        <f>IFERROR(IF(INDEX('MM01'!$A:$DK,MATCH('MM01-EXP'!$B17,'MM01'!$B:$B,0),MATCH('MM01-EXP'!AT$3,'MM01'!$3:$3,0))=0,"",INDEX('MM01'!$A:$DK,MATCH('MM01-EXP'!$B17,'MM01'!$B:$B,0),MATCH('MM01-EXP'!AT$3,'MM01'!$3:$3,0))),"")</f>
        <v/>
      </c>
      <c r="AU17" s="43" t="str">
        <f>IFERROR(IF(INDEX('MM01'!$A:$DK,MATCH('MM01-EXP'!$B17,'MM01'!$B:$B,0),MATCH('MM01-EXP'!AU$3,'MM01'!$3:$3,0))=0,"",INDEX('MM01'!$A:$DK,MATCH('MM01-EXP'!$B17,'MM01'!$B:$B,0),MATCH('MM01-EXP'!AU$3,'MM01'!$3:$3,0))),"")</f>
        <v/>
      </c>
      <c r="AV17" s="43" t="str">
        <f>IFERROR(IF(INDEX('MM01'!$A:$DK,MATCH('MM01-EXP'!$B17,'MM01'!$B:$B,0),MATCH('MM01-EXP'!AV$3,'MM01'!$3:$3,0))=0,"",INDEX('MM01'!$A:$DK,MATCH('MM01-EXP'!$B17,'MM01'!$B:$B,0),MATCH('MM01-EXP'!AV$3,'MM01'!$3:$3,0))),"")</f>
        <v/>
      </c>
      <c r="AW17" s="44">
        <v>0</v>
      </c>
      <c r="AX17" s="44">
        <v>1</v>
      </c>
      <c r="AY17" s="44">
        <v>0</v>
      </c>
      <c r="AZ17" s="44" t="s">
        <v>348</v>
      </c>
      <c r="BA17" s="50" t="s">
        <v>195</v>
      </c>
      <c r="BB17" s="50" t="s">
        <v>195</v>
      </c>
      <c r="BC17" s="43" t="str">
        <f>IFERROR(IF(INDEX(Estrutura_P01[#All],MATCH($D17,Estrutura_P01[[#All],[txtMAKT-MAKTX]],0),MATCH(BC$3,Estrutura_P01[#Headers],0))=0,"",INDEX(Estrutura_P01[#All],MATCH($D17,Estrutura_P01[[#All],[txtMAKT-MAKTX]],0),MATCH(BC$3,Estrutura_P01[#Headers],0))),"")</f>
        <v/>
      </c>
      <c r="BD17" s="44"/>
      <c r="BE17" s="50">
        <v>0</v>
      </c>
      <c r="BF17" s="45" t="s">
        <v>378</v>
      </c>
      <c r="BG17" s="45" t="s">
        <v>84</v>
      </c>
      <c r="BH17" s="43" t="str">
        <f t="shared" si="3"/>
        <v>581</v>
      </c>
      <c r="BI17" s="45" t="s">
        <v>426</v>
      </c>
      <c r="BJ17" s="80"/>
      <c r="BK17" s="45">
        <v>0</v>
      </c>
      <c r="BL17" s="45" t="s">
        <v>473</v>
      </c>
      <c r="BM17" s="45" t="s">
        <v>90</v>
      </c>
      <c r="BN17" s="44"/>
      <c r="BO17" s="49" t="str">
        <f t="shared" si="4"/>
        <v>0120</v>
      </c>
      <c r="BP17" s="49" t="str">
        <f t="shared" si="5"/>
        <v>0120</v>
      </c>
      <c r="BQ17" s="45">
        <v>1</v>
      </c>
      <c r="BR17" s="44">
        <v>1</v>
      </c>
      <c r="BS17" s="44">
        <v>2</v>
      </c>
      <c r="BT17" s="50" t="s">
        <v>490</v>
      </c>
      <c r="BU17" s="80">
        <v>2</v>
      </c>
      <c r="BV17" s="80">
        <v>7</v>
      </c>
      <c r="BW17" s="44" t="s">
        <v>348</v>
      </c>
      <c r="BX17" s="44">
        <v>2</v>
      </c>
      <c r="BY17" s="44">
        <v>42</v>
      </c>
      <c r="BZ17" s="44">
        <v>10</v>
      </c>
      <c r="CA17" s="43" t="str">
        <f t="shared" si="6"/>
        <v>K00_R_0581</v>
      </c>
      <c r="CB17" s="43">
        <f t="shared" si="7"/>
        <v>1</v>
      </c>
      <c r="CC17" s="55" t="s">
        <v>909</v>
      </c>
      <c r="CD17" s="43" t="str">
        <f t="shared" ca="1" si="8"/>
        <v>17.05.2022</v>
      </c>
      <c r="CE17" s="43" t="str">
        <f t="shared" si="9"/>
        <v>31.12.9999</v>
      </c>
      <c r="CG17" s="44">
        <v>2</v>
      </c>
      <c r="CH17" s="44"/>
      <c r="CI17" s="44">
        <v>1</v>
      </c>
      <c r="CJ17" s="43" t="str">
        <f>IFERROR(IF(INDEX('MM01'!$A:$DK,MATCH('MM01-EXP'!$B17,'MM01'!$B:$B,0),MATCH('MM01-EXP'!CJ$3,'MM01'!$3:$3,0))=0,"",INDEX('MM01'!$A:$DK,MATCH('MM01-EXP'!$B17,'MM01'!$B:$B,0),MATCH('MM01-EXP'!CJ$3,'MM01'!$3:$3,0))),"")</f>
        <v/>
      </c>
      <c r="CK17" s="44">
        <v>12</v>
      </c>
      <c r="CL17" s="44">
        <v>1</v>
      </c>
      <c r="CM17" s="50" t="s">
        <v>223</v>
      </c>
      <c r="CN17" s="50" t="s">
        <v>902</v>
      </c>
      <c r="CO17" s="43" t="str">
        <f>IFERROR(IF(INDEX('MM01'!$A:$DK,MATCH('MM01-EXP'!$B17,'MM01'!$B:$B,0),MATCH('MM01-EXP'!CO$3,'MM01'!$3:$3,0))=0,"",INDEX('MM01'!$A:$DK,MATCH('MM01-EXP'!$B17,'MM01'!$B:$B,0),MATCH('MM01-EXP'!CO$3,'MM01'!$3:$3,0))),"")</f>
        <v/>
      </c>
      <c r="CP17" s="43" t="str">
        <f>IFERROR(IF(INDEX('MM01'!$A:$DK,MATCH('MM01-EXP'!$B17,'MM01'!$B:$B,0),MATCH('MM01-EXP'!CP$3,'MM01'!$3:$3,0))=0,"",INDEX('MM01'!$A:$DK,MATCH('MM01-EXP'!$B17,'MM01'!$B:$B,0),MATCH('MM01-EXP'!CP$3,'MM01'!$3:$3,0))),"")</f>
        <v/>
      </c>
      <c r="CQ17" s="60">
        <v>1</v>
      </c>
      <c r="CR17" s="44"/>
      <c r="CS17" s="44">
        <v>1</v>
      </c>
      <c r="CT17" s="44">
        <v>0</v>
      </c>
      <c r="CU17" s="44" t="s">
        <v>913</v>
      </c>
      <c r="CV17" s="45">
        <v>0</v>
      </c>
      <c r="CW17" s="43" t="str">
        <f>IFERROR(IF(INDEX('MM01'!$A:$DK,MATCH('MM01-EXP'!$B17,'MM01'!$B:$B,0),MATCH('MM01-EXP'!CW$3,'MM01'!$3:$3,0))=0,"",INDEX('MM01'!$A:$DK,MATCH('MM01-EXP'!$B17,'MM01'!$B:$B,0),MATCH('MM01-EXP'!CW$3,'MM01'!$3:$3,0))),"")</f>
        <v/>
      </c>
      <c r="CX17" s="65"/>
    </row>
    <row r="18" spans="1:102" x14ac:dyDescent="0.2">
      <c r="A18" s="7" t="str">
        <f t="shared" si="0"/>
        <v>Execução 14</v>
      </c>
      <c r="B18" s="85"/>
      <c r="C18" s="43" t="str">
        <f t="shared" si="1"/>
        <v/>
      </c>
      <c r="D18" s="43" t="str">
        <f>IF(B18&lt;&gt;"",SUBSTITUTE(VLOOKUP(B18,'MM01-BOB'!B:C,2,0),"BOBINA","TIRA"),"")</f>
        <v/>
      </c>
      <c r="E18" s="43" t="str">
        <f>IFERROR(IF(INDEX(Estrutura_P01[#All],MATCH($D18,Estrutura_P01[[#All],[txtMAKT-MAKTX]],0),MATCH(E$3,Estrutura_P01[#Headers],0))=0,"",INDEX(Estrutura_P01[#All],MATCH($D18,Estrutura_P01[[#All],[txtMAKT-MAKTX]],0),MATCH(E$3,Estrutura_P01[#Headers],0))),"")</f>
        <v/>
      </c>
      <c r="F18" s="44" t="s">
        <v>100</v>
      </c>
      <c r="G18" s="85" t="s">
        <v>4</v>
      </c>
      <c r="H18" s="86" t="s">
        <v>15</v>
      </c>
      <c r="I18" s="49" t="str">
        <f t="shared" si="2"/>
        <v>0581</v>
      </c>
      <c r="J18" s="86" t="s">
        <v>24</v>
      </c>
      <c r="K18" s="86"/>
      <c r="M18" s="45"/>
      <c r="N18" s="45"/>
      <c r="O18" s="45"/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/>
      <c r="AF18" s="45"/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3" t="str">
        <f>IFERROR(IF(INDEX('MM01'!$A:$DK,MATCH('MM01-EXP'!$B18,'MM01'!$B:$B,0),MATCH('MM01-EXP'!AO$3,'MM01'!$3:$3,0))=0,"",INDEX('MM01'!$A:$DK,MATCH('MM01-EXP'!$B18,'MM01'!$B:$B,0),MATCH('MM01-EXP'!AO$3,'MM01'!$3:$3,0))),"")</f>
        <v/>
      </c>
      <c r="AP18" s="43" t="str">
        <f>IFERROR(IF(INDEX('MM01'!$A:$DK,MATCH('MM01-EXP'!$B18,'MM01'!$B:$B,0),MATCH('MM01-EXP'!AP$3,'MM01'!$3:$3,0))=0,"",INDEX('MM01'!$A:$DK,MATCH('MM01-EXP'!$B18,'MM01'!$B:$B,0),MATCH('MM01-EXP'!AP$3,'MM01'!$3:$3,0))),"")</f>
        <v/>
      </c>
      <c r="AQ18" s="43" t="str">
        <f>IFERROR(IF(INDEX('MM01'!$A:$DK,MATCH('MM01-EXP'!$B18,'MM01'!$B:$B,0),MATCH('MM01-EXP'!AQ$3,'MM01'!$3:$3,0))=0,"",INDEX('MM01'!$A:$DK,MATCH('MM01-EXP'!$B18,'MM01'!$B:$B,0),MATCH('MM01-EXP'!AQ$3,'MM01'!$3:$3,0))),"")</f>
        <v/>
      </c>
      <c r="AR18" s="43" t="str">
        <f>IFERROR(IF(INDEX('MM01'!$A:$DK,MATCH('MM01-EXP'!$B18,'MM01'!$B:$B,0),MATCH('MM01-EXP'!AR$3,'MM01'!$3:$3,0))=0,"",INDEX('MM01'!$A:$DK,MATCH('MM01-EXP'!$B18,'MM01'!$B:$B,0),MATCH('MM01-EXP'!AR$3,'MM01'!$3:$3,0))),"")</f>
        <v/>
      </c>
      <c r="AS18" s="43" t="str">
        <f>IFERROR(IF(INDEX('MM01'!$A:$DK,MATCH('MM01-EXP'!$B18,'MM01'!$B:$B,0),MATCH('MM01-EXP'!AS$3,'MM01'!$3:$3,0))=0,"",INDEX('MM01'!$A:$DK,MATCH('MM01-EXP'!$B18,'MM01'!$B:$B,0),MATCH('MM01-EXP'!AS$3,'MM01'!$3:$3,0))),"")</f>
        <v/>
      </c>
      <c r="AT18" s="43" t="str">
        <f>IFERROR(IF(INDEX('MM01'!$A:$DK,MATCH('MM01-EXP'!$B18,'MM01'!$B:$B,0),MATCH('MM01-EXP'!AT$3,'MM01'!$3:$3,0))=0,"",INDEX('MM01'!$A:$DK,MATCH('MM01-EXP'!$B18,'MM01'!$B:$B,0),MATCH('MM01-EXP'!AT$3,'MM01'!$3:$3,0))),"")</f>
        <v/>
      </c>
      <c r="AU18" s="43" t="str">
        <f>IFERROR(IF(INDEX('MM01'!$A:$DK,MATCH('MM01-EXP'!$B18,'MM01'!$B:$B,0),MATCH('MM01-EXP'!AU$3,'MM01'!$3:$3,0))=0,"",INDEX('MM01'!$A:$DK,MATCH('MM01-EXP'!$B18,'MM01'!$B:$B,0),MATCH('MM01-EXP'!AU$3,'MM01'!$3:$3,0))),"")</f>
        <v/>
      </c>
      <c r="AV18" s="43" t="str">
        <f>IFERROR(IF(INDEX('MM01'!$A:$DK,MATCH('MM01-EXP'!$B18,'MM01'!$B:$B,0),MATCH('MM01-EXP'!AV$3,'MM01'!$3:$3,0))=0,"",INDEX('MM01'!$A:$DK,MATCH('MM01-EXP'!$B18,'MM01'!$B:$B,0),MATCH('MM01-EXP'!AV$3,'MM01'!$3:$3,0))),"")</f>
        <v/>
      </c>
      <c r="AW18" s="44">
        <v>0</v>
      </c>
      <c r="AX18" s="44">
        <v>1</v>
      </c>
      <c r="AY18" s="44">
        <v>0</v>
      </c>
      <c r="AZ18" s="44" t="s">
        <v>348</v>
      </c>
      <c r="BA18" s="50" t="s">
        <v>195</v>
      </c>
      <c r="BB18" s="50" t="s">
        <v>195</v>
      </c>
      <c r="BC18" s="43" t="str">
        <f>IFERROR(IF(INDEX(Estrutura_P01[#All],MATCH($D18,Estrutura_P01[[#All],[txtMAKT-MAKTX]],0),MATCH(BC$3,Estrutura_P01[#Headers],0))=0,"",INDEX(Estrutura_P01[#All],MATCH($D18,Estrutura_P01[[#All],[txtMAKT-MAKTX]],0),MATCH(BC$3,Estrutura_P01[#Headers],0))),"")</f>
        <v/>
      </c>
      <c r="BD18" s="44"/>
      <c r="BE18" s="50">
        <v>0</v>
      </c>
      <c r="BF18" s="45" t="s">
        <v>378</v>
      </c>
      <c r="BG18" s="45" t="s">
        <v>84</v>
      </c>
      <c r="BH18" s="43" t="str">
        <f t="shared" si="3"/>
        <v>581</v>
      </c>
      <c r="BI18" s="45" t="s">
        <v>426</v>
      </c>
      <c r="BJ18" s="80"/>
      <c r="BK18" s="45">
        <v>0</v>
      </c>
      <c r="BL18" s="45" t="s">
        <v>473</v>
      </c>
      <c r="BM18" s="45" t="s">
        <v>90</v>
      </c>
      <c r="BN18" s="44"/>
      <c r="BO18" s="49" t="str">
        <f t="shared" si="4"/>
        <v>0120</v>
      </c>
      <c r="BP18" s="49" t="str">
        <f t="shared" si="5"/>
        <v>0120</v>
      </c>
      <c r="BQ18" s="45">
        <v>1</v>
      </c>
      <c r="BR18" s="44">
        <v>1</v>
      </c>
      <c r="BS18" s="44">
        <v>2</v>
      </c>
      <c r="BT18" s="50" t="s">
        <v>490</v>
      </c>
      <c r="BU18" s="80">
        <v>2</v>
      </c>
      <c r="BV18" s="80">
        <v>7</v>
      </c>
      <c r="BW18" s="44" t="s">
        <v>348</v>
      </c>
      <c r="BX18" s="44">
        <v>2</v>
      </c>
      <c r="BY18" s="44">
        <v>42</v>
      </c>
      <c r="BZ18" s="44">
        <v>10</v>
      </c>
      <c r="CA18" s="43" t="str">
        <f t="shared" si="6"/>
        <v>K00_R_0581</v>
      </c>
      <c r="CB18" s="43">
        <f t="shared" si="7"/>
        <v>1</v>
      </c>
      <c r="CC18" s="55" t="s">
        <v>909</v>
      </c>
      <c r="CD18" s="43" t="str">
        <f t="shared" ca="1" si="8"/>
        <v>17.05.2022</v>
      </c>
      <c r="CE18" s="43" t="str">
        <f t="shared" si="9"/>
        <v>31.12.9999</v>
      </c>
      <c r="CG18" s="44">
        <v>2</v>
      </c>
      <c r="CH18" s="44"/>
      <c r="CI18" s="44">
        <v>1</v>
      </c>
      <c r="CJ18" s="43" t="str">
        <f>IFERROR(IF(INDEX('MM01'!$A:$DK,MATCH('MM01-EXP'!$B18,'MM01'!$B:$B,0),MATCH('MM01-EXP'!CJ$3,'MM01'!$3:$3,0))=0,"",INDEX('MM01'!$A:$DK,MATCH('MM01-EXP'!$B18,'MM01'!$B:$B,0),MATCH('MM01-EXP'!CJ$3,'MM01'!$3:$3,0))),"")</f>
        <v/>
      </c>
      <c r="CK18" s="44">
        <v>12</v>
      </c>
      <c r="CL18" s="44">
        <v>1</v>
      </c>
      <c r="CM18" s="50" t="s">
        <v>223</v>
      </c>
      <c r="CN18" s="50" t="s">
        <v>902</v>
      </c>
      <c r="CO18" s="43" t="str">
        <f>IFERROR(IF(INDEX('MM01'!$A:$DK,MATCH('MM01-EXP'!$B18,'MM01'!$B:$B,0),MATCH('MM01-EXP'!CO$3,'MM01'!$3:$3,0))=0,"",INDEX('MM01'!$A:$DK,MATCH('MM01-EXP'!$B18,'MM01'!$B:$B,0),MATCH('MM01-EXP'!CO$3,'MM01'!$3:$3,0))),"")</f>
        <v/>
      </c>
      <c r="CP18" s="43" t="str">
        <f>IFERROR(IF(INDEX('MM01'!$A:$DK,MATCH('MM01-EXP'!$B18,'MM01'!$B:$B,0),MATCH('MM01-EXP'!CP$3,'MM01'!$3:$3,0))=0,"",INDEX('MM01'!$A:$DK,MATCH('MM01-EXP'!$B18,'MM01'!$B:$B,0),MATCH('MM01-EXP'!CP$3,'MM01'!$3:$3,0))),"")</f>
        <v/>
      </c>
      <c r="CQ18" s="60">
        <v>1</v>
      </c>
      <c r="CR18" s="44"/>
      <c r="CS18" s="44">
        <v>1</v>
      </c>
      <c r="CT18" s="44">
        <v>0</v>
      </c>
      <c r="CU18" s="44" t="s">
        <v>913</v>
      </c>
      <c r="CV18" s="45">
        <v>0</v>
      </c>
      <c r="CW18" s="43" t="str">
        <f>IFERROR(IF(INDEX('MM01'!$A:$DK,MATCH('MM01-EXP'!$B18,'MM01'!$B:$B,0),MATCH('MM01-EXP'!CW$3,'MM01'!$3:$3,0))=0,"",INDEX('MM01'!$A:$DK,MATCH('MM01-EXP'!$B18,'MM01'!$B:$B,0),MATCH('MM01-EXP'!CW$3,'MM01'!$3:$3,0))),"")</f>
        <v/>
      </c>
      <c r="CX18" s="65"/>
    </row>
    <row r="19" spans="1:102" x14ac:dyDescent="0.2">
      <c r="A19" s="7" t="str">
        <f t="shared" si="0"/>
        <v>Execução 15</v>
      </c>
      <c r="B19" s="85"/>
      <c r="C19" s="43" t="str">
        <f t="shared" si="1"/>
        <v/>
      </c>
      <c r="D19" s="43" t="str">
        <f>IF(B19&lt;&gt;"",SUBSTITUTE(VLOOKUP(B19,'MM01-BOB'!B:C,2,0),"BOBINA","TIRA"),"")</f>
        <v/>
      </c>
      <c r="E19" s="43" t="str">
        <f>IFERROR(IF(INDEX(Estrutura_P01[#All],MATCH($D19,Estrutura_P01[[#All],[txtMAKT-MAKTX]],0),MATCH(E$3,Estrutura_P01[#Headers],0))=0,"",INDEX(Estrutura_P01[#All],MATCH($D19,Estrutura_P01[[#All],[txtMAKT-MAKTX]],0),MATCH(E$3,Estrutura_P01[#Headers],0))),"")</f>
        <v/>
      </c>
      <c r="F19" s="44" t="s">
        <v>100</v>
      </c>
      <c r="G19" s="85" t="s">
        <v>4</v>
      </c>
      <c r="H19" s="86" t="s">
        <v>15</v>
      </c>
      <c r="I19" s="49" t="str">
        <f t="shared" si="2"/>
        <v>0581</v>
      </c>
      <c r="J19" s="86" t="s">
        <v>24</v>
      </c>
      <c r="K19" s="86"/>
      <c r="M19" s="45"/>
      <c r="N19" s="45"/>
      <c r="O19" s="45"/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/>
      <c r="AF19" s="45"/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3" t="str">
        <f>IFERROR(IF(INDEX('MM01'!$A:$DK,MATCH('MM01-EXP'!$B19,'MM01'!$B:$B,0),MATCH('MM01-EXP'!AO$3,'MM01'!$3:$3,0))=0,"",INDEX('MM01'!$A:$DK,MATCH('MM01-EXP'!$B19,'MM01'!$B:$B,0),MATCH('MM01-EXP'!AO$3,'MM01'!$3:$3,0))),"")</f>
        <v/>
      </c>
      <c r="AP19" s="43" t="str">
        <f>IFERROR(IF(INDEX('MM01'!$A:$DK,MATCH('MM01-EXP'!$B19,'MM01'!$B:$B,0),MATCH('MM01-EXP'!AP$3,'MM01'!$3:$3,0))=0,"",INDEX('MM01'!$A:$DK,MATCH('MM01-EXP'!$B19,'MM01'!$B:$B,0),MATCH('MM01-EXP'!AP$3,'MM01'!$3:$3,0))),"")</f>
        <v/>
      </c>
      <c r="AQ19" s="43" t="str">
        <f>IFERROR(IF(INDEX('MM01'!$A:$DK,MATCH('MM01-EXP'!$B19,'MM01'!$B:$B,0),MATCH('MM01-EXP'!AQ$3,'MM01'!$3:$3,0))=0,"",INDEX('MM01'!$A:$DK,MATCH('MM01-EXP'!$B19,'MM01'!$B:$B,0),MATCH('MM01-EXP'!AQ$3,'MM01'!$3:$3,0))),"")</f>
        <v/>
      </c>
      <c r="AR19" s="43" t="str">
        <f>IFERROR(IF(INDEX('MM01'!$A:$DK,MATCH('MM01-EXP'!$B19,'MM01'!$B:$B,0),MATCH('MM01-EXP'!AR$3,'MM01'!$3:$3,0))=0,"",INDEX('MM01'!$A:$DK,MATCH('MM01-EXP'!$B19,'MM01'!$B:$B,0),MATCH('MM01-EXP'!AR$3,'MM01'!$3:$3,0))),"")</f>
        <v/>
      </c>
      <c r="AS19" s="43" t="str">
        <f>IFERROR(IF(INDEX('MM01'!$A:$DK,MATCH('MM01-EXP'!$B19,'MM01'!$B:$B,0),MATCH('MM01-EXP'!AS$3,'MM01'!$3:$3,0))=0,"",INDEX('MM01'!$A:$DK,MATCH('MM01-EXP'!$B19,'MM01'!$B:$B,0),MATCH('MM01-EXP'!AS$3,'MM01'!$3:$3,0))),"")</f>
        <v/>
      </c>
      <c r="AT19" s="43" t="str">
        <f>IFERROR(IF(INDEX('MM01'!$A:$DK,MATCH('MM01-EXP'!$B19,'MM01'!$B:$B,0),MATCH('MM01-EXP'!AT$3,'MM01'!$3:$3,0))=0,"",INDEX('MM01'!$A:$DK,MATCH('MM01-EXP'!$B19,'MM01'!$B:$B,0),MATCH('MM01-EXP'!AT$3,'MM01'!$3:$3,0))),"")</f>
        <v/>
      </c>
      <c r="AU19" s="43" t="str">
        <f>IFERROR(IF(INDEX('MM01'!$A:$DK,MATCH('MM01-EXP'!$B19,'MM01'!$B:$B,0),MATCH('MM01-EXP'!AU$3,'MM01'!$3:$3,0))=0,"",INDEX('MM01'!$A:$DK,MATCH('MM01-EXP'!$B19,'MM01'!$B:$B,0),MATCH('MM01-EXP'!AU$3,'MM01'!$3:$3,0))),"")</f>
        <v/>
      </c>
      <c r="AV19" s="43" t="str">
        <f>IFERROR(IF(INDEX('MM01'!$A:$DK,MATCH('MM01-EXP'!$B19,'MM01'!$B:$B,0),MATCH('MM01-EXP'!AV$3,'MM01'!$3:$3,0))=0,"",INDEX('MM01'!$A:$DK,MATCH('MM01-EXP'!$B19,'MM01'!$B:$B,0),MATCH('MM01-EXP'!AV$3,'MM01'!$3:$3,0))),"")</f>
        <v/>
      </c>
      <c r="AW19" s="44">
        <v>0</v>
      </c>
      <c r="AX19" s="44">
        <v>1</v>
      </c>
      <c r="AY19" s="44">
        <v>0</v>
      </c>
      <c r="AZ19" s="44" t="s">
        <v>348</v>
      </c>
      <c r="BA19" s="50" t="s">
        <v>195</v>
      </c>
      <c r="BB19" s="50" t="s">
        <v>195</v>
      </c>
      <c r="BC19" s="43" t="str">
        <f>IFERROR(IF(INDEX(Estrutura_P01[#All],MATCH($D19,Estrutura_P01[[#All],[txtMAKT-MAKTX]],0),MATCH(BC$3,Estrutura_P01[#Headers],0))=0,"",INDEX(Estrutura_P01[#All],MATCH($D19,Estrutura_P01[[#All],[txtMAKT-MAKTX]],0),MATCH(BC$3,Estrutura_P01[#Headers],0))),"")</f>
        <v/>
      </c>
      <c r="BD19" s="44"/>
      <c r="BE19" s="50">
        <v>0</v>
      </c>
      <c r="BF19" s="45" t="s">
        <v>378</v>
      </c>
      <c r="BG19" s="45" t="s">
        <v>84</v>
      </c>
      <c r="BH19" s="43" t="str">
        <f t="shared" si="3"/>
        <v>581</v>
      </c>
      <c r="BI19" s="45" t="s">
        <v>426</v>
      </c>
      <c r="BJ19" s="80"/>
      <c r="BK19" s="45">
        <v>0</v>
      </c>
      <c r="BL19" s="45" t="s">
        <v>473</v>
      </c>
      <c r="BM19" s="45" t="s">
        <v>90</v>
      </c>
      <c r="BN19" s="44"/>
      <c r="BO19" s="49" t="str">
        <f t="shared" si="4"/>
        <v>0120</v>
      </c>
      <c r="BP19" s="49" t="str">
        <f t="shared" si="5"/>
        <v>0120</v>
      </c>
      <c r="BQ19" s="45">
        <v>1</v>
      </c>
      <c r="BR19" s="44">
        <v>1</v>
      </c>
      <c r="BS19" s="44">
        <v>2</v>
      </c>
      <c r="BT19" s="50" t="s">
        <v>490</v>
      </c>
      <c r="BU19" s="80">
        <v>2</v>
      </c>
      <c r="BV19" s="80">
        <v>7</v>
      </c>
      <c r="BW19" s="44" t="s">
        <v>348</v>
      </c>
      <c r="BX19" s="44">
        <v>2</v>
      </c>
      <c r="BY19" s="44">
        <v>42</v>
      </c>
      <c r="BZ19" s="44">
        <v>10</v>
      </c>
      <c r="CA19" s="43" t="str">
        <f t="shared" si="6"/>
        <v>K00_R_0581</v>
      </c>
      <c r="CB19" s="43">
        <f t="shared" si="7"/>
        <v>1</v>
      </c>
      <c r="CC19" s="55" t="s">
        <v>909</v>
      </c>
      <c r="CD19" s="43" t="str">
        <f t="shared" ca="1" si="8"/>
        <v>17.05.2022</v>
      </c>
      <c r="CE19" s="43" t="str">
        <f t="shared" si="9"/>
        <v>31.12.9999</v>
      </c>
      <c r="CG19" s="44">
        <v>2</v>
      </c>
      <c r="CH19" s="44"/>
      <c r="CI19" s="44">
        <v>1</v>
      </c>
      <c r="CJ19" s="43" t="str">
        <f>IFERROR(IF(INDEX('MM01'!$A:$DK,MATCH('MM01-EXP'!$B19,'MM01'!$B:$B,0),MATCH('MM01-EXP'!CJ$3,'MM01'!$3:$3,0))=0,"",INDEX('MM01'!$A:$DK,MATCH('MM01-EXP'!$B19,'MM01'!$B:$B,0),MATCH('MM01-EXP'!CJ$3,'MM01'!$3:$3,0))),"")</f>
        <v/>
      </c>
      <c r="CK19" s="44">
        <v>12</v>
      </c>
      <c r="CL19" s="44">
        <v>1</v>
      </c>
      <c r="CM19" s="50" t="s">
        <v>223</v>
      </c>
      <c r="CN19" s="50" t="s">
        <v>902</v>
      </c>
      <c r="CO19" s="43" t="str">
        <f>IFERROR(IF(INDEX('MM01'!$A:$DK,MATCH('MM01-EXP'!$B19,'MM01'!$B:$B,0),MATCH('MM01-EXP'!CO$3,'MM01'!$3:$3,0))=0,"",INDEX('MM01'!$A:$DK,MATCH('MM01-EXP'!$B19,'MM01'!$B:$B,0),MATCH('MM01-EXP'!CO$3,'MM01'!$3:$3,0))),"")</f>
        <v/>
      </c>
      <c r="CP19" s="43" t="str">
        <f>IFERROR(IF(INDEX('MM01'!$A:$DK,MATCH('MM01-EXP'!$B19,'MM01'!$B:$B,0),MATCH('MM01-EXP'!CP$3,'MM01'!$3:$3,0))=0,"",INDEX('MM01'!$A:$DK,MATCH('MM01-EXP'!$B19,'MM01'!$B:$B,0),MATCH('MM01-EXP'!CP$3,'MM01'!$3:$3,0))),"")</f>
        <v/>
      </c>
      <c r="CQ19" s="60">
        <v>1</v>
      </c>
      <c r="CR19" s="44"/>
      <c r="CS19" s="44">
        <v>1</v>
      </c>
      <c r="CT19" s="44">
        <v>0</v>
      </c>
      <c r="CU19" s="44" t="s">
        <v>913</v>
      </c>
      <c r="CV19" s="45">
        <v>0</v>
      </c>
      <c r="CW19" s="43" t="str">
        <f>IFERROR(IF(INDEX('MM01'!$A:$DK,MATCH('MM01-EXP'!$B19,'MM01'!$B:$B,0),MATCH('MM01-EXP'!CW$3,'MM01'!$3:$3,0))=0,"",INDEX('MM01'!$A:$DK,MATCH('MM01-EXP'!$B19,'MM01'!$B:$B,0),MATCH('MM01-EXP'!CW$3,'MM01'!$3:$3,0))),"")</f>
        <v/>
      </c>
      <c r="CX19" s="65"/>
    </row>
    <row r="20" spans="1:102" x14ac:dyDescent="0.2">
      <c r="A20" s="7" t="str">
        <f t="shared" si="0"/>
        <v>Execução 16</v>
      </c>
      <c r="B20" s="85"/>
      <c r="C20" s="43" t="str">
        <f t="shared" si="1"/>
        <v/>
      </c>
      <c r="D20" s="43" t="str">
        <f>IF(B20&lt;&gt;"",SUBSTITUTE(VLOOKUP(B20,'MM01-BOB'!B:C,2,0),"BOBINA","TIRA"),"")</f>
        <v/>
      </c>
      <c r="E20" s="43" t="str">
        <f>IFERROR(IF(INDEX(Estrutura_P01[#All],MATCH($D20,Estrutura_P01[[#All],[txtMAKT-MAKTX]],0),MATCH(E$3,Estrutura_P01[#Headers],0))=0,"",INDEX(Estrutura_P01[#All],MATCH($D20,Estrutura_P01[[#All],[txtMAKT-MAKTX]],0),MATCH(E$3,Estrutura_P01[#Headers],0))),"")</f>
        <v/>
      </c>
      <c r="F20" s="44" t="s">
        <v>100</v>
      </c>
      <c r="G20" s="85" t="s">
        <v>4</v>
      </c>
      <c r="H20" s="86" t="s">
        <v>15</v>
      </c>
      <c r="I20" s="49" t="str">
        <f t="shared" si="2"/>
        <v>0581</v>
      </c>
      <c r="J20" s="86" t="s">
        <v>24</v>
      </c>
      <c r="K20" s="86"/>
      <c r="M20" s="45"/>
      <c r="N20" s="45"/>
      <c r="O20" s="45"/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/>
      <c r="AF20" s="45"/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3" t="str">
        <f>IFERROR(IF(INDEX('MM01'!$A:$DK,MATCH('MM01-EXP'!$B20,'MM01'!$B:$B,0),MATCH('MM01-EXP'!AO$3,'MM01'!$3:$3,0))=0,"",INDEX('MM01'!$A:$DK,MATCH('MM01-EXP'!$B20,'MM01'!$B:$B,0),MATCH('MM01-EXP'!AO$3,'MM01'!$3:$3,0))),"")</f>
        <v/>
      </c>
      <c r="AP20" s="43" t="str">
        <f>IFERROR(IF(INDEX('MM01'!$A:$DK,MATCH('MM01-EXP'!$B20,'MM01'!$B:$B,0),MATCH('MM01-EXP'!AP$3,'MM01'!$3:$3,0))=0,"",INDEX('MM01'!$A:$DK,MATCH('MM01-EXP'!$B20,'MM01'!$B:$B,0),MATCH('MM01-EXP'!AP$3,'MM01'!$3:$3,0))),"")</f>
        <v/>
      </c>
      <c r="AQ20" s="43" t="str">
        <f>IFERROR(IF(INDEX('MM01'!$A:$DK,MATCH('MM01-EXP'!$B20,'MM01'!$B:$B,0),MATCH('MM01-EXP'!AQ$3,'MM01'!$3:$3,0))=0,"",INDEX('MM01'!$A:$DK,MATCH('MM01-EXP'!$B20,'MM01'!$B:$B,0),MATCH('MM01-EXP'!AQ$3,'MM01'!$3:$3,0))),"")</f>
        <v/>
      </c>
      <c r="AR20" s="43" t="str">
        <f>IFERROR(IF(INDEX('MM01'!$A:$DK,MATCH('MM01-EXP'!$B20,'MM01'!$B:$B,0),MATCH('MM01-EXP'!AR$3,'MM01'!$3:$3,0))=0,"",INDEX('MM01'!$A:$DK,MATCH('MM01-EXP'!$B20,'MM01'!$B:$B,0),MATCH('MM01-EXP'!AR$3,'MM01'!$3:$3,0))),"")</f>
        <v/>
      </c>
      <c r="AS20" s="43" t="str">
        <f>IFERROR(IF(INDEX('MM01'!$A:$DK,MATCH('MM01-EXP'!$B20,'MM01'!$B:$B,0),MATCH('MM01-EXP'!AS$3,'MM01'!$3:$3,0))=0,"",INDEX('MM01'!$A:$DK,MATCH('MM01-EXP'!$B20,'MM01'!$B:$B,0),MATCH('MM01-EXP'!AS$3,'MM01'!$3:$3,0))),"")</f>
        <v/>
      </c>
      <c r="AT20" s="43" t="str">
        <f>IFERROR(IF(INDEX('MM01'!$A:$DK,MATCH('MM01-EXP'!$B20,'MM01'!$B:$B,0),MATCH('MM01-EXP'!AT$3,'MM01'!$3:$3,0))=0,"",INDEX('MM01'!$A:$DK,MATCH('MM01-EXP'!$B20,'MM01'!$B:$B,0),MATCH('MM01-EXP'!AT$3,'MM01'!$3:$3,0))),"")</f>
        <v/>
      </c>
      <c r="AU20" s="43" t="str">
        <f>IFERROR(IF(INDEX('MM01'!$A:$DK,MATCH('MM01-EXP'!$B20,'MM01'!$B:$B,0),MATCH('MM01-EXP'!AU$3,'MM01'!$3:$3,0))=0,"",INDEX('MM01'!$A:$DK,MATCH('MM01-EXP'!$B20,'MM01'!$B:$B,0),MATCH('MM01-EXP'!AU$3,'MM01'!$3:$3,0))),"")</f>
        <v/>
      </c>
      <c r="AV20" s="43" t="str">
        <f>IFERROR(IF(INDEX('MM01'!$A:$DK,MATCH('MM01-EXP'!$B20,'MM01'!$B:$B,0),MATCH('MM01-EXP'!AV$3,'MM01'!$3:$3,0))=0,"",INDEX('MM01'!$A:$DK,MATCH('MM01-EXP'!$B20,'MM01'!$B:$B,0),MATCH('MM01-EXP'!AV$3,'MM01'!$3:$3,0))),"")</f>
        <v/>
      </c>
      <c r="AW20" s="44">
        <v>0</v>
      </c>
      <c r="AX20" s="44">
        <v>1</v>
      </c>
      <c r="AY20" s="44">
        <v>0</v>
      </c>
      <c r="AZ20" s="44" t="s">
        <v>348</v>
      </c>
      <c r="BA20" s="50" t="s">
        <v>195</v>
      </c>
      <c r="BB20" s="50" t="s">
        <v>195</v>
      </c>
      <c r="BC20" s="43" t="str">
        <f>IFERROR(IF(INDEX(Estrutura_P01[#All],MATCH($D20,Estrutura_P01[[#All],[txtMAKT-MAKTX]],0),MATCH(BC$3,Estrutura_P01[#Headers],0))=0,"",INDEX(Estrutura_P01[#All],MATCH($D20,Estrutura_P01[[#All],[txtMAKT-MAKTX]],0),MATCH(BC$3,Estrutura_P01[#Headers],0))),"")</f>
        <v/>
      </c>
      <c r="BD20" s="44"/>
      <c r="BE20" s="50">
        <v>0</v>
      </c>
      <c r="BF20" s="45" t="s">
        <v>378</v>
      </c>
      <c r="BG20" s="45" t="s">
        <v>84</v>
      </c>
      <c r="BH20" s="43" t="str">
        <f t="shared" si="3"/>
        <v>581</v>
      </c>
      <c r="BI20" s="45" t="s">
        <v>426</v>
      </c>
      <c r="BJ20" s="80"/>
      <c r="BK20" s="45">
        <v>0</v>
      </c>
      <c r="BL20" s="45" t="s">
        <v>473</v>
      </c>
      <c r="BM20" s="45" t="s">
        <v>90</v>
      </c>
      <c r="BN20" s="44"/>
      <c r="BO20" s="49" t="str">
        <f t="shared" si="4"/>
        <v>0120</v>
      </c>
      <c r="BP20" s="49" t="str">
        <f t="shared" si="5"/>
        <v>0120</v>
      </c>
      <c r="BQ20" s="45">
        <v>1</v>
      </c>
      <c r="BR20" s="44">
        <v>1</v>
      </c>
      <c r="BS20" s="44">
        <v>2</v>
      </c>
      <c r="BT20" s="50" t="s">
        <v>490</v>
      </c>
      <c r="BU20" s="80">
        <v>2</v>
      </c>
      <c r="BV20" s="80">
        <v>7</v>
      </c>
      <c r="BW20" s="44" t="s">
        <v>348</v>
      </c>
      <c r="BX20" s="44">
        <v>2</v>
      </c>
      <c r="BY20" s="44">
        <v>42</v>
      </c>
      <c r="BZ20" s="44">
        <v>10</v>
      </c>
      <c r="CA20" s="43" t="str">
        <f t="shared" si="6"/>
        <v>K00_R_0581</v>
      </c>
      <c r="CB20" s="43">
        <f t="shared" si="7"/>
        <v>1</v>
      </c>
      <c r="CC20" s="55" t="s">
        <v>909</v>
      </c>
      <c r="CD20" s="43" t="str">
        <f t="shared" ca="1" si="8"/>
        <v>17.05.2022</v>
      </c>
      <c r="CE20" s="43" t="str">
        <f t="shared" si="9"/>
        <v>31.12.9999</v>
      </c>
      <c r="CG20" s="44">
        <v>2</v>
      </c>
      <c r="CH20" s="44"/>
      <c r="CI20" s="44">
        <v>1</v>
      </c>
      <c r="CJ20" s="43" t="str">
        <f>IFERROR(IF(INDEX('MM01'!$A:$DK,MATCH('MM01-EXP'!$B20,'MM01'!$B:$B,0),MATCH('MM01-EXP'!CJ$3,'MM01'!$3:$3,0))=0,"",INDEX('MM01'!$A:$DK,MATCH('MM01-EXP'!$B20,'MM01'!$B:$B,0),MATCH('MM01-EXP'!CJ$3,'MM01'!$3:$3,0))),"")</f>
        <v/>
      </c>
      <c r="CK20" s="44">
        <v>12</v>
      </c>
      <c r="CL20" s="44">
        <v>1</v>
      </c>
      <c r="CM20" s="50" t="s">
        <v>223</v>
      </c>
      <c r="CN20" s="50" t="s">
        <v>902</v>
      </c>
      <c r="CO20" s="43" t="str">
        <f>IFERROR(IF(INDEX('MM01'!$A:$DK,MATCH('MM01-EXP'!$B20,'MM01'!$B:$B,0),MATCH('MM01-EXP'!CO$3,'MM01'!$3:$3,0))=0,"",INDEX('MM01'!$A:$DK,MATCH('MM01-EXP'!$B20,'MM01'!$B:$B,0),MATCH('MM01-EXP'!CO$3,'MM01'!$3:$3,0))),"")</f>
        <v/>
      </c>
      <c r="CP20" s="43" t="str">
        <f>IFERROR(IF(INDEX('MM01'!$A:$DK,MATCH('MM01-EXP'!$B20,'MM01'!$B:$B,0),MATCH('MM01-EXP'!CP$3,'MM01'!$3:$3,0))=0,"",INDEX('MM01'!$A:$DK,MATCH('MM01-EXP'!$B20,'MM01'!$B:$B,0),MATCH('MM01-EXP'!CP$3,'MM01'!$3:$3,0))),"")</f>
        <v/>
      </c>
      <c r="CQ20" s="60">
        <v>1</v>
      </c>
      <c r="CR20" s="44"/>
      <c r="CS20" s="44">
        <v>1</v>
      </c>
      <c r="CT20" s="44">
        <v>0</v>
      </c>
      <c r="CU20" s="44" t="s">
        <v>913</v>
      </c>
      <c r="CV20" s="45">
        <v>0</v>
      </c>
      <c r="CW20" s="43" t="str">
        <f>IFERROR(IF(INDEX('MM01'!$A:$DK,MATCH('MM01-EXP'!$B20,'MM01'!$B:$B,0),MATCH('MM01-EXP'!CW$3,'MM01'!$3:$3,0))=0,"",INDEX('MM01'!$A:$DK,MATCH('MM01-EXP'!$B20,'MM01'!$B:$B,0),MATCH('MM01-EXP'!CW$3,'MM01'!$3:$3,0))),"")</f>
        <v/>
      </c>
      <c r="CX20" s="65"/>
    </row>
    <row r="21" spans="1:102" x14ac:dyDescent="0.2">
      <c r="A21" s="7" t="str">
        <f t="shared" si="0"/>
        <v>Execução 17</v>
      </c>
      <c r="B21" s="85"/>
      <c r="C21" s="43" t="str">
        <f t="shared" si="1"/>
        <v/>
      </c>
      <c r="D21" s="43" t="str">
        <f>IF(B21&lt;&gt;"",SUBSTITUTE(VLOOKUP(B21,'MM01-BOB'!B:C,2,0),"BOBINA","TIRA"),"")</f>
        <v/>
      </c>
      <c r="E21" s="43" t="str">
        <f>IFERROR(IF(INDEX(Estrutura_P01[#All],MATCH($D21,Estrutura_P01[[#All],[txtMAKT-MAKTX]],0),MATCH(E$3,Estrutura_P01[#Headers],0))=0,"",INDEX(Estrutura_P01[#All],MATCH($D21,Estrutura_P01[[#All],[txtMAKT-MAKTX]],0),MATCH(E$3,Estrutura_P01[#Headers],0))),"")</f>
        <v/>
      </c>
      <c r="F21" s="44" t="s">
        <v>100</v>
      </c>
      <c r="G21" s="85" t="s">
        <v>4</v>
      </c>
      <c r="H21" s="86" t="s">
        <v>15</v>
      </c>
      <c r="I21" s="49" t="str">
        <f t="shared" si="2"/>
        <v>0581</v>
      </c>
      <c r="J21" s="86" t="s">
        <v>24</v>
      </c>
      <c r="K21" s="86"/>
      <c r="M21" s="45"/>
      <c r="N21" s="45"/>
      <c r="O21" s="45"/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/>
      <c r="AF21" s="45"/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3" t="str">
        <f>IFERROR(IF(INDEX('MM01'!$A:$DK,MATCH('MM01-EXP'!$B21,'MM01'!$B:$B,0),MATCH('MM01-EXP'!AO$3,'MM01'!$3:$3,0))=0,"",INDEX('MM01'!$A:$DK,MATCH('MM01-EXP'!$B21,'MM01'!$B:$B,0),MATCH('MM01-EXP'!AO$3,'MM01'!$3:$3,0))),"")</f>
        <v/>
      </c>
      <c r="AP21" s="43" t="str">
        <f>IFERROR(IF(INDEX('MM01'!$A:$DK,MATCH('MM01-EXP'!$B21,'MM01'!$B:$B,0),MATCH('MM01-EXP'!AP$3,'MM01'!$3:$3,0))=0,"",INDEX('MM01'!$A:$DK,MATCH('MM01-EXP'!$B21,'MM01'!$B:$B,0),MATCH('MM01-EXP'!AP$3,'MM01'!$3:$3,0))),"")</f>
        <v/>
      </c>
      <c r="AQ21" s="43" t="str">
        <f>IFERROR(IF(INDEX('MM01'!$A:$DK,MATCH('MM01-EXP'!$B21,'MM01'!$B:$B,0),MATCH('MM01-EXP'!AQ$3,'MM01'!$3:$3,0))=0,"",INDEX('MM01'!$A:$DK,MATCH('MM01-EXP'!$B21,'MM01'!$B:$B,0),MATCH('MM01-EXP'!AQ$3,'MM01'!$3:$3,0))),"")</f>
        <v/>
      </c>
      <c r="AR21" s="43" t="str">
        <f>IFERROR(IF(INDEX('MM01'!$A:$DK,MATCH('MM01-EXP'!$B21,'MM01'!$B:$B,0),MATCH('MM01-EXP'!AR$3,'MM01'!$3:$3,0))=0,"",INDEX('MM01'!$A:$DK,MATCH('MM01-EXP'!$B21,'MM01'!$B:$B,0),MATCH('MM01-EXP'!AR$3,'MM01'!$3:$3,0))),"")</f>
        <v/>
      </c>
      <c r="AS21" s="43" t="str">
        <f>IFERROR(IF(INDEX('MM01'!$A:$DK,MATCH('MM01-EXP'!$B21,'MM01'!$B:$B,0),MATCH('MM01-EXP'!AS$3,'MM01'!$3:$3,0))=0,"",INDEX('MM01'!$A:$DK,MATCH('MM01-EXP'!$B21,'MM01'!$B:$B,0),MATCH('MM01-EXP'!AS$3,'MM01'!$3:$3,0))),"")</f>
        <v/>
      </c>
      <c r="AT21" s="43" t="str">
        <f>IFERROR(IF(INDEX('MM01'!$A:$DK,MATCH('MM01-EXP'!$B21,'MM01'!$B:$B,0),MATCH('MM01-EXP'!AT$3,'MM01'!$3:$3,0))=0,"",INDEX('MM01'!$A:$DK,MATCH('MM01-EXP'!$B21,'MM01'!$B:$B,0),MATCH('MM01-EXP'!AT$3,'MM01'!$3:$3,0))),"")</f>
        <v/>
      </c>
      <c r="AU21" s="43" t="str">
        <f>IFERROR(IF(INDEX('MM01'!$A:$DK,MATCH('MM01-EXP'!$B21,'MM01'!$B:$B,0),MATCH('MM01-EXP'!AU$3,'MM01'!$3:$3,0))=0,"",INDEX('MM01'!$A:$DK,MATCH('MM01-EXP'!$B21,'MM01'!$B:$B,0),MATCH('MM01-EXP'!AU$3,'MM01'!$3:$3,0))),"")</f>
        <v/>
      </c>
      <c r="AV21" s="43" t="str">
        <f>IFERROR(IF(INDEX('MM01'!$A:$DK,MATCH('MM01-EXP'!$B21,'MM01'!$B:$B,0),MATCH('MM01-EXP'!AV$3,'MM01'!$3:$3,0))=0,"",INDEX('MM01'!$A:$DK,MATCH('MM01-EXP'!$B21,'MM01'!$B:$B,0),MATCH('MM01-EXP'!AV$3,'MM01'!$3:$3,0))),"")</f>
        <v/>
      </c>
      <c r="AW21" s="44">
        <v>0</v>
      </c>
      <c r="AX21" s="44">
        <v>1</v>
      </c>
      <c r="AY21" s="44">
        <v>0</v>
      </c>
      <c r="AZ21" s="44" t="s">
        <v>348</v>
      </c>
      <c r="BA21" s="50" t="s">
        <v>195</v>
      </c>
      <c r="BB21" s="50" t="s">
        <v>195</v>
      </c>
      <c r="BC21" s="43" t="str">
        <f>IFERROR(IF(INDEX(Estrutura_P01[#All],MATCH($D21,Estrutura_P01[[#All],[txtMAKT-MAKTX]],0),MATCH(BC$3,Estrutura_P01[#Headers],0))=0,"",INDEX(Estrutura_P01[#All],MATCH($D21,Estrutura_P01[[#All],[txtMAKT-MAKTX]],0),MATCH(BC$3,Estrutura_P01[#Headers],0))),"")</f>
        <v/>
      </c>
      <c r="BD21" s="44"/>
      <c r="BE21" s="50">
        <v>0</v>
      </c>
      <c r="BF21" s="45" t="s">
        <v>378</v>
      </c>
      <c r="BG21" s="45" t="s">
        <v>84</v>
      </c>
      <c r="BH21" s="43" t="str">
        <f t="shared" si="3"/>
        <v>581</v>
      </c>
      <c r="BI21" s="45" t="s">
        <v>426</v>
      </c>
      <c r="BJ21" s="80"/>
      <c r="BK21" s="45">
        <v>0</v>
      </c>
      <c r="BL21" s="45" t="s">
        <v>473</v>
      </c>
      <c r="BM21" s="45" t="s">
        <v>90</v>
      </c>
      <c r="BN21" s="44"/>
      <c r="BO21" s="49" t="str">
        <f t="shared" si="4"/>
        <v>0120</v>
      </c>
      <c r="BP21" s="49" t="str">
        <f t="shared" si="5"/>
        <v>0120</v>
      </c>
      <c r="BQ21" s="45">
        <v>1</v>
      </c>
      <c r="BR21" s="44">
        <v>1</v>
      </c>
      <c r="BS21" s="44">
        <v>2</v>
      </c>
      <c r="BT21" s="50" t="s">
        <v>490</v>
      </c>
      <c r="BU21" s="80">
        <v>2</v>
      </c>
      <c r="BV21" s="80">
        <v>7</v>
      </c>
      <c r="BW21" s="44" t="s">
        <v>348</v>
      </c>
      <c r="BX21" s="44">
        <v>2</v>
      </c>
      <c r="BY21" s="44">
        <v>42</v>
      </c>
      <c r="BZ21" s="44">
        <v>10</v>
      </c>
      <c r="CA21" s="43" t="str">
        <f t="shared" si="6"/>
        <v>K00_R_0581</v>
      </c>
      <c r="CB21" s="43">
        <f t="shared" si="7"/>
        <v>1</v>
      </c>
      <c r="CC21" s="55" t="s">
        <v>909</v>
      </c>
      <c r="CD21" s="43" t="str">
        <f t="shared" ca="1" si="8"/>
        <v>17.05.2022</v>
      </c>
      <c r="CE21" s="43" t="str">
        <f t="shared" si="9"/>
        <v>31.12.9999</v>
      </c>
      <c r="CG21" s="44">
        <v>2</v>
      </c>
      <c r="CH21" s="44"/>
      <c r="CI21" s="44">
        <v>1</v>
      </c>
      <c r="CJ21" s="43" t="str">
        <f>IFERROR(IF(INDEX('MM01'!$A:$DK,MATCH('MM01-EXP'!$B21,'MM01'!$B:$B,0),MATCH('MM01-EXP'!CJ$3,'MM01'!$3:$3,0))=0,"",INDEX('MM01'!$A:$DK,MATCH('MM01-EXP'!$B21,'MM01'!$B:$B,0),MATCH('MM01-EXP'!CJ$3,'MM01'!$3:$3,0))),"")</f>
        <v/>
      </c>
      <c r="CK21" s="44">
        <v>12</v>
      </c>
      <c r="CL21" s="44">
        <v>1</v>
      </c>
      <c r="CM21" s="50" t="s">
        <v>223</v>
      </c>
      <c r="CN21" s="50" t="s">
        <v>902</v>
      </c>
      <c r="CO21" s="43" t="str">
        <f>IFERROR(IF(INDEX('MM01'!$A:$DK,MATCH('MM01-EXP'!$B21,'MM01'!$B:$B,0),MATCH('MM01-EXP'!CO$3,'MM01'!$3:$3,0))=0,"",INDEX('MM01'!$A:$DK,MATCH('MM01-EXP'!$B21,'MM01'!$B:$B,0),MATCH('MM01-EXP'!CO$3,'MM01'!$3:$3,0))),"")</f>
        <v/>
      </c>
      <c r="CP21" s="43" t="str">
        <f>IFERROR(IF(INDEX('MM01'!$A:$DK,MATCH('MM01-EXP'!$B21,'MM01'!$B:$B,0),MATCH('MM01-EXP'!CP$3,'MM01'!$3:$3,0))=0,"",INDEX('MM01'!$A:$DK,MATCH('MM01-EXP'!$B21,'MM01'!$B:$B,0),MATCH('MM01-EXP'!CP$3,'MM01'!$3:$3,0))),"")</f>
        <v/>
      </c>
      <c r="CQ21" s="60">
        <v>1</v>
      </c>
      <c r="CR21" s="44"/>
      <c r="CS21" s="44">
        <v>1</v>
      </c>
      <c r="CT21" s="44">
        <v>0</v>
      </c>
      <c r="CU21" s="44" t="s">
        <v>913</v>
      </c>
      <c r="CV21" s="45">
        <v>0</v>
      </c>
      <c r="CW21" s="43" t="str">
        <f>IFERROR(IF(INDEX('MM01'!$A:$DK,MATCH('MM01-EXP'!$B21,'MM01'!$B:$B,0),MATCH('MM01-EXP'!CW$3,'MM01'!$3:$3,0))=0,"",INDEX('MM01'!$A:$DK,MATCH('MM01-EXP'!$B21,'MM01'!$B:$B,0),MATCH('MM01-EXP'!CW$3,'MM01'!$3:$3,0))),"")</f>
        <v/>
      </c>
      <c r="CX21" s="65"/>
    </row>
    <row r="22" spans="1:102" x14ac:dyDescent="0.2">
      <c r="A22" s="7" t="str">
        <f t="shared" si="0"/>
        <v>Execução 18</v>
      </c>
      <c r="B22" s="85"/>
      <c r="C22" s="43" t="str">
        <f t="shared" si="1"/>
        <v/>
      </c>
      <c r="D22" s="43" t="str">
        <f>IF(B22&lt;&gt;"",SUBSTITUTE(VLOOKUP(B22,'MM01-BOB'!B:C,2,0),"BOBINA","TIRA"),"")</f>
        <v/>
      </c>
      <c r="E22" s="43" t="str">
        <f>IFERROR(IF(INDEX(Estrutura_P01[#All],MATCH($D22,Estrutura_P01[[#All],[txtMAKT-MAKTX]],0),MATCH(E$3,Estrutura_P01[#Headers],0))=0,"",INDEX(Estrutura_P01[#All],MATCH($D22,Estrutura_P01[[#All],[txtMAKT-MAKTX]],0),MATCH(E$3,Estrutura_P01[#Headers],0))),"")</f>
        <v/>
      </c>
      <c r="F22" s="44" t="s">
        <v>100</v>
      </c>
      <c r="G22" s="85" t="s">
        <v>4</v>
      </c>
      <c r="H22" s="86" t="s">
        <v>15</v>
      </c>
      <c r="I22" s="49" t="str">
        <f t="shared" si="2"/>
        <v>0581</v>
      </c>
      <c r="J22" s="86" t="s">
        <v>24</v>
      </c>
      <c r="K22" s="86"/>
      <c r="M22" s="45"/>
      <c r="N22" s="45"/>
      <c r="O22" s="45"/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/>
      <c r="AF22" s="45"/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3" t="str">
        <f>IFERROR(IF(INDEX('MM01'!$A:$DK,MATCH('MM01-EXP'!$B22,'MM01'!$B:$B,0),MATCH('MM01-EXP'!AO$3,'MM01'!$3:$3,0))=0,"",INDEX('MM01'!$A:$DK,MATCH('MM01-EXP'!$B22,'MM01'!$B:$B,0),MATCH('MM01-EXP'!AO$3,'MM01'!$3:$3,0))),"")</f>
        <v/>
      </c>
      <c r="AP22" s="43" t="str">
        <f>IFERROR(IF(INDEX('MM01'!$A:$DK,MATCH('MM01-EXP'!$B22,'MM01'!$B:$B,0),MATCH('MM01-EXP'!AP$3,'MM01'!$3:$3,0))=0,"",INDEX('MM01'!$A:$DK,MATCH('MM01-EXP'!$B22,'MM01'!$B:$B,0),MATCH('MM01-EXP'!AP$3,'MM01'!$3:$3,0))),"")</f>
        <v/>
      </c>
      <c r="AQ22" s="43" t="str">
        <f>IFERROR(IF(INDEX('MM01'!$A:$DK,MATCH('MM01-EXP'!$B22,'MM01'!$B:$B,0),MATCH('MM01-EXP'!AQ$3,'MM01'!$3:$3,0))=0,"",INDEX('MM01'!$A:$DK,MATCH('MM01-EXP'!$B22,'MM01'!$B:$B,0),MATCH('MM01-EXP'!AQ$3,'MM01'!$3:$3,0))),"")</f>
        <v/>
      </c>
      <c r="AR22" s="43" t="str">
        <f>IFERROR(IF(INDEX('MM01'!$A:$DK,MATCH('MM01-EXP'!$B22,'MM01'!$B:$B,0),MATCH('MM01-EXP'!AR$3,'MM01'!$3:$3,0))=0,"",INDEX('MM01'!$A:$DK,MATCH('MM01-EXP'!$B22,'MM01'!$B:$B,0),MATCH('MM01-EXP'!AR$3,'MM01'!$3:$3,0))),"")</f>
        <v/>
      </c>
      <c r="AS22" s="43" t="str">
        <f>IFERROR(IF(INDEX('MM01'!$A:$DK,MATCH('MM01-EXP'!$B22,'MM01'!$B:$B,0),MATCH('MM01-EXP'!AS$3,'MM01'!$3:$3,0))=0,"",INDEX('MM01'!$A:$DK,MATCH('MM01-EXP'!$B22,'MM01'!$B:$B,0),MATCH('MM01-EXP'!AS$3,'MM01'!$3:$3,0))),"")</f>
        <v/>
      </c>
      <c r="AT22" s="43" t="str">
        <f>IFERROR(IF(INDEX('MM01'!$A:$DK,MATCH('MM01-EXP'!$B22,'MM01'!$B:$B,0),MATCH('MM01-EXP'!AT$3,'MM01'!$3:$3,0))=0,"",INDEX('MM01'!$A:$DK,MATCH('MM01-EXP'!$B22,'MM01'!$B:$B,0),MATCH('MM01-EXP'!AT$3,'MM01'!$3:$3,0))),"")</f>
        <v/>
      </c>
      <c r="AU22" s="43" t="str">
        <f>IFERROR(IF(INDEX('MM01'!$A:$DK,MATCH('MM01-EXP'!$B22,'MM01'!$B:$B,0),MATCH('MM01-EXP'!AU$3,'MM01'!$3:$3,0))=0,"",INDEX('MM01'!$A:$DK,MATCH('MM01-EXP'!$B22,'MM01'!$B:$B,0),MATCH('MM01-EXP'!AU$3,'MM01'!$3:$3,0))),"")</f>
        <v/>
      </c>
      <c r="AV22" s="43" t="str">
        <f>IFERROR(IF(INDEX('MM01'!$A:$DK,MATCH('MM01-EXP'!$B22,'MM01'!$B:$B,0),MATCH('MM01-EXP'!AV$3,'MM01'!$3:$3,0))=0,"",INDEX('MM01'!$A:$DK,MATCH('MM01-EXP'!$B22,'MM01'!$B:$B,0),MATCH('MM01-EXP'!AV$3,'MM01'!$3:$3,0))),"")</f>
        <v/>
      </c>
      <c r="AW22" s="44">
        <v>0</v>
      </c>
      <c r="AX22" s="44">
        <v>1</v>
      </c>
      <c r="AY22" s="44">
        <v>0</v>
      </c>
      <c r="AZ22" s="44" t="s">
        <v>348</v>
      </c>
      <c r="BA22" s="50" t="s">
        <v>195</v>
      </c>
      <c r="BB22" s="50" t="s">
        <v>195</v>
      </c>
      <c r="BC22" s="43" t="str">
        <f>IFERROR(IF(INDEX(Estrutura_P01[#All],MATCH($D22,Estrutura_P01[[#All],[txtMAKT-MAKTX]],0),MATCH(BC$3,Estrutura_P01[#Headers],0))=0,"",INDEX(Estrutura_P01[#All],MATCH($D22,Estrutura_P01[[#All],[txtMAKT-MAKTX]],0),MATCH(BC$3,Estrutura_P01[#Headers],0))),"")</f>
        <v/>
      </c>
      <c r="BD22" s="44"/>
      <c r="BE22" s="50">
        <v>0</v>
      </c>
      <c r="BF22" s="45" t="s">
        <v>378</v>
      </c>
      <c r="BG22" s="45" t="s">
        <v>84</v>
      </c>
      <c r="BH22" s="43" t="str">
        <f t="shared" si="3"/>
        <v>581</v>
      </c>
      <c r="BI22" s="45" t="s">
        <v>426</v>
      </c>
      <c r="BJ22" s="80"/>
      <c r="BK22" s="45">
        <v>0</v>
      </c>
      <c r="BL22" s="45" t="s">
        <v>473</v>
      </c>
      <c r="BM22" s="45" t="s">
        <v>90</v>
      </c>
      <c r="BN22" s="44"/>
      <c r="BO22" s="49" t="str">
        <f t="shared" si="4"/>
        <v>0120</v>
      </c>
      <c r="BP22" s="49" t="str">
        <f t="shared" si="5"/>
        <v>0120</v>
      </c>
      <c r="BQ22" s="45">
        <v>1</v>
      </c>
      <c r="BR22" s="44">
        <v>1</v>
      </c>
      <c r="BS22" s="44">
        <v>2</v>
      </c>
      <c r="BT22" s="50" t="s">
        <v>490</v>
      </c>
      <c r="BU22" s="80">
        <v>2</v>
      </c>
      <c r="BV22" s="80">
        <v>7</v>
      </c>
      <c r="BW22" s="44" t="s">
        <v>348</v>
      </c>
      <c r="BX22" s="44">
        <v>2</v>
      </c>
      <c r="BY22" s="44">
        <v>42</v>
      </c>
      <c r="BZ22" s="44">
        <v>10</v>
      </c>
      <c r="CA22" s="43" t="str">
        <f t="shared" si="6"/>
        <v>K00_R_0581</v>
      </c>
      <c r="CB22" s="43">
        <f t="shared" si="7"/>
        <v>1</v>
      </c>
      <c r="CC22" s="55" t="s">
        <v>909</v>
      </c>
      <c r="CD22" s="43" t="str">
        <f t="shared" ca="1" si="8"/>
        <v>17.05.2022</v>
      </c>
      <c r="CE22" s="43" t="str">
        <f t="shared" si="9"/>
        <v>31.12.9999</v>
      </c>
      <c r="CG22" s="44">
        <v>2</v>
      </c>
      <c r="CH22" s="44"/>
      <c r="CI22" s="44">
        <v>1</v>
      </c>
      <c r="CJ22" s="43" t="str">
        <f>IFERROR(IF(INDEX('MM01'!$A:$DK,MATCH('MM01-EXP'!$B22,'MM01'!$B:$B,0),MATCH('MM01-EXP'!CJ$3,'MM01'!$3:$3,0))=0,"",INDEX('MM01'!$A:$DK,MATCH('MM01-EXP'!$B22,'MM01'!$B:$B,0),MATCH('MM01-EXP'!CJ$3,'MM01'!$3:$3,0))),"")</f>
        <v/>
      </c>
      <c r="CK22" s="44">
        <v>12</v>
      </c>
      <c r="CL22" s="44">
        <v>1</v>
      </c>
      <c r="CM22" s="50" t="s">
        <v>223</v>
      </c>
      <c r="CN22" s="50" t="s">
        <v>902</v>
      </c>
      <c r="CO22" s="43" t="str">
        <f>IFERROR(IF(INDEX('MM01'!$A:$DK,MATCH('MM01-EXP'!$B22,'MM01'!$B:$B,0),MATCH('MM01-EXP'!CO$3,'MM01'!$3:$3,0))=0,"",INDEX('MM01'!$A:$DK,MATCH('MM01-EXP'!$B22,'MM01'!$B:$B,0),MATCH('MM01-EXP'!CO$3,'MM01'!$3:$3,0))),"")</f>
        <v/>
      </c>
      <c r="CP22" s="43" t="str">
        <f>IFERROR(IF(INDEX('MM01'!$A:$DK,MATCH('MM01-EXP'!$B22,'MM01'!$B:$B,0),MATCH('MM01-EXP'!CP$3,'MM01'!$3:$3,0))=0,"",INDEX('MM01'!$A:$DK,MATCH('MM01-EXP'!$B22,'MM01'!$B:$B,0),MATCH('MM01-EXP'!CP$3,'MM01'!$3:$3,0))),"")</f>
        <v/>
      </c>
      <c r="CQ22" s="60">
        <v>1</v>
      </c>
      <c r="CR22" s="44"/>
      <c r="CS22" s="44">
        <v>1</v>
      </c>
      <c r="CT22" s="44">
        <v>0</v>
      </c>
      <c r="CU22" s="44" t="s">
        <v>913</v>
      </c>
      <c r="CV22" s="45">
        <v>0</v>
      </c>
      <c r="CW22" s="43" t="str">
        <f>IFERROR(IF(INDEX('MM01'!$A:$DK,MATCH('MM01-EXP'!$B22,'MM01'!$B:$B,0),MATCH('MM01-EXP'!CW$3,'MM01'!$3:$3,0))=0,"",INDEX('MM01'!$A:$DK,MATCH('MM01-EXP'!$B22,'MM01'!$B:$B,0),MATCH('MM01-EXP'!CW$3,'MM01'!$3:$3,0))),"")</f>
        <v/>
      </c>
      <c r="CX22" s="65"/>
    </row>
    <row r="23" spans="1:102" x14ac:dyDescent="0.2">
      <c r="A23" s="7" t="str">
        <f t="shared" si="0"/>
        <v>Execução 19</v>
      </c>
      <c r="B23" s="85"/>
      <c r="C23" s="43" t="str">
        <f t="shared" si="1"/>
        <v/>
      </c>
      <c r="D23" s="43" t="str">
        <f>IF(B23&lt;&gt;"",SUBSTITUTE(VLOOKUP(B23,'MM01-BOB'!B:C,2,0),"BOBINA","TIRA"),"")</f>
        <v/>
      </c>
      <c r="E23" s="43" t="str">
        <f>IFERROR(IF(INDEX(Estrutura_P01[#All],MATCH($D23,Estrutura_P01[[#All],[txtMAKT-MAKTX]],0),MATCH(E$3,Estrutura_P01[#Headers],0))=0,"",INDEX(Estrutura_P01[#All],MATCH($D23,Estrutura_P01[[#All],[txtMAKT-MAKTX]],0),MATCH(E$3,Estrutura_P01[#Headers],0))),"")</f>
        <v/>
      </c>
      <c r="F23" s="44" t="s">
        <v>100</v>
      </c>
      <c r="G23" s="85" t="s">
        <v>4</v>
      </c>
      <c r="H23" s="86" t="s">
        <v>15</v>
      </c>
      <c r="I23" s="49" t="str">
        <f t="shared" si="2"/>
        <v>0581</v>
      </c>
      <c r="J23" s="86" t="s">
        <v>24</v>
      </c>
      <c r="K23" s="86"/>
      <c r="M23" s="45"/>
      <c r="N23" s="45"/>
      <c r="O23" s="45"/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/>
      <c r="AF23" s="45"/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3" t="str">
        <f>IFERROR(IF(INDEX('MM01'!$A:$DK,MATCH('MM01-EXP'!$B23,'MM01'!$B:$B,0),MATCH('MM01-EXP'!AO$3,'MM01'!$3:$3,0))=0,"",INDEX('MM01'!$A:$DK,MATCH('MM01-EXP'!$B23,'MM01'!$B:$B,0),MATCH('MM01-EXP'!AO$3,'MM01'!$3:$3,0))),"")</f>
        <v/>
      </c>
      <c r="AP23" s="43" t="str">
        <f>IFERROR(IF(INDEX('MM01'!$A:$DK,MATCH('MM01-EXP'!$B23,'MM01'!$B:$B,0),MATCH('MM01-EXP'!AP$3,'MM01'!$3:$3,0))=0,"",INDEX('MM01'!$A:$DK,MATCH('MM01-EXP'!$B23,'MM01'!$B:$B,0),MATCH('MM01-EXP'!AP$3,'MM01'!$3:$3,0))),"")</f>
        <v/>
      </c>
      <c r="AQ23" s="43" t="str">
        <f>IFERROR(IF(INDEX('MM01'!$A:$DK,MATCH('MM01-EXP'!$B23,'MM01'!$B:$B,0),MATCH('MM01-EXP'!AQ$3,'MM01'!$3:$3,0))=0,"",INDEX('MM01'!$A:$DK,MATCH('MM01-EXP'!$B23,'MM01'!$B:$B,0),MATCH('MM01-EXP'!AQ$3,'MM01'!$3:$3,0))),"")</f>
        <v/>
      </c>
      <c r="AR23" s="43" t="str">
        <f>IFERROR(IF(INDEX('MM01'!$A:$DK,MATCH('MM01-EXP'!$B23,'MM01'!$B:$B,0),MATCH('MM01-EXP'!AR$3,'MM01'!$3:$3,0))=0,"",INDEX('MM01'!$A:$DK,MATCH('MM01-EXP'!$B23,'MM01'!$B:$B,0),MATCH('MM01-EXP'!AR$3,'MM01'!$3:$3,0))),"")</f>
        <v/>
      </c>
      <c r="AS23" s="43" t="str">
        <f>IFERROR(IF(INDEX('MM01'!$A:$DK,MATCH('MM01-EXP'!$B23,'MM01'!$B:$B,0),MATCH('MM01-EXP'!AS$3,'MM01'!$3:$3,0))=0,"",INDEX('MM01'!$A:$DK,MATCH('MM01-EXP'!$B23,'MM01'!$B:$B,0),MATCH('MM01-EXP'!AS$3,'MM01'!$3:$3,0))),"")</f>
        <v/>
      </c>
      <c r="AT23" s="43" t="str">
        <f>IFERROR(IF(INDEX('MM01'!$A:$DK,MATCH('MM01-EXP'!$B23,'MM01'!$B:$B,0),MATCH('MM01-EXP'!AT$3,'MM01'!$3:$3,0))=0,"",INDEX('MM01'!$A:$DK,MATCH('MM01-EXP'!$B23,'MM01'!$B:$B,0),MATCH('MM01-EXP'!AT$3,'MM01'!$3:$3,0))),"")</f>
        <v/>
      </c>
      <c r="AU23" s="43" t="str">
        <f>IFERROR(IF(INDEX('MM01'!$A:$DK,MATCH('MM01-EXP'!$B23,'MM01'!$B:$B,0),MATCH('MM01-EXP'!AU$3,'MM01'!$3:$3,0))=0,"",INDEX('MM01'!$A:$DK,MATCH('MM01-EXP'!$B23,'MM01'!$B:$B,0),MATCH('MM01-EXP'!AU$3,'MM01'!$3:$3,0))),"")</f>
        <v/>
      </c>
      <c r="AV23" s="43" t="str">
        <f>IFERROR(IF(INDEX('MM01'!$A:$DK,MATCH('MM01-EXP'!$B23,'MM01'!$B:$B,0),MATCH('MM01-EXP'!AV$3,'MM01'!$3:$3,0))=0,"",INDEX('MM01'!$A:$DK,MATCH('MM01-EXP'!$B23,'MM01'!$B:$B,0),MATCH('MM01-EXP'!AV$3,'MM01'!$3:$3,0))),"")</f>
        <v/>
      </c>
      <c r="AW23" s="44">
        <v>0</v>
      </c>
      <c r="AX23" s="44">
        <v>1</v>
      </c>
      <c r="AY23" s="44">
        <v>0</v>
      </c>
      <c r="AZ23" s="44" t="s">
        <v>348</v>
      </c>
      <c r="BA23" s="50" t="s">
        <v>195</v>
      </c>
      <c r="BB23" s="50" t="s">
        <v>195</v>
      </c>
      <c r="BC23" s="43" t="str">
        <f>IFERROR(IF(INDEX(Estrutura_P01[#All],MATCH($D23,Estrutura_P01[[#All],[txtMAKT-MAKTX]],0),MATCH(BC$3,Estrutura_P01[#Headers],0))=0,"",INDEX(Estrutura_P01[#All],MATCH($D23,Estrutura_P01[[#All],[txtMAKT-MAKTX]],0),MATCH(BC$3,Estrutura_P01[#Headers],0))),"")</f>
        <v/>
      </c>
      <c r="BD23" s="44"/>
      <c r="BE23" s="50">
        <v>0</v>
      </c>
      <c r="BF23" s="45" t="s">
        <v>378</v>
      </c>
      <c r="BG23" s="45" t="s">
        <v>84</v>
      </c>
      <c r="BH23" s="43" t="str">
        <f t="shared" si="3"/>
        <v>581</v>
      </c>
      <c r="BI23" s="45" t="s">
        <v>426</v>
      </c>
      <c r="BJ23" s="80"/>
      <c r="BK23" s="45">
        <v>0</v>
      </c>
      <c r="BL23" s="45" t="s">
        <v>473</v>
      </c>
      <c r="BM23" s="45" t="s">
        <v>90</v>
      </c>
      <c r="BN23" s="44"/>
      <c r="BO23" s="49" t="str">
        <f t="shared" si="4"/>
        <v>0120</v>
      </c>
      <c r="BP23" s="49" t="str">
        <f t="shared" si="5"/>
        <v>0120</v>
      </c>
      <c r="BQ23" s="45">
        <v>1</v>
      </c>
      <c r="BR23" s="44">
        <v>1</v>
      </c>
      <c r="BS23" s="44">
        <v>2</v>
      </c>
      <c r="BT23" s="50" t="s">
        <v>490</v>
      </c>
      <c r="BU23" s="80">
        <v>2</v>
      </c>
      <c r="BV23" s="80">
        <v>7</v>
      </c>
      <c r="BW23" s="44" t="s">
        <v>348</v>
      </c>
      <c r="BX23" s="44">
        <v>2</v>
      </c>
      <c r="BY23" s="44">
        <v>42</v>
      </c>
      <c r="BZ23" s="44">
        <v>10</v>
      </c>
      <c r="CA23" s="43" t="str">
        <f t="shared" si="6"/>
        <v>K00_R_0581</v>
      </c>
      <c r="CB23" s="43">
        <f t="shared" si="7"/>
        <v>1</v>
      </c>
      <c r="CC23" s="55" t="s">
        <v>909</v>
      </c>
      <c r="CD23" s="43" t="str">
        <f t="shared" ca="1" si="8"/>
        <v>17.05.2022</v>
      </c>
      <c r="CE23" s="43" t="str">
        <f t="shared" si="9"/>
        <v>31.12.9999</v>
      </c>
      <c r="CG23" s="44">
        <v>2</v>
      </c>
      <c r="CH23" s="44"/>
      <c r="CI23" s="44">
        <v>1</v>
      </c>
      <c r="CJ23" s="43" t="str">
        <f>IFERROR(IF(INDEX('MM01'!$A:$DK,MATCH('MM01-EXP'!$B23,'MM01'!$B:$B,0),MATCH('MM01-EXP'!CJ$3,'MM01'!$3:$3,0))=0,"",INDEX('MM01'!$A:$DK,MATCH('MM01-EXP'!$B23,'MM01'!$B:$B,0),MATCH('MM01-EXP'!CJ$3,'MM01'!$3:$3,0))),"")</f>
        <v/>
      </c>
      <c r="CK23" s="44">
        <v>12</v>
      </c>
      <c r="CL23" s="44">
        <v>1</v>
      </c>
      <c r="CM23" s="50" t="s">
        <v>223</v>
      </c>
      <c r="CN23" s="50" t="s">
        <v>902</v>
      </c>
      <c r="CO23" s="43" t="str">
        <f>IFERROR(IF(INDEX('MM01'!$A:$DK,MATCH('MM01-EXP'!$B23,'MM01'!$B:$B,0),MATCH('MM01-EXP'!CO$3,'MM01'!$3:$3,0))=0,"",INDEX('MM01'!$A:$DK,MATCH('MM01-EXP'!$B23,'MM01'!$B:$B,0),MATCH('MM01-EXP'!CO$3,'MM01'!$3:$3,0))),"")</f>
        <v/>
      </c>
      <c r="CP23" s="43" t="str">
        <f>IFERROR(IF(INDEX('MM01'!$A:$DK,MATCH('MM01-EXP'!$B23,'MM01'!$B:$B,0),MATCH('MM01-EXP'!CP$3,'MM01'!$3:$3,0))=0,"",INDEX('MM01'!$A:$DK,MATCH('MM01-EXP'!$B23,'MM01'!$B:$B,0),MATCH('MM01-EXP'!CP$3,'MM01'!$3:$3,0))),"")</f>
        <v/>
      </c>
      <c r="CQ23" s="60">
        <v>1</v>
      </c>
      <c r="CR23" s="44"/>
      <c r="CS23" s="44">
        <v>1</v>
      </c>
      <c r="CT23" s="44">
        <v>0</v>
      </c>
      <c r="CU23" s="44" t="s">
        <v>913</v>
      </c>
      <c r="CV23" s="45">
        <v>0</v>
      </c>
      <c r="CW23" s="43" t="str">
        <f>IFERROR(IF(INDEX('MM01'!$A:$DK,MATCH('MM01-EXP'!$B23,'MM01'!$B:$B,0),MATCH('MM01-EXP'!CW$3,'MM01'!$3:$3,0))=0,"",INDEX('MM01'!$A:$DK,MATCH('MM01-EXP'!$B23,'MM01'!$B:$B,0),MATCH('MM01-EXP'!CW$3,'MM01'!$3:$3,0))),"")</f>
        <v/>
      </c>
      <c r="CX23" s="65"/>
    </row>
    <row r="24" spans="1:102" x14ac:dyDescent="0.2">
      <c r="A24" s="7" t="str">
        <f t="shared" si="0"/>
        <v>Execução 20</v>
      </c>
      <c r="B24" s="85"/>
      <c r="C24" s="43" t="str">
        <f t="shared" si="1"/>
        <v/>
      </c>
      <c r="D24" s="43" t="str">
        <f>IF(B24&lt;&gt;"",SUBSTITUTE(VLOOKUP(B24,'MM01-BOB'!B:C,2,0),"BOBINA","TIRA"),"")</f>
        <v/>
      </c>
      <c r="E24" s="43" t="str">
        <f>IFERROR(IF(INDEX(Estrutura_P01[#All],MATCH($D24,Estrutura_P01[[#All],[txtMAKT-MAKTX]],0),MATCH(E$3,Estrutura_P01[#Headers],0))=0,"",INDEX(Estrutura_P01[#All],MATCH($D24,Estrutura_P01[[#All],[txtMAKT-MAKTX]],0),MATCH(E$3,Estrutura_P01[#Headers],0))),"")</f>
        <v/>
      </c>
      <c r="F24" s="44" t="s">
        <v>100</v>
      </c>
      <c r="G24" s="85" t="s">
        <v>4</v>
      </c>
      <c r="H24" s="86" t="s">
        <v>15</v>
      </c>
      <c r="I24" s="49" t="str">
        <f t="shared" si="2"/>
        <v>0581</v>
      </c>
      <c r="J24" s="86" t="s">
        <v>24</v>
      </c>
      <c r="K24" s="86"/>
      <c r="M24" s="45"/>
      <c r="N24" s="45"/>
      <c r="O24" s="45"/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/>
      <c r="AF24" s="45"/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3" t="str">
        <f>IFERROR(IF(INDEX('MM01'!$A:$DK,MATCH('MM01-EXP'!$B24,'MM01'!$B:$B,0),MATCH('MM01-EXP'!AO$3,'MM01'!$3:$3,0))=0,"",INDEX('MM01'!$A:$DK,MATCH('MM01-EXP'!$B24,'MM01'!$B:$B,0),MATCH('MM01-EXP'!AO$3,'MM01'!$3:$3,0))),"")</f>
        <v/>
      </c>
      <c r="AP24" s="43" t="str">
        <f>IFERROR(IF(INDEX('MM01'!$A:$DK,MATCH('MM01-EXP'!$B24,'MM01'!$B:$B,0),MATCH('MM01-EXP'!AP$3,'MM01'!$3:$3,0))=0,"",INDEX('MM01'!$A:$DK,MATCH('MM01-EXP'!$B24,'MM01'!$B:$B,0),MATCH('MM01-EXP'!AP$3,'MM01'!$3:$3,0))),"")</f>
        <v/>
      </c>
      <c r="AQ24" s="43" t="str">
        <f>IFERROR(IF(INDEX('MM01'!$A:$DK,MATCH('MM01-EXP'!$B24,'MM01'!$B:$B,0),MATCH('MM01-EXP'!AQ$3,'MM01'!$3:$3,0))=0,"",INDEX('MM01'!$A:$DK,MATCH('MM01-EXP'!$B24,'MM01'!$B:$B,0),MATCH('MM01-EXP'!AQ$3,'MM01'!$3:$3,0))),"")</f>
        <v/>
      </c>
      <c r="AR24" s="43" t="str">
        <f>IFERROR(IF(INDEX('MM01'!$A:$DK,MATCH('MM01-EXP'!$B24,'MM01'!$B:$B,0),MATCH('MM01-EXP'!AR$3,'MM01'!$3:$3,0))=0,"",INDEX('MM01'!$A:$DK,MATCH('MM01-EXP'!$B24,'MM01'!$B:$B,0),MATCH('MM01-EXP'!AR$3,'MM01'!$3:$3,0))),"")</f>
        <v/>
      </c>
      <c r="AS24" s="43" t="str">
        <f>IFERROR(IF(INDEX('MM01'!$A:$DK,MATCH('MM01-EXP'!$B24,'MM01'!$B:$B,0),MATCH('MM01-EXP'!AS$3,'MM01'!$3:$3,0))=0,"",INDEX('MM01'!$A:$DK,MATCH('MM01-EXP'!$B24,'MM01'!$B:$B,0),MATCH('MM01-EXP'!AS$3,'MM01'!$3:$3,0))),"")</f>
        <v/>
      </c>
      <c r="AT24" s="43" t="str">
        <f>IFERROR(IF(INDEX('MM01'!$A:$DK,MATCH('MM01-EXP'!$B24,'MM01'!$B:$B,0),MATCH('MM01-EXP'!AT$3,'MM01'!$3:$3,0))=0,"",INDEX('MM01'!$A:$DK,MATCH('MM01-EXP'!$B24,'MM01'!$B:$B,0),MATCH('MM01-EXP'!AT$3,'MM01'!$3:$3,0))),"")</f>
        <v/>
      </c>
      <c r="AU24" s="43" t="str">
        <f>IFERROR(IF(INDEX('MM01'!$A:$DK,MATCH('MM01-EXP'!$B24,'MM01'!$B:$B,0),MATCH('MM01-EXP'!AU$3,'MM01'!$3:$3,0))=0,"",INDEX('MM01'!$A:$DK,MATCH('MM01-EXP'!$B24,'MM01'!$B:$B,0),MATCH('MM01-EXP'!AU$3,'MM01'!$3:$3,0))),"")</f>
        <v/>
      </c>
      <c r="AV24" s="43" t="str">
        <f>IFERROR(IF(INDEX('MM01'!$A:$DK,MATCH('MM01-EXP'!$B24,'MM01'!$B:$B,0),MATCH('MM01-EXP'!AV$3,'MM01'!$3:$3,0))=0,"",INDEX('MM01'!$A:$DK,MATCH('MM01-EXP'!$B24,'MM01'!$B:$B,0),MATCH('MM01-EXP'!AV$3,'MM01'!$3:$3,0))),"")</f>
        <v/>
      </c>
      <c r="AW24" s="44">
        <v>0</v>
      </c>
      <c r="AX24" s="44">
        <v>1</v>
      </c>
      <c r="AY24" s="44">
        <v>0</v>
      </c>
      <c r="AZ24" s="44" t="s">
        <v>348</v>
      </c>
      <c r="BA24" s="50" t="s">
        <v>195</v>
      </c>
      <c r="BB24" s="50" t="s">
        <v>195</v>
      </c>
      <c r="BC24" s="43" t="str">
        <f>IFERROR(IF(INDEX(Estrutura_P01[#All],MATCH($D24,Estrutura_P01[[#All],[txtMAKT-MAKTX]],0),MATCH(BC$3,Estrutura_P01[#Headers],0))=0,"",INDEX(Estrutura_P01[#All],MATCH($D24,Estrutura_P01[[#All],[txtMAKT-MAKTX]],0),MATCH(BC$3,Estrutura_P01[#Headers],0))),"")</f>
        <v/>
      </c>
      <c r="BD24" s="44"/>
      <c r="BE24" s="50">
        <v>0</v>
      </c>
      <c r="BF24" s="45" t="s">
        <v>378</v>
      </c>
      <c r="BG24" s="45" t="s">
        <v>84</v>
      </c>
      <c r="BH24" s="43" t="str">
        <f t="shared" si="3"/>
        <v>581</v>
      </c>
      <c r="BI24" s="45" t="s">
        <v>426</v>
      </c>
      <c r="BJ24" s="80"/>
      <c r="BK24" s="45">
        <v>0</v>
      </c>
      <c r="BL24" s="45" t="s">
        <v>473</v>
      </c>
      <c r="BM24" s="45" t="s">
        <v>90</v>
      </c>
      <c r="BN24" s="44"/>
      <c r="BO24" s="49" t="str">
        <f t="shared" si="4"/>
        <v>0120</v>
      </c>
      <c r="BP24" s="49" t="str">
        <f t="shared" si="5"/>
        <v>0120</v>
      </c>
      <c r="BQ24" s="45">
        <v>1</v>
      </c>
      <c r="BR24" s="44">
        <v>1</v>
      </c>
      <c r="BS24" s="44">
        <v>2</v>
      </c>
      <c r="BT24" s="50" t="s">
        <v>490</v>
      </c>
      <c r="BU24" s="80">
        <v>2</v>
      </c>
      <c r="BV24" s="80">
        <v>7</v>
      </c>
      <c r="BW24" s="44" t="s">
        <v>348</v>
      </c>
      <c r="BX24" s="44">
        <v>2</v>
      </c>
      <c r="BY24" s="44">
        <v>42</v>
      </c>
      <c r="BZ24" s="44">
        <v>10</v>
      </c>
      <c r="CA24" s="43" t="str">
        <f t="shared" si="6"/>
        <v>K00_R_0581</v>
      </c>
      <c r="CB24" s="43">
        <f t="shared" si="7"/>
        <v>1</v>
      </c>
      <c r="CC24" s="55" t="s">
        <v>909</v>
      </c>
      <c r="CD24" s="43" t="str">
        <f t="shared" ca="1" si="8"/>
        <v>17.05.2022</v>
      </c>
      <c r="CE24" s="43" t="str">
        <f t="shared" si="9"/>
        <v>31.12.9999</v>
      </c>
      <c r="CG24" s="44">
        <v>2</v>
      </c>
      <c r="CH24" s="44"/>
      <c r="CI24" s="44">
        <v>1</v>
      </c>
      <c r="CJ24" s="43" t="str">
        <f>IFERROR(IF(INDEX('MM01'!$A:$DK,MATCH('MM01-EXP'!$B24,'MM01'!$B:$B,0),MATCH('MM01-EXP'!CJ$3,'MM01'!$3:$3,0))=0,"",INDEX('MM01'!$A:$DK,MATCH('MM01-EXP'!$B24,'MM01'!$B:$B,0),MATCH('MM01-EXP'!CJ$3,'MM01'!$3:$3,0))),"")</f>
        <v/>
      </c>
      <c r="CK24" s="44">
        <v>12</v>
      </c>
      <c r="CL24" s="44">
        <v>1</v>
      </c>
      <c r="CM24" s="50" t="s">
        <v>223</v>
      </c>
      <c r="CN24" s="50" t="s">
        <v>902</v>
      </c>
      <c r="CO24" s="43" t="str">
        <f>IFERROR(IF(INDEX('MM01'!$A:$DK,MATCH('MM01-EXP'!$B24,'MM01'!$B:$B,0),MATCH('MM01-EXP'!CO$3,'MM01'!$3:$3,0))=0,"",INDEX('MM01'!$A:$DK,MATCH('MM01-EXP'!$B24,'MM01'!$B:$B,0),MATCH('MM01-EXP'!CO$3,'MM01'!$3:$3,0))),"")</f>
        <v/>
      </c>
      <c r="CP24" s="43" t="str">
        <f>IFERROR(IF(INDEX('MM01'!$A:$DK,MATCH('MM01-EXP'!$B24,'MM01'!$B:$B,0),MATCH('MM01-EXP'!CP$3,'MM01'!$3:$3,0))=0,"",INDEX('MM01'!$A:$DK,MATCH('MM01-EXP'!$B24,'MM01'!$B:$B,0),MATCH('MM01-EXP'!CP$3,'MM01'!$3:$3,0))),"")</f>
        <v/>
      </c>
      <c r="CQ24" s="60">
        <v>1</v>
      </c>
      <c r="CR24" s="44"/>
      <c r="CS24" s="44">
        <v>1</v>
      </c>
      <c r="CT24" s="44">
        <v>0</v>
      </c>
      <c r="CU24" s="44" t="s">
        <v>913</v>
      </c>
      <c r="CV24" s="45">
        <v>0</v>
      </c>
      <c r="CW24" s="43" t="str">
        <f>IFERROR(IF(INDEX('MM01'!$A:$DK,MATCH('MM01-EXP'!$B24,'MM01'!$B:$B,0),MATCH('MM01-EXP'!CW$3,'MM01'!$3:$3,0))=0,"",INDEX('MM01'!$A:$DK,MATCH('MM01-EXP'!$B24,'MM01'!$B:$B,0),MATCH('MM01-EXP'!CW$3,'MM01'!$3:$3,0))),"")</f>
        <v/>
      </c>
      <c r="CX24" s="65"/>
    </row>
    <row r="25" spans="1:102" x14ac:dyDescent="0.2">
      <c r="A25" s="7" t="str">
        <f t="shared" si="0"/>
        <v>Execução 21</v>
      </c>
      <c r="B25" s="85"/>
      <c r="C25" s="43" t="str">
        <f t="shared" si="1"/>
        <v/>
      </c>
      <c r="D25" s="43" t="str">
        <f>IF(B25&lt;&gt;"",SUBSTITUTE(VLOOKUP(B25,'MM01-BOB'!B:C,2,0),"BOBINA","TIRA"),"")</f>
        <v/>
      </c>
      <c r="E25" s="43" t="str">
        <f>IFERROR(IF(INDEX(Estrutura_P01[#All],MATCH($D25,Estrutura_P01[[#All],[txtMAKT-MAKTX]],0),MATCH(E$3,Estrutura_P01[#Headers],0))=0,"",INDEX(Estrutura_P01[#All],MATCH($D25,Estrutura_P01[[#All],[txtMAKT-MAKTX]],0),MATCH(E$3,Estrutura_P01[#Headers],0))),"")</f>
        <v/>
      </c>
      <c r="F25" s="44" t="s">
        <v>100</v>
      </c>
      <c r="G25" s="85" t="s">
        <v>4</v>
      </c>
      <c r="H25" s="86" t="s">
        <v>15</v>
      </c>
      <c r="I25" s="49" t="str">
        <f t="shared" si="2"/>
        <v>0581</v>
      </c>
      <c r="J25" s="86" t="s">
        <v>24</v>
      </c>
      <c r="K25" s="86"/>
      <c r="M25" s="45"/>
      <c r="N25" s="45"/>
      <c r="O25" s="45"/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/>
      <c r="AF25" s="45"/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3" t="str">
        <f>IFERROR(IF(INDEX('MM01'!$A:$DK,MATCH('MM01-EXP'!$B25,'MM01'!$B:$B,0),MATCH('MM01-EXP'!AO$3,'MM01'!$3:$3,0))=0,"",INDEX('MM01'!$A:$DK,MATCH('MM01-EXP'!$B25,'MM01'!$B:$B,0),MATCH('MM01-EXP'!AO$3,'MM01'!$3:$3,0))),"")</f>
        <v/>
      </c>
      <c r="AP25" s="43" t="str">
        <f>IFERROR(IF(INDEX('MM01'!$A:$DK,MATCH('MM01-EXP'!$B25,'MM01'!$B:$B,0),MATCH('MM01-EXP'!AP$3,'MM01'!$3:$3,0))=0,"",INDEX('MM01'!$A:$DK,MATCH('MM01-EXP'!$B25,'MM01'!$B:$B,0),MATCH('MM01-EXP'!AP$3,'MM01'!$3:$3,0))),"")</f>
        <v/>
      </c>
      <c r="AQ25" s="43" t="str">
        <f>IFERROR(IF(INDEX('MM01'!$A:$DK,MATCH('MM01-EXP'!$B25,'MM01'!$B:$B,0),MATCH('MM01-EXP'!AQ$3,'MM01'!$3:$3,0))=0,"",INDEX('MM01'!$A:$DK,MATCH('MM01-EXP'!$B25,'MM01'!$B:$B,0),MATCH('MM01-EXP'!AQ$3,'MM01'!$3:$3,0))),"")</f>
        <v/>
      </c>
      <c r="AR25" s="43" t="str">
        <f>IFERROR(IF(INDEX('MM01'!$A:$DK,MATCH('MM01-EXP'!$B25,'MM01'!$B:$B,0),MATCH('MM01-EXP'!AR$3,'MM01'!$3:$3,0))=0,"",INDEX('MM01'!$A:$DK,MATCH('MM01-EXP'!$B25,'MM01'!$B:$B,0),MATCH('MM01-EXP'!AR$3,'MM01'!$3:$3,0))),"")</f>
        <v/>
      </c>
      <c r="AS25" s="43" t="str">
        <f>IFERROR(IF(INDEX('MM01'!$A:$DK,MATCH('MM01-EXP'!$B25,'MM01'!$B:$B,0),MATCH('MM01-EXP'!AS$3,'MM01'!$3:$3,0))=0,"",INDEX('MM01'!$A:$DK,MATCH('MM01-EXP'!$B25,'MM01'!$B:$B,0),MATCH('MM01-EXP'!AS$3,'MM01'!$3:$3,0))),"")</f>
        <v/>
      </c>
      <c r="AT25" s="43" t="str">
        <f>IFERROR(IF(INDEX('MM01'!$A:$DK,MATCH('MM01-EXP'!$B25,'MM01'!$B:$B,0),MATCH('MM01-EXP'!AT$3,'MM01'!$3:$3,0))=0,"",INDEX('MM01'!$A:$DK,MATCH('MM01-EXP'!$B25,'MM01'!$B:$B,0),MATCH('MM01-EXP'!AT$3,'MM01'!$3:$3,0))),"")</f>
        <v/>
      </c>
      <c r="AU25" s="43" t="str">
        <f>IFERROR(IF(INDEX('MM01'!$A:$DK,MATCH('MM01-EXP'!$B25,'MM01'!$B:$B,0),MATCH('MM01-EXP'!AU$3,'MM01'!$3:$3,0))=0,"",INDEX('MM01'!$A:$DK,MATCH('MM01-EXP'!$B25,'MM01'!$B:$B,0),MATCH('MM01-EXP'!AU$3,'MM01'!$3:$3,0))),"")</f>
        <v/>
      </c>
      <c r="AV25" s="43" t="str">
        <f>IFERROR(IF(INDEX('MM01'!$A:$DK,MATCH('MM01-EXP'!$B25,'MM01'!$B:$B,0),MATCH('MM01-EXP'!AV$3,'MM01'!$3:$3,0))=0,"",INDEX('MM01'!$A:$DK,MATCH('MM01-EXP'!$B25,'MM01'!$B:$B,0),MATCH('MM01-EXP'!AV$3,'MM01'!$3:$3,0))),"")</f>
        <v/>
      </c>
      <c r="AW25" s="44">
        <v>0</v>
      </c>
      <c r="AX25" s="44">
        <v>1</v>
      </c>
      <c r="AY25" s="44">
        <v>0</v>
      </c>
      <c r="AZ25" s="44" t="s">
        <v>348</v>
      </c>
      <c r="BA25" s="50" t="s">
        <v>195</v>
      </c>
      <c r="BB25" s="50" t="s">
        <v>195</v>
      </c>
      <c r="BC25" s="43" t="str">
        <f>IFERROR(IF(INDEX(Estrutura_P01[#All],MATCH($D25,Estrutura_P01[[#All],[txtMAKT-MAKTX]],0),MATCH(BC$3,Estrutura_P01[#Headers],0))=0,"",INDEX(Estrutura_P01[#All],MATCH($D25,Estrutura_P01[[#All],[txtMAKT-MAKTX]],0),MATCH(BC$3,Estrutura_P01[#Headers],0))),"")</f>
        <v/>
      </c>
      <c r="BD25" s="44"/>
      <c r="BE25" s="50">
        <v>0</v>
      </c>
      <c r="BF25" s="45" t="s">
        <v>378</v>
      </c>
      <c r="BG25" s="45" t="s">
        <v>84</v>
      </c>
      <c r="BH25" s="43" t="str">
        <f t="shared" si="3"/>
        <v>581</v>
      </c>
      <c r="BI25" s="45" t="s">
        <v>426</v>
      </c>
      <c r="BJ25" s="80"/>
      <c r="BK25" s="45">
        <v>0</v>
      </c>
      <c r="BL25" s="45" t="s">
        <v>473</v>
      </c>
      <c r="BM25" s="45" t="s">
        <v>90</v>
      </c>
      <c r="BN25" s="44"/>
      <c r="BO25" s="49" t="str">
        <f t="shared" si="4"/>
        <v>0120</v>
      </c>
      <c r="BP25" s="49" t="str">
        <f t="shared" si="5"/>
        <v>0120</v>
      </c>
      <c r="BQ25" s="45">
        <v>1</v>
      </c>
      <c r="BR25" s="44">
        <v>1</v>
      </c>
      <c r="BS25" s="44">
        <v>2</v>
      </c>
      <c r="BT25" s="50" t="s">
        <v>490</v>
      </c>
      <c r="BU25" s="80">
        <v>2</v>
      </c>
      <c r="BV25" s="80">
        <v>7</v>
      </c>
      <c r="BW25" s="44" t="s">
        <v>348</v>
      </c>
      <c r="BX25" s="44">
        <v>2</v>
      </c>
      <c r="BY25" s="44">
        <v>42</v>
      </c>
      <c r="BZ25" s="44">
        <v>10</v>
      </c>
      <c r="CA25" s="43" t="str">
        <f t="shared" si="6"/>
        <v>K00_R_0581</v>
      </c>
      <c r="CB25" s="43">
        <f t="shared" si="7"/>
        <v>1</v>
      </c>
      <c r="CC25" s="55" t="s">
        <v>909</v>
      </c>
      <c r="CD25" s="43" t="str">
        <f t="shared" ca="1" si="8"/>
        <v>17.05.2022</v>
      </c>
      <c r="CE25" s="43" t="str">
        <f t="shared" si="9"/>
        <v>31.12.9999</v>
      </c>
      <c r="CG25" s="44">
        <v>2</v>
      </c>
      <c r="CH25" s="44"/>
      <c r="CI25" s="44">
        <v>1</v>
      </c>
      <c r="CJ25" s="43" t="str">
        <f>IFERROR(IF(INDEX('MM01'!$A:$DK,MATCH('MM01-EXP'!$B25,'MM01'!$B:$B,0),MATCH('MM01-EXP'!CJ$3,'MM01'!$3:$3,0))=0,"",INDEX('MM01'!$A:$DK,MATCH('MM01-EXP'!$B25,'MM01'!$B:$B,0),MATCH('MM01-EXP'!CJ$3,'MM01'!$3:$3,0))),"")</f>
        <v/>
      </c>
      <c r="CK25" s="44">
        <v>12</v>
      </c>
      <c r="CL25" s="44">
        <v>1</v>
      </c>
      <c r="CM25" s="50" t="s">
        <v>223</v>
      </c>
      <c r="CN25" s="50" t="s">
        <v>902</v>
      </c>
      <c r="CO25" s="43" t="str">
        <f>IFERROR(IF(INDEX('MM01'!$A:$DK,MATCH('MM01-EXP'!$B25,'MM01'!$B:$B,0),MATCH('MM01-EXP'!CO$3,'MM01'!$3:$3,0))=0,"",INDEX('MM01'!$A:$DK,MATCH('MM01-EXP'!$B25,'MM01'!$B:$B,0),MATCH('MM01-EXP'!CO$3,'MM01'!$3:$3,0))),"")</f>
        <v/>
      </c>
      <c r="CP25" s="43" t="str">
        <f>IFERROR(IF(INDEX('MM01'!$A:$DK,MATCH('MM01-EXP'!$B25,'MM01'!$B:$B,0),MATCH('MM01-EXP'!CP$3,'MM01'!$3:$3,0))=0,"",INDEX('MM01'!$A:$DK,MATCH('MM01-EXP'!$B25,'MM01'!$B:$B,0),MATCH('MM01-EXP'!CP$3,'MM01'!$3:$3,0))),"")</f>
        <v/>
      </c>
      <c r="CQ25" s="60">
        <v>1</v>
      </c>
      <c r="CR25" s="44"/>
      <c r="CS25" s="44">
        <v>1</v>
      </c>
      <c r="CT25" s="44">
        <v>0</v>
      </c>
      <c r="CU25" s="44" t="s">
        <v>913</v>
      </c>
      <c r="CV25" s="45">
        <v>0</v>
      </c>
      <c r="CW25" s="43" t="str">
        <f>IFERROR(IF(INDEX('MM01'!$A:$DK,MATCH('MM01-EXP'!$B25,'MM01'!$B:$B,0),MATCH('MM01-EXP'!CW$3,'MM01'!$3:$3,0))=0,"",INDEX('MM01'!$A:$DK,MATCH('MM01-EXP'!$B25,'MM01'!$B:$B,0),MATCH('MM01-EXP'!CW$3,'MM01'!$3:$3,0))),"")</f>
        <v/>
      </c>
      <c r="CX25" s="65"/>
    </row>
    <row r="26" spans="1:102" x14ac:dyDescent="0.2">
      <c r="A26" s="7" t="str">
        <f t="shared" si="0"/>
        <v>Execução 22</v>
      </c>
      <c r="B26" s="85"/>
      <c r="C26" s="43" t="str">
        <f t="shared" si="1"/>
        <v/>
      </c>
      <c r="D26" s="43" t="str">
        <f>IF(B26&lt;&gt;"",SUBSTITUTE(VLOOKUP(B26,'MM01-BOB'!B:C,2,0),"BOBINA","TIRA"),"")</f>
        <v/>
      </c>
      <c r="E26" s="43" t="str">
        <f>IFERROR(IF(INDEX(Estrutura_P01[#All],MATCH($D26,Estrutura_P01[[#All],[txtMAKT-MAKTX]],0),MATCH(E$3,Estrutura_P01[#Headers],0))=0,"",INDEX(Estrutura_P01[#All],MATCH($D26,Estrutura_P01[[#All],[txtMAKT-MAKTX]],0),MATCH(E$3,Estrutura_P01[#Headers],0))),"")</f>
        <v/>
      </c>
      <c r="F26" s="44" t="s">
        <v>100</v>
      </c>
      <c r="G26" s="85" t="s">
        <v>4</v>
      </c>
      <c r="H26" s="86" t="s">
        <v>15</v>
      </c>
      <c r="I26" s="49" t="str">
        <f t="shared" si="2"/>
        <v>0581</v>
      </c>
      <c r="J26" s="86" t="s">
        <v>24</v>
      </c>
      <c r="K26" s="86"/>
      <c r="M26" s="45"/>
      <c r="N26" s="45"/>
      <c r="O26" s="45"/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/>
      <c r="AF26" s="45"/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3" t="str">
        <f>IFERROR(IF(INDEX('MM01'!$A:$DK,MATCH('MM01-EXP'!$B26,'MM01'!$B:$B,0),MATCH('MM01-EXP'!AO$3,'MM01'!$3:$3,0))=0,"",INDEX('MM01'!$A:$DK,MATCH('MM01-EXP'!$B26,'MM01'!$B:$B,0),MATCH('MM01-EXP'!AO$3,'MM01'!$3:$3,0))),"")</f>
        <v/>
      </c>
      <c r="AP26" s="43" t="str">
        <f>IFERROR(IF(INDEX('MM01'!$A:$DK,MATCH('MM01-EXP'!$B26,'MM01'!$B:$B,0),MATCH('MM01-EXP'!AP$3,'MM01'!$3:$3,0))=0,"",INDEX('MM01'!$A:$DK,MATCH('MM01-EXP'!$B26,'MM01'!$B:$B,0),MATCH('MM01-EXP'!AP$3,'MM01'!$3:$3,0))),"")</f>
        <v/>
      </c>
      <c r="AQ26" s="43" t="str">
        <f>IFERROR(IF(INDEX('MM01'!$A:$DK,MATCH('MM01-EXP'!$B26,'MM01'!$B:$B,0),MATCH('MM01-EXP'!AQ$3,'MM01'!$3:$3,0))=0,"",INDEX('MM01'!$A:$DK,MATCH('MM01-EXP'!$B26,'MM01'!$B:$B,0),MATCH('MM01-EXP'!AQ$3,'MM01'!$3:$3,0))),"")</f>
        <v/>
      </c>
      <c r="AR26" s="43" t="str">
        <f>IFERROR(IF(INDEX('MM01'!$A:$DK,MATCH('MM01-EXP'!$B26,'MM01'!$B:$B,0),MATCH('MM01-EXP'!AR$3,'MM01'!$3:$3,0))=0,"",INDEX('MM01'!$A:$DK,MATCH('MM01-EXP'!$B26,'MM01'!$B:$B,0),MATCH('MM01-EXP'!AR$3,'MM01'!$3:$3,0))),"")</f>
        <v/>
      </c>
      <c r="AS26" s="43" t="str">
        <f>IFERROR(IF(INDEX('MM01'!$A:$DK,MATCH('MM01-EXP'!$B26,'MM01'!$B:$B,0),MATCH('MM01-EXP'!AS$3,'MM01'!$3:$3,0))=0,"",INDEX('MM01'!$A:$DK,MATCH('MM01-EXP'!$B26,'MM01'!$B:$B,0),MATCH('MM01-EXP'!AS$3,'MM01'!$3:$3,0))),"")</f>
        <v/>
      </c>
      <c r="AT26" s="43" t="str">
        <f>IFERROR(IF(INDEX('MM01'!$A:$DK,MATCH('MM01-EXP'!$B26,'MM01'!$B:$B,0),MATCH('MM01-EXP'!AT$3,'MM01'!$3:$3,0))=0,"",INDEX('MM01'!$A:$DK,MATCH('MM01-EXP'!$B26,'MM01'!$B:$B,0),MATCH('MM01-EXP'!AT$3,'MM01'!$3:$3,0))),"")</f>
        <v/>
      </c>
      <c r="AU26" s="43" t="str">
        <f>IFERROR(IF(INDEX('MM01'!$A:$DK,MATCH('MM01-EXP'!$B26,'MM01'!$B:$B,0),MATCH('MM01-EXP'!AU$3,'MM01'!$3:$3,0))=0,"",INDEX('MM01'!$A:$DK,MATCH('MM01-EXP'!$B26,'MM01'!$B:$B,0),MATCH('MM01-EXP'!AU$3,'MM01'!$3:$3,0))),"")</f>
        <v/>
      </c>
      <c r="AV26" s="43" t="str">
        <f>IFERROR(IF(INDEX('MM01'!$A:$DK,MATCH('MM01-EXP'!$B26,'MM01'!$B:$B,0),MATCH('MM01-EXP'!AV$3,'MM01'!$3:$3,0))=0,"",INDEX('MM01'!$A:$DK,MATCH('MM01-EXP'!$B26,'MM01'!$B:$B,0),MATCH('MM01-EXP'!AV$3,'MM01'!$3:$3,0))),"")</f>
        <v/>
      </c>
      <c r="AW26" s="44">
        <v>0</v>
      </c>
      <c r="AX26" s="44">
        <v>1</v>
      </c>
      <c r="AY26" s="44">
        <v>0</v>
      </c>
      <c r="AZ26" s="44" t="s">
        <v>348</v>
      </c>
      <c r="BA26" s="50" t="s">
        <v>195</v>
      </c>
      <c r="BB26" s="50" t="s">
        <v>195</v>
      </c>
      <c r="BC26" s="43" t="str">
        <f>IFERROR(IF(INDEX(Estrutura_P01[#All],MATCH($D26,Estrutura_P01[[#All],[txtMAKT-MAKTX]],0),MATCH(BC$3,Estrutura_P01[#Headers],0))=0,"",INDEX(Estrutura_P01[#All],MATCH($D26,Estrutura_P01[[#All],[txtMAKT-MAKTX]],0),MATCH(BC$3,Estrutura_P01[#Headers],0))),"")</f>
        <v/>
      </c>
      <c r="BD26" s="44"/>
      <c r="BE26" s="50">
        <v>0</v>
      </c>
      <c r="BF26" s="45" t="s">
        <v>378</v>
      </c>
      <c r="BG26" s="45" t="s">
        <v>84</v>
      </c>
      <c r="BH26" s="43" t="str">
        <f t="shared" si="3"/>
        <v>581</v>
      </c>
      <c r="BI26" s="45" t="s">
        <v>426</v>
      </c>
      <c r="BJ26" s="80"/>
      <c r="BK26" s="45">
        <v>0</v>
      </c>
      <c r="BL26" s="45" t="s">
        <v>473</v>
      </c>
      <c r="BM26" s="45" t="s">
        <v>90</v>
      </c>
      <c r="BN26" s="44"/>
      <c r="BO26" s="49" t="str">
        <f t="shared" si="4"/>
        <v>0120</v>
      </c>
      <c r="BP26" s="49" t="str">
        <f t="shared" si="5"/>
        <v>0120</v>
      </c>
      <c r="BQ26" s="45">
        <v>1</v>
      </c>
      <c r="BR26" s="44">
        <v>1</v>
      </c>
      <c r="BS26" s="44">
        <v>2</v>
      </c>
      <c r="BT26" s="50" t="s">
        <v>490</v>
      </c>
      <c r="BU26" s="80">
        <v>2</v>
      </c>
      <c r="BV26" s="80">
        <v>7</v>
      </c>
      <c r="BW26" s="44" t="s">
        <v>348</v>
      </c>
      <c r="BX26" s="44">
        <v>2</v>
      </c>
      <c r="BY26" s="44">
        <v>42</v>
      </c>
      <c r="BZ26" s="44">
        <v>10</v>
      </c>
      <c r="CA26" s="43" t="str">
        <f t="shared" si="6"/>
        <v>K00_R_0581</v>
      </c>
      <c r="CB26" s="43">
        <f t="shared" si="7"/>
        <v>1</v>
      </c>
      <c r="CC26" s="55" t="s">
        <v>909</v>
      </c>
      <c r="CD26" s="43" t="str">
        <f t="shared" ca="1" si="8"/>
        <v>17.05.2022</v>
      </c>
      <c r="CE26" s="43" t="str">
        <f t="shared" si="9"/>
        <v>31.12.9999</v>
      </c>
      <c r="CG26" s="44">
        <v>2</v>
      </c>
      <c r="CH26" s="44"/>
      <c r="CI26" s="44">
        <v>1</v>
      </c>
      <c r="CJ26" s="43" t="str">
        <f>IFERROR(IF(INDEX('MM01'!$A:$DK,MATCH('MM01-EXP'!$B26,'MM01'!$B:$B,0),MATCH('MM01-EXP'!CJ$3,'MM01'!$3:$3,0))=0,"",INDEX('MM01'!$A:$DK,MATCH('MM01-EXP'!$B26,'MM01'!$B:$B,0),MATCH('MM01-EXP'!CJ$3,'MM01'!$3:$3,0))),"")</f>
        <v/>
      </c>
      <c r="CK26" s="44">
        <v>12</v>
      </c>
      <c r="CL26" s="44">
        <v>1</v>
      </c>
      <c r="CM26" s="50" t="s">
        <v>223</v>
      </c>
      <c r="CN26" s="50" t="s">
        <v>902</v>
      </c>
      <c r="CO26" s="43" t="str">
        <f>IFERROR(IF(INDEX('MM01'!$A:$DK,MATCH('MM01-EXP'!$B26,'MM01'!$B:$B,0),MATCH('MM01-EXP'!CO$3,'MM01'!$3:$3,0))=0,"",INDEX('MM01'!$A:$DK,MATCH('MM01-EXP'!$B26,'MM01'!$B:$B,0),MATCH('MM01-EXP'!CO$3,'MM01'!$3:$3,0))),"")</f>
        <v/>
      </c>
      <c r="CP26" s="43" t="str">
        <f>IFERROR(IF(INDEX('MM01'!$A:$DK,MATCH('MM01-EXP'!$B26,'MM01'!$B:$B,0),MATCH('MM01-EXP'!CP$3,'MM01'!$3:$3,0))=0,"",INDEX('MM01'!$A:$DK,MATCH('MM01-EXP'!$B26,'MM01'!$B:$B,0),MATCH('MM01-EXP'!CP$3,'MM01'!$3:$3,0))),"")</f>
        <v/>
      </c>
      <c r="CQ26" s="60">
        <v>1</v>
      </c>
      <c r="CR26" s="44"/>
      <c r="CS26" s="44">
        <v>1</v>
      </c>
      <c r="CT26" s="44">
        <v>0</v>
      </c>
      <c r="CU26" s="44" t="s">
        <v>913</v>
      </c>
      <c r="CV26" s="45">
        <v>0</v>
      </c>
      <c r="CW26" s="43" t="str">
        <f>IFERROR(IF(INDEX('MM01'!$A:$DK,MATCH('MM01-EXP'!$B26,'MM01'!$B:$B,0),MATCH('MM01-EXP'!CW$3,'MM01'!$3:$3,0))=0,"",INDEX('MM01'!$A:$DK,MATCH('MM01-EXP'!$B26,'MM01'!$B:$B,0),MATCH('MM01-EXP'!CW$3,'MM01'!$3:$3,0))),"")</f>
        <v/>
      </c>
      <c r="CX26" s="65"/>
    </row>
    <row r="27" spans="1:102" x14ac:dyDescent="0.2">
      <c r="A27" s="7" t="str">
        <f t="shared" si="0"/>
        <v>Execução 23</v>
      </c>
      <c r="B27" s="85"/>
      <c r="C27" s="43" t="str">
        <f t="shared" si="1"/>
        <v/>
      </c>
      <c r="D27" s="43" t="str">
        <f>IF(B27&lt;&gt;"",SUBSTITUTE(VLOOKUP(B27,'MM01-BOB'!B:C,2,0),"BOBINA","TIRA"),"")</f>
        <v/>
      </c>
      <c r="E27" s="43" t="str">
        <f>IFERROR(IF(INDEX(Estrutura_P01[#All],MATCH($D27,Estrutura_P01[[#All],[txtMAKT-MAKTX]],0),MATCH(E$3,Estrutura_P01[#Headers],0))=0,"",INDEX(Estrutura_P01[#All],MATCH($D27,Estrutura_P01[[#All],[txtMAKT-MAKTX]],0),MATCH(E$3,Estrutura_P01[#Headers],0))),"")</f>
        <v/>
      </c>
      <c r="F27" s="44" t="s">
        <v>100</v>
      </c>
      <c r="G27" s="85" t="s">
        <v>4</v>
      </c>
      <c r="H27" s="86" t="s">
        <v>15</v>
      </c>
      <c r="I27" s="49" t="str">
        <f t="shared" si="2"/>
        <v>0581</v>
      </c>
      <c r="J27" s="86" t="s">
        <v>24</v>
      </c>
      <c r="K27" s="86"/>
      <c r="M27" s="45"/>
      <c r="N27" s="45"/>
      <c r="O27" s="45"/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/>
      <c r="AF27" s="45"/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3" t="str">
        <f>IFERROR(IF(INDEX('MM01'!$A:$DK,MATCH('MM01-EXP'!$B27,'MM01'!$B:$B,0),MATCH('MM01-EXP'!AO$3,'MM01'!$3:$3,0))=0,"",INDEX('MM01'!$A:$DK,MATCH('MM01-EXP'!$B27,'MM01'!$B:$B,0),MATCH('MM01-EXP'!AO$3,'MM01'!$3:$3,0))),"")</f>
        <v/>
      </c>
      <c r="AP27" s="43" t="str">
        <f>IFERROR(IF(INDEX('MM01'!$A:$DK,MATCH('MM01-EXP'!$B27,'MM01'!$B:$B,0),MATCH('MM01-EXP'!AP$3,'MM01'!$3:$3,0))=0,"",INDEX('MM01'!$A:$DK,MATCH('MM01-EXP'!$B27,'MM01'!$B:$B,0),MATCH('MM01-EXP'!AP$3,'MM01'!$3:$3,0))),"")</f>
        <v/>
      </c>
      <c r="AQ27" s="43" t="str">
        <f>IFERROR(IF(INDEX('MM01'!$A:$DK,MATCH('MM01-EXP'!$B27,'MM01'!$B:$B,0),MATCH('MM01-EXP'!AQ$3,'MM01'!$3:$3,0))=0,"",INDEX('MM01'!$A:$DK,MATCH('MM01-EXP'!$B27,'MM01'!$B:$B,0),MATCH('MM01-EXP'!AQ$3,'MM01'!$3:$3,0))),"")</f>
        <v/>
      </c>
      <c r="AR27" s="43" t="str">
        <f>IFERROR(IF(INDEX('MM01'!$A:$DK,MATCH('MM01-EXP'!$B27,'MM01'!$B:$B,0),MATCH('MM01-EXP'!AR$3,'MM01'!$3:$3,0))=0,"",INDEX('MM01'!$A:$DK,MATCH('MM01-EXP'!$B27,'MM01'!$B:$B,0),MATCH('MM01-EXP'!AR$3,'MM01'!$3:$3,0))),"")</f>
        <v/>
      </c>
      <c r="AS27" s="43" t="str">
        <f>IFERROR(IF(INDEX('MM01'!$A:$DK,MATCH('MM01-EXP'!$B27,'MM01'!$B:$B,0),MATCH('MM01-EXP'!AS$3,'MM01'!$3:$3,0))=0,"",INDEX('MM01'!$A:$DK,MATCH('MM01-EXP'!$B27,'MM01'!$B:$B,0),MATCH('MM01-EXP'!AS$3,'MM01'!$3:$3,0))),"")</f>
        <v/>
      </c>
      <c r="AT27" s="43" t="str">
        <f>IFERROR(IF(INDEX('MM01'!$A:$DK,MATCH('MM01-EXP'!$B27,'MM01'!$B:$B,0),MATCH('MM01-EXP'!AT$3,'MM01'!$3:$3,0))=0,"",INDEX('MM01'!$A:$DK,MATCH('MM01-EXP'!$B27,'MM01'!$B:$B,0),MATCH('MM01-EXP'!AT$3,'MM01'!$3:$3,0))),"")</f>
        <v/>
      </c>
      <c r="AU27" s="43" t="str">
        <f>IFERROR(IF(INDEX('MM01'!$A:$DK,MATCH('MM01-EXP'!$B27,'MM01'!$B:$B,0),MATCH('MM01-EXP'!AU$3,'MM01'!$3:$3,0))=0,"",INDEX('MM01'!$A:$DK,MATCH('MM01-EXP'!$B27,'MM01'!$B:$B,0),MATCH('MM01-EXP'!AU$3,'MM01'!$3:$3,0))),"")</f>
        <v/>
      </c>
      <c r="AV27" s="43" t="str">
        <f>IFERROR(IF(INDEX('MM01'!$A:$DK,MATCH('MM01-EXP'!$B27,'MM01'!$B:$B,0),MATCH('MM01-EXP'!AV$3,'MM01'!$3:$3,0))=0,"",INDEX('MM01'!$A:$DK,MATCH('MM01-EXP'!$B27,'MM01'!$B:$B,0),MATCH('MM01-EXP'!AV$3,'MM01'!$3:$3,0))),"")</f>
        <v/>
      </c>
      <c r="AW27" s="44">
        <v>0</v>
      </c>
      <c r="AX27" s="44">
        <v>1</v>
      </c>
      <c r="AY27" s="44">
        <v>0</v>
      </c>
      <c r="AZ27" s="44" t="s">
        <v>348</v>
      </c>
      <c r="BA27" s="50" t="s">
        <v>195</v>
      </c>
      <c r="BB27" s="50" t="s">
        <v>195</v>
      </c>
      <c r="BC27" s="43" t="str">
        <f>IFERROR(IF(INDEX(Estrutura_P01[#All],MATCH($D27,Estrutura_P01[[#All],[txtMAKT-MAKTX]],0),MATCH(BC$3,Estrutura_P01[#Headers],0))=0,"",INDEX(Estrutura_P01[#All],MATCH($D27,Estrutura_P01[[#All],[txtMAKT-MAKTX]],0),MATCH(BC$3,Estrutura_P01[#Headers],0))),"")</f>
        <v/>
      </c>
      <c r="BD27" s="44"/>
      <c r="BE27" s="50">
        <v>0</v>
      </c>
      <c r="BF27" s="45" t="s">
        <v>378</v>
      </c>
      <c r="BG27" s="45" t="s">
        <v>84</v>
      </c>
      <c r="BH27" s="43" t="str">
        <f t="shared" si="3"/>
        <v>581</v>
      </c>
      <c r="BI27" s="45" t="s">
        <v>426</v>
      </c>
      <c r="BJ27" s="80"/>
      <c r="BK27" s="45">
        <v>0</v>
      </c>
      <c r="BL27" s="45" t="s">
        <v>473</v>
      </c>
      <c r="BM27" s="45" t="s">
        <v>90</v>
      </c>
      <c r="BN27" s="44"/>
      <c r="BO27" s="49" t="str">
        <f t="shared" si="4"/>
        <v>0120</v>
      </c>
      <c r="BP27" s="49" t="str">
        <f t="shared" si="5"/>
        <v>0120</v>
      </c>
      <c r="BQ27" s="45">
        <v>1</v>
      </c>
      <c r="BR27" s="44">
        <v>1</v>
      </c>
      <c r="BS27" s="44">
        <v>2</v>
      </c>
      <c r="BT27" s="50" t="s">
        <v>490</v>
      </c>
      <c r="BU27" s="80">
        <v>2</v>
      </c>
      <c r="BV27" s="80">
        <v>7</v>
      </c>
      <c r="BW27" s="44" t="s">
        <v>348</v>
      </c>
      <c r="BX27" s="44">
        <v>2</v>
      </c>
      <c r="BY27" s="44">
        <v>42</v>
      </c>
      <c r="BZ27" s="44">
        <v>10</v>
      </c>
      <c r="CA27" s="43" t="str">
        <f t="shared" si="6"/>
        <v>K00_R_0581</v>
      </c>
      <c r="CB27" s="43">
        <f t="shared" si="7"/>
        <v>1</v>
      </c>
      <c r="CC27" s="55" t="s">
        <v>909</v>
      </c>
      <c r="CD27" s="43" t="str">
        <f t="shared" ca="1" si="8"/>
        <v>17.05.2022</v>
      </c>
      <c r="CE27" s="43" t="str">
        <f t="shared" si="9"/>
        <v>31.12.9999</v>
      </c>
      <c r="CG27" s="44">
        <v>2</v>
      </c>
      <c r="CH27" s="44"/>
      <c r="CI27" s="44">
        <v>1</v>
      </c>
      <c r="CJ27" s="43" t="str">
        <f>IFERROR(IF(INDEX('MM01'!$A:$DK,MATCH('MM01-EXP'!$B27,'MM01'!$B:$B,0),MATCH('MM01-EXP'!CJ$3,'MM01'!$3:$3,0))=0,"",INDEX('MM01'!$A:$DK,MATCH('MM01-EXP'!$B27,'MM01'!$B:$B,0),MATCH('MM01-EXP'!CJ$3,'MM01'!$3:$3,0))),"")</f>
        <v/>
      </c>
      <c r="CK27" s="44">
        <v>12</v>
      </c>
      <c r="CL27" s="44">
        <v>1</v>
      </c>
      <c r="CM27" s="50" t="s">
        <v>223</v>
      </c>
      <c r="CN27" s="50" t="s">
        <v>902</v>
      </c>
      <c r="CO27" s="43" t="str">
        <f>IFERROR(IF(INDEX('MM01'!$A:$DK,MATCH('MM01-EXP'!$B27,'MM01'!$B:$B,0),MATCH('MM01-EXP'!CO$3,'MM01'!$3:$3,0))=0,"",INDEX('MM01'!$A:$DK,MATCH('MM01-EXP'!$B27,'MM01'!$B:$B,0),MATCH('MM01-EXP'!CO$3,'MM01'!$3:$3,0))),"")</f>
        <v/>
      </c>
      <c r="CP27" s="43" t="str">
        <f>IFERROR(IF(INDEX('MM01'!$A:$DK,MATCH('MM01-EXP'!$B27,'MM01'!$B:$B,0),MATCH('MM01-EXP'!CP$3,'MM01'!$3:$3,0))=0,"",INDEX('MM01'!$A:$DK,MATCH('MM01-EXP'!$B27,'MM01'!$B:$B,0),MATCH('MM01-EXP'!CP$3,'MM01'!$3:$3,0))),"")</f>
        <v/>
      </c>
      <c r="CQ27" s="60">
        <v>1</v>
      </c>
      <c r="CR27" s="44"/>
      <c r="CS27" s="44">
        <v>1</v>
      </c>
      <c r="CT27" s="44">
        <v>0</v>
      </c>
      <c r="CU27" s="44" t="s">
        <v>913</v>
      </c>
      <c r="CV27" s="45">
        <v>0</v>
      </c>
      <c r="CW27" s="43" t="str">
        <f>IFERROR(IF(INDEX('MM01'!$A:$DK,MATCH('MM01-EXP'!$B27,'MM01'!$B:$B,0),MATCH('MM01-EXP'!CW$3,'MM01'!$3:$3,0))=0,"",INDEX('MM01'!$A:$DK,MATCH('MM01-EXP'!$B27,'MM01'!$B:$B,0),MATCH('MM01-EXP'!CW$3,'MM01'!$3:$3,0))),"")</f>
        <v/>
      </c>
      <c r="CX27" s="65"/>
    </row>
    <row r="28" spans="1:102" x14ac:dyDescent="0.2">
      <c r="A28" s="7" t="str">
        <f t="shared" si="0"/>
        <v>Execução 24</v>
      </c>
      <c r="B28" s="85"/>
      <c r="C28" s="43" t="str">
        <f t="shared" si="1"/>
        <v/>
      </c>
      <c r="D28" s="43" t="str">
        <f>IF(B28&lt;&gt;"",SUBSTITUTE(VLOOKUP(B28,'MM01-BOB'!B:C,2,0),"BOBINA","TIRA"),"")</f>
        <v/>
      </c>
      <c r="E28" s="43" t="str">
        <f>IFERROR(IF(INDEX(Estrutura_P01[#All],MATCH($D28,Estrutura_P01[[#All],[txtMAKT-MAKTX]],0),MATCH(E$3,Estrutura_P01[#Headers],0))=0,"",INDEX(Estrutura_P01[#All],MATCH($D28,Estrutura_P01[[#All],[txtMAKT-MAKTX]],0),MATCH(E$3,Estrutura_P01[#Headers],0))),"")</f>
        <v/>
      </c>
      <c r="F28" s="44" t="s">
        <v>100</v>
      </c>
      <c r="G28" s="85" t="s">
        <v>4</v>
      </c>
      <c r="H28" s="86" t="s">
        <v>15</v>
      </c>
      <c r="I28" s="49" t="str">
        <f t="shared" si="2"/>
        <v>0581</v>
      </c>
      <c r="J28" s="86" t="s">
        <v>24</v>
      </c>
      <c r="K28" s="86"/>
      <c r="M28" s="45"/>
      <c r="N28" s="45"/>
      <c r="O28" s="45"/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/>
      <c r="AF28" s="45"/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3" t="str">
        <f>IFERROR(IF(INDEX('MM01'!$A:$DK,MATCH('MM01-EXP'!$B28,'MM01'!$B:$B,0),MATCH('MM01-EXP'!AO$3,'MM01'!$3:$3,0))=0,"",INDEX('MM01'!$A:$DK,MATCH('MM01-EXP'!$B28,'MM01'!$B:$B,0),MATCH('MM01-EXP'!AO$3,'MM01'!$3:$3,0))),"")</f>
        <v/>
      </c>
      <c r="AP28" s="43" t="str">
        <f>IFERROR(IF(INDEX('MM01'!$A:$DK,MATCH('MM01-EXP'!$B28,'MM01'!$B:$B,0),MATCH('MM01-EXP'!AP$3,'MM01'!$3:$3,0))=0,"",INDEX('MM01'!$A:$DK,MATCH('MM01-EXP'!$B28,'MM01'!$B:$B,0),MATCH('MM01-EXP'!AP$3,'MM01'!$3:$3,0))),"")</f>
        <v/>
      </c>
      <c r="AQ28" s="43" t="str">
        <f>IFERROR(IF(INDEX('MM01'!$A:$DK,MATCH('MM01-EXP'!$B28,'MM01'!$B:$B,0),MATCH('MM01-EXP'!AQ$3,'MM01'!$3:$3,0))=0,"",INDEX('MM01'!$A:$DK,MATCH('MM01-EXP'!$B28,'MM01'!$B:$B,0),MATCH('MM01-EXP'!AQ$3,'MM01'!$3:$3,0))),"")</f>
        <v/>
      </c>
      <c r="AR28" s="43" t="str">
        <f>IFERROR(IF(INDEX('MM01'!$A:$DK,MATCH('MM01-EXP'!$B28,'MM01'!$B:$B,0),MATCH('MM01-EXP'!AR$3,'MM01'!$3:$3,0))=0,"",INDEX('MM01'!$A:$DK,MATCH('MM01-EXP'!$B28,'MM01'!$B:$B,0),MATCH('MM01-EXP'!AR$3,'MM01'!$3:$3,0))),"")</f>
        <v/>
      </c>
      <c r="AS28" s="43" t="str">
        <f>IFERROR(IF(INDEX('MM01'!$A:$DK,MATCH('MM01-EXP'!$B28,'MM01'!$B:$B,0),MATCH('MM01-EXP'!AS$3,'MM01'!$3:$3,0))=0,"",INDEX('MM01'!$A:$DK,MATCH('MM01-EXP'!$B28,'MM01'!$B:$B,0),MATCH('MM01-EXP'!AS$3,'MM01'!$3:$3,0))),"")</f>
        <v/>
      </c>
      <c r="AT28" s="43" t="str">
        <f>IFERROR(IF(INDEX('MM01'!$A:$DK,MATCH('MM01-EXP'!$B28,'MM01'!$B:$B,0),MATCH('MM01-EXP'!AT$3,'MM01'!$3:$3,0))=0,"",INDEX('MM01'!$A:$DK,MATCH('MM01-EXP'!$B28,'MM01'!$B:$B,0),MATCH('MM01-EXP'!AT$3,'MM01'!$3:$3,0))),"")</f>
        <v/>
      </c>
      <c r="AU28" s="43" t="str">
        <f>IFERROR(IF(INDEX('MM01'!$A:$DK,MATCH('MM01-EXP'!$B28,'MM01'!$B:$B,0),MATCH('MM01-EXP'!AU$3,'MM01'!$3:$3,0))=0,"",INDEX('MM01'!$A:$DK,MATCH('MM01-EXP'!$B28,'MM01'!$B:$B,0),MATCH('MM01-EXP'!AU$3,'MM01'!$3:$3,0))),"")</f>
        <v/>
      </c>
      <c r="AV28" s="43" t="str">
        <f>IFERROR(IF(INDEX('MM01'!$A:$DK,MATCH('MM01-EXP'!$B28,'MM01'!$B:$B,0),MATCH('MM01-EXP'!AV$3,'MM01'!$3:$3,0))=0,"",INDEX('MM01'!$A:$DK,MATCH('MM01-EXP'!$B28,'MM01'!$B:$B,0),MATCH('MM01-EXP'!AV$3,'MM01'!$3:$3,0))),"")</f>
        <v/>
      </c>
      <c r="AW28" s="44">
        <v>0</v>
      </c>
      <c r="AX28" s="44">
        <v>1</v>
      </c>
      <c r="AY28" s="44">
        <v>0</v>
      </c>
      <c r="AZ28" s="44" t="s">
        <v>348</v>
      </c>
      <c r="BA28" s="50" t="s">
        <v>195</v>
      </c>
      <c r="BB28" s="50" t="s">
        <v>195</v>
      </c>
      <c r="BC28" s="43" t="str">
        <f>IFERROR(IF(INDEX(Estrutura_P01[#All],MATCH($D28,Estrutura_P01[[#All],[txtMAKT-MAKTX]],0),MATCH(BC$3,Estrutura_P01[#Headers],0))=0,"",INDEX(Estrutura_P01[#All],MATCH($D28,Estrutura_P01[[#All],[txtMAKT-MAKTX]],0),MATCH(BC$3,Estrutura_P01[#Headers],0))),"")</f>
        <v/>
      </c>
      <c r="BD28" s="44"/>
      <c r="BE28" s="50">
        <v>0</v>
      </c>
      <c r="BF28" s="45" t="s">
        <v>378</v>
      </c>
      <c r="BG28" s="45" t="s">
        <v>84</v>
      </c>
      <c r="BH28" s="43" t="str">
        <f t="shared" si="3"/>
        <v>581</v>
      </c>
      <c r="BI28" s="45" t="s">
        <v>426</v>
      </c>
      <c r="BJ28" s="80"/>
      <c r="BK28" s="45">
        <v>0</v>
      </c>
      <c r="BL28" s="45" t="s">
        <v>473</v>
      </c>
      <c r="BM28" s="45" t="s">
        <v>90</v>
      </c>
      <c r="BN28" s="44"/>
      <c r="BO28" s="49" t="str">
        <f t="shared" si="4"/>
        <v>0120</v>
      </c>
      <c r="BP28" s="49" t="str">
        <f t="shared" si="5"/>
        <v>0120</v>
      </c>
      <c r="BQ28" s="45">
        <v>1</v>
      </c>
      <c r="BR28" s="44">
        <v>1</v>
      </c>
      <c r="BS28" s="44">
        <v>2</v>
      </c>
      <c r="BT28" s="50" t="s">
        <v>490</v>
      </c>
      <c r="BU28" s="80">
        <v>2</v>
      </c>
      <c r="BV28" s="80">
        <v>7</v>
      </c>
      <c r="BW28" s="44" t="s">
        <v>348</v>
      </c>
      <c r="BX28" s="44">
        <v>2</v>
      </c>
      <c r="BY28" s="44">
        <v>42</v>
      </c>
      <c r="BZ28" s="44">
        <v>10</v>
      </c>
      <c r="CA28" s="43" t="str">
        <f t="shared" si="6"/>
        <v>K00_R_0581</v>
      </c>
      <c r="CB28" s="43">
        <f t="shared" si="7"/>
        <v>1</v>
      </c>
      <c r="CC28" s="55" t="s">
        <v>909</v>
      </c>
      <c r="CD28" s="43" t="str">
        <f t="shared" ca="1" si="8"/>
        <v>17.05.2022</v>
      </c>
      <c r="CE28" s="43" t="str">
        <f t="shared" si="9"/>
        <v>31.12.9999</v>
      </c>
      <c r="CG28" s="44">
        <v>2</v>
      </c>
      <c r="CH28" s="44"/>
      <c r="CI28" s="44">
        <v>1</v>
      </c>
      <c r="CJ28" s="43" t="str">
        <f>IFERROR(IF(INDEX('MM01'!$A:$DK,MATCH('MM01-EXP'!$B28,'MM01'!$B:$B,0),MATCH('MM01-EXP'!CJ$3,'MM01'!$3:$3,0))=0,"",INDEX('MM01'!$A:$DK,MATCH('MM01-EXP'!$B28,'MM01'!$B:$B,0),MATCH('MM01-EXP'!CJ$3,'MM01'!$3:$3,0))),"")</f>
        <v/>
      </c>
      <c r="CK28" s="44">
        <v>12</v>
      </c>
      <c r="CL28" s="44">
        <v>1</v>
      </c>
      <c r="CM28" s="50" t="s">
        <v>223</v>
      </c>
      <c r="CN28" s="50" t="s">
        <v>902</v>
      </c>
      <c r="CO28" s="43" t="str">
        <f>IFERROR(IF(INDEX('MM01'!$A:$DK,MATCH('MM01-EXP'!$B28,'MM01'!$B:$B,0),MATCH('MM01-EXP'!CO$3,'MM01'!$3:$3,0))=0,"",INDEX('MM01'!$A:$DK,MATCH('MM01-EXP'!$B28,'MM01'!$B:$B,0),MATCH('MM01-EXP'!CO$3,'MM01'!$3:$3,0))),"")</f>
        <v/>
      </c>
      <c r="CP28" s="43" t="str">
        <f>IFERROR(IF(INDEX('MM01'!$A:$DK,MATCH('MM01-EXP'!$B28,'MM01'!$B:$B,0),MATCH('MM01-EXP'!CP$3,'MM01'!$3:$3,0))=0,"",INDEX('MM01'!$A:$DK,MATCH('MM01-EXP'!$B28,'MM01'!$B:$B,0),MATCH('MM01-EXP'!CP$3,'MM01'!$3:$3,0))),"")</f>
        <v/>
      </c>
      <c r="CQ28" s="60">
        <v>1</v>
      </c>
      <c r="CR28" s="44"/>
      <c r="CS28" s="44">
        <v>1</v>
      </c>
      <c r="CT28" s="44">
        <v>0</v>
      </c>
      <c r="CU28" s="44" t="s">
        <v>913</v>
      </c>
      <c r="CV28" s="45">
        <v>0</v>
      </c>
      <c r="CW28" s="43" t="str">
        <f>IFERROR(IF(INDEX('MM01'!$A:$DK,MATCH('MM01-EXP'!$B28,'MM01'!$B:$B,0),MATCH('MM01-EXP'!CW$3,'MM01'!$3:$3,0))=0,"",INDEX('MM01'!$A:$DK,MATCH('MM01-EXP'!$B28,'MM01'!$B:$B,0),MATCH('MM01-EXP'!CW$3,'MM01'!$3:$3,0))),"")</f>
        <v/>
      </c>
      <c r="CX28" s="65"/>
    </row>
    <row r="29" spans="1:102" x14ac:dyDescent="0.2">
      <c r="A29" s="7" t="str">
        <f t="shared" si="0"/>
        <v>Execução 25</v>
      </c>
      <c r="B29" s="85"/>
      <c r="C29" s="43" t="str">
        <f t="shared" si="1"/>
        <v/>
      </c>
      <c r="D29" s="43" t="str">
        <f>IF(B29&lt;&gt;"",SUBSTITUTE(VLOOKUP(B29,'MM01-BOB'!B:C,2,0),"BOBINA","TIRA"),"")</f>
        <v/>
      </c>
      <c r="E29" s="43" t="str">
        <f>IFERROR(IF(INDEX(Estrutura_P01[#All],MATCH($D29,Estrutura_P01[[#All],[txtMAKT-MAKTX]],0),MATCH(E$3,Estrutura_P01[#Headers],0))=0,"",INDEX(Estrutura_P01[#All],MATCH($D29,Estrutura_P01[[#All],[txtMAKT-MAKTX]],0),MATCH(E$3,Estrutura_P01[#Headers],0))),"")</f>
        <v/>
      </c>
      <c r="F29" s="44" t="s">
        <v>100</v>
      </c>
      <c r="G29" s="85" t="s">
        <v>4</v>
      </c>
      <c r="H29" s="86" t="s">
        <v>15</v>
      </c>
      <c r="I29" s="49" t="str">
        <f t="shared" si="2"/>
        <v>0581</v>
      </c>
      <c r="J29" s="86" t="s">
        <v>24</v>
      </c>
      <c r="K29" s="86"/>
      <c r="M29" s="45"/>
      <c r="N29" s="45"/>
      <c r="O29" s="45"/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/>
      <c r="AF29" s="45"/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3" t="str">
        <f>IFERROR(IF(INDEX('MM01'!$A:$DK,MATCH('MM01-EXP'!$B29,'MM01'!$B:$B,0),MATCH('MM01-EXP'!AO$3,'MM01'!$3:$3,0))=0,"",INDEX('MM01'!$A:$DK,MATCH('MM01-EXP'!$B29,'MM01'!$B:$B,0),MATCH('MM01-EXP'!AO$3,'MM01'!$3:$3,0))),"")</f>
        <v/>
      </c>
      <c r="AP29" s="43" t="str">
        <f>IFERROR(IF(INDEX('MM01'!$A:$DK,MATCH('MM01-EXP'!$B29,'MM01'!$B:$B,0),MATCH('MM01-EXP'!AP$3,'MM01'!$3:$3,0))=0,"",INDEX('MM01'!$A:$DK,MATCH('MM01-EXP'!$B29,'MM01'!$B:$B,0),MATCH('MM01-EXP'!AP$3,'MM01'!$3:$3,0))),"")</f>
        <v/>
      </c>
      <c r="AQ29" s="43" t="str">
        <f>IFERROR(IF(INDEX('MM01'!$A:$DK,MATCH('MM01-EXP'!$B29,'MM01'!$B:$B,0),MATCH('MM01-EXP'!AQ$3,'MM01'!$3:$3,0))=0,"",INDEX('MM01'!$A:$DK,MATCH('MM01-EXP'!$B29,'MM01'!$B:$B,0),MATCH('MM01-EXP'!AQ$3,'MM01'!$3:$3,0))),"")</f>
        <v/>
      </c>
      <c r="AR29" s="43" t="str">
        <f>IFERROR(IF(INDEX('MM01'!$A:$DK,MATCH('MM01-EXP'!$B29,'MM01'!$B:$B,0),MATCH('MM01-EXP'!AR$3,'MM01'!$3:$3,0))=0,"",INDEX('MM01'!$A:$DK,MATCH('MM01-EXP'!$B29,'MM01'!$B:$B,0),MATCH('MM01-EXP'!AR$3,'MM01'!$3:$3,0))),"")</f>
        <v/>
      </c>
      <c r="AS29" s="43" t="str">
        <f>IFERROR(IF(INDEX('MM01'!$A:$DK,MATCH('MM01-EXP'!$B29,'MM01'!$B:$B,0),MATCH('MM01-EXP'!AS$3,'MM01'!$3:$3,0))=0,"",INDEX('MM01'!$A:$DK,MATCH('MM01-EXP'!$B29,'MM01'!$B:$B,0),MATCH('MM01-EXP'!AS$3,'MM01'!$3:$3,0))),"")</f>
        <v/>
      </c>
      <c r="AT29" s="43" t="str">
        <f>IFERROR(IF(INDEX('MM01'!$A:$DK,MATCH('MM01-EXP'!$B29,'MM01'!$B:$B,0),MATCH('MM01-EXP'!AT$3,'MM01'!$3:$3,0))=0,"",INDEX('MM01'!$A:$DK,MATCH('MM01-EXP'!$B29,'MM01'!$B:$B,0),MATCH('MM01-EXP'!AT$3,'MM01'!$3:$3,0))),"")</f>
        <v/>
      </c>
      <c r="AU29" s="43" t="str">
        <f>IFERROR(IF(INDEX('MM01'!$A:$DK,MATCH('MM01-EXP'!$B29,'MM01'!$B:$B,0),MATCH('MM01-EXP'!AU$3,'MM01'!$3:$3,0))=0,"",INDEX('MM01'!$A:$DK,MATCH('MM01-EXP'!$B29,'MM01'!$B:$B,0),MATCH('MM01-EXP'!AU$3,'MM01'!$3:$3,0))),"")</f>
        <v/>
      </c>
      <c r="AV29" s="43" t="str">
        <f>IFERROR(IF(INDEX('MM01'!$A:$DK,MATCH('MM01-EXP'!$B29,'MM01'!$B:$B,0),MATCH('MM01-EXP'!AV$3,'MM01'!$3:$3,0))=0,"",INDEX('MM01'!$A:$DK,MATCH('MM01-EXP'!$B29,'MM01'!$B:$B,0),MATCH('MM01-EXP'!AV$3,'MM01'!$3:$3,0))),"")</f>
        <v/>
      </c>
      <c r="AW29" s="44">
        <v>0</v>
      </c>
      <c r="AX29" s="44">
        <v>1</v>
      </c>
      <c r="AY29" s="44">
        <v>0</v>
      </c>
      <c r="AZ29" s="44" t="s">
        <v>348</v>
      </c>
      <c r="BA29" s="50" t="s">
        <v>195</v>
      </c>
      <c r="BB29" s="50" t="s">
        <v>195</v>
      </c>
      <c r="BC29" s="43" t="str">
        <f>IFERROR(IF(INDEX(Estrutura_P01[#All],MATCH($D29,Estrutura_P01[[#All],[txtMAKT-MAKTX]],0),MATCH(BC$3,Estrutura_P01[#Headers],0))=0,"",INDEX(Estrutura_P01[#All],MATCH($D29,Estrutura_P01[[#All],[txtMAKT-MAKTX]],0),MATCH(BC$3,Estrutura_P01[#Headers],0))),"")</f>
        <v/>
      </c>
      <c r="BD29" s="44"/>
      <c r="BE29" s="50">
        <v>0</v>
      </c>
      <c r="BF29" s="45" t="s">
        <v>378</v>
      </c>
      <c r="BG29" s="45" t="s">
        <v>84</v>
      </c>
      <c r="BH29" s="43" t="str">
        <f t="shared" si="3"/>
        <v>581</v>
      </c>
      <c r="BI29" s="45" t="s">
        <v>426</v>
      </c>
      <c r="BJ29" s="80"/>
      <c r="BK29" s="45">
        <v>0</v>
      </c>
      <c r="BL29" s="45" t="s">
        <v>473</v>
      </c>
      <c r="BM29" s="45" t="s">
        <v>90</v>
      </c>
      <c r="BN29" s="44"/>
      <c r="BO29" s="49" t="str">
        <f t="shared" si="4"/>
        <v>0120</v>
      </c>
      <c r="BP29" s="49" t="str">
        <f t="shared" si="5"/>
        <v>0120</v>
      </c>
      <c r="BQ29" s="45">
        <v>1</v>
      </c>
      <c r="BR29" s="44">
        <v>1</v>
      </c>
      <c r="BS29" s="44">
        <v>2</v>
      </c>
      <c r="BT29" s="50" t="s">
        <v>490</v>
      </c>
      <c r="BU29" s="80">
        <v>2</v>
      </c>
      <c r="BV29" s="80">
        <v>7</v>
      </c>
      <c r="BW29" s="44" t="s">
        <v>348</v>
      </c>
      <c r="BX29" s="44">
        <v>2</v>
      </c>
      <c r="BY29" s="44">
        <v>42</v>
      </c>
      <c r="BZ29" s="44">
        <v>10</v>
      </c>
      <c r="CA29" s="43" t="str">
        <f t="shared" si="6"/>
        <v>K00_R_0581</v>
      </c>
      <c r="CB29" s="43">
        <f t="shared" si="7"/>
        <v>1</v>
      </c>
      <c r="CC29" s="55" t="s">
        <v>909</v>
      </c>
      <c r="CD29" s="43" t="str">
        <f t="shared" ca="1" si="8"/>
        <v>17.05.2022</v>
      </c>
      <c r="CE29" s="43" t="str">
        <f t="shared" si="9"/>
        <v>31.12.9999</v>
      </c>
      <c r="CG29" s="44">
        <v>2</v>
      </c>
      <c r="CH29" s="44"/>
      <c r="CI29" s="44">
        <v>1</v>
      </c>
      <c r="CJ29" s="43" t="str">
        <f>IFERROR(IF(INDEX('MM01'!$A:$DK,MATCH('MM01-EXP'!$B29,'MM01'!$B:$B,0),MATCH('MM01-EXP'!CJ$3,'MM01'!$3:$3,0))=0,"",INDEX('MM01'!$A:$DK,MATCH('MM01-EXP'!$B29,'MM01'!$B:$B,0),MATCH('MM01-EXP'!CJ$3,'MM01'!$3:$3,0))),"")</f>
        <v/>
      </c>
      <c r="CK29" s="44">
        <v>12</v>
      </c>
      <c r="CL29" s="44">
        <v>1</v>
      </c>
      <c r="CM29" s="50" t="s">
        <v>223</v>
      </c>
      <c r="CN29" s="50" t="s">
        <v>902</v>
      </c>
      <c r="CO29" s="43" t="str">
        <f>IFERROR(IF(INDEX('MM01'!$A:$DK,MATCH('MM01-EXP'!$B29,'MM01'!$B:$B,0),MATCH('MM01-EXP'!CO$3,'MM01'!$3:$3,0))=0,"",INDEX('MM01'!$A:$DK,MATCH('MM01-EXP'!$B29,'MM01'!$B:$B,0),MATCH('MM01-EXP'!CO$3,'MM01'!$3:$3,0))),"")</f>
        <v/>
      </c>
      <c r="CP29" s="43" t="str">
        <f>IFERROR(IF(INDEX('MM01'!$A:$DK,MATCH('MM01-EXP'!$B29,'MM01'!$B:$B,0),MATCH('MM01-EXP'!CP$3,'MM01'!$3:$3,0))=0,"",INDEX('MM01'!$A:$DK,MATCH('MM01-EXP'!$B29,'MM01'!$B:$B,0),MATCH('MM01-EXP'!CP$3,'MM01'!$3:$3,0))),"")</f>
        <v/>
      </c>
      <c r="CQ29" s="60">
        <v>1</v>
      </c>
      <c r="CR29" s="44"/>
      <c r="CS29" s="44">
        <v>1</v>
      </c>
      <c r="CT29" s="44">
        <v>0</v>
      </c>
      <c r="CU29" s="44" t="s">
        <v>913</v>
      </c>
      <c r="CV29" s="45">
        <v>0</v>
      </c>
      <c r="CW29" s="43" t="str">
        <f>IFERROR(IF(INDEX('MM01'!$A:$DK,MATCH('MM01-EXP'!$B29,'MM01'!$B:$B,0),MATCH('MM01-EXP'!CW$3,'MM01'!$3:$3,0))=0,"",INDEX('MM01'!$A:$DK,MATCH('MM01-EXP'!$B29,'MM01'!$B:$B,0),MATCH('MM01-EXP'!CW$3,'MM01'!$3:$3,0))),"")</f>
        <v/>
      </c>
      <c r="CX29" s="65"/>
    </row>
    <row r="30" spans="1:102" x14ac:dyDescent="0.2">
      <c r="A30" s="7" t="str">
        <f t="shared" si="0"/>
        <v>Execução 26</v>
      </c>
      <c r="B30" s="85"/>
      <c r="C30" s="43" t="str">
        <f t="shared" si="1"/>
        <v/>
      </c>
      <c r="D30" s="43" t="str">
        <f>IF(B30&lt;&gt;"",SUBSTITUTE(VLOOKUP(B30,'MM01-BOB'!B:C,2,0),"BOBINA","TIRA"),"")</f>
        <v/>
      </c>
      <c r="E30" s="43" t="str">
        <f>IFERROR(IF(INDEX(Estrutura_P01[#All],MATCH($D30,Estrutura_P01[[#All],[txtMAKT-MAKTX]],0),MATCH(E$3,Estrutura_P01[#Headers],0))=0,"",INDEX(Estrutura_P01[#All],MATCH($D30,Estrutura_P01[[#All],[txtMAKT-MAKTX]],0),MATCH(E$3,Estrutura_P01[#Headers],0))),"")</f>
        <v/>
      </c>
      <c r="F30" s="44" t="s">
        <v>100</v>
      </c>
      <c r="G30" s="85" t="s">
        <v>4</v>
      </c>
      <c r="H30" s="86" t="s">
        <v>15</v>
      </c>
      <c r="I30" s="49" t="str">
        <f t="shared" si="2"/>
        <v>0581</v>
      </c>
      <c r="J30" s="86" t="s">
        <v>24</v>
      </c>
      <c r="K30" s="86"/>
      <c r="M30" s="45"/>
      <c r="N30" s="45"/>
      <c r="O30" s="45"/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/>
      <c r="AF30" s="45"/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3" t="str">
        <f>IFERROR(IF(INDEX('MM01'!$A:$DK,MATCH('MM01-EXP'!$B30,'MM01'!$B:$B,0),MATCH('MM01-EXP'!AO$3,'MM01'!$3:$3,0))=0,"",INDEX('MM01'!$A:$DK,MATCH('MM01-EXP'!$B30,'MM01'!$B:$B,0),MATCH('MM01-EXP'!AO$3,'MM01'!$3:$3,0))),"")</f>
        <v/>
      </c>
      <c r="AP30" s="43" t="str">
        <f>IFERROR(IF(INDEX('MM01'!$A:$DK,MATCH('MM01-EXP'!$B30,'MM01'!$B:$B,0),MATCH('MM01-EXP'!AP$3,'MM01'!$3:$3,0))=0,"",INDEX('MM01'!$A:$DK,MATCH('MM01-EXP'!$B30,'MM01'!$B:$B,0),MATCH('MM01-EXP'!AP$3,'MM01'!$3:$3,0))),"")</f>
        <v/>
      </c>
      <c r="AQ30" s="43" t="str">
        <f>IFERROR(IF(INDEX('MM01'!$A:$DK,MATCH('MM01-EXP'!$B30,'MM01'!$B:$B,0),MATCH('MM01-EXP'!AQ$3,'MM01'!$3:$3,0))=0,"",INDEX('MM01'!$A:$DK,MATCH('MM01-EXP'!$B30,'MM01'!$B:$B,0),MATCH('MM01-EXP'!AQ$3,'MM01'!$3:$3,0))),"")</f>
        <v/>
      </c>
      <c r="AR30" s="43" t="str">
        <f>IFERROR(IF(INDEX('MM01'!$A:$DK,MATCH('MM01-EXP'!$B30,'MM01'!$B:$B,0),MATCH('MM01-EXP'!AR$3,'MM01'!$3:$3,0))=0,"",INDEX('MM01'!$A:$DK,MATCH('MM01-EXP'!$B30,'MM01'!$B:$B,0),MATCH('MM01-EXP'!AR$3,'MM01'!$3:$3,0))),"")</f>
        <v/>
      </c>
      <c r="AS30" s="43" t="str">
        <f>IFERROR(IF(INDEX('MM01'!$A:$DK,MATCH('MM01-EXP'!$B30,'MM01'!$B:$B,0),MATCH('MM01-EXP'!AS$3,'MM01'!$3:$3,0))=0,"",INDEX('MM01'!$A:$DK,MATCH('MM01-EXP'!$B30,'MM01'!$B:$B,0),MATCH('MM01-EXP'!AS$3,'MM01'!$3:$3,0))),"")</f>
        <v/>
      </c>
      <c r="AT30" s="43" t="str">
        <f>IFERROR(IF(INDEX('MM01'!$A:$DK,MATCH('MM01-EXP'!$B30,'MM01'!$B:$B,0),MATCH('MM01-EXP'!AT$3,'MM01'!$3:$3,0))=0,"",INDEX('MM01'!$A:$DK,MATCH('MM01-EXP'!$B30,'MM01'!$B:$B,0),MATCH('MM01-EXP'!AT$3,'MM01'!$3:$3,0))),"")</f>
        <v/>
      </c>
      <c r="AU30" s="43" t="str">
        <f>IFERROR(IF(INDEX('MM01'!$A:$DK,MATCH('MM01-EXP'!$B30,'MM01'!$B:$B,0),MATCH('MM01-EXP'!AU$3,'MM01'!$3:$3,0))=0,"",INDEX('MM01'!$A:$DK,MATCH('MM01-EXP'!$B30,'MM01'!$B:$B,0),MATCH('MM01-EXP'!AU$3,'MM01'!$3:$3,0))),"")</f>
        <v/>
      </c>
      <c r="AV30" s="43" t="str">
        <f>IFERROR(IF(INDEX('MM01'!$A:$DK,MATCH('MM01-EXP'!$B30,'MM01'!$B:$B,0),MATCH('MM01-EXP'!AV$3,'MM01'!$3:$3,0))=0,"",INDEX('MM01'!$A:$DK,MATCH('MM01-EXP'!$B30,'MM01'!$B:$B,0),MATCH('MM01-EXP'!AV$3,'MM01'!$3:$3,0))),"")</f>
        <v/>
      </c>
      <c r="AW30" s="44">
        <v>0</v>
      </c>
      <c r="AX30" s="44">
        <v>1</v>
      </c>
      <c r="AY30" s="44">
        <v>0</v>
      </c>
      <c r="AZ30" s="44" t="s">
        <v>348</v>
      </c>
      <c r="BA30" s="50" t="s">
        <v>195</v>
      </c>
      <c r="BB30" s="50" t="s">
        <v>195</v>
      </c>
      <c r="BC30" s="43" t="str">
        <f>IFERROR(IF(INDEX(Estrutura_P01[#All],MATCH($D30,Estrutura_P01[[#All],[txtMAKT-MAKTX]],0),MATCH(BC$3,Estrutura_P01[#Headers],0))=0,"",INDEX(Estrutura_P01[#All],MATCH($D30,Estrutura_P01[[#All],[txtMAKT-MAKTX]],0),MATCH(BC$3,Estrutura_P01[#Headers],0))),"")</f>
        <v/>
      </c>
      <c r="BD30" s="44"/>
      <c r="BE30" s="50">
        <v>0</v>
      </c>
      <c r="BF30" s="45" t="s">
        <v>378</v>
      </c>
      <c r="BG30" s="45" t="s">
        <v>84</v>
      </c>
      <c r="BH30" s="43" t="str">
        <f t="shared" si="3"/>
        <v>581</v>
      </c>
      <c r="BI30" s="45" t="s">
        <v>426</v>
      </c>
      <c r="BJ30" s="80"/>
      <c r="BK30" s="45">
        <v>0</v>
      </c>
      <c r="BL30" s="45" t="s">
        <v>473</v>
      </c>
      <c r="BM30" s="45" t="s">
        <v>90</v>
      </c>
      <c r="BN30" s="44"/>
      <c r="BO30" s="49" t="str">
        <f t="shared" si="4"/>
        <v>0120</v>
      </c>
      <c r="BP30" s="49" t="str">
        <f t="shared" si="5"/>
        <v>0120</v>
      </c>
      <c r="BQ30" s="45">
        <v>1</v>
      </c>
      <c r="BR30" s="44">
        <v>1</v>
      </c>
      <c r="BS30" s="44">
        <v>2</v>
      </c>
      <c r="BT30" s="50" t="s">
        <v>490</v>
      </c>
      <c r="BU30" s="80">
        <v>2</v>
      </c>
      <c r="BV30" s="80">
        <v>7</v>
      </c>
      <c r="BW30" s="44" t="s">
        <v>348</v>
      </c>
      <c r="BX30" s="44">
        <v>2</v>
      </c>
      <c r="BY30" s="44">
        <v>42</v>
      </c>
      <c r="BZ30" s="44">
        <v>10</v>
      </c>
      <c r="CA30" s="43" t="str">
        <f t="shared" si="6"/>
        <v>K00_R_0581</v>
      </c>
      <c r="CB30" s="43">
        <f t="shared" si="7"/>
        <v>1</v>
      </c>
      <c r="CC30" s="55" t="s">
        <v>909</v>
      </c>
      <c r="CD30" s="43" t="str">
        <f t="shared" ca="1" si="8"/>
        <v>17.05.2022</v>
      </c>
      <c r="CE30" s="43" t="str">
        <f t="shared" si="9"/>
        <v>31.12.9999</v>
      </c>
      <c r="CG30" s="44">
        <v>2</v>
      </c>
      <c r="CH30" s="44"/>
      <c r="CI30" s="44">
        <v>1</v>
      </c>
      <c r="CJ30" s="43" t="str">
        <f>IFERROR(IF(INDEX('MM01'!$A:$DK,MATCH('MM01-EXP'!$B30,'MM01'!$B:$B,0),MATCH('MM01-EXP'!CJ$3,'MM01'!$3:$3,0))=0,"",INDEX('MM01'!$A:$DK,MATCH('MM01-EXP'!$B30,'MM01'!$B:$B,0),MATCH('MM01-EXP'!CJ$3,'MM01'!$3:$3,0))),"")</f>
        <v/>
      </c>
      <c r="CK30" s="44">
        <v>12</v>
      </c>
      <c r="CL30" s="44">
        <v>1</v>
      </c>
      <c r="CM30" s="50" t="s">
        <v>223</v>
      </c>
      <c r="CN30" s="50" t="s">
        <v>902</v>
      </c>
      <c r="CO30" s="43" t="str">
        <f>IFERROR(IF(INDEX('MM01'!$A:$DK,MATCH('MM01-EXP'!$B30,'MM01'!$B:$B,0),MATCH('MM01-EXP'!CO$3,'MM01'!$3:$3,0))=0,"",INDEX('MM01'!$A:$DK,MATCH('MM01-EXP'!$B30,'MM01'!$B:$B,0),MATCH('MM01-EXP'!CO$3,'MM01'!$3:$3,0))),"")</f>
        <v/>
      </c>
      <c r="CP30" s="43" t="str">
        <f>IFERROR(IF(INDEX('MM01'!$A:$DK,MATCH('MM01-EXP'!$B30,'MM01'!$B:$B,0),MATCH('MM01-EXP'!CP$3,'MM01'!$3:$3,0))=0,"",INDEX('MM01'!$A:$DK,MATCH('MM01-EXP'!$B30,'MM01'!$B:$B,0),MATCH('MM01-EXP'!CP$3,'MM01'!$3:$3,0))),"")</f>
        <v/>
      </c>
      <c r="CQ30" s="60">
        <v>1</v>
      </c>
      <c r="CR30" s="44"/>
      <c r="CS30" s="44">
        <v>1</v>
      </c>
      <c r="CT30" s="44">
        <v>0</v>
      </c>
      <c r="CU30" s="44" t="s">
        <v>913</v>
      </c>
      <c r="CV30" s="45">
        <v>0</v>
      </c>
      <c r="CW30" s="43" t="str">
        <f>IFERROR(IF(INDEX('MM01'!$A:$DK,MATCH('MM01-EXP'!$B30,'MM01'!$B:$B,0),MATCH('MM01-EXP'!CW$3,'MM01'!$3:$3,0))=0,"",INDEX('MM01'!$A:$DK,MATCH('MM01-EXP'!$B30,'MM01'!$B:$B,0),MATCH('MM01-EXP'!CW$3,'MM01'!$3:$3,0))),"")</f>
        <v/>
      </c>
      <c r="CX30" s="65"/>
    </row>
    <row r="31" spans="1:102" x14ac:dyDescent="0.2">
      <c r="A31" s="7" t="str">
        <f t="shared" si="0"/>
        <v>Execução 27</v>
      </c>
      <c r="B31" s="85"/>
      <c r="C31" s="43" t="str">
        <f t="shared" si="1"/>
        <v/>
      </c>
      <c r="D31" s="43" t="str">
        <f>IF(B31&lt;&gt;"",SUBSTITUTE(VLOOKUP(B31,'MM01-BOB'!B:C,2,0),"BOBINA","TIRA"),"")</f>
        <v/>
      </c>
      <c r="E31" s="43" t="str">
        <f>IFERROR(IF(INDEX(Estrutura_P01[#All],MATCH($D31,Estrutura_P01[[#All],[txtMAKT-MAKTX]],0),MATCH(E$3,Estrutura_P01[#Headers],0))=0,"",INDEX(Estrutura_P01[#All],MATCH($D31,Estrutura_P01[[#All],[txtMAKT-MAKTX]],0),MATCH(E$3,Estrutura_P01[#Headers],0))),"")</f>
        <v/>
      </c>
      <c r="F31" s="44" t="s">
        <v>100</v>
      </c>
      <c r="G31" s="85" t="s">
        <v>4</v>
      </c>
      <c r="H31" s="86" t="s">
        <v>15</v>
      </c>
      <c r="I31" s="49" t="str">
        <f t="shared" si="2"/>
        <v>0581</v>
      </c>
      <c r="J31" s="86" t="s">
        <v>24</v>
      </c>
      <c r="K31" s="86"/>
      <c r="M31" s="45"/>
      <c r="N31" s="45"/>
      <c r="O31" s="45"/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/>
      <c r="AF31" s="45"/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3" t="str">
        <f>IFERROR(IF(INDEX('MM01'!$A:$DK,MATCH('MM01-EXP'!$B31,'MM01'!$B:$B,0),MATCH('MM01-EXP'!AO$3,'MM01'!$3:$3,0))=0,"",INDEX('MM01'!$A:$DK,MATCH('MM01-EXP'!$B31,'MM01'!$B:$B,0),MATCH('MM01-EXP'!AO$3,'MM01'!$3:$3,0))),"")</f>
        <v/>
      </c>
      <c r="AP31" s="43" t="str">
        <f>IFERROR(IF(INDEX('MM01'!$A:$DK,MATCH('MM01-EXP'!$B31,'MM01'!$B:$B,0),MATCH('MM01-EXP'!AP$3,'MM01'!$3:$3,0))=0,"",INDEX('MM01'!$A:$DK,MATCH('MM01-EXP'!$B31,'MM01'!$B:$B,0),MATCH('MM01-EXP'!AP$3,'MM01'!$3:$3,0))),"")</f>
        <v/>
      </c>
      <c r="AQ31" s="43" t="str">
        <f>IFERROR(IF(INDEX('MM01'!$A:$DK,MATCH('MM01-EXP'!$B31,'MM01'!$B:$B,0),MATCH('MM01-EXP'!AQ$3,'MM01'!$3:$3,0))=0,"",INDEX('MM01'!$A:$DK,MATCH('MM01-EXP'!$B31,'MM01'!$B:$B,0),MATCH('MM01-EXP'!AQ$3,'MM01'!$3:$3,0))),"")</f>
        <v/>
      </c>
      <c r="AR31" s="43" t="str">
        <f>IFERROR(IF(INDEX('MM01'!$A:$DK,MATCH('MM01-EXP'!$B31,'MM01'!$B:$B,0),MATCH('MM01-EXP'!AR$3,'MM01'!$3:$3,0))=0,"",INDEX('MM01'!$A:$DK,MATCH('MM01-EXP'!$B31,'MM01'!$B:$B,0),MATCH('MM01-EXP'!AR$3,'MM01'!$3:$3,0))),"")</f>
        <v/>
      </c>
      <c r="AS31" s="43" t="str">
        <f>IFERROR(IF(INDEX('MM01'!$A:$DK,MATCH('MM01-EXP'!$B31,'MM01'!$B:$B,0),MATCH('MM01-EXP'!AS$3,'MM01'!$3:$3,0))=0,"",INDEX('MM01'!$A:$DK,MATCH('MM01-EXP'!$B31,'MM01'!$B:$B,0),MATCH('MM01-EXP'!AS$3,'MM01'!$3:$3,0))),"")</f>
        <v/>
      </c>
      <c r="AT31" s="43" t="str">
        <f>IFERROR(IF(INDEX('MM01'!$A:$DK,MATCH('MM01-EXP'!$B31,'MM01'!$B:$B,0),MATCH('MM01-EXP'!AT$3,'MM01'!$3:$3,0))=0,"",INDEX('MM01'!$A:$DK,MATCH('MM01-EXP'!$B31,'MM01'!$B:$B,0),MATCH('MM01-EXP'!AT$3,'MM01'!$3:$3,0))),"")</f>
        <v/>
      </c>
      <c r="AU31" s="43" t="str">
        <f>IFERROR(IF(INDEX('MM01'!$A:$DK,MATCH('MM01-EXP'!$B31,'MM01'!$B:$B,0),MATCH('MM01-EXP'!AU$3,'MM01'!$3:$3,0))=0,"",INDEX('MM01'!$A:$DK,MATCH('MM01-EXP'!$B31,'MM01'!$B:$B,0),MATCH('MM01-EXP'!AU$3,'MM01'!$3:$3,0))),"")</f>
        <v/>
      </c>
      <c r="AV31" s="43" t="str">
        <f>IFERROR(IF(INDEX('MM01'!$A:$DK,MATCH('MM01-EXP'!$B31,'MM01'!$B:$B,0),MATCH('MM01-EXP'!AV$3,'MM01'!$3:$3,0))=0,"",INDEX('MM01'!$A:$DK,MATCH('MM01-EXP'!$B31,'MM01'!$B:$B,0),MATCH('MM01-EXP'!AV$3,'MM01'!$3:$3,0))),"")</f>
        <v/>
      </c>
      <c r="AW31" s="44">
        <v>0</v>
      </c>
      <c r="AX31" s="44">
        <v>1</v>
      </c>
      <c r="AY31" s="44">
        <v>0</v>
      </c>
      <c r="AZ31" s="44" t="s">
        <v>348</v>
      </c>
      <c r="BA31" s="50" t="s">
        <v>195</v>
      </c>
      <c r="BB31" s="50" t="s">
        <v>195</v>
      </c>
      <c r="BC31" s="43" t="str">
        <f>IFERROR(IF(INDEX(Estrutura_P01[#All],MATCH($D31,Estrutura_P01[[#All],[txtMAKT-MAKTX]],0),MATCH(BC$3,Estrutura_P01[#Headers],0))=0,"",INDEX(Estrutura_P01[#All],MATCH($D31,Estrutura_P01[[#All],[txtMAKT-MAKTX]],0),MATCH(BC$3,Estrutura_P01[#Headers],0))),"")</f>
        <v/>
      </c>
      <c r="BD31" s="44"/>
      <c r="BE31" s="50">
        <v>0</v>
      </c>
      <c r="BF31" s="45" t="s">
        <v>378</v>
      </c>
      <c r="BG31" s="45" t="s">
        <v>84</v>
      </c>
      <c r="BH31" s="43" t="str">
        <f t="shared" si="3"/>
        <v>581</v>
      </c>
      <c r="BI31" s="45" t="s">
        <v>426</v>
      </c>
      <c r="BJ31" s="80"/>
      <c r="BK31" s="45">
        <v>0</v>
      </c>
      <c r="BL31" s="45" t="s">
        <v>473</v>
      </c>
      <c r="BM31" s="45" t="s">
        <v>90</v>
      </c>
      <c r="BN31" s="44"/>
      <c r="BO31" s="49" t="str">
        <f t="shared" si="4"/>
        <v>0120</v>
      </c>
      <c r="BP31" s="49" t="str">
        <f t="shared" si="5"/>
        <v>0120</v>
      </c>
      <c r="BQ31" s="45">
        <v>1</v>
      </c>
      <c r="BR31" s="44">
        <v>1</v>
      </c>
      <c r="BS31" s="44">
        <v>2</v>
      </c>
      <c r="BT31" s="50" t="s">
        <v>490</v>
      </c>
      <c r="BU31" s="80">
        <v>2</v>
      </c>
      <c r="BV31" s="80">
        <v>7</v>
      </c>
      <c r="BW31" s="44" t="s">
        <v>348</v>
      </c>
      <c r="BX31" s="44">
        <v>2</v>
      </c>
      <c r="BY31" s="44">
        <v>42</v>
      </c>
      <c r="BZ31" s="44">
        <v>10</v>
      </c>
      <c r="CA31" s="43" t="str">
        <f t="shared" si="6"/>
        <v>K00_R_0581</v>
      </c>
      <c r="CB31" s="43">
        <f t="shared" si="7"/>
        <v>1</v>
      </c>
      <c r="CC31" s="55" t="s">
        <v>909</v>
      </c>
      <c r="CD31" s="43" t="str">
        <f t="shared" ca="1" si="8"/>
        <v>17.05.2022</v>
      </c>
      <c r="CE31" s="43" t="str">
        <f t="shared" si="9"/>
        <v>31.12.9999</v>
      </c>
      <c r="CG31" s="44">
        <v>2</v>
      </c>
      <c r="CH31" s="44"/>
      <c r="CI31" s="44">
        <v>1</v>
      </c>
      <c r="CJ31" s="43" t="str">
        <f>IFERROR(IF(INDEX('MM01'!$A:$DK,MATCH('MM01-EXP'!$B31,'MM01'!$B:$B,0),MATCH('MM01-EXP'!CJ$3,'MM01'!$3:$3,0))=0,"",INDEX('MM01'!$A:$DK,MATCH('MM01-EXP'!$B31,'MM01'!$B:$B,0),MATCH('MM01-EXP'!CJ$3,'MM01'!$3:$3,0))),"")</f>
        <v/>
      </c>
      <c r="CK31" s="44">
        <v>12</v>
      </c>
      <c r="CL31" s="44">
        <v>1</v>
      </c>
      <c r="CM31" s="50" t="s">
        <v>223</v>
      </c>
      <c r="CN31" s="50" t="s">
        <v>902</v>
      </c>
      <c r="CO31" s="43" t="str">
        <f>IFERROR(IF(INDEX('MM01'!$A:$DK,MATCH('MM01-EXP'!$B31,'MM01'!$B:$B,0),MATCH('MM01-EXP'!CO$3,'MM01'!$3:$3,0))=0,"",INDEX('MM01'!$A:$DK,MATCH('MM01-EXP'!$B31,'MM01'!$B:$B,0),MATCH('MM01-EXP'!CO$3,'MM01'!$3:$3,0))),"")</f>
        <v/>
      </c>
      <c r="CP31" s="43" t="str">
        <f>IFERROR(IF(INDEX('MM01'!$A:$DK,MATCH('MM01-EXP'!$B31,'MM01'!$B:$B,0),MATCH('MM01-EXP'!CP$3,'MM01'!$3:$3,0))=0,"",INDEX('MM01'!$A:$DK,MATCH('MM01-EXP'!$B31,'MM01'!$B:$B,0),MATCH('MM01-EXP'!CP$3,'MM01'!$3:$3,0))),"")</f>
        <v/>
      </c>
      <c r="CQ31" s="60">
        <v>1</v>
      </c>
      <c r="CR31" s="44"/>
      <c r="CS31" s="44">
        <v>1</v>
      </c>
      <c r="CT31" s="44">
        <v>0</v>
      </c>
      <c r="CU31" s="44" t="s">
        <v>913</v>
      </c>
      <c r="CV31" s="45">
        <v>0</v>
      </c>
      <c r="CW31" s="43" t="str">
        <f>IFERROR(IF(INDEX('MM01'!$A:$DK,MATCH('MM01-EXP'!$B31,'MM01'!$B:$B,0),MATCH('MM01-EXP'!CW$3,'MM01'!$3:$3,0))=0,"",INDEX('MM01'!$A:$DK,MATCH('MM01-EXP'!$B31,'MM01'!$B:$B,0),MATCH('MM01-EXP'!CW$3,'MM01'!$3:$3,0))),"")</f>
        <v/>
      </c>
      <c r="CX31" s="65"/>
    </row>
    <row r="32" spans="1:102" x14ac:dyDescent="0.2">
      <c r="A32" s="7" t="str">
        <f t="shared" si="0"/>
        <v>Execução 28</v>
      </c>
      <c r="B32" s="85"/>
      <c r="C32" s="43" t="str">
        <f t="shared" si="1"/>
        <v/>
      </c>
      <c r="D32" s="43" t="str">
        <f>IF(B32&lt;&gt;"",SUBSTITUTE(VLOOKUP(B32,'MM01-BOB'!B:C,2,0),"BOBINA","TIRA"),"")</f>
        <v/>
      </c>
      <c r="E32" s="43" t="str">
        <f>IFERROR(IF(INDEX(Estrutura_P01[#All],MATCH($D32,Estrutura_P01[[#All],[txtMAKT-MAKTX]],0),MATCH(E$3,Estrutura_P01[#Headers],0))=0,"",INDEX(Estrutura_P01[#All],MATCH($D32,Estrutura_P01[[#All],[txtMAKT-MAKTX]],0),MATCH(E$3,Estrutura_P01[#Headers],0))),"")</f>
        <v/>
      </c>
      <c r="F32" s="44" t="s">
        <v>100</v>
      </c>
      <c r="G32" s="85" t="s">
        <v>4</v>
      </c>
      <c r="H32" s="86" t="s">
        <v>15</v>
      </c>
      <c r="I32" s="49" t="str">
        <f t="shared" si="2"/>
        <v>0581</v>
      </c>
      <c r="J32" s="86" t="s">
        <v>24</v>
      </c>
      <c r="K32" s="86"/>
      <c r="M32" s="45"/>
      <c r="N32" s="45"/>
      <c r="O32" s="45"/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/>
      <c r="AF32" s="45"/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3" t="str">
        <f>IFERROR(IF(INDEX('MM01'!$A:$DK,MATCH('MM01-EXP'!$B32,'MM01'!$B:$B,0),MATCH('MM01-EXP'!AO$3,'MM01'!$3:$3,0))=0,"",INDEX('MM01'!$A:$DK,MATCH('MM01-EXP'!$B32,'MM01'!$B:$B,0),MATCH('MM01-EXP'!AO$3,'MM01'!$3:$3,0))),"")</f>
        <v/>
      </c>
      <c r="AP32" s="43" t="str">
        <f>IFERROR(IF(INDEX('MM01'!$A:$DK,MATCH('MM01-EXP'!$B32,'MM01'!$B:$B,0),MATCH('MM01-EXP'!AP$3,'MM01'!$3:$3,0))=0,"",INDEX('MM01'!$A:$DK,MATCH('MM01-EXP'!$B32,'MM01'!$B:$B,0),MATCH('MM01-EXP'!AP$3,'MM01'!$3:$3,0))),"")</f>
        <v/>
      </c>
      <c r="AQ32" s="43" t="str">
        <f>IFERROR(IF(INDEX('MM01'!$A:$DK,MATCH('MM01-EXP'!$B32,'MM01'!$B:$B,0),MATCH('MM01-EXP'!AQ$3,'MM01'!$3:$3,0))=0,"",INDEX('MM01'!$A:$DK,MATCH('MM01-EXP'!$B32,'MM01'!$B:$B,0),MATCH('MM01-EXP'!AQ$3,'MM01'!$3:$3,0))),"")</f>
        <v/>
      </c>
      <c r="AR32" s="43" t="str">
        <f>IFERROR(IF(INDEX('MM01'!$A:$DK,MATCH('MM01-EXP'!$B32,'MM01'!$B:$B,0),MATCH('MM01-EXP'!AR$3,'MM01'!$3:$3,0))=0,"",INDEX('MM01'!$A:$DK,MATCH('MM01-EXP'!$B32,'MM01'!$B:$B,0),MATCH('MM01-EXP'!AR$3,'MM01'!$3:$3,0))),"")</f>
        <v/>
      </c>
      <c r="AS32" s="43" t="str">
        <f>IFERROR(IF(INDEX('MM01'!$A:$DK,MATCH('MM01-EXP'!$B32,'MM01'!$B:$B,0),MATCH('MM01-EXP'!AS$3,'MM01'!$3:$3,0))=0,"",INDEX('MM01'!$A:$DK,MATCH('MM01-EXP'!$B32,'MM01'!$B:$B,0),MATCH('MM01-EXP'!AS$3,'MM01'!$3:$3,0))),"")</f>
        <v/>
      </c>
      <c r="AT32" s="43" t="str">
        <f>IFERROR(IF(INDEX('MM01'!$A:$DK,MATCH('MM01-EXP'!$B32,'MM01'!$B:$B,0),MATCH('MM01-EXP'!AT$3,'MM01'!$3:$3,0))=0,"",INDEX('MM01'!$A:$DK,MATCH('MM01-EXP'!$B32,'MM01'!$B:$B,0),MATCH('MM01-EXP'!AT$3,'MM01'!$3:$3,0))),"")</f>
        <v/>
      </c>
      <c r="AU32" s="43" t="str">
        <f>IFERROR(IF(INDEX('MM01'!$A:$DK,MATCH('MM01-EXP'!$B32,'MM01'!$B:$B,0),MATCH('MM01-EXP'!AU$3,'MM01'!$3:$3,0))=0,"",INDEX('MM01'!$A:$DK,MATCH('MM01-EXP'!$B32,'MM01'!$B:$B,0),MATCH('MM01-EXP'!AU$3,'MM01'!$3:$3,0))),"")</f>
        <v/>
      </c>
      <c r="AV32" s="43" t="str">
        <f>IFERROR(IF(INDEX('MM01'!$A:$DK,MATCH('MM01-EXP'!$B32,'MM01'!$B:$B,0),MATCH('MM01-EXP'!AV$3,'MM01'!$3:$3,0))=0,"",INDEX('MM01'!$A:$DK,MATCH('MM01-EXP'!$B32,'MM01'!$B:$B,0),MATCH('MM01-EXP'!AV$3,'MM01'!$3:$3,0))),"")</f>
        <v/>
      </c>
      <c r="AW32" s="44">
        <v>0</v>
      </c>
      <c r="AX32" s="44">
        <v>1</v>
      </c>
      <c r="AY32" s="44">
        <v>0</v>
      </c>
      <c r="AZ32" s="44" t="s">
        <v>348</v>
      </c>
      <c r="BA32" s="50" t="s">
        <v>195</v>
      </c>
      <c r="BB32" s="50" t="s">
        <v>195</v>
      </c>
      <c r="BC32" s="43" t="str">
        <f>IFERROR(IF(INDEX(Estrutura_P01[#All],MATCH($D32,Estrutura_P01[[#All],[txtMAKT-MAKTX]],0),MATCH(BC$3,Estrutura_P01[#Headers],0))=0,"",INDEX(Estrutura_P01[#All],MATCH($D32,Estrutura_P01[[#All],[txtMAKT-MAKTX]],0),MATCH(BC$3,Estrutura_P01[#Headers],0))),"")</f>
        <v/>
      </c>
      <c r="BD32" s="44"/>
      <c r="BE32" s="50">
        <v>0</v>
      </c>
      <c r="BF32" s="45" t="s">
        <v>378</v>
      </c>
      <c r="BG32" s="45" t="s">
        <v>84</v>
      </c>
      <c r="BH32" s="43" t="str">
        <f t="shared" si="3"/>
        <v>581</v>
      </c>
      <c r="BI32" s="45" t="s">
        <v>426</v>
      </c>
      <c r="BJ32" s="80"/>
      <c r="BK32" s="45">
        <v>0</v>
      </c>
      <c r="BL32" s="45" t="s">
        <v>473</v>
      </c>
      <c r="BM32" s="45" t="s">
        <v>90</v>
      </c>
      <c r="BN32" s="44"/>
      <c r="BO32" s="49" t="str">
        <f t="shared" si="4"/>
        <v>0120</v>
      </c>
      <c r="BP32" s="49" t="str">
        <f t="shared" si="5"/>
        <v>0120</v>
      </c>
      <c r="BQ32" s="45">
        <v>1</v>
      </c>
      <c r="BR32" s="44">
        <v>1</v>
      </c>
      <c r="BS32" s="44">
        <v>2</v>
      </c>
      <c r="BT32" s="50" t="s">
        <v>490</v>
      </c>
      <c r="BU32" s="80">
        <v>2</v>
      </c>
      <c r="BV32" s="80">
        <v>7</v>
      </c>
      <c r="BW32" s="44" t="s">
        <v>348</v>
      </c>
      <c r="BX32" s="44">
        <v>2</v>
      </c>
      <c r="BY32" s="44">
        <v>42</v>
      </c>
      <c r="BZ32" s="44">
        <v>10</v>
      </c>
      <c r="CA32" s="43" t="str">
        <f t="shared" si="6"/>
        <v>K00_R_0581</v>
      </c>
      <c r="CB32" s="43">
        <f t="shared" si="7"/>
        <v>1</v>
      </c>
      <c r="CC32" s="55" t="s">
        <v>909</v>
      </c>
      <c r="CD32" s="43" t="str">
        <f t="shared" ca="1" si="8"/>
        <v>17.05.2022</v>
      </c>
      <c r="CE32" s="43" t="str">
        <f t="shared" si="9"/>
        <v>31.12.9999</v>
      </c>
      <c r="CG32" s="44">
        <v>2</v>
      </c>
      <c r="CH32" s="44"/>
      <c r="CI32" s="44">
        <v>1</v>
      </c>
      <c r="CJ32" s="43" t="str">
        <f>IFERROR(IF(INDEX('MM01'!$A:$DK,MATCH('MM01-EXP'!$B32,'MM01'!$B:$B,0),MATCH('MM01-EXP'!CJ$3,'MM01'!$3:$3,0))=0,"",INDEX('MM01'!$A:$DK,MATCH('MM01-EXP'!$B32,'MM01'!$B:$B,0),MATCH('MM01-EXP'!CJ$3,'MM01'!$3:$3,0))),"")</f>
        <v/>
      </c>
      <c r="CK32" s="44">
        <v>12</v>
      </c>
      <c r="CL32" s="44">
        <v>1</v>
      </c>
      <c r="CM32" s="50" t="s">
        <v>223</v>
      </c>
      <c r="CN32" s="50" t="s">
        <v>902</v>
      </c>
      <c r="CO32" s="43" t="str">
        <f>IFERROR(IF(INDEX('MM01'!$A:$DK,MATCH('MM01-EXP'!$B32,'MM01'!$B:$B,0),MATCH('MM01-EXP'!CO$3,'MM01'!$3:$3,0))=0,"",INDEX('MM01'!$A:$DK,MATCH('MM01-EXP'!$B32,'MM01'!$B:$B,0),MATCH('MM01-EXP'!CO$3,'MM01'!$3:$3,0))),"")</f>
        <v/>
      </c>
      <c r="CP32" s="43" t="str">
        <f>IFERROR(IF(INDEX('MM01'!$A:$DK,MATCH('MM01-EXP'!$B32,'MM01'!$B:$B,0),MATCH('MM01-EXP'!CP$3,'MM01'!$3:$3,0))=0,"",INDEX('MM01'!$A:$DK,MATCH('MM01-EXP'!$B32,'MM01'!$B:$B,0),MATCH('MM01-EXP'!CP$3,'MM01'!$3:$3,0))),"")</f>
        <v/>
      </c>
      <c r="CQ32" s="60">
        <v>1</v>
      </c>
      <c r="CR32" s="44"/>
      <c r="CS32" s="44">
        <v>1</v>
      </c>
      <c r="CT32" s="44">
        <v>0</v>
      </c>
      <c r="CU32" s="44" t="s">
        <v>913</v>
      </c>
      <c r="CV32" s="45">
        <v>0</v>
      </c>
      <c r="CW32" s="43" t="str">
        <f>IFERROR(IF(INDEX('MM01'!$A:$DK,MATCH('MM01-EXP'!$B32,'MM01'!$B:$B,0),MATCH('MM01-EXP'!CW$3,'MM01'!$3:$3,0))=0,"",INDEX('MM01'!$A:$DK,MATCH('MM01-EXP'!$B32,'MM01'!$B:$B,0),MATCH('MM01-EXP'!CW$3,'MM01'!$3:$3,0))),"")</f>
        <v/>
      </c>
      <c r="CX32" s="65"/>
    </row>
    <row r="33" spans="1:102" x14ac:dyDescent="0.2">
      <c r="A33" s="7" t="str">
        <f t="shared" si="0"/>
        <v>Execução 29</v>
      </c>
      <c r="B33" s="85"/>
      <c r="C33" s="43" t="str">
        <f t="shared" si="1"/>
        <v/>
      </c>
      <c r="D33" s="43" t="str">
        <f>IF(B33&lt;&gt;"",SUBSTITUTE(VLOOKUP(B33,'MM01-BOB'!B:C,2,0),"BOBINA","TIRA"),"")</f>
        <v/>
      </c>
      <c r="E33" s="43" t="str">
        <f>IFERROR(IF(INDEX(Estrutura_P01[#All],MATCH($D33,Estrutura_P01[[#All],[txtMAKT-MAKTX]],0),MATCH(E$3,Estrutura_P01[#Headers],0))=0,"",INDEX(Estrutura_P01[#All],MATCH($D33,Estrutura_P01[[#All],[txtMAKT-MAKTX]],0),MATCH(E$3,Estrutura_P01[#Headers],0))),"")</f>
        <v/>
      </c>
      <c r="F33" s="44" t="s">
        <v>100</v>
      </c>
      <c r="G33" s="85" t="s">
        <v>4</v>
      </c>
      <c r="H33" s="86" t="s">
        <v>15</v>
      </c>
      <c r="I33" s="49" t="str">
        <f t="shared" si="2"/>
        <v>0581</v>
      </c>
      <c r="J33" s="86" t="s">
        <v>24</v>
      </c>
      <c r="K33" s="86"/>
      <c r="M33" s="45"/>
      <c r="N33" s="45"/>
      <c r="O33" s="45"/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/>
      <c r="AF33" s="45"/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3" t="str">
        <f>IFERROR(IF(INDEX('MM01'!$A:$DK,MATCH('MM01-EXP'!$B33,'MM01'!$B:$B,0),MATCH('MM01-EXP'!AO$3,'MM01'!$3:$3,0))=0,"",INDEX('MM01'!$A:$DK,MATCH('MM01-EXP'!$B33,'MM01'!$B:$B,0),MATCH('MM01-EXP'!AO$3,'MM01'!$3:$3,0))),"")</f>
        <v/>
      </c>
      <c r="AP33" s="43" t="str">
        <f>IFERROR(IF(INDEX('MM01'!$A:$DK,MATCH('MM01-EXP'!$B33,'MM01'!$B:$B,0),MATCH('MM01-EXP'!AP$3,'MM01'!$3:$3,0))=0,"",INDEX('MM01'!$A:$DK,MATCH('MM01-EXP'!$B33,'MM01'!$B:$B,0),MATCH('MM01-EXP'!AP$3,'MM01'!$3:$3,0))),"")</f>
        <v/>
      </c>
      <c r="AQ33" s="43" t="str">
        <f>IFERROR(IF(INDEX('MM01'!$A:$DK,MATCH('MM01-EXP'!$B33,'MM01'!$B:$B,0),MATCH('MM01-EXP'!AQ$3,'MM01'!$3:$3,0))=0,"",INDEX('MM01'!$A:$DK,MATCH('MM01-EXP'!$B33,'MM01'!$B:$B,0),MATCH('MM01-EXP'!AQ$3,'MM01'!$3:$3,0))),"")</f>
        <v/>
      </c>
      <c r="AR33" s="43" t="str">
        <f>IFERROR(IF(INDEX('MM01'!$A:$DK,MATCH('MM01-EXP'!$B33,'MM01'!$B:$B,0),MATCH('MM01-EXP'!AR$3,'MM01'!$3:$3,0))=0,"",INDEX('MM01'!$A:$DK,MATCH('MM01-EXP'!$B33,'MM01'!$B:$B,0),MATCH('MM01-EXP'!AR$3,'MM01'!$3:$3,0))),"")</f>
        <v/>
      </c>
      <c r="AS33" s="43" t="str">
        <f>IFERROR(IF(INDEX('MM01'!$A:$DK,MATCH('MM01-EXP'!$B33,'MM01'!$B:$B,0),MATCH('MM01-EXP'!AS$3,'MM01'!$3:$3,0))=0,"",INDEX('MM01'!$A:$DK,MATCH('MM01-EXP'!$B33,'MM01'!$B:$B,0),MATCH('MM01-EXP'!AS$3,'MM01'!$3:$3,0))),"")</f>
        <v/>
      </c>
      <c r="AT33" s="43" t="str">
        <f>IFERROR(IF(INDEX('MM01'!$A:$DK,MATCH('MM01-EXP'!$B33,'MM01'!$B:$B,0),MATCH('MM01-EXP'!AT$3,'MM01'!$3:$3,0))=0,"",INDEX('MM01'!$A:$DK,MATCH('MM01-EXP'!$B33,'MM01'!$B:$B,0),MATCH('MM01-EXP'!AT$3,'MM01'!$3:$3,0))),"")</f>
        <v/>
      </c>
      <c r="AU33" s="43" t="str">
        <f>IFERROR(IF(INDEX('MM01'!$A:$DK,MATCH('MM01-EXP'!$B33,'MM01'!$B:$B,0),MATCH('MM01-EXP'!AU$3,'MM01'!$3:$3,0))=0,"",INDEX('MM01'!$A:$DK,MATCH('MM01-EXP'!$B33,'MM01'!$B:$B,0),MATCH('MM01-EXP'!AU$3,'MM01'!$3:$3,0))),"")</f>
        <v/>
      </c>
      <c r="AV33" s="43" t="str">
        <f>IFERROR(IF(INDEX('MM01'!$A:$DK,MATCH('MM01-EXP'!$B33,'MM01'!$B:$B,0),MATCH('MM01-EXP'!AV$3,'MM01'!$3:$3,0))=0,"",INDEX('MM01'!$A:$DK,MATCH('MM01-EXP'!$B33,'MM01'!$B:$B,0),MATCH('MM01-EXP'!AV$3,'MM01'!$3:$3,0))),"")</f>
        <v/>
      </c>
      <c r="AW33" s="44">
        <v>0</v>
      </c>
      <c r="AX33" s="44">
        <v>1</v>
      </c>
      <c r="AY33" s="44">
        <v>0</v>
      </c>
      <c r="AZ33" s="44" t="s">
        <v>348</v>
      </c>
      <c r="BA33" s="50" t="s">
        <v>195</v>
      </c>
      <c r="BB33" s="50" t="s">
        <v>195</v>
      </c>
      <c r="BC33" s="43" t="str">
        <f>IFERROR(IF(INDEX(Estrutura_P01[#All],MATCH($D33,Estrutura_P01[[#All],[txtMAKT-MAKTX]],0),MATCH(BC$3,Estrutura_P01[#Headers],0))=0,"",INDEX(Estrutura_P01[#All],MATCH($D33,Estrutura_P01[[#All],[txtMAKT-MAKTX]],0),MATCH(BC$3,Estrutura_P01[#Headers],0))),"")</f>
        <v/>
      </c>
      <c r="BD33" s="44"/>
      <c r="BE33" s="50">
        <v>0</v>
      </c>
      <c r="BF33" s="45" t="s">
        <v>378</v>
      </c>
      <c r="BG33" s="45" t="s">
        <v>84</v>
      </c>
      <c r="BH33" s="43" t="str">
        <f t="shared" si="3"/>
        <v>581</v>
      </c>
      <c r="BI33" s="45" t="s">
        <v>426</v>
      </c>
      <c r="BJ33" s="80"/>
      <c r="BK33" s="45">
        <v>0</v>
      </c>
      <c r="BL33" s="45" t="s">
        <v>473</v>
      </c>
      <c r="BM33" s="45" t="s">
        <v>90</v>
      </c>
      <c r="BN33" s="44"/>
      <c r="BO33" s="49" t="str">
        <f t="shared" si="4"/>
        <v>0120</v>
      </c>
      <c r="BP33" s="49" t="str">
        <f t="shared" si="5"/>
        <v>0120</v>
      </c>
      <c r="BQ33" s="45">
        <v>1</v>
      </c>
      <c r="BR33" s="44">
        <v>1</v>
      </c>
      <c r="BS33" s="44">
        <v>2</v>
      </c>
      <c r="BT33" s="50" t="s">
        <v>490</v>
      </c>
      <c r="BU33" s="80">
        <v>2</v>
      </c>
      <c r="BV33" s="80">
        <v>7</v>
      </c>
      <c r="BW33" s="44" t="s">
        <v>348</v>
      </c>
      <c r="BX33" s="44">
        <v>2</v>
      </c>
      <c r="BY33" s="44">
        <v>42</v>
      </c>
      <c r="BZ33" s="44">
        <v>10</v>
      </c>
      <c r="CA33" s="43" t="str">
        <f t="shared" si="6"/>
        <v>K00_R_0581</v>
      </c>
      <c r="CB33" s="43">
        <f t="shared" si="7"/>
        <v>1</v>
      </c>
      <c r="CC33" s="55" t="s">
        <v>909</v>
      </c>
      <c r="CD33" s="43" t="str">
        <f t="shared" ca="1" si="8"/>
        <v>17.05.2022</v>
      </c>
      <c r="CE33" s="43" t="str">
        <f t="shared" si="9"/>
        <v>31.12.9999</v>
      </c>
      <c r="CG33" s="44">
        <v>2</v>
      </c>
      <c r="CH33" s="44"/>
      <c r="CI33" s="44">
        <v>1</v>
      </c>
      <c r="CJ33" s="43" t="str">
        <f>IFERROR(IF(INDEX('MM01'!$A:$DK,MATCH('MM01-EXP'!$B33,'MM01'!$B:$B,0),MATCH('MM01-EXP'!CJ$3,'MM01'!$3:$3,0))=0,"",INDEX('MM01'!$A:$DK,MATCH('MM01-EXP'!$B33,'MM01'!$B:$B,0),MATCH('MM01-EXP'!CJ$3,'MM01'!$3:$3,0))),"")</f>
        <v/>
      </c>
      <c r="CK33" s="44">
        <v>12</v>
      </c>
      <c r="CL33" s="44">
        <v>1</v>
      </c>
      <c r="CM33" s="50" t="s">
        <v>223</v>
      </c>
      <c r="CN33" s="50" t="s">
        <v>902</v>
      </c>
      <c r="CO33" s="43" t="str">
        <f>IFERROR(IF(INDEX('MM01'!$A:$DK,MATCH('MM01-EXP'!$B33,'MM01'!$B:$B,0),MATCH('MM01-EXP'!CO$3,'MM01'!$3:$3,0))=0,"",INDEX('MM01'!$A:$DK,MATCH('MM01-EXP'!$B33,'MM01'!$B:$B,0),MATCH('MM01-EXP'!CO$3,'MM01'!$3:$3,0))),"")</f>
        <v/>
      </c>
      <c r="CP33" s="43" t="str">
        <f>IFERROR(IF(INDEX('MM01'!$A:$DK,MATCH('MM01-EXP'!$B33,'MM01'!$B:$B,0),MATCH('MM01-EXP'!CP$3,'MM01'!$3:$3,0))=0,"",INDEX('MM01'!$A:$DK,MATCH('MM01-EXP'!$B33,'MM01'!$B:$B,0),MATCH('MM01-EXP'!CP$3,'MM01'!$3:$3,0))),"")</f>
        <v/>
      </c>
      <c r="CQ33" s="60">
        <v>1</v>
      </c>
      <c r="CR33" s="44"/>
      <c r="CS33" s="44">
        <v>1</v>
      </c>
      <c r="CT33" s="44">
        <v>0</v>
      </c>
      <c r="CU33" s="44" t="s">
        <v>913</v>
      </c>
      <c r="CV33" s="45">
        <v>0</v>
      </c>
      <c r="CW33" s="43" t="str">
        <f>IFERROR(IF(INDEX('MM01'!$A:$DK,MATCH('MM01-EXP'!$B33,'MM01'!$B:$B,0),MATCH('MM01-EXP'!CW$3,'MM01'!$3:$3,0))=0,"",INDEX('MM01'!$A:$DK,MATCH('MM01-EXP'!$B33,'MM01'!$B:$B,0),MATCH('MM01-EXP'!CW$3,'MM01'!$3:$3,0))),"")</f>
        <v/>
      </c>
      <c r="CX33" s="65"/>
    </row>
    <row r="34" spans="1:102" x14ac:dyDescent="0.2">
      <c r="A34" s="7" t="str">
        <f t="shared" si="0"/>
        <v>Execução 30</v>
      </c>
      <c r="B34" s="85"/>
      <c r="C34" s="43" t="str">
        <f t="shared" si="1"/>
        <v/>
      </c>
      <c r="D34" s="43" t="str">
        <f>IF(B34&lt;&gt;"",SUBSTITUTE(VLOOKUP(B34,'MM01-BOB'!B:C,2,0),"BOBINA","TIRA"),"")</f>
        <v/>
      </c>
      <c r="E34" s="43" t="str">
        <f>IFERROR(IF(INDEX(Estrutura_P01[#All],MATCH($D34,Estrutura_P01[[#All],[txtMAKT-MAKTX]],0),MATCH(E$3,Estrutura_P01[#Headers],0))=0,"",INDEX(Estrutura_P01[#All],MATCH($D34,Estrutura_P01[[#All],[txtMAKT-MAKTX]],0),MATCH(E$3,Estrutura_P01[#Headers],0))),"")</f>
        <v/>
      </c>
      <c r="F34" s="44" t="s">
        <v>100</v>
      </c>
      <c r="G34" s="85" t="s">
        <v>4</v>
      </c>
      <c r="H34" s="86" t="s">
        <v>15</v>
      </c>
      <c r="I34" s="49" t="str">
        <f t="shared" si="2"/>
        <v>0581</v>
      </c>
      <c r="J34" s="86" t="s">
        <v>24</v>
      </c>
      <c r="K34" s="86"/>
      <c r="M34" s="45"/>
      <c r="N34" s="45"/>
      <c r="O34" s="45"/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/>
      <c r="AF34" s="45"/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3" t="str">
        <f>IFERROR(IF(INDEX('MM01'!$A:$DK,MATCH('MM01-EXP'!$B34,'MM01'!$B:$B,0),MATCH('MM01-EXP'!AO$3,'MM01'!$3:$3,0))=0,"",INDEX('MM01'!$A:$DK,MATCH('MM01-EXP'!$B34,'MM01'!$B:$B,0),MATCH('MM01-EXP'!AO$3,'MM01'!$3:$3,0))),"")</f>
        <v/>
      </c>
      <c r="AP34" s="43" t="str">
        <f>IFERROR(IF(INDEX('MM01'!$A:$DK,MATCH('MM01-EXP'!$B34,'MM01'!$B:$B,0),MATCH('MM01-EXP'!AP$3,'MM01'!$3:$3,0))=0,"",INDEX('MM01'!$A:$DK,MATCH('MM01-EXP'!$B34,'MM01'!$B:$B,0),MATCH('MM01-EXP'!AP$3,'MM01'!$3:$3,0))),"")</f>
        <v/>
      </c>
      <c r="AQ34" s="43" t="str">
        <f>IFERROR(IF(INDEX('MM01'!$A:$DK,MATCH('MM01-EXP'!$B34,'MM01'!$B:$B,0),MATCH('MM01-EXP'!AQ$3,'MM01'!$3:$3,0))=0,"",INDEX('MM01'!$A:$DK,MATCH('MM01-EXP'!$B34,'MM01'!$B:$B,0),MATCH('MM01-EXP'!AQ$3,'MM01'!$3:$3,0))),"")</f>
        <v/>
      </c>
      <c r="AR34" s="43" t="str">
        <f>IFERROR(IF(INDEX('MM01'!$A:$DK,MATCH('MM01-EXP'!$B34,'MM01'!$B:$B,0),MATCH('MM01-EXP'!AR$3,'MM01'!$3:$3,0))=0,"",INDEX('MM01'!$A:$DK,MATCH('MM01-EXP'!$B34,'MM01'!$B:$B,0),MATCH('MM01-EXP'!AR$3,'MM01'!$3:$3,0))),"")</f>
        <v/>
      </c>
      <c r="AS34" s="43" t="str">
        <f>IFERROR(IF(INDEX('MM01'!$A:$DK,MATCH('MM01-EXP'!$B34,'MM01'!$B:$B,0),MATCH('MM01-EXP'!AS$3,'MM01'!$3:$3,0))=0,"",INDEX('MM01'!$A:$DK,MATCH('MM01-EXP'!$B34,'MM01'!$B:$B,0),MATCH('MM01-EXP'!AS$3,'MM01'!$3:$3,0))),"")</f>
        <v/>
      </c>
      <c r="AT34" s="43" t="str">
        <f>IFERROR(IF(INDEX('MM01'!$A:$DK,MATCH('MM01-EXP'!$B34,'MM01'!$B:$B,0),MATCH('MM01-EXP'!AT$3,'MM01'!$3:$3,0))=0,"",INDEX('MM01'!$A:$DK,MATCH('MM01-EXP'!$B34,'MM01'!$B:$B,0),MATCH('MM01-EXP'!AT$3,'MM01'!$3:$3,0))),"")</f>
        <v/>
      </c>
      <c r="AU34" s="43" t="str">
        <f>IFERROR(IF(INDEX('MM01'!$A:$DK,MATCH('MM01-EXP'!$B34,'MM01'!$B:$B,0),MATCH('MM01-EXP'!AU$3,'MM01'!$3:$3,0))=0,"",INDEX('MM01'!$A:$DK,MATCH('MM01-EXP'!$B34,'MM01'!$B:$B,0),MATCH('MM01-EXP'!AU$3,'MM01'!$3:$3,0))),"")</f>
        <v/>
      </c>
      <c r="AV34" s="43" t="str">
        <f>IFERROR(IF(INDEX('MM01'!$A:$DK,MATCH('MM01-EXP'!$B34,'MM01'!$B:$B,0),MATCH('MM01-EXP'!AV$3,'MM01'!$3:$3,0))=0,"",INDEX('MM01'!$A:$DK,MATCH('MM01-EXP'!$B34,'MM01'!$B:$B,0),MATCH('MM01-EXP'!AV$3,'MM01'!$3:$3,0))),"")</f>
        <v/>
      </c>
      <c r="AW34" s="44">
        <v>0</v>
      </c>
      <c r="AX34" s="44">
        <v>1</v>
      </c>
      <c r="AY34" s="44">
        <v>0</v>
      </c>
      <c r="AZ34" s="44" t="s">
        <v>348</v>
      </c>
      <c r="BA34" s="50" t="s">
        <v>195</v>
      </c>
      <c r="BB34" s="50" t="s">
        <v>195</v>
      </c>
      <c r="BC34" s="43" t="str">
        <f>IFERROR(IF(INDEX(Estrutura_P01[#All],MATCH($D34,Estrutura_P01[[#All],[txtMAKT-MAKTX]],0),MATCH(BC$3,Estrutura_P01[#Headers],0))=0,"",INDEX(Estrutura_P01[#All],MATCH($D34,Estrutura_P01[[#All],[txtMAKT-MAKTX]],0),MATCH(BC$3,Estrutura_P01[#Headers],0))),"")</f>
        <v/>
      </c>
      <c r="BD34" s="44"/>
      <c r="BE34" s="50">
        <v>0</v>
      </c>
      <c r="BF34" s="45" t="s">
        <v>378</v>
      </c>
      <c r="BG34" s="45" t="s">
        <v>84</v>
      </c>
      <c r="BH34" s="43" t="str">
        <f t="shared" si="3"/>
        <v>581</v>
      </c>
      <c r="BI34" s="45" t="s">
        <v>426</v>
      </c>
      <c r="BJ34" s="80"/>
      <c r="BK34" s="45">
        <v>0</v>
      </c>
      <c r="BL34" s="45" t="s">
        <v>473</v>
      </c>
      <c r="BM34" s="45" t="s">
        <v>90</v>
      </c>
      <c r="BN34" s="44"/>
      <c r="BO34" s="49" t="str">
        <f t="shared" si="4"/>
        <v>0120</v>
      </c>
      <c r="BP34" s="49" t="str">
        <f t="shared" si="5"/>
        <v>0120</v>
      </c>
      <c r="BQ34" s="45">
        <v>1</v>
      </c>
      <c r="BR34" s="44">
        <v>1</v>
      </c>
      <c r="BS34" s="44">
        <v>2</v>
      </c>
      <c r="BT34" s="50" t="s">
        <v>490</v>
      </c>
      <c r="BU34" s="80">
        <v>2</v>
      </c>
      <c r="BV34" s="80">
        <v>7</v>
      </c>
      <c r="BW34" s="44" t="s">
        <v>348</v>
      </c>
      <c r="BX34" s="44">
        <v>2</v>
      </c>
      <c r="BY34" s="44">
        <v>42</v>
      </c>
      <c r="BZ34" s="44">
        <v>10</v>
      </c>
      <c r="CA34" s="43" t="str">
        <f t="shared" si="6"/>
        <v>K00_R_0581</v>
      </c>
      <c r="CB34" s="43">
        <f t="shared" si="7"/>
        <v>1</v>
      </c>
      <c r="CC34" s="55" t="s">
        <v>909</v>
      </c>
      <c r="CD34" s="43" t="str">
        <f t="shared" ca="1" si="8"/>
        <v>17.05.2022</v>
      </c>
      <c r="CE34" s="43" t="str">
        <f t="shared" si="9"/>
        <v>31.12.9999</v>
      </c>
      <c r="CG34" s="44">
        <v>2</v>
      </c>
      <c r="CH34" s="44"/>
      <c r="CI34" s="44">
        <v>1</v>
      </c>
      <c r="CJ34" s="43" t="str">
        <f>IFERROR(IF(INDEX('MM01'!$A:$DK,MATCH('MM01-EXP'!$B34,'MM01'!$B:$B,0),MATCH('MM01-EXP'!CJ$3,'MM01'!$3:$3,0))=0,"",INDEX('MM01'!$A:$DK,MATCH('MM01-EXP'!$B34,'MM01'!$B:$B,0),MATCH('MM01-EXP'!CJ$3,'MM01'!$3:$3,0))),"")</f>
        <v/>
      </c>
      <c r="CK34" s="44">
        <v>12</v>
      </c>
      <c r="CL34" s="44">
        <v>1</v>
      </c>
      <c r="CM34" s="50" t="s">
        <v>223</v>
      </c>
      <c r="CN34" s="50" t="s">
        <v>902</v>
      </c>
      <c r="CO34" s="43" t="str">
        <f>IFERROR(IF(INDEX('MM01'!$A:$DK,MATCH('MM01-EXP'!$B34,'MM01'!$B:$B,0),MATCH('MM01-EXP'!CO$3,'MM01'!$3:$3,0))=0,"",INDEX('MM01'!$A:$DK,MATCH('MM01-EXP'!$B34,'MM01'!$B:$B,0),MATCH('MM01-EXP'!CO$3,'MM01'!$3:$3,0))),"")</f>
        <v/>
      </c>
      <c r="CP34" s="43" t="str">
        <f>IFERROR(IF(INDEX('MM01'!$A:$DK,MATCH('MM01-EXP'!$B34,'MM01'!$B:$B,0),MATCH('MM01-EXP'!CP$3,'MM01'!$3:$3,0))=0,"",INDEX('MM01'!$A:$DK,MATCH('MM01-EXP'!$B34,'MM01'!$B:$B,0),MATCH('MM01-EXP'!CP$3,'MM01'!$3:$3,0))),"")</f>
        <v/>
      </c>
      <c r="CQ34" s="60">
        <v>1</v>
      </c>
      <c r="CR34" s="44"/>
      <c r="CS34" s="44">
        <v>1</v>
      </c>
      <c r="CT34" s="44">
        <v>0</v>
      </c>
      <c r="CU34" s="44" t="s">
        <v>913</v>
      </c>
      <c r="CV34" s="45">
        <v>0</v>
      </c>
      <c r="CW34" s="43" t="str">
        <f>IFERROR(IF(INDEX('MM01'!$A:$DK,MATCH('MM01-EXP'!$B34,'MM01'!$B:$B,0),MATCH('MM01-EXP'!CW$3,'MM01'!$3:$3,0))=0,"",INDEX('MM01'!$A:$DK,MATCH('MM01-EXP'!$B34,'MM01'!$B:$B,0),MATCH('MM01-EXP'!CW$3,'MM01'!$3:$3,0))),"")</f>
        <v/>
      </c>
      <c r="CX34" s="65"/>
    </row>
    <row r="35" spans="1:102" x14ac:dyDescent="0.2">
      <c r="A35" s="7" t="str">
        <f t="shared" si="0"/>
        <v>Execução 31</v>
      </c>
      <c r="B35" s="85"/>
      <c r="C35" s="43" t="str">
        <f t="shared" si="1"/>
        <v/>
      </c>
      <c r="D35" s="43" t="str">
        <f>IF(B35&lt;&gt;"",SUBSTITUTE(VLOOKUP(B35,'MM01-BOB'!B:C,2,0),"BOBINA","TIRA"),"")</f>
        <v/>
      </c>
      <c r="E35" s="43" t="str">
        <f>IFERROR(IF(INDEX(Estrutura_P01[#All],MATCH($D35,Estrutura_P01[[#All],[txtMAKT-MAKTX]],0),MATCH(E$3,Estrutura_P01[#Headers],0))=0,"",INDEX(Estrutura_P01[#All],MATCH($D35,Estrutura_P01[[#All],[txtMAKT-MAKTX]],0),MATCH(E$3,Estrutura_P01[#Headers],0))),"")</f>
        <v/>
      </c>
      <c r="F35" s="44" t="s">
        <v>100</v>
      </c>
      <c r="G35" s="85" t="s">
        <v>4</v>
      </c>
      <c r="H35" s="86" t="s">
        <v>15</v>
      </c>
      <c r="I35" s="49" t="str">
        <f t="shared" si="2"/>
        <v>0581</v>
      </c>
      <c r="J35" s="86" t="s">
        <v>24</v>
      </c>
      <c r="K35" s="86"/>
      <c r="M35" s="45"/>
      <c r="N35" s="45"/>
      <c r="O35" s="45"/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/>
      <c r="AF35" s="45"/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3" t="str">
        <f>IFERROR(IF(INDEX('MM01'!$A:$DK,MATCH('MM01-EXP'!$B35,'MM01'!$B:$B,0),MATCH('MM01-EXP'!AO$3,'MM01'!$3:$3,0))=0,"",INDEX('MM01'!$A:$DK,MATCH('MM01-EXP'!$B35,'MM01'!$B:$B,0),MATCH('MM01-EXP'!AO$3,'MM01'!$3:$3,0))),"")</f>
        <v/>
      </c>
      <c r="AP35" s="43" t="str">
        <f>IFERROR(IF(INDEX('MM01'!$A:$DK,MATCH('MM01-EXP'!$B35,'MM01'!$B:$B,0),MATCH('MM01-EXP'!AP$3,'MM01'!$3:$3,0))=0,"",INDEX('MM01'!$A:$DK,MATCH('MM01-EXP'!$B35,'MM01'!$B:$B,0),MATCH('MM01-EXP'!AP$3,'MM01'!$3:$3,0))),"")</f>
        <v/>
      </c>
      <c r="AQ35" s="43" t="str">
        <f>IFERROR(IF(INDEX('MM01'!$A:$DK,MATCH('MM01-EXP'!$B35,'MM01'!$B:$B,0),MATCH('MM01-EXP'!AQ$3,'MM01'!$3:$3,0))=0,"",INDEX('MM01'!$A:$DK,MATCH('MM01-EXP'!$B35,'MM01'!$B:$B,0),MATCH('MM01-EXP'!AQ$3,'MM01'!$3:$3,0))),"")</f>
        <v/>
      </c>
      <c r="AR35" s="43" t="str">
        <f>IFERROR(IF(INDEX('MM01'!$A:$DK,MATCH('MM01-EXP'!$B35,'MM01'!$B:$B,0),MATCH('MM01-EXP'!AR$3,'MM01'!$3:$3,0))=0,"",INDEX('MM01'!$A:$DK,MATCH('MM01-EXP'!$B35,'MM01'!$B:$B,0),MATCH('MM01-EXP'!AR$3,'MM01'!$3:$3,0))),"")</f>
        <v/>
      </c>
      <c r="AS35" s="43" t="str">
        <f>IFERROR(IF(INDEX('MM01'!$A:$DK,MATCH('MM01-EXP'!$B35,'MM01'!$B:$B,0),MATCH('MM01-EXP'!AS$3,'MM01'!$3:$3,0))=0,"",INDEX('MM01'!$A:$DK,MATCH('MM01-EXP'!$B35,'MM01'!$B:$B,0),MATCH('MM01-EXP'!AS$3,'MM01'!$3:$3,0))),"")</f>
        <v/>
      </c>
      <c r="AT35" s="43" t="str">
        <f>IFERROR(IF(INDEX('MM01'!$A:$DK,MATCH('MM01-EXP'!$B35,'MM01'!$B:$B,0),MATCH('MM01-EXP'!AT$3,'MM01'!$3:$3,0))=0,"",INDEX('MM01'!$A:$DK,MATCH('MM01-EXP'!$B35,'MM01'!$B:$B,0),MATCH('MM01-EXP'!AT$3,'MM01'!$3:$3,0))),"")</f>
        <v/>
      </c>
      <c r="AU35" s="43" t="str">
        <f>IFERROR(IF(INDEX('MM01'!$A:$DK,MATCH('MM01-EXP'!$B35,'MM01'!$B:$B,0),MATCH('MM01-EXP'!AU$3,'MM01'!$3:$3,0))=0,"",INDEX('MM01'!$A:$DK,MATCH('MM01-EXP'!$B35,'MM01'!$B:$B,0),MATCH('MM01-EXP'!AU$3,'MM01'!$3:$3,0))),"")</f>
        <v/>
      </c>
      <c r="AV35" s="43" t="str">
        <f>IFERROR(IF(INDEX('MM01'!$A:$DK,MATCH('MM01-EXP'!$B35,'MM01'!$B:$B,0),MATCH('MM01-EXP'!AV$3,'MM01'!$3:$3,0))=0,"",INDEX('MM01'!$A:$DK,MATCH('MM01-EXP'!$B35,'MM01'!$B:$B,0),MATCH('MM01-EXP'!AV$3,'MM01'!$3:$3,0))),"")</f>
        <v/>
      </c>
      <c r="AW35" s="44">
        <v>0</v>
      </c>
      <c r="AX35" s="44">
        <v>1</v>
      </c>
      <c r="AY35" s="44">
        <v>0</v>
      </c>
      <c r="AZ35" s="44" t="s">
        <v>348</v>
      </c>
      <c r="BA35" s="50" t="s">
        <v>195</v>
      </c>
      <c r="BB35" s="50" t="s">
        <v>195</v>
      </c>
      <c r="BC35" s="43" t="str">
        <f>IFERROR(IF(INDEX(Estrutura_P01[#All],MATCH($D35,Estrutura_P01[[#All],[txtMAKT-MAKTX]],0),MATCH(BC$3,Estrutura_P01[#Headers],0))=0,"",INDEX(Estrutura_P01[#All],MATCH($D35,Estrutura_P01[[#All],[txtMAKT-MAKTX]],0),MATCH(BC$3,Estrutura_P01[#Headers],0))),"")</f>
        <v/>
      </c>
      <c r="BD35" s="44"/>
      <c r="BE35" s="50">
        <v>0</v>
      </c>
      <c r="BF35" s="45" t="s">
        <v>378</v>
      </c>
      <c r="BG35" s="45" t="s">
        <v>84</v>
      </c>
      <c r="BH35" s="43" t="str">
        <f t="shared" si="3"/>
        <v>581</v>
      </c>
      <c r="BI35" s="45" t="s">
        <v>426</v>
      </c>
      <c r="BJ35" s="80"/>
      <c r="BK35" s="45">
        <v>0</v>
      </c>
      <c r="BL35" s="45" t="s">
        <v>473</v>
      </c>
      <c r="BM35" s="45" t="s">
        <v>90</v>
      </c>
      <c r="BN35" s="44"/>
      <c r="BO35" s="49" t="str">
        <f t="shared" si="4"/>
        <v>0120</v>
      </c>
      <c r="BP35" s="49" t="str">
        <f t="shared" si="5"/>
        <v>0120</v>
      </c>
      <c r="BQ35" s="45">
        <v>1</v>
      </c>
      <c r="BR35" s="44">
        <v>1</v>
      </c>
      <c r="BS35" s="44">
        <v>2</v>
      </c>
      <c r="BT35" s="50" t="s">
        <v>490</v>
      </c>
      <c r="BU35" s="80">
        <v>2</v>
      </c>
      <c r="BV35" s="80">
        <v>7</v>
      </c>
      <c r="BW35" s="44" t="s">
        <v>348</v>
      </c>
      <c r="BX35" s="44">
        <v>2</v>
      </c>
      <c r="BY35" s="44">
        <v>42</v>
      </c>
      <c r="BZ35" s="44">
        <v>10</v>
      </c>
      <c r="CA35" s="43" t="str">
        <f t="shared" si="6"/>
        <v>K00_R_0581</v>
      </c>
      <c r="CB35" s="43">
        <f t="shared" si="7"/>
        <v>1</v>
      </c>
      <c r="CC35" s="55" t="s">
        <v>909</v>
      </c>
      <c r="CD35" s="43" t="str">
        <f t="shared" ca="1" si="8"/>
        <v>17.05.2022</v>
      </c>
      <c r="CE35" s="43" t="str">
        <f t="shared" si="9"/>
        <v>31.12.9999</v>
      </c>
      <c r="CG35" s="44">
        <v>2</v>
      </c>
      <c r="CH35" s="44"/>
      <c r="CI35" s="44">
        <v>1</v>
      </c>
      <c r="CJ35" s="43" t="str">
        <f>IFERROR(IF(INDEX('MM01'!$A:$DK,MATCH('MM01-EXP'!$B35,'MM01'!$B:$B,0),MATCH('MM01-EXP'!CJ$3,'MM01'!$3:$3,0))=0,"",INDEX('MM01'!$A:$DK,MATCH('MM01-EXP'!$B35,'MM01'!$B:$B,0),MATCH('MM01-EXP'!CJ$3,'MM01'!$3:$3,0))),"")</f>
        <v/>
      </c>
      <c r="CK35" s="44">
        <v>12</v>
      </c>
      <c r="CL35" s="44">
        <v>1</v>
      </c>
      <c r="CM35" s="50" t="s">
        <v>223</v>
      </c>
      <c r="CN35" s="50" t="s">
        <v>902</v>
      </c>
      <c r="CO35" s="43" t="str">
        <f>IFERROR(IF(INDEX('MM01'!$A:$DK,MATCH('MM01-EXP'!$B35,'MM01'!$B:$B,0),MATCH('MM01-EXP'!CO$3,'MM01'!$3:$3,0))=0,"",INDEX('MM01'!$A:$DK,MATCH('MM01-EXP'!$B35,'MM01'!$B:$B,0),MATCH('MM01-EXP'!CO$3,'MM01'!$3:$3,0))),"")</f>
        <v/>
      </c>
      <c r="CP35" s="43" t="str">
        <f>IFERROR(IF(INDEX('MM01'!$A:$DK,MATCH('MM01-EXP'!$B35,'MM01'!$B:$B,0),MATCH('MM01-EXP'!CP$3,'MM01'!$3:$3,0))=0,"",INDEX('MM01'!$A:$DK,MATCH('MM01-EXP'!$B35,'MM01'!$B:$B,0),MATCH('MM01-EXP'!CP$3,'MM01'!$3:$3,0))),"")</f>
        <v/>
      </c>
      <c r="CQ35" s="60">
        <v>1</v>
      </c>
      <c r="CR35" s="44"/>
      <c r="CS35" s="44">
        <v>1</v>
      </c>
      <c r="CT35" s="44">
        <v>0</v>
      </c>
      <c r="CU35" s="44" t="s">
        <v>913</v>
      </c>
      <c r="CV35" s="45">
        <v>0</v>
      </c>
      <c r="CW35" s="43" t="str">
        <f>IFERROR(IF(INDEX('MM01'!$A:$DK,MATCH('MM01-EXP'!$B35,'MM01'!$B:$B,0),MATCH('MM01-EXP'!CW$3,'MM01'!$3:$3,0))=0,"",INDEX('MM01'!$A:$DK,MATCH('MM01-EXP'!$B35,'MM01'!$B:$B,0),MATCH('MM01-EXP'!CW$3,'MM01'!$3:$3,0))),"")</f>
        <v/>
      </c>
      <c r="CX35" s="65"/>
    </row>
    <row r="36" spans="1:102" x14ac:dyDescent="0.2">
      <c r="A36" s="7" t="str">
        <f t="shared" si="0"/>
        <v>Execução 32</v>
      </c>
      <c r="B36" s="85"/>
      <c r="C36" s="43" t="str">
        <f t="shared" si="1"/>
        <v/>
      </c>
      <c r="D36" s="43" t="str">
        <f>IF(B36&lt;&gt;"",SUBSTITUTE(VLOOKUP(B36,'MM01-BOB'!B:C,2,0),"BOBINA","TIRA"),"")</f>
        <v/>
      </c>
      <c r="E36" s="43" t="str">
        <f>IFERROR(IF(INDEX(Estrutura_P01[#All],MATCH($D36,Estrutura_P01[[#All],[txtMAKT-MAKTX]],0),MATCH(E$3,Estrutura_P01[#Headers],0))=0,"",INDEX(Estrutura_P01[#All],MATCH($D36,Estrutura_P01[[#All],[txtMAKT-MAKTX]],0),MATCH(E$3,Estrutura_P01[#Headers],0))),"")</f>
        <v/>
      </c>
      <c r="F36" s="44" t="s">
        <v>100</v>
      </c>
      <c r="G36" s="85" t="s">
        <v>4</v>
      </c>
      <c r="H36" s="86" t="s">
        <v>15</v>
      </c>
      <c r="I36" s="49" t="str">
        <f t="shared" si="2"/>
        <v>0581</v>
      </c>
      <c r="J36" s="86" t="s">
        <v>24</v>
      </c>
      <c r="K36" s="86"/>
      <c r="M36" s="45"/>
      <c r="N36" s="45"/>
      <c r="O36" s="45"/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/>
      <c r="AF36" s="45"/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3" t="str">
        <f>IFERROR(IF(INDEX('MM01'!$A:$DK,MATCH('MM01-EXP'!$B36,'MM01'!$B:$B,0),MATCH('MM01-EXP'!AO$3,'MM01'!$3:$3,0))=0,"",INDEX('MM01'!$A:$DK,MATCH('MM01-EXP'!$B36,'MM01'!$B:$B,0),MATCH('MM01-EXP'!AO$3,'MM01'!$3:$3,0))),"")</f>
        <v/>
      </c>
      <c r="AP36" s="43" t="str">
        <f>IFERROR(IF(INDEX('MM01'!$A:$DK,MATCH('MM01-EXP'!$B36,'MM01'!$B:$B,0),MATCH('MM01-EXP'!AP$3,'MM01'!$3:$3,0))=0,"",INDEX('MM01'!$A:$DK,MATCH('MM01-EXP'!$B36,'MM01'!$B:$B,0),MATCH('MM01-EXP'!AP$3,'MM01'!$3:$3,0))),"")</f>
        <v/>
      </c>
      <c r="AQ36" s="43" t="str">
        <f>IFERROR(IF(INDEX('MM01'!$A:$DK,MATCH('MM01-EXP'!$B36,'MM01'!$B:$B,0),MATCH('MM01-EXP'!AQ$3,'MM01'!$3:$3,0))=0,"",INDEX('MM01'!$A:$DK,MATCH('MM01-EXP'!$B36,'MM01'!$B:$B,0),MATCH('MM01-EXP'!AQ$3,'MM01'!$3:$3,0))),"")</f>
        <v/>
      </c>
      <c r="AR36" s="43" t="str">
        <f>IFERROR(IF(INDEX('MM01'!$A:$DK,MATCH('MM01-EXP'!$B36,'MM01'!$B:$B,0),MATCH('MM01-EXP'!AR$3,'MM01'!$3:$3,0))=0,"",INDEX('MM01'!$A:$DK,MATCH('MM01-EXP'!$B36,'MM01'!$B:$B,0),MATCH('MM01-EXP'!AR$3,'MM01'!$3:$3,0))),"")</f>
        <v/>
      </c>
      <c r="AS36" s="43" t="str">
        <f>IFERROR(IF(INDEX('MM01'!$A:$DK,MATCH('MM01-EXP'!$B36,'MM01'!$B:$B,0),MATCH('MM01-EXP'!AS$3,'MM01'!$3:$3,0))=0,"",INDEX('MM01'!$A:$DK,MATCH('MM01-EXP'!$B36,'MM01'!$B:$B,0),MATCH('MM01-EXP'!AS$3,'MM01'!$3:$3,0))),"")</f>
        <v/>
      </c>
      <c r="AT36" s="43" t="str">
        <f>IFERROR(IF(INDEX('MM01'!$A:$DK,MATCH('MM01-EXP'!$B36,'MM01'!$B:$B,0),MATCH('MM01-EXP'!AT$3,'MM01'!$3:$3,0))=0,"",INDEX('MM01'!$A:$DK,MATCH('MM01-EXP'!$B36,'MM01'!$B:$B,0),MATCH('MM01-EXP'!AT$3,'MM01'!$3:$3,0))),"")</f>
        <v/>
      </c>
      <c r="AU36" s="43" t="str">
        <f>IFERROR(IF(INDEX('MM01'!$A:$DK,MATCH('MM01-EXP'!$B36,'MM01'!$B:$B,0),MATCH('MM01-EXP'!AU$3,'MM01'!$3:$3,0))=0,"",INDEX('MM01'!$A:$DK,MATCH('MM01-EXP'!$B36,'MM01'!$B:$B,0),MATCH('MM01-EXP'!AU$3,'MM01'!$3:$3,0))),"")</f>
        <v/>
      </c>
      <c r="AV36" s="43" t="str">
        <f>IFERROR(IF(INDEX('MM01'!$A:$DK,MATCH('MM01-EXP'!$B36,'MM01'!$B:$B,0),MATCH('MM01-EXP'!AV$3,'MM01'!$3:$3,0))=0,"",INDEX('MM01'!$A:$DK,MATCH('MM01-EXP'!$B36,'MM01'!$B:$B,0),MATCH('MM01-EXP'!AV$3,'MM01'!$3:$3,0))),"")</f>
        <v/>
      </c>
      <c r="AW36" s="44">
        <v>0</v>
      </c>
      <c r="AX36" s="44">
        <v>1</v>
      </c>
      <c r="AY36" s="44">
        <v>0</v>
      </c>
      <c r="AZ36" s="44" t="s">
        <v>348</v>
      </c>
      <c r="BA36" s="50" t="s">
        <v>195</v>
      </c>
      <c r="BB36" s="50" t="s">
        <v>195</v>
      </c>
      <c r="BC36" s="43" t="str">
        <f>IFERROR(IF(INDEX(Estrutura_P01[#All],MATCH($D36,Estrutura_P01[[#All],[txtMAKT-MAKTX]],0),MATCH(BC$3,Estrutura_P01[#Headers],0))=0,"",INDEX(Estrutura_P01[#All],MATCH($D36,Estrutura_P01[[#All],[txtMAKT-MAKTX]],0),MATCH(BC$3,Estrutura_P01[#Headers],0))),"")</f>
        <v/>
      </c>
      <c r="BD36" s="44"/>
      <c r="BE36" s="50">
        <v>0</v>
      </c>
      <c r="BF36" s="45" t="s">
        <v>378</v>
      </c>
      <c r="BG36" s="45" t="s">
        <v>84</v>
      </c>
      <c r="BH36" s="43" t="str">
        <f t="shared" si="3"/>
        <v>581</v>
      </c>
      <c r="BI36" s="45" t="s">
        <v>426</v>
      </c>
      <c r="BJ36" s="80"/>
      <c r="BK36" s="45">
        <v>0</v>
      </c>
      <c r="BL36" s="45" t="s">
        <v>473</v>
      </c>
      <c r="BM36" s="45" t="s">
        <v>90</v>
      </c>
      <c r="BN36" s="44"/>
      <c r="BO36" s="49" t="str">
        <f t="shared" si="4"/>
        <v>0120</v>
      </c>
      <c r="BP36" s="49" t="str">
        <f t="shared" si="5"/>
        <v>0120</v>
      </c>
      <c r="BQ36" s="45">
        <v>1</v>
      </c>
      <c r="BR36" s="44">
        <v>1</v>
      </c>
      <c r="BS36" s="44">
        <v>2</v>
      </c>
      <c r="BT36" s="50" t="s">
        <v>490</v>
      </c>
      <c r="BU36" s="80">
        <v>2</v>
      </c>
      <c r="BV36" s="80">
        <v>7</v>
      </c>
      <c r="BW36" s="44" t="s">
        <v>348</v>
      </c>
      <c r="BX36" s="44">
        <v>2</v>
      </c>
      <c r="BY36" s="44">
        <v>42</v>
      </c>
      <c r="BZ36" s="44">
        <v>10</v>
      </c>
      <c r="CA36" s="43" t="str">
        <f t="shared" si="6"/>
        <v>K00_R_0581</v>
      </c>
      <c r="CB36" s="43">
        <f t="shared" si="7"/>
        <v>1</v>
      </c>
      <c r="CC36" s="55" t="s">
        <v>909</v>
      </c>
      <c r="CD36" s="43" t="str">
        <f t="shared" ca="1" si="8"/>
        <v>17.05.2022</v>
      </c>
      <c r="CE36" s="43" t="str">
        <f t="shared" si="9"/>
        <v>31.12.9999</v>
      </c>
      <c r="CG36" s="44">
        <v>2</v>
      </c>
      <c r="CH36" s="44"/>
      <c r="CI36" s="44">
        <v>1</v>
      </c>
      <c r="CJ36" s="43" t="str">
        <f>IFERROR(IF(INDEX('MM01'!$A:$DK,MATCH('MM01-EXP'!$B36,'MM01'!$B:$B,0),MATCH('MM01-EXP'!CJ$3,'MM01'!$3:$3,0))=0,"",INDEX('MM01'!$A:$DK,MATCH('MM01-EXP'!$B36,'MM01'!$B:$B,0),MATCH('MM01-EXP'!CJ$3,'MM01'!$3:$3,0))),"")</f>
        <v/>
      </c>
      <c r="CK36" s="44">
        <v>12</v>
      </c>
      <c r="CL36" s="44">
        <v>1</v>
      </c>
      <c r="CM36" s="50" t="s">
        <v>223</v>
      </c>
      <c r="CN36" s="50" t="s">
        <v>902</v>
      </c>
      <c r="CO36" s="43" t="str">
        <f>IFERROR(IF(INDEX('MM01'!$A:$DK,MATCH('MM01-EXP'!$B36,'MM01'!$B:$B,0),MATCH('MM01-EXP'!CO$3,'MM01'!$3:$3,0))=0,"",INDEX('MM01'!$A:$DK,MATCH('MM01-EXP'!$B36,'MM01'!$B:$B,0),MATCH('MM01-EXP'!CO$3,'MM01'!$3:$3,0))),"")</f>
        <v/>
      </c>
      <c r="CP36" s="43" t="str">
        <f>IFERROR(IF(INDEX('MM01'!$A:$DK,MATCH('MM01-EXP'!$B36,'MM01'!$B:$B,0),MATCH('MM01-EXP'!CP$3,'MM01'!$3:$3,0))=0,"",INDEX('MM01'!$A:$DK,MATCH('MM01-EXP'!$B36,'MM01'!$B:$B,0),MATCH('MM01-EXP'!CP$3,'MM01'!$3:$3,0))),"")</f>
        <v/>
      </c>
      <c r="CQ36" s="60">
        <v>1</v>
      </c>
      <c r="CR36" s="44"/>
      <c r="CS36" s="44">
        <v>1</v>
      </c>
      <c r="CT36" s="44">
        <v>0</v>
      </c>
      <c r="CU36" s="44" t="s">
        <v>913</v>
      </c>
      <c r="CV36" s="45">
        <v>0</v>
      </c>
      <c r="CW36" s="43" t="str">
        <f>IFERROR(IF(INDEX('MM01'!$A:$DK,MATCH('MM01-EXP'!$B36,'MM01'!$B:$B,0),MATCH('MM01-EXP'!CW$3,'MM01'!$3:$3,0))=0,"",INDEX('MM01'!$A:$DK,MATCH('MM01-EXP'!$B36,'MM01'!$B:$B,0),MATCH('MM01-EXP'!CW$3,'MM01'!$3:$3,0))),"")</f>
        <v/>
      </c>
      <c r="CX36" s="65"/>
    </row>
    <row r="37" spans="1:102" x14ac:dyDescent="0.2">
      <c r="A37" s="7" t="str">
        <f t="shared" si="0"/>
        <v>Execução 33</v>
      </c>
      <c r="B37" s="85"/>
      <c r="C37" s="43" t="str">
        <f t="shared" si="1"/>
        <v/>
      </c>
      <c r="D37" s="43" t="str">
        <f>IF(B37&lt;&gt;"",SUBSTITUTE(VLOOKUP(B37,'MM01-BOB'!B:C,2,0),"BOBINA","TIRA"),"")</f>
        <v/>
      </c>
      <c r="E37" s="43" t="str">
        <f>IFERROR(IF(INDEX(Estrutura_P01[#All],MATCH($D37,Estrutura_P01[[#All],[txtMAKT-MAKTX]],0),MATCH(E$3,Estrutura_P01[#Headers],0))=0,"",INDEX(Estrutura_P01[#All],MATCH($D37,Estrutura_P01[[#All],[txtMAKT-MAKTX]],0),MATCH(E$3,Estrutura_P01[#Headers],0))),"")</f>
        <v/>
      </c>
      <c r="F37" s="44" t="s">
        <v>100</v>
      </c>
      <c r="G37" s="85" t="s">
        <v>4</v>
      </c>
      <c r="H37" s="86" t="s">
        <v>15</v>
      </c>
      <c r="I37" s="49" t="str">
        <f t="shared" si="2"/>
        <v>0581</v>
      </c>
      <c r="J37" s="86" t="s">
        <v>24</v>
      </c>
      <c r="K37" s="86"/>
      <c r="M37" s="45"/>
      <c r="N37" s="45"/>
      <c r="O37" s="45"/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/>
      <c r="AF37" s="45"/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3" t="str">
        <f>IFERROR(IF(INDEX('MM01'!$A:$DK,MATCH('MM01-EXP'!$B37,'MM01'!$B:$B,0),MATCH('MM01-EXP'!AO$3,'MM01'!$3:$3,0))=0,"",INDEX('MM01'!$A:$DK,MATCH('MM01-EXP'!$B37,'MM01'!$B:$B,0),MATCH('MM01-EXP'!AO$3,'MM01'!$3:$3,0))),"")</f>
        <v/>
      </c>
      <c r="AP37" s="43" t="str">
        <f>IFERROR(IF(INDEX('MM01'!$A:$DK,MATCH('MM01-EXP'!$B37,'MM01'!$B:$B,0),MATCH('MM01-EXP'!AP$3,'MM01'!$3:$3,0))=0,"",INDEX('MM01'!$A:$DK,MATCH('MM01-EXP'!$B37,'MM01'!$B:$B,0),MATCH('MM01-EXP'!AP$3,'MM01'!$3:$3,0))),"")</f>
        <v/>
      </c>
      <c r="AQ37" s="43" t="str">
        <f>IFERROR(IF(INDEX('MM01'!$A:$DK,MATCH('MM01-EXP'!$B37,'MM01'!$B:$B,0),MATCH('MM01-EXP'!AQ$3,'MM01'!$3:$3,0))=0,"",INDEX('MM01'!$A:$DK,MATCH('MM01-EXP'!$B37,'MM01'!$B:$B,0),MATCH('MM01-EXP'!AQ$3,'MM01'!$3:$3,0))),"")</f>
        <v/>
      </c>
      <c r="AR37" s="43" t="str">
        <f>IFERROR(IF(INDEX('MM01'!$A:$DK,MATCH('MM01-EXP'!$B37,'MM01'!$B:$B,0),MATCH('MM01-EXP'!AR$3,'MM01'!$3:$3,0))=0,"",INDEX('MM01'!$A:$DK,MATCH('MM01-EXP'!$B37,'MM01'!$B:$B,0),MATCH('MM01-EXP'!AR$3,'MM01'!$3:$3,0))),"")</f>
        <v/>
      </c>
      <c r="AS37" s="43" t="str">
        <f>IFERROR(IF(INDEX('MM01'!$A:$DK,MATCH('MM01-EXP'!$B37,'MM01'!$B:$B,0),MATCH('MM01-EXP'!AS$3,'MM01'!$3:$3,0))=0,"",INDEX('MM01'!$A:$DK,MATCH('MM01-EXP'!$B37,'MM01'!$B:$B,0),MATCH('MM01-EXP'!AS$3,'MM01'!$3:$3,0))),"")</f>
        <v/>
      </c>
      <c r="AT37" s="43" t="str">
        <f>IFERROR(IF(INDEX('MM01'!$A:$DK,MATCH('MM01-EXP'!$B37,'MM01'!$B:$B,0),MATCH('MM01-EXP'!AT$3,'MM01'!$3:$3,0))=0,"",INDEX('MM01'!$A:$DK,MATCH('MM01-EXP'!$B37,'MM01'!$B:$B,0),MATCH('MM01-EXP'!AT$3,'MM01'!$3:$3,0))),"")</f>
        <v/>
      </c>
      <c r="AU37" s="43" t="str">
        <f>IFERROR(IF(INDEX('MM01'!$A:$DK,MATCH('MM01-EXP'!$B37,'MM01'!$B:$B,0),MATCH('MM01-EXP'!AU$3,'MM01'!$3:$3,0))=0,"",INDEX('MM01'!$A:$DK,MATCH('MM01-EXP'!$B37,'MM01'!$B:$B,0),MATCH('MM01-EXP'!AU$3,'MM01'!$3:$3,0))),"")</f>
        <v/>
      </c>
      <c r="AV37" s="43" t="str">
        <f>IFERROR(IF(INDEX('MM01'!$A:$DK,MATCH('MM01-EXP'!$B37,'MM01'!$B:$B,0),MATCH('MM01-EXP'!AV$3,'MM01'!$3:$3,0))=0,"",INDEX('MM01'!$A:$DK,MATCH('MM01-EXP'!$B37,'MM01'!$B:$B,0),MATCH('MM01-EXP'!AV$3,'MM01'!$3:$3,0))),"")</f>
        <v/>
      </c>
      <c r="AW37" s="44">
        <v>0</v>
      </c>
      <c r="AX37" s="44">
        <v>1</v>
      </c>
      <c r="AY37" s="44">
        <v>0</v>
      </c>
      <c r="AZ37" s="44" t="s">
        <v>348</v>
      </c>
      <c r="BA37" s="50" t="s">
        <v>195</v>
      </c>
      <c r="BB37" s="50" t="s">
        <v>195</v>
      </c>
      <c r="BC37" s="43" t="str">
        <f>IFERROR(IF(INDEX(Estrutura_P01[#All],MATCH($D37,Estrutura_P01[[#All],[txtMAKT-MAKTX]],0),MATCH(BC$3,Estrutura_P01[#Headers],0))=0,"",INDEX(Estrutura_P01[#All],MATCH($D37,Estrutura_P01[[#All],[txtMAKT-MAKTX]],0),MATCH(BC$3,Estrutura_P01[#Headers],0))),"")</f>
        <v/>
      </c>
      <c r="BD37" s="44"/>
      <c r="BE37" s="50">
        <v>0</v>
      </c>
      <c r="BF37" s="45" t="s">
        <v>378</v>
      </c>
      <c r="BG37" s="45" t="s">
        <v>84</v>
      </c>
      <c r="BH37" s="43" t="str">
        <f t="shared" si="3"/>
        <v>581</v>
      </c>
      <c r="BI37" s="45" t="s">
        <v>426</v>
      </c>
      <c r="BJ37" s="80"/>
      <c r="BK37" s="45">
        <v>0</v>
      </c>
      <c r="BL37" s="45" t="s">
        <v>473</v>
      </c>
      <c r="BM37" s="45" t="s">
        <v>90</v>
      </c>
      <c r="BN37" s="44"/>
      <c r="BO37" s="49" t="str">
        <f t="shared" si="4"/>
        <v>0120</v>
      </c>
      <c r="BP37" s="49" t="str">
        <f t="shared" si="5"/>
        <v>0120</v>
      </c>
      <c r="BQ37" s="45">
        <v>1</v>
      </c>
      <c r="BR37" s="44">
        <v>1</v>
      </c>
      <c r="BS37" s="44">
        <v>2</v>
      </c>
      <c r="BT37" s="50" t="s">
        <v>490</v>
      </c>
      <c r="BU37" s="80">
        <v>2</v>
      </c>
      <c r="BV37" s="80">
        <v>7</v>
      </c>
      <c r="BW37" s="44" t="s">
        <v>348</v>
      </c>
      <c r="BX37" s="44">
        <v>2</v>
      </c>
      <c r="BY37" s="44">
        <v>42</v>
      </c>
      <c r="BZ37" s="44">
        <v>10</v>
      </c>
      <c r="CA37" s="43" t="str">
        <f t="shared" si="6"/>
        <v>K00_R_0581</v>
      </c>
      <c r="CB37" s="43">
        <f t="shared" si="7"/>
        <v>1</v>
      </c>
      <c r="CC37" s="55" t="s">
        <v>909</v>
      </c>
      <c r="CD37" s="43" t="str">
        <f t="shared" ca="1" si="8"/>
        <v>17.05.2022</v>
      </c>
      <c r="CE37" s="43" t="str">
        <f t="shared" si="9"/>
        <v>31.12.9999</v>
      </c>
      <c r="CG37" s="44">
        <v>2</v>
      </c>
      <c r="CH37" s="44"/>
      <c r="CI37" s="44">
        <v>1</v>
      </c>
      <c r="CJ37" s="43" t="str">
        <f>IFERROR(IF(INDEX('MM01'!$A:$DK,MATCH('MM01-EXP'!$B37,'MM01'!$B:$B,0),MATCH('MM01-EXP'!CJ$3,'MM01'!$3:$3,0))=0,"",INDEX('MM01'!$A:$DK,MATCH('MM01-EXP'!$B37,'MM01'!$B:$B,0),MATCH('MM01-EXP'!CJ$3,'MM01'!$3:$3,0))),"")</f>
        <v/>
      </c>
      <c r="CK37" s="44">
        <v>12</v>
      </c>
      <c r="CL37" s="44">
        <v>1</v>
      </c>
      <c r="CM37" s="50" t="s">
        <v>223</v>
      </c>
      <c r="CN37" s="50" t="s">
        <v>902</v>
      </c>
      <c r="CO37" s="43" t="str">
        <f>IFERROR(IF(INDEX('MM01'!$A:$DK,MATCH('MM01-EXP'!$B37,'MM01'!$B:$B,0),MATCH('MM01-EXP'!CO$3,'MM01'!$3:$3,0))=0,"",INDEX('MM01'!$A:$DK,MATCH('MM01-EXP'!$B37,'MM01'!$B:$B,0),MATCH('MM01-EXP'!CO$3,'MM01'!$3:$3,0))),"")</f>
        <v/>
      </c>
      <c r="CP37" s="43" t="str">
        <f>IFERROR(IF(INDEX('MM01'!$A:$DK,MATCH('MM01-EXP'!$B37,'MM01'!$B:$B,0),MATCH('MM01-EXP'!CP$3,'MM01'!$3:$3,0))=0,"",INDEX('MM01'!$A:$DK,MATCH('MM01-EXP'!$B37,'MM01'!$B:$B,0),MATCH('MM01-EXP'!CP$3,'MM01'!$3:$3,0))),"")</f>
        <v/>
      </c>
      <c r="CQ37" s="60">
        <v>1</v>
      </c>
      <c r="CR37" s="44"/>
      <c r="CS37" s="44">
        <v>1</v>
      </c>
      <c r="CT37" s="44">
        <v>0</v>
      </c>
      <c r="CU37" s="44" t="s">
        <v>913</v>
      </c>
      <c r="CV37" s="45">
        <v>0</v>
      </c>
      <c r="CW37" s="43" t="str">
        <f>IFERROR(IF(INDEX('MM01'!$A:$DK,MATCH('MM01-EXP'!$B37,'MM01'!$B:$B,0),MATCH('MM01-EXP'!CW$3,'MM01'!$3:$3,0))=0,"",INDEX('MM01'!$A:$DK,MATCH('MM01-EXP'!$B37,'MM01'!$B:$B,0),MATCH('MM01-EXP'!CW$3,'MM01'!$3:$3,0))),"")</f>
        <v/>
      </c>
      <c r="CX37" s="65"/>
    </row>
    <row r="38" spans="1:102" x14ac:dyDescent="0.2">
      <c r="A38" s="7" t="str">
        <f t="shared" si="0"/>
        <v>Execução 34</v>
      </c>
      <c r="B38" s="85"/>
      <c r="C38" s="43" t="str">
        <f t="shared" si="1"/>
        <v/>
      </c>
      <c r="D38" s="43" t="str">
        <f>IF(B38&lt;&gt;"",SUBSTITUTE(VLOOKUP(B38,'MM01-BOB'!B:C,2,0),"BOBINA","TIRA"),"")</f>
        <v/>
      </c>
      <c r="E38" s="43" t="str">
        <f>IFERROR(IF(INDEX(Estrutura_P01[#All],MATCH($D38,Estrutura_P01[[#All],[txtMAKT-MAKTX]],0),MATCH(E$3,Estrutura_P01[#Headers],0))=0,"",INDEX(Estrutura_P01[#All],MATCH($D38,Estrutura_P01[[#All],[txtMAKT-MAKTX]],0),MATCH(E$3,Estrutura_P01[#Headers],0))),"")</f>
        <v/>
      </c>
      <c r="F38" s="44" t="s">
        <v>100</v>
      </c>
      <c r="G38" s="85" t="s">
        <v>4</v>
      </c>
      <c r="H38" s="86" t="s">
        <v>15</v>
      </c>
      <c r="I38" s="49" t="str">
        <f t="shared" si="2"/>
        <v>0581</v>
      </c>
      <c r="J38" s="86" t="s">
        <v>24</v>
      </c>
      <c r="K38" s="86"/>
      <c r="M38" s="45"/>
      <c r="N38" s="45"/>
      <c r="O38" s="45"/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/>
      <c r="AF38" s="45"/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3" t="str">
        <f>IFERROR(IF(INDEX('MM01'!$A:$DK,MATCH('MM01-EXP'!$B38,'MM01'!$B:$B,0),MATCH('MM01-EXP'!AO$3,'MM01'!$3:$3,0))=0,"",INDEX('MM01'!$A:$DK,MATCH('MM01-EXP'!$B38,'MM01'!$B:$B,0),MATCH('MM01-EXP'!AO$3,'MM01'!$3:$3,0))),"")</f>
        <v/>
      </c>
      <c r="AP38" s="43" t="str">
        <f>IFERROR(IF(INDEX('MM01'!$A:$DK,MATCH('MM01-EXP'!$B38,'MM01'!$B:$B,0),MATCH('MM01-EXP'!AP$3,'MM01'!$3:$3,0))=0,"",INDEX('MM01'!$A:$DK,MATCH('MM01-EXP'!$B38,'MM01'!$B:$B,0),MATCH('MM01-EXP'!AP$3,'MM01'!$3:$3,0))),"")</f>
        <v/>
      </c>
      <c r="AQ38" s="43" t="str">
        <f>IFERROR(IF(INDEX('MM01'!$A:$DK,MATCH('MM01-EXP'!$B38,'MM01'!$B:$B,0),MATCH('MM01-EXP'!AQ$3,'MM01'!$3:$3,0))=0,"",INDEX('MM01'!$A:$DK,MATCH('MM01-EXP'!$B38,'MM01'!$B:$B,0),MATCH('MM01-EXP'!AQ$3,'MM01'!$3:$3,0))),"")</f>
        <v/>
      </c>
      <c r="AR38" s="43" t="str">
        <f>IFERROR(IF(INDEX('MM01'!$A:$DK,MATCH('MM01-EXP'!$B38,'MM01'!$B:$B,0),MATCH('MM01-EXP'!AR$3,'MM01'!$3:$3,0))=0,"",INDEX('MM01'!$A:$DK,MATCH('MM01-EXP'!$B38,'MM01'!$B:$B,0),MATCH('MM01-EXP'!AR$3,'MM01'!$3:$3,0))),"")</f>
        <v/>
      </c>
      <c r="AS38" s="43" t="str">
        <f>IFERROR(IF(INDEX('MM01'!$A:$DK,MATCH('MM01-EXP'!$B38,'MM01'!$B:$B,0),MATCH('MM01-EXP'!AS$3,'MM01'!$3:$3,0))=0,"",INDEX('MM01'!$A:$DK,MATCH('MM01-EXP'!$B38,'MM01'!$B:$B,0),MATCH('MM01-EXP'!AS$3,'MM01'!$3:$3,0))),"")</f>
        <v/>
      </c>
      <c r="AT38" s="43" t="str">
        <f>IFERROR(IF(INDEX('MM01'!$A:$DK,MATCH('MM01-EXP'!$B38,'MM01'!$B:$B,0),MATCH('MM01-EXP'!AT$3,'MM01'!$3:$3,0))=0,"",INDEX('MM01'!$A:$DK,MATCH('MM01-EXP'!$B38,'MM01'!$B:$B,0),MATCH('MM01-EXP'!AT$3,'MM01'!$3:$3,0))),"")</f>
        <v/>
      </c>
      <c r="AU38" s="43" t="str">
        <f>IFERROR(IF(INDEX('MM01'!$A:$DK,MATCH('MM01-EXP'!$B38,'MM01'!$B:$B,0),MATCH('MM01-EXP'!AU$3,'MM01'!$3:$3,0))=0,"",INDEX('MM01'!$A:$DK,MATCH('MM01-EXP'!$B38,'MM01'!$B:$B,0),MATCH('MM01-EXP'!AU$3,'MM01'!$3:$3,0))),"")</f>
        <v/>
      </c>
      <c r="AV38" s="43" t="str">
        <f>IFERROR(IF(INDEX('MM01'!$A:$DK,MATCH('MM01-EXP'!$B38,'MM01'!$B:$B,0),MATCH('MM01-EXP'!AV$3,'MM01'!$3:$3,0))=0,"",INDEX('MM01'!$A:$DK,MATCH('MM01-EXP'!$B38,'MM01'!$B:$B,0),MATCH('MM01-EXP'!AV$3,'MM01'!$3:$3,0))),"")</f>
        <v/>
      </c>
      <c r="AW38" s="44">
        <v>0</v>
      </c>
      <c r="AX38" s="44">
        <v>1</v>
      </c>
      <c r="AY38" s="44">
        <v>0</v>
      </c>
      <c r="AZ38" s="44" t="s">
        <v>348</v>
      </c>
      <c r="BA38" s="50" t="s">
        <v>195</v>
      </c>
      <c r="BB38" s="50" t="s">
        <v>195</v>
      </c>
      <c r="BC38" s="43" t="str">
        <f>IFERROR(IF(INDEX(Estrutura_P01[#All],MATCH($D38,Estrutura_P01[[#All],[txtMAKT-MAKTX]],0),MATCH(BC$3,Estrutura_P01[#Headers],0))=0,"",INDEX(Estrutura_P01[#All],MATCH($D38,Estrutura_P01[[#All],[txtMAKT-MAKTX]],0),MATCH(BC$3,Estrutura_P01[#Headers],0))),"")</f>
        <v/>
      </c>
      <c r="BD38" s="44"/>
      <c r="BE38" s="50">
        <v>0</v>
      </c>
      <c r="BF38" s="45" t="s">
        <v>378</v>
      </c>
      <c r="BG38" s="45" t="s">
        <v>84</v>
      </c>
      <c r="BH38" s="43" t="str">
        <f t="shared" si="3"/>
        <v>581</v>
      </c>
      <c r="BI38" s="45" t="s">
        <v>426</v>
      </c>
      <c r="BJ38" s="80"/>
      <c r="BK38" s="45">
        <v>0</v>
      </c>
      <c r="BL38" s="45" t="s">
        <v>473</v>
      </c>
      <c r="BM38" s="45" t="s">
        <v>90</v>
      </c>
      <c r="BN38" s="44"/>
      <c r="BO38" s="49" t="str">
        <f t="shared" si="4"/>
        <v>0120</v>
      </c>
      <c r="BP38" s="49" t="str">
        <f t="shared" si="5"/>
        <v>0120</v>
      </c>
      <c r="BQ38" s="45">
        <v>1</v>
      </c>
      <c r="BR38" s="44">
        <v>1</v>
      </c>
      <c r="BS38" s="44">
        <v>2</v>
      </c>
      <c r="BT38" s="50" t="s">
        <v>490</v>
      </c>
      <c r="BU38" s="80">
        <v>2</v>
      </c>
      <c r="BV38" s="80">
        <v>7</v>
      </c>
      <c r="BW38" s="44" t="s">
        <v>348</v>
      </c>
      <c r="BX38" s="44">
        <v>2</v>
      </c>
      <c r="BY38" s="44">
        <v>42</v>
      </c>
      <c r="BZ38" s="44">
        <v>10</v>
      </c>
      <c r="CA38" s="43" t="str">
        <f t="shared" si="6"/>
        <v>K00_R_0581</v>
      </c>
      <c r="CB38" s="43">
        <f t="shared" si="7"/>
        <v>1</v>
      </c>
      <c r="CC38" s="55" t="s">
        <v>909</v>
      </c>
      <c r="CD38" s="43" t="str">
        <f t="shared" ca="1" si="8"/>
        <v>17.05.2022</v>
      </c>
      <c r="CE38" s="43" t="str">
        <f t="shared" si="9"/>
        <v>31.12.9999</v>
      </c>
      <c r="CG38" s="44">
        <v>2</v>
      </c>
      <c r="CH38" s="44"/>
      <c r="CI38" s="44">
        <v>1</v>
      </c>
      <c r="CJ38" s="43" t="str">
        <f>IFERROR(IF(INDEX('MM01'!$A:$DK,MATCH('MM01-EXP'!$B38,'MM01'!$B:$B,0),MATCH('MM01-EXP'!CJ$3,'MM01'!$3:$3,0))=0,"",INDEX('MM01'!$A:$DK,MATCH('MM01-EXP'!$B38,'MM01'!$B:$B,0),MATCH('MM01-EXP'!CJ$3,'MM01'!$3:$3,0))),"")</f>
        <v/>
      </c>
      <c r="CK38" s="44">
        <v>12</v>
      </c>
      <c r="CL38" s="44">
        <v>1</v>
      </c>
      <c r="CM38" s="50" t="s">
        <v>223</v>
      </c>
      <c r="CN38" s="50" t="s">
        <v>902</v>
      </c>
      <c r="CO38" s="43" t="str">
        <f>IFERROR(IF(INDEX('MM01'!$A:$DK,MATCH('MM01-EXP'!$B38,'MM01'!$B:$B,0),MATCH('MM01-EXP'!CO$3,'MM01'!$3:$3,0))=0,"",INDEX('MM01'!$A:$DK,MATCH('MM01-EXP'!$B38,'MM01'!$B:$B,0),MATCH('MM01-EXP'!CO$3,'MM01'!$3:$3,0))),"")</f>
        <v/>
      </c>
      <c r="CP38" s="43" t="str">
        <f>IFERROR(IF(INDEX('MM01'!$A:$DK,MATCH('MM01-EXP'!$B38,'MM01'!$B:$B,0),MATCH('MM01-EXP'!CP$3,'MM01'!$3:$3,0))=0,"",INDEX('MM01'!$A:$DK,MATCH('MM01-EXP'!$B38,'MM01'!$B:$B,0),MATCH('MM01-EXP'!CP$3,'MM01'!$3:$3,0))),"")</f>
        <v/>
      </c>
      <c r="CQ38" s="60">
        <v>1</v>
      </c>
      <c r="CR38" s="44"/>
      <c r="CS38" s="44">
        <v>1</v>
      </c>
      <c r="CT38" s="44">
        <v>0</v>
      </c>
      <c r="CU38" s="44" t="s">
        <v>913</v>
      </c>
      <c r="CV38" s="45">
        <v>0</v>
      </c>
      <c r="CW38" s="43" t="str">
        <f>IFERROR(IF(INDEX('MM01'!$A:$DK,MATCH('MM01-EXP'!$B38,'MM01'!$B:$B,0),MATCH('MM01-EXP'!CW$3,'MM01'!$3:$3,0))=0,"",INDEX('MM01'!$A:$DK,MATCH('MM01-EXP'!$B38,'MM01'!$B:$B,0),MATCH('MM01-EXP'!CW$3,'MM01'!$3:$3,0))),"")</f>
        <v/>
      </c>
      <c r="CX38" s="65"/>
    </row>
    <row r="39" spans="1:102" x14ac:dyDescent="0.2">
      <c r="A39" s="7" t="str">
        <f t="shared" si="0"/>
        <v>Execução 35</v>
      </c>
      <c r="B39" s="85"/>
      <c r="C39" s="43" t="str">
        <f t="shared" si="1"/>
        <v/>
      </c>
      <c r="D39" s="43" t="str">
        <f>IF(B39&lt;&gt;"",SUBSTITUTE(VLOOKUP(B39,'MM01-BOB'!B:C,2,0),"BOBINA","TIRA"),"")</f>
        <v/>
      </c>
      <c r="E39" s="43" t="str">
        <f>IFERROR(IF(INDEX(Estrutura_P01[#All],MATCH($D39,Estrutura_P01[[#All],[txtMAKT-MAKTX]],0),MATCH(E$3,Estrutura_P01[#Headers],0))=0,"",INDEX(Estrutura_P01[#All],MATCH($D39,Estrutura_P01[[#All],[txtMAKT-MAKTX]],0),MATCH(E$3,Estrutura_P01[#Headers],0))),"")</f>
        <v/>
      </c>
      <c r="F39" s="44" t="s">
        <v>100</v>
      </c>
      <c r="G39" s="85" t="s">
        <v>4</v>
      </c>
      <c r="H39" s="86" t="s">
        <v>15</v>
      </c>
      <c r="I39" s="49" t="str">
        <f t="shared" si="2"/>
        <v>0581</v>
      </c>
      <c r="J39" s="86" t="s">
        <v>24</v>
      </c>
      <c r="K39" s="86"/>
      <c r="M39" s="45"/>
      <c r="N39" s="45"/>
      <c r="O39" s="45"/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/>
      <c r="AF39" s="45"/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3" t="str">
        <f>IFERROR(IF(INDEX('MM01'!$A:$DK,MATCH('MM01-EXP'!$B39,'MM01'!$B:$B,0),MATCH('MM01-EXP'!AO$3,'MM01'!$3:$3,0))=0,"",INDEX('MM01'!$A:$DK,MATCH('MM01-EXP'!$B39,'MM01'!$B:$B,0),MATCH('MM01-EXP'!AO$3,'MM01'!$3:$3,0))),"")</f>
        <v/>
      </c>
      <c r="AP39" s="43" t="str">
        <f>IFERROR(IF(INDEX('MM01'!$A:$DK,MATCH('MM01-EXP'!$B39,'MM01'!$B:$B,0),MATCH('MM01-EXP'!AP$3,'MM01'!$3:$3,0))=0,"",INDEX('MM01'!$A:$DK,MATCH('MM01-EXP'!$B39,'MM01'!$B:$B,0),MATCH('MM01-EXP'!AP$3,'MM01'!$3:$3,0))),"")</f>
        <v/>
      </c>
      <c r="AQ39" s="43" t="str">
        <f>IFERROR(IF(INDEX('MM01'!$A:$DK,MATCH('MM01-EXP'!$B39,'MM01'!$B:$B,0),MATCH('MM01-EXP'!AQ$3,'MM01'!$3:$3,0))=0,"",INDEX('MM01'!$A:$DK,MATCH('MM01-EXP'!$B39,'MM01'!$B:$B,0),MATCH('MM01-EXP'!AQ$3,'MM01'!$3:$3,0))),"")</f>
        <v/>
      </c>
      <c r="AR39" s="43" t="str">
        <f>IFERROR(IF(INDEX('MM01'!$A:$DK,MATCH('MM01-EXP'!$B39,'MM01'!$B:$B,0),MATCH('MM01-EXP'!AR$3,'MM01'!$3:$3,0))=0,"",INDEX('MM01'!$A:$DK,MATCH('MM01-EXP'!$B39,'MM01'!$B:$B,0),MATCH('MM01-EXP'!AR$3,'MM01'!$3:$3,0))),"")</f>
        <v/>
      </c>
      <c r="AS39" s="43" t="str">
        <f>IFERROR(IF(INDEX('MM01'!$A:$DK,MATCH('MM01-EXP'!$B39,'MM01'!$B:$B,0),MATCH('MM01-EXP'!AS$3,'MM01'!$3:$3,0))=0,"",INDEX('MM01'!$A:$DK,MATCH('MM01-EXP'!$B39,'MM01'!$B:$B,0),MATCH('MM01-EXP'!AS$3,'MM01'!$3:$3,0))),"")</f>
        <v/>
      </c>
      <c r="AT39" s="43" t="str">
        <f>IFERROR(IF(INDEX('MM01'!$A:$DK,MATCH('MM01-EXP'!$B39,'MM01'!$B:$B,0),MATCH('MM01-EXP'!AT$3,'MM01'!$3:$3,0))=0,"",INDEX('MM01'!$A:$DK,MATCH('MM01-EXP'!$B39,'MM01'!$B:$B,0),MATCH('MM01-EXP'!AT$3,'MM01'!$3:$3,0))),"")</f>
        <v/>
      </c>
      <c r="AU39" s="43" t="str">
        <f>IFERROR(IF(INDEX('MM01'!$A:$DK,MATCH('MM01-EXP'!$B39,'MM01'!$B:$B,0),MATCH('MM01-EXP'!AU$3,'MM01'!$3:$3,0))=0,"",INDEX('MM01'!$A:$DK,MATCH('MM01-EXP'!$B39,'MM01'!$B:$B,0),MATCH('MM01-EXP'!AU$3,'MM01'!$3:$3,0))),"")</f>
        <v/>
      </c>
      <c r="AV39" s="43" t="str">
        <f>IFERROR(IF(INDEX('MM01'!$A:$DK,MATCH('MM01-EXP'!$B39,'MM01'!$B:$B,0),MATCH('MM01-EXP'!AV$3,'MM01'!$3:$3,0))=0,"",INDEX('MM01'!$A:$DK,MATCH('MM01-EXP'!$B39,'MM01'!$B:$B,0),MATCH('MM01-EXP'!AV$3,'MM01'!$3:$3,0))),"")</f>
        <v/>
      </c>
      <c r="AW39" s="44">
        <v>0</v>
      </c>
      <c r="AX39" s="44">
        <v>1</v>
      </c>
      <c r="AY39" s="44">
        <v>0</v>
      </c>
      <c r="AZ39" s="44" t="s">
        <v>348</v>
      </c>
      <c r="BA39" s="50" t="s">
        <v>195</v>
      </c>
      <c r="BB39" s="50" t="s">
        <v>195</v>
      </c>
      <c r="BC39" s="43" t="str">
        <f>IFERROR(IF(INDEX(Estrutura_P01[#All],MATCH($D39,Estrutura_P01[[#All],[txtMAKT-MAKTX]],0),MATCH(BC$3,Estrutura_P01[#Headers],0))=0,"",INDEX(Estrutura_P01[#All],MATCH($D39,Estrutura_P01[[#All],[txtMAKT-MAKTX]],0),MATCH(BC$3,Estrutura_P01[#Headers],0))),"")</f>
        <v/>
      </c>
      <c r="BD39" s="44"/>
      <c r="BE39" s="50">
        <v>0</v>
      </c>
      <c r="BF39" s="45" t="s">
        <v>378</v>
      </c>
      <c r="BG39" s="45" t="s">
        <v>84</v>
      </c>
      <c r="BH39" s="43" t="str">
        <f t="shared" si="3"/>
        <v>581</v>
      </c>
      <c r="BI39" s="45" t="s">
        <v>426</v>
      </c>
      <c r="BJ39" s="80"/>
      <c r="BK39" s="45">
        <v>0</v>
      </c>
      <c r="BL39" s="45" t="s">
        <v>473</v>
      </c>
      <c r="BM39" s="45" t="s">
        <v>90</v>
      </c>
      <c r="BN39" s="44"/>
      <c r="BO39" s="49" t="str">
        <f t="shared" si="4"/>
        <v>0120</v>
      </c>
      <c r="BP39" s="49" t="str">
        <f t="shared" si="5"/>
        <v>0120</v>
      </c>
      <c r="BQ39" s="45">
        <v>1</v>
      </c>
      <c r="BR39" s="44">
        <v>1</v>
      </c>
      <c r="BS39" s="44">
        <v>2</v>
      </c>
      <c r="BT39" s="50" t="s">
        <v>490</v>
      </c>
      <c r="BU39" s="80">
        <v>2</v>
      </c>
      <c r="BV39" s="80">
        <v>7</v>
      </c>
      <c r="BW39" s="44" t="s">
        <v>348</v>
      </c>
      <c r="BX39" s="44">
        <v>2</v>
      </c>
      <c r="BY39" s="44">
        <v>42</v>
      </c>
      <c r="BZ39" s="44">
        <v>10</v>
      </c>
      <c r="CA39" s="43" t="str">
        <f t="shared" si="6"/>
        <v>K00_R_0581</v>
      </c>
      <c r="CB39" s="43">
        <f t="shared" si="7"/>
        <v>1</v>
      </c>
      <c r="CC39" s="55" t="s">
        <v>909</v>
      </c>
      <c r="CD39" s="43" t="str">
        <f t="shared" ca="1" si="8"/>
        <v>17.05.2022</v>
      </c>
      <c r="CE39" s="43" t="str">
        <f t="shared" si="9"/>
        <v>31.12.9999</v>
      </c>
      <c r="CG39" s="44">
        <v>2</v>
      </c>
      <c r="CH39" s="44"/>
      <c r="CI39" s="44">
        <v>1</v>
      </c>
      <c r="CJ39" s="43" t="str">
        <f>IFERROR(IF(INDEX('MM01'!$A:$DK,MATCH('MM01-EXP'!$B39,'MM01'!$B:$B,0),MATCH('MM01-EXP'!CJ$3,'MM01'!$3:$3,0))=0,"",INDEX('MM01'!$A:$DK,MATCH('MM01-EXP'!$B39,'MM01'!$B:$B,0),MATCH('MM01-EXP'!CJ$3,'MM01'!$3:$3,0))),"")</f>
        <v/>
      </c>
      <c r="CK39" s="44">
        <v>12</v>
      </c>
      <c r="CL39" s="44">
        <v>1</v>
      </c>
      <c r="CM39" s="50" t="s">
        <v>223</v>
      </c>
      <c r="CN39" s="50" t="s">
        <v>902</v>
      </c>
      <c r="CO39" s="43" t="str">
        <f>IFERROR(IF(INDEX('MM01'!$A:$DK,MATCH('MM01-EXP'!$B39,'MM01'!$B:$B,0),MATCH('MM01-EXP'!CO$3,'MM01'!$3:$3,0))=0,"",INDEX('MM01'!$A:$DK,MATCH('MM01-EXP'!$B39,'MM01'!$B:$B,0),MATCH('MM01-EXP'!CO$3,'MM01'!$3:$3,0))),"")</f>
        <v/>
      </c>
      <c r="CP39" s="43" t="str">
        <f>IFERROR(IF(INDEX('MM01'!$A:$DK,MATCH('MM01-EXP'!$B39,'MM01'!$B:$B,0),MATCH('MM01-EXP'!CP$3,'MM01'!$3:$3,0))=0,"",INDEX('MM01'!$A:$DK,MATCH('MM01-EXP'!$B39,'MM01'!$B:$B,0),MATCH('MM01-EXP'!CP$3,'MM01'!$3:$3,0))),"")</f>
        <v/>
      </c>
      <c r="CQ39" s="60">
        <v>1</v>
      </c>
      <c r="CR39" s="44"/>
      <c r="CS39" s="44">
        <v>1</v>
      </c>
      <c r="CT39" s="44">
        <v>0</v>
      </c>
      <c r="CU39" s="44" t="s">
        <v>913</v>
      </c>
      <c r="CV39" s="45">
        <v>0</v>
      </c>
      <c r="CW39" s="43" t="str">
        <f>IFERROR(IF(INDEX('MM01'!$A:$DK,MATCH('MM01-EXP'!$B39,'MM01'!$B:$B,0),MATCH('MM01-EXP'!CW$3,'MM01'!$3:$3,0))=0,"",INDEX('MM01'!$A:$DK,MATCH('MM01-EXP'!$B39,'MM01'!$B:$B,0),MATCH('MM01-EXP'!CW$3,'MM01'!$3:$3,0))),"")</f>
        <v/>
      </c>
      <c r="CX39" s="65"/>
    </row>
    <row r="40" spans="1:102" x14ac:dyDescent="0.2">
      <c r="A40" s="7" t="str">
        <f t="shared" si="0"/>
        <v>Execução 36</v>
      </c>
      <c r="B40" s="85"/>
      <c r="C40" s="43" t="str">
        <f t="shared" si="1"/>
        <v/>
      </c>
      <c r="D40" s="43" t="str">
        <f>IF(B40&lt;&gt;"",SUBSTITUTE(VLOOKUP(B40,'MM01-BOB'!B:C,2,0),"BOBINA","TIRA"),"")</f>
        <v/>
      </c>
      <c r="E40" s="43" t="str">
        <f>IFERROR(IF(INDEX(Estrutura_P01[#All],MATCH($D40,Estrutura_P01[[#All],[txtMAKT-MAKTX]],0),MATCH(E$3,Estrutura_P01[#Headers],0))=0,"",INDEX(Estrutura_P01[#All],MATCH($D40,Estrutura_P01[[#All],[txtMAKT-MAKTX]],0),MATCH(E$3,Estrutura_P01[#Headers],0))),"")</f>
        <v/>
      </c>
      <c r="F40" s="44" t="s">
        <v>100</v>
      </c>
      <c r="G40" s="85" t="s">
        <v>4</v>
      </c>
      <c r="H40" s="86" t="s">
        <v>15</v>
      </c>
      <c r="I40" s="49" t="str">
        <f t="shared" si="2"/>
        <v>0581</v>
      </c>
      <c r="J40" s="86" t="s">
        <v>24</v>
      </c>
      <c r="K40" s="86"/>
      <c r="M40" s="45"/>
      <c r="N40" s="45"/>
      <c r="O40" s="45"/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/>
      <c r="AF40" s="45"/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3" t="str">
        <f>IFERROR(IF(INDEX('MM01'!$A:$DK,MATCH('MM01-EXP'!$B40,'MM01'!$B:$B,0),MATCH('MM01-EXP'!AO$3,'MM01'!$3:$3,0))=0,"",INDEX('MM01'!$A:$DK,MATCH('MM01-EXP'!$B40,'MM01'!$B:$B,0),MATCH('MM01-EXP'!AO$3,'MM01'!$3:$3,0))),"")</f>
        <v/>
      </c>
      <c r="AP40" s="43" t="str">
        <f>IFERROR(IF(INDEX('MM01'!$A:$DK,MATCH('MM01-EXP'!$B40,'MM01'!$B:$B,0),MATCH('MM01-EXP'!AP$3,'MM01'!$3:$3,0))=0,"",INDEX('MM01'!$A:$DK,MATCH('MM01-EXP'!$B40,'MM01'!$B:$B,0),MATCH('MM01-EXP'!AP$3,'MM01'!$3:$3,0))),"")</f>
        <v/>
      </c>
      <c r="AQ40" s="43" t="str">
        <f>IFERROR(IF(INDEX('MM01'!$A:$DK,MATCH('MM01-EXP'!$B40,'MM01'!$B:$B,0),MATCH('MM01-EXP'!AQ$3,'MM01'!$3:$3,0))=0,"",INDEX('MM01'!$A:$DK,MATCH('MM01-EXP'!$B40,'MM01'!$B:$B,0),MATCH('MM01-EXP'!AQ$3,'MM01'!$3:$3,0))),"")</f>
        <v/>
      </c>
      <c r="AR40" s="43" t="str">
        <f>IFERROR(IF(INDEX('MM01'!$A:$DK,MATCH('MM01-EXP'!$B40,'MM01'!$B:$B,0),MATCH('MM01-EXP'!AR$3,'MM01'!$3:$3,0))=0,"",INDEX('MM01'!$A:$DK,MATCH('MM01-EXP'!$B40,'MM01'!$B:$B,0),MATCH('MM01-EXP'!AR$3,'MM01'!$3:$3,0))),"")</f>
        <v/>
      </c>
      <c r="AS40" s="43" t="str">
        <f>IFERROR(IF(INDEX('MM01'!$A:$DK,MATCH('MM01-EXP'!$B40,'MM01'!$B:$B,0),MATCH('MM01-EXP'!AS$3,'MM01'!$3:$3,0))=0,"",INDEX('MM01'!$A:$DK,MATCH('MM01-EXP'!$B40,'MM01'!$B:$B,0),MATCH('MM01-EXP'!AS$3,'MM01'!$3:$3,0))),"")</f>
        <v/>
      </c>
      <c r="AT40" s="43" t="str">
        <f>IFERROR(IF(INDEX('MM01'!$A:$DK,MATCH('MM01-EXP'!$B40,'MM01'!$B:$B,0),MATCH('MM01-EXP'!AT$3,'MM01'!$3:$3,0))=0,"",INDEX('MM01'!$A:$DK,MATCH('MM01-EXP'!$B40,'MM01'!$B:$B,0),MATCH('MM01-EXP'!AT$3,'MM01'!$3:$3,0))),"")</f>
        <v/>
      </c>
      <c r="AU40" s="43" t="str">
        <f>IFERROR(IF(INDEX('MM01'!$A:$DK,MATCH('MM01-EXP'!$B40,'MM01'!$B:$B,0),MATCH('MM01-EXP'!AU$3,'MM01'!$3:$3,0))=0,"",INDEX('MM01'!$A:$DK,MATCH('MM01-EXP'!$B40,'MM01'!$B:$B,0),MATCH('MM01-EXP'!AU$3,'MM01'!$3:$3,0))),"")</f>
        <v/>
      </c>
      <c r="AV40" s="43" t="str">
        <f>IFERROR(IF(INDEX('MM01'!$A:$DK,MATCH('MM01-EXP'!$B40,'MM01'!$B:$B,0),MATCH('MM01-EXP'!AV$3,'MM01'!$3:$3,0))=0,"",INDEX('MM01'!$A:$DK,MATCH('MM01-EXP'!$B40,'MM01'!$B:$B,0),MATCH('MM01-EXP'!AV$3,'MM01'!$3:$3,0))),"")</f>
        <v/>
      </c>
      <c r="AW40" s="44">
        <v>0</v>
      </c>
      <c r="AX40" s="44">
        <v>1</v>
      </c>
      <c r="AY40" s="44">
        <v>0</v>
      </c>
      <c r="AZ40" s="44" t="s">
        <v>348</v>
      </c>
      <c r="BA40" s="50" t="s">
        <v>195</v>
      </c>
      <c r="BB40" s="50" t="s">
        <v>195</v>
      </c>
      <c r="BC40" s="43" t="str">
        <f>IFERROR(IF(INDEX(Estrutura_P01[#All],MATCH($D40,Estrutura_P01[[#All],[txtMAKT-MAKTX]],0),MATCH(BC$3,Estrutura_P01[#Headers],0))=0,"",INDEX(Estrutura_P01[#All],MATCH($D40,Estrutura_P01[[#All],[txtMAKT-MAKTX]],0),MATCH(BC$3,Estrutura_P01[#Headers],0))),"")</f>
        <v/>
      </c>
      <c r="BD40" s="44"/>
      <c r="BE40" s="50">
        <v>0</v>
      </c>
      <c r="BF40" s="45" t="s">
        <v>378</v>
      </c>
      <c r="BG40" s="45" t="s">
        <v>84</v>
      </c>
      <c r="BH40" s="43" t="str">
        <f t="shared" si="3"/>
        <v>581</v>
      </c>
      <c r="BI40" s="45" t="s">
        <v>426</v>
      </c>
      <c r="BJ40" s="80"/>
      <c r="BK40" s="45">
        <v>0</v>
      </c>
      <c r="BL40" s="45" t="s">
        <v>473</v>
      </c>
      <c r="BM40" s="45" t="s">
        <v>90</v>
      </c>
      <c r="BN40" s="44"/>
      <c r="BO40" s="49" t="str">
        <f t="shared" si="4"/>
        <v>0120</v>
      </c>
      <c r="BP40" s="49" t="str">
        <f t="shared" si="5"/>
        <v>0120</v>
      </c>
      <c r="BQ40" s="45">
        <v>1</v>
      </c>
      <c r="BR40" s="44">
        <v>1</v>
      </c>
      <c r="BS40" s="44">
        <v>2</v>
      </c>
      <c r="BT40" s="50" t="s">
        <v>490</v>
      </c>
      <c r="BU40" s="80">
        <v>2</v>
      </c>
      <c r="BV40" s="80">
        <v>7</v>
      </c>
      <c r="BW40" s="44" t="s">
        <v>348</v>
      </c>
      <c r="BX40" s="44">
        <v>2</v>
      </c>
      <c r="BY40" s="44">
        <v>42</v>
      </c>
      <c r="BZ40" s="44">
        <v>10</v>
      </c>
      <c r="CA40" s="43" t="str">
        <f t="shared" si="6"/>
        <v>K00_R_0581</v>
      </c>
      <c r="CB40" s="43">
        <f t="shared" si="7"/>
        <v>1</v>
      </c>
      <c r="CC40" s="55" t="s">
        <v>909</v>
      </c>
      <c r="CD40" s="43" t="str">
        <f t="shared" ca="1" si="8"/>
        <v>17.05.2022</v>
      </c>
      <c r="CE40" s="43" t="str">
        <f t="shared" si="9"/>
        <v>31.12.9999</v>
      </c>
      <c r="CG40" s="44">
        <v>2</v>
      </c>
      <c r="CH40" s="44"/>
      <c r="CI40" s="44">
        <v>1</v>
      </c>
      <c r="CJ40" s="43" t="str">
        <f>IFERROR(IF(INDEX('MM01'!$A:$DK,MATCH('MM01-EXP'!$B40,'MM01'!$B:$B,0),MATCH('MM01-EXP'!CJ$3,'MM01'!$3:$3,0))=0,"",INDEX('MM01'!$A:$DK,MATCH('MM01-EXP'!$B40,'MM01'!$B:$B,0),MATCH('MM01-EXP'!CJ$3,'MM01'!$3:$3,0))),"")</f>
        <v/>
      </c>
      <c r="CK40" s="44">
        <v>12</v>
      </c>
      <c r="CL40" s="44">
        <v>1</v>
      </c>
      <c r="CM40" s="50" t="s">
        <v>223</v>
      </c>
      <c r="CN40" s="50" t="s">
        <v>902</v>
      </c>
      <c r="CO40" s="43" t="str">
        <f>IFERROR(IF(INDEX('MM01'!$A:$DK,MATCH('MM01-EXP'!$B40,'MM01'!$B:$B,0),MATCH('MM01-EXP'!CO$3,'MM01'!$3:$3,0))=0,"",INDEX('MM01'!$A:$DK,MATCH('MM01-EXP'!$B40,'MM01'!$B:$B,0),MATCH('MM01-EXP'!CO$3,'MM01'!$3:$3,0))),"")</f>
        <v/>
      </c>
      <c r="CP40" s="43" t="str">
        <f>IFERROR(IF(INDEX('MM01'!$A:$DK,MATCH('MM01-EXP'!$B40,'MM01'!$B:$B,0),MATCH('MM01-EXP'!CP$3,'MM01'!$3:$3,0))=0,"",INDEX('MM01'!$A:$DK,MATCH('MM01-EXP'!$B40,'MM01'!$B:$B,0),MATCH('MM01-EXP'!CP$3,'MM01'!$3:$3,0))),"")</f>
        <v/>
      </c>
      <c r="CQ40" s="60">
        <v>1</v>
      </c>
      <c r="CR40" s="44"/>
      <c r="CS40" s="44">
        <v>1</v>
      </c>
      <c r="CT40" s="44">
        <v>0</v>
      </c>
      <c r="CU40" s="44" t="s">
        <v>913</v>
      </c>
      <c r="CV40" s="45">
        <v>0</v>
      </c>
      <c r="CW40" s="43" t="str">
        <f>IFERROR(IF(INDEX('MM01'!$A:$DK,MATCH('MM01-EXP'!$B40,'MM01'!$B:$B,0),MATCH('MM01-EXP'!CW$3,'MM01'!$3:$3,0))=0,"",INDEX('MM01'!$A:$DK,MATCH('MM01-EXP'!$B40,'MM01'!$B:$B,0),MATCH('MM01-EXP'!CW$3,'MM01'!$3:$3,0))),"")</f>
        <v/>
      </c>
      <c r="CX40" s="65"/>
    </row>
  </sheetData>
  <mergeCells count="4">
    <mergeCell ref="L1:L2"/>
    <mergeCell ref="AN1:AN2"/>
    <mergeCell ref="CF1:CF2"/>
    <mergeCell ref="M3:AM3"/>
  </mergeCells>
  <conditionalFormatting sqref="C5">
    <cfRule type="beginsWith" dxfId="52" priority="58" operator="beginsWith" text="L">
      <formula>LEFT(C5,LEN("L"))="L"</formula>
    </cfRule>
  </conditionalFormatting>
  <conditionalFormatting sqref="G5">
    <cfRule type="beginsWith" dxfId="51" priority="46" operator="beginsWith" text="L">
      <formula>LEFT(G5,LEN("L"))="L"</formula>
    </cfRule>
  </conditionalFormatting>
  <conditionalFormatting sqref="H5">
    <cfRule type="beginsWith" dxfId="50" priority="45" operator="beginsWith" text="L">
      <formula>LEFT(H5,LEN("L"))="L"</formula>
    </cfRule>
  </conditionalFormatting>
  <conditionalFormatting sqref="AO5">
    <cfRule type="beginsWith" dxfId="49" priority="54" operator="beginsWith" text="L">
      <formula>LEFT(AO5,LEN("L"))="L"</formula>
    </cfRule>
  </conditionalFormatting>
  <conditionalFormatting sqref="CX1:CX5 CX41:CX1048576">
    <cfRule type="containsText" dxfId="48" priority="48" operator="containsText" text="criadas">
      <formula>NOT(ISERROR(SEARCH("criadas",CX1)))</formula>
    </cfRule>
    <cfRule type="containsText" dxfId="47" priority="49" operator="containsText" text="é gravado">
      <formula>NOT(ISERROR(SEARCH("é gravado",CX1)))</formula>
    </cfRule>
    <cfRule type="containsText" dxfId="46" priority="50" operator="containsText" text="é modificado">
      <formula>NOT(ISERROR(SEARCH("é modificado",CX1)))</formula>
    </cfRule>
    <cfRule type="containsText" dxfId="45" priority="51" operator="containsText" text="Error">
      <formula>NOT(ISERROR(SEARCH("Error",CX1)))</formula>
    </cfRule>
    <cfRule type="containsText" dxfId="44" priority="52" operator="containsText" text="é criado">
      <formula>NOT(ISERROR(SEARCH("é criado",CX1)))</formula>
    </cfRule>
  </conditionalFormatting>
  <conditionalFormatting sqref="J5">
    <cfRule type="beginsWith" dxfId="43" priority="44" operator="beginsWith" text="L">
      <formula>LEFT(J5,LEN("L"))="L"</formula>
    </cfRule>
  </conditionalFormatting>
  <conditionalFormatting sqref="AR5">
    <cfRule type="beginsWith" dxfId="42" priority="33" operator="beginsWith" text="L">
      <formula>LEFT(AR5,LEN("L"))="L"</formula>
    </cfRule>
  </conditionalFormatting>
  <conditionalFormatting sqref="B5">
    <cfRule type="beginsWith" dxfId="41" priority="42" operator="beginsWith" text="L">
      <formula>LEFT(B5,LEN("L"))="L"</formula>
    </cfRule>
  </conditionalFormatting>
  <conditionalFormatting sqref="AP5">
    <cfRule type="beginsWith" dxfId="40" priority="39" operator="beginsWith" text="L">
      <formula>LEFT(AP5,LEN("L"))="L"</formula>
    </cfRule>
  </conditionalFormatting>
  <conditionalFormatting sqref="AQ5">
    <cfRule type="beginsWith" dxfId="39" priority="38" operator="beginsWith" text="L">
      <formula>LEFT(AQ5,LEN("L"))="L"</formula>
    </cfRule>
  </conditionalFormatting>
  <conditionalFormatting sqref="AS5">
    <cfRule type="beginsWith" dxfId="38" priority="37" operator="beginsWith" text="L">
      <formula>LEFT(AS5,LEN("L"))="L"</formula>
    </cfRule>
  </conditionalFormatting>
  <conditionalFormatting sqref="AT5">
    <cfRule type="beginsWith" dxfId="37" priority="36" operator="beginsWith" text="L">
      <formula>LEFT(AT5,LEN("L"))="L"</formula>
    </cfRule>
  </conditionalFormatting>
  <conditionalFormatting sqref="AU5">
    <cfRule type="beginsWith" dxfId="36" priority="35" operator="beginsWith" text="L">
      <formula>LEFT(AU5,LEN("L"))="L"</formula>
    </cfRule>
  </conditionalFormatting>
  <conditionalFormatting sqref="AV5">
    <cfRule type="beginsWith" dxfId="35" priority="34" operator="beginsWith" text="L">
      <formula>LEFT(AV5,LEN("L"))="L"</formula>
    </cfRule>
  </conditionalFormatting>
  <conditionalFormatting sqref="CJ5">
    <cfRule type="beginsWith" dxfId="34" priority="32" operator="beginsWith" text="L">
      <formula>LEFT(CJ5,LEN("L"))="L"</formula>
    </cfRule>
  </conditionalFormatting>
  <conditionalFormatting sqref="CO5">
    <cfRule type="beginsWith" dxfId="33" priority="31" operator="beginsWith" text="L">
      <formula>LEFT(CO5,LEN("L"))="L"</formula>
    </cfRule>
  </conditionalFormatting>
  <conditionalFormatting sqref="CP5">
    <cfRule type="beginsWith" dxfId="32" priority="30" operator="beginsWith" text="L">
      <formula>LEFT(CP5,LEN("L"))="L"</formula>
    </cfRule>
  </conditionalFormatting>
  <conditionalFormatting sqref="CW5">
    <cfRule type="beginsWith" dxfId="31" priority="29" operator="beginsWith" text="L">
      <formula>LEFT(CW5,LEN("L"))="L"</formula>
    </cfRule>
  </conditionalFormatting>
  <conditionalFormatting sqref="D5">
    <cfRule type="beginsWith" dxfId="30" priority="28" operator="beginsWith" text="L">
      <formula>LEFT(D5,LEN("L"))="L"</formula>
    </cfRule>
  </conditionalFormatting>
  <conditionalFormatting sqref="E5">
    <cfRule type="beginsWith" dxfId="29" priority="27" operator="beginsWith" text="L">
      <formula>LEFT(E5,LEN("L"))="L"</formula>
    </cfRule>
  </conditionalFormatting>
  <conditionalFormatting sqref="BC5">
    <cfRule type="beginsWith" dxfId="28" priority="26" operator="beginsWith" text="L">
      <formula>LEFT(BC5,LEN("L"))="L"</formula>
    </cfRule>
  </conditionalFormatting>
  <conditionalFormatting sqref="C6:C40">
    <cfRule type="beginsWith" dxfId="27" priority="25" operator="beginsWith" text="L">
      <formula>LEFT(C6,LEN("L"))="L"</formula>
    </cfRule>
  </conditionalFormatting>
  <conditionalFormatting sqref="G6:G40">
    <cfRule type="beginsWith" dxfId="26" priority="18" operator="beginsWith" text="L">
      <formula>LEFT(G6,LEN("L"))="L"</formula>
    </cfRule>
  </conditionalFormatting>
  <conditionalFormatting sqref="H6:H40">
    <cfRule type="beginsWith" dxfId="25" priority="17" operator="beginsWith" text="L">
      <formula>LEFT(H6,LEN("L"))="L"</formula>
    </cfRule>
  </conditionalFormatting>
  <conditionalFormatting sqref="AO6:AO40">
    <cfRule type="beginsWith" dxfId="24" priority="24" operator="beginsWith" text="L">
      <formula>LEFT(AO6,LEN("L"))="L"</formula>
    </cfRule>
  </conditionalFormatting>
  <conditionalFormatting sqref="CX6:CX40">
    <cfRule type="containsText" dxfId="23" priority="19" operator="containsText" text="criadas">
      <formula>NOT(ISERROR(SEARCH("criadas",CX6)))</formula>
    </cfRule>
    <cfRule type="containsText" dxfId="22" priority="20" operator="containsText" text="é gravado">
      <formula>NOT(ISERROR(SEARCH("é gravado",CX6)))</formula>
    </cfRule>
    <cfRule type="containsText" dxfId="21" priority="21" operator="containsText" text="é modificado">
      <formula>NOT(ISERROR(SEARCH("é modificado",CX6)))</formula>
    </cfRule>
    <cfRule type="containsText" dxfId="20" priority="22" operator="containsText" text="Error">
      <formula>NOT(ISERROR(SEARCH("Error",CX6)))</formula>
    </cfRule>
    <cfRule type="containsText" dxfId="19" priority="23" operator="containsText" text="é criado">
      <formula>NOT(ISERROR(SEARCH("é criado",CX6)))</formula>
    </cfRule>
  </conditionalFormatting>
  <conditionalFormatting sqref="J6:J40">
    <cfRule type="beginsWith" dxfId="18" priority="16" operator="beginsWith" text="L">
      <formula>LEFT(J6,LEN("L"))="L"</formula>
    </cfRule>
  </conditionalFormatting>
  <conditionalFormatting sqref="AR6:AR40">
    <cfRule type="beginsWith" dxfId="17" priority="8" operator="beginsWith" text="L">
      <formula>LEFT(AR6,LEN("L"))="L"</formula>
    </cfRule>
  </conditionalFormatting>
  <conditionalFormatting sqref="B6:B40">
    <cfRule type="beginsWith" dxfId="16" priority="15" operator="beginsWith" text="L">
      <formula>LEFT(B6,LEN("L"))="L"</formula>
    </cfRule>
  </conditionalFormatting>
  <conditionalFormatting sqref="AP6:AP40">
    <cfRule type="beginsWith" dxfId="15" priority="14" operator="beginsWith" text="L">
      <formula>LEFT(AP6,LEN("L"))="L"</formula>
    </cfRule>
  </conditionalFormatting>
  <conditionalFormatting sqref="AQ6:AQ40">
    <cfRule type="beginsWith" dxfId="14" priority="13" operator="beginsWith" text="L">
      <formula>LEFT(AQ6,LEN("L"))="L"</formula>
    </cfRule>
  </conditionalFormatting>
  <conditionalFormatting sqref="AS6:AS40">
    <cfRule type="beginsWith" dxfId="13" priority="12" operator="beginsWith" text="L">
      <formula>LEFT(AS6,LEN("L"))="L"</formula>
    </cfRule>
  </conditionalFormatting>
  <conditionalFormatting sqref="AT6:AT40">
    <cfRule type="beginsWith" dxfId="12" priority="11" operator="beginsWith" text="L">
      <formula>LEFT(AT6,LEN("L"))="L"</formula>
    </cfRule>
  </conditionalFormatting>
  <conditionalFormatting sqref="AU6:AU40">
    <cfRule type="beginsWith" dxfId="11" priority="10" operator="beginsWith" text="L">
      <formula>LEFT(AU6,LEN("L"))="L"</formula>
    </cfRule>
  </conditionalFormatting>
  <conditionalFormatting sqref="AV6:AV40">
    <cfRule type="beginsWith" dxfId="10" priority="9" operator="beginsWith" text="L">
      <formula>LEFT(AV6,LEN("L"))="L"</formula>
    </cfRule>
  </conditionalFormatting>
  <conditionalFormatting sqref="CJ6:CJ40">
    <cfRule type="beginsWith" dxfId="9" priority="7" operator="beginsWith" text="L">
      <formula>LEFT(CJ6,LEN("L"))="L"</formula>
    </cfRule>
  </conditionalFormatting>
  <conditionalFormatting sqref="CO6:CO40">
    <cfRule type="beginsWith" dxfId="8" priority="6" operator="beginsWith" text="L">
      <formula>LEFT(CO6,LEN("L"))="L"</formula>
    </cfRule>
  </conditionalFormatting>
  <conditionalFormatting sqref="CP6:CP40">
    <cfRule type="beginsWith" dxfId="7" priority="5" operator="beginsWith" text="L">
      <formula>LEFT(CP6,LEN("L"))="L"</formula>
    </cfRule>
  </conditionalFormatting>
  <conditionalFormatting sqref="CW6:CW40">
    <cfRule type="beginsWith" dxfId="6" priority="4" operator="beginsWith" text="L">
      <formula>LEFT(CW6,LEN("L"))="L"</formula>
    </cfRule>
  </conditionalFormatting>
  <conditionalFormatting sqref="D6:D40">
    <cfRule type="beginsWith" dxfId="5" priority="3" operator="beginsWith" text="L">
      <formula>LEFT(D6,LEN("L"))="L"</formula>
    </cfRule>
  </conditionalFormatting>
  <conditionalFormatting sqref="E6:E40">
    <cfRule type="beginsWith" dxfId="4" priority="2" operator="beginsWith" text="L">
      <formula>LEFT(E6,LEN("L"))="L"</formula>
    </cfRule>
  </conditionalFormatting>
  <conditionalFormatting sqref="BC6:BC40">
    <cfRule type="beginsWith" dxfId="3" priority="1" operator="beginsWith" text="L">
      <formula>LEFT(BC6,LEN("L"))="L"</formula>
    </cfRule>
  </conditionalFormatting>
  <dataValidations count="3">
    <dataValidation type="list" allowBlank="1" showInputMessage="1" showErrorMessage="1" sqref="BK5:BK40 AW5:AY40 CL5:CL40">
      <formula1>"0,1"</formula1>
    </dataValidation>
    <dataValidation type="list" allowBlank="1" showInputMessage="1" showErrorMessage="1" sqref="CQ5:CQ40 CV5:CV40 CI5:CI40">
      <formula1>"1,0"</formula1>
    </dataValidation>
    <dataValidation type="list" allowBlank="1" showInputMessage="1" showErrorMessage="1" sqref="CC5:CC40">
      <formula1>#REF!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70" r:id="rId5" name="Button 2">
              <controlPr defaultSize="0" print="0" autoFill="0" autoPict="0" macro="[0]!LoadFromMM01">
                <anchor mov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2">
        <x14:dataValidation type="list" allowBlank="1" showInputMessage="1" showErrorMessage="1">
          <x14:formula1>
            <xm:f>'Listas de Dados'!$J$4:$J$29</xm:f>
          </x14:formula1>
          <xm:sqref>M5:AM40</xm:sqref>
        </x14:dataValidation>
        <x14:dataValidation type="list" allowBlank="1" showInputMessage="1" showErrorMessage="1">
          <x14:formula1>
            <xm:f>'Listas de Dados'!$B$4:$B$5</xm:f>
          </x14:formula1>
          <xm:sqref>I5:I40</xm:sqref>
        </x14:dataValidation>
        <x14:dataValidation type="list" allowBlank="1" showInputMessage="1" showErrorMessage="1">
          <x14:formula1>
            <xm:f>'Listas de Dados'!$E$4:$E$5</xm:f>
          </x14:formula1>
          <xm:sqref>K5:K40</xm:sqref>
        </x14:dataValidation>
        <x14:dataValidation type="list" allowBlank="1" showInputMessage="1" showErrorMessage="1">
          <x14:formula1>
            <xm:f>'Listas de Dados'!$AI$4:$AI$11</xm:f>
          </x14:formula1>
          <xm:sqref>AZ5:AZ40</xm:sqref>
        </x14:dataValidation>
        <x14:dataValidation type="list" allowBlank="1" showInputMessage="1" showErrorMessage="1">
          <x14:formula1>
            <xm:f>'Listas de Dados'!$AL$4:$AL$10</xm:f>
          </x14:formula1>
          <xm:sqref>BF5:BF40</xm:sqref>
        </x14:dataValidation>
        <x14:dataValidation type="list" allowBlank="1" showInputMessage="1" showErrorMessage="1">
          <x14:formula1>
            <xm:f>'Listas de Dados'!$AO$4:$AO$32</xm:f>
          </x14:formula1>
          <xm:sqref>BG5:BG40</xm:sqref>
        </x14:dataValidation>
        <x14:dataValidation type="list" allowBlank="1" showInputMessage="1" showErrorMessage="1">
          <x14:formula1>
            <xm:f>'Listas de Dados'!$AU$4:$AU$35</xm:f>
          </x14:formula1>
          <xm:sqref>BI5:BI40</xm:sqref>
        </x14:dataValidation>
        <x14:dataValidation type="list" allowBlank="1" showInputMessage="1" showErrorMessage="1">
          <x14:formula1>
            <xm:f>'Listas de Dados'!$AX$4:$AX$5</xm:f>
          </x14:formula1>
          <xm:sqref>BL5:BL40</xm:sqref>
        </x14:dataValidation>
        <x14:dataValidation type="list" allowBlank="1" showInputMessage="1" showErrorMessage="1">
          <x14:formula1>
            <xm:f>'Listas de Dados'!$AX$6:$AX$8</xm:f>
          </x14:formula1>
          <xm:sqref>BM5:BM40</xm:sqref>
        </x14:dataValidation>
        <x14:dataValidation type="list" allowBlank="1" showInputMessage="1" showErrorMessage="1">
          <x14:formula1>
            <xm:f>'Listas de Dados'!$AR$4:$AR$11</xm:f>
          </x14:formula1>
          <xm:sqref>BH5:BH40</xm:sqref>
        </x14:dataValidation>
        <x14:dataValidation type="list" allowBlank="1" showInputMessage="1" showErrorMessage="1">
          <x14:formula1>
            <xm:f>'Listas de Dados'!$C$4:$C$18</xm:f>
          </x14:formula1>
          <xm:sqref>H5:H40</xm:sqref>
        </x14:dataValidation>
        <x14:dataValidation type="list" allowBlank="1" showInputMessage="1" showErrorMessage="1">
          <x14:formula1>
            <xm:f>'Listas de Dados'!$D$4:$D$8</xm:f>
          </x14:formula1>
          <xm:sqref>J5:J40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H482"/>
  <sheetViews>
    <sheetView showGridLines="0" showRowColHeaders="0" workbookViewId="0"/>
  </sheetViews>
  <sheetFormatPr defaultColWidth="0" defaultRowHeight="12.75" zeroHeight="1" x14ac:dyDescent="0.2"/>
  <cols>
    <col min="1" max="1" width="10.7109375" customWidth="1"/>
    <col min="2" max="2" width="9.85546875" customWidth="1"/>
    <col min="3" max="3" width="19.85546875" customWidth="1"/>
    <col min="4" max="4" width="39.28515625" customWidth="1"/>
    <col min="5" max="5" width="10.42578125" customWidth="1"/>
    <col min="6" max="6" width="18.28515625" customWidth="1"/>
    <col min="7" max="7" width="10.42578125" customWidth="1"/>
    <col min="8" max="8" width="18" customWidth="1"/>
    <col min="9" max="9" width="17.7109375" customWidth="1"/>
    <col min="10" max="10" width="22.85546875" customWidth="1"/>
    <col min="11" max="11" width="17.85546875" customWidth="1"/>
    <col min="12" max="12" width="20" customWidth="1"/>
    <col min="13" max="13" width="31.5703125" customWidth="1"/>
    <col min="14" max="14" width="33.7109375" customWidth="1"/>
    <col min="15" max="15" width="17.5703125" customWidth="1"/>
    <col min="16" max="16" width="33.7109375" customWidth="1"/>
    <col min="17" max="17" width="30" customWidth="1"/>
    <col min="18" max="20" width="33.7109375" customWidth="1"/>
    <col min="21" max="21" width="17.28515625" customWidth="1"/>
    <col min="22" max="22" width="17.5703125" customWidth="1"/>
    <col min="23" max="23" width="34.85546875" customWidth="1"/>
    <col min="24" max="24" width="16.7109375" customWidth="1"/>
    <col min="25" max="25" width="33.7109375" customWidth="1"/>
    <col min="26" max="26" width="13.42578125" customWidth="1"/>
    <col min="27" max="27" width="14.7109375" customWidth="1"/>
    <col min="28" max="28" width="19.7109375" customWidth="1"/>
    <col min="29" max="29" width="11.42578125" customWidth="1"/>
    <col min="30" max="30" width="19.7109375" customWidth="1"/>
    <col min="31" max="31" width="13.85546875" customWidth="1"/>
    <col min="32" max="32" width="20" customWidth="1"/>
    <col min="33" max="33" width="11.42578125" customWidth="1"/>
    <col min="34" max="34" width="17.7109375" customWidth="1"/>
    <col min="35" max="35" width="11.42578125" customWidth="1"/>
    <col min="36" max="36" width="24.140625" customWidth="1"/>
    <col min="37" max="37" width="39.28515625" customWidth="1"/>
    <col min="38" max="38" width="17.7109375" customWidth="1"/>
    <col min="39" max="91" width="11.42578125" customWidth="1"/>
    <col min="92" max="92" width="9.85546875" customWidth="1"/>
    <col min="93" max="93" width="11.42578125" customWidth="1"/>
    <col min="94" max="95" width="9.85546875" customWidth="1"/>
    <col min="96" max="111" width="9.85546875" hidden="1" customWidth="1"/>
    <col min="112" max="112" width="0" hidden="1" customWidth="1"/>
    <col min="113" max="16384" width="9.140625" hidden="1"/>
  </cols>
  <sheetData>
    <row r="1" spans="1:112" x14ac:dyDescent="0.2">
      <c r="A1" s="38" t="s">
        <v>925</v>
      </c>
      <c r="B1" s="38" t="s">
        <v>926</v>
      </c>
      <c r="C1" s="38" t="s">
        <v>94</v>
      </c>
      <c r="D1" s="38" t="s">
        <v>163</v>
      </c>
      <c r="E1" s="38" t="s">
        <v>927</v>
      </c>
      <c r="F1" s="38" t="s">
        <v>928</v>
      </c>
      <c r="G1" s="38" t="s">
        <v>929</v>
      </c>
      <c r="H1" s="39" t="s">
        <v>166</v>
      </c>
      <c r="I1" s="38" t="s">
        <v>364</v>
      </c>
      <c r="J1" s="38" t="s">
        <v>869</v>
      </c>
      <c r="K1" s="39" t="s">
        <v>386</v>
      </c>
      <c r="L1" s="38" t="s">
        <v>98</v>
      </c>
      <c r="M1" s="38" t="s">
        <v>613</v>
      </c>
      <c r="N1" s="38" t="s">
        <v>881</v>
      </c>
      <c r="O1" s="38" t="s">
        <v>298</v>
      </c>
      <c r="P1" s="39" t="s">
        <v>882</v>
      </c>
      <c r="Q1" s="38" t="s">
        <v>930</v>
      </c>
      <c r="R1" s="39" t="s">
        <v>884</v>
      </c>
      <c r="S1" s="38" t="s">
        <v>886</v>
      </c>
      <c r="T1" s="38" t="s">
        <v>889</v>
      </c>
      <c r="U1" s="38" t="s">
        <v>931</v>
      </c>
      <c r="V1" s="39" t="s">
        <v>932</v>
      </c>
      <c r="W1" s="38" t="s">
        <v>879</v>
      </c>
      <c r="X1" s="39" t="s">
        <v>933</v>
      </c>
      <c r="Y1" s="39" t="s">
        <v>890</v>
      </c>
      <c r="Z1" s="39" t="s">
        <v>934</v>
      </c>
      <c r="AA1" s="39" t="s">
        <v>935</v>
      </c>
      <c r="AB1" s="38" t="s">
        <v>156</v>
      </c>
      <c r="AC1" s="38" t="s">
        <v>936</v>
      </c>
      <c r="AD1" s="38" t="s">
        <v>158</v>
      </c>
      <c r="AE1" s="38" t="s">
        <v>937</v>
      </c>
      <c r="AF1" s="38" t="s">
        <v>160</v>
      </c>
      <c r="AG1" s="38" t="s">
        <v>938</v>
      </c>
      <c r="AH1" s="39" t="s">
        <v>171</v>
      </c>
      <c r="AI1" s="38" t="s">
        <v>939</v>
      </c>
      <c r="AJ1" s="38" t="s">
        <v>940</v>
      </c>
      <c r="AK1" s="38" t="s">
        <v>941</v>
      </c>
      <c r="AL1" s="38" t="s">
        <v>710</v>
      </c>
      <c r="AM1" s="38"/>
      <c r="AN1" s="39"/>
      <c r="AO1" s="38"/>
      <c r="AP1" s="39"/>
      <c r="AQ1" s="38"/>
      <c r="AR1" s="38"/>
      <c r="AS1" s="38"/>
      <c r="AT1" s="39"/>
      <c r="AU1" s="38"/>
      <c r="AV1" s="39"/>
      <c r="AW1" s="39"/>
      <c r="AX1" s="39"/>
      <c r="AY1" s="38"/>
      <c r="AZ1" s="38"/>
      <c r="BA1" s="38"/>
      <c r="BB1" s="38"/>
      <c r="BC1" s="38"/>
      <c r="BD1" s="38"/>
      <c r="BE1" s="38"/>
      <c r="BF1" s="38"/>
      <c r="BG1" s="38"/>
      <c r="BH1" s="38"/>
      <c r="BI1" s="38"/>
      <c r="BJ1" s="38"/>
      <c r="BK1" s="38"/>
      <c r="BL1" s="38"/>
      <c r="BM1" s="38"/>
      <c r="BN1" s="38"/>
      <c r="BO1" s="38"/>
      <c r="BP1" s="38"/>
      <c r="BQ1" s="38"/>
      <c r="BR1" s="38"/>
      <c r="BS1" s="38"/>
      <c r="BT1" s="38"/>
      <c r="BU1" s="38"/>
      <c r="BV1" s="38"/>
      <c r="BW1" s="38"/>
      <c r="BX1" s="38"/>
      <c r="BY1" s="38"/>
      <c r="BZ1" s="38"/>
      <c r="CA1" s="38"/>
      <c r="CB1" s="38"/>
      <c r="CC1" s="38"/>
      <c r="CD1" s="38"/>
      <c r="CE1" s="38"/>
      <c r="CF1" s="38"/>
      <c r="CG1" s="38"/>
      <c r="CH1" s="38"/>
      <c r="CI1" s="38"/>
      <c r="CJ1" s="38"/>
      <c r="CK1" s="38"/>
      <c r="CL1" s="38"/>
      <c r="CX1" s="38"/>
      <c r="CY1" s="38"/>
      <c r="CZ1" s="38"/>
      <c r="DA1" s="38"/>
      <c r="DB1" s="38"/>
      <c r="DC1" s="38"/>
      <c r="DD1" s="38"/>
      <c r="DE1" s="38"/>
      <c r="DF1" s="38"/>
      <c r="DG1" s="38"/>
    </row>
    <row r="2" spans="1:112" hidden="1" x14ac:dyDescent="0.2">
      <c r="A2" s="38"/>
      <c r="B2" s="38"/>
      <c r="C2" s="38" t="s">
        <v>94</v>
      </c>
      <c r="D2" s="38" t="s">
        <v>163</v>
      </c>
      <c r="E2" s="38"/>
      <c r="F2" s="38"/>
      <c r="G2" s="38"/>
      <c r="H2" s="38" t="s">
        <v>166</v>
      </c>
      <c r="I2" s="38" t="s">
        <v>364</v>
      </c>
      <c r="J2" s="38" t="s">
        <v>869</v>
      </c>
      <c r="K2" s="38" t="s">
        <v>386</v>
      </c>
      <c r="L2" s="38" t="s">
        <v>98</v>
      </c>
      <c r="M2" s="38" t="s">
        <v>613</v>
      </c>
      <c r="N2" s="38" t="s">
        <v>881</v>
      </c>
      <c r="O2" s="38" t="s">
        <v>298</v>
      </c>
      <c r="P2" s="38" t="s">
        <v>882</v>
      </c>
      <c r="Q2" s="38"/>
      <c r="R2" s="38" t="s">
        <v>884</v>
      </c>
      <c r="S2" s="38" t="s">
        <v>886</v>
      </c>
      <c r="T2" s="38" t="s">
        <v>889</v>
      </c>
      <c r="U2" s="38"/>
      <c r="V2" s="38"/>
      <c r="W2" s="38" t="s">
        <v>879</v>
      </c>
      <c r="X2" s="38"/>
      <c r="Y2" s="38" t="s">
        <v>890</v>
      </c>
      <c r="Z2" s="38"/>
      <c r="AA2" s="38"/>
      <c r="AB2" s="38" t="s">
        <v>156</v>
      </c>
      <c r="AC2" s="38"/>
      <c r="AD2" s="38" t="s">
        <v>158</v>
      </c>
      <c r="AE2" s="38"/>
      <c r="AF2" s="38" t="s">
        <v>160</v>
      </c>
      <c r="AG2" s="38"/>
      <c r="AH2" s="38" t="s">
        <v>171</v>
      </c>
      <c r="AI2" s="38"/>
      <c r="AJ2" s="38"/>
      <c r="AK2" s="38"/>
      <c r="AL2" s="38" t="s">
        <v>710</v>
      </c>
      <c r="AM2" s="38"/>
      <c r="AN2" s="38"/>
      <c r="AO2" s="38"/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64"/>
      <c r="BD2" s="38"/>
      <c r="BE2" s="64"/>
      <c r="BF2" s="38"/>
      <c r="BG2" s="64"/>
      <c r="BH2" s="38"/>
      <c r="BI2" s="38"/>
      <c r="BJ2" s="38"/>
      <c r="BK2" s="38"/>
      <c r="BL2" s="38"/>
      <c r="BM2" s="38"/>
      <c r="BN2" s="38"/>
      <c r="BO2" s="38"/>
      <c r="BP2" s="38"/>
      <c r="BQ2" s="38"/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</row>
    <row r="3" spans="1:112" hidden="1" x14ac:dyDescent="0.2">
      <c r="A3" s="38" t="s">
        <v>969</v>
      </c>
      <c r="B3" s="38" t="s">
        <v>738</v>
      </c>
      <c r="C3" s="38" t="s">
        <v>739</v>
      </c>
      <c r="D3" s="38" t="s">
        <v>740</v>
      </c>
      <c r="E3" s="38" t="s">
        <v>741</v>
      </c>
      <c r="F3" s="38" t="s">
        <v>742</v>
      </c>
      <c r="G3" s="38" t="s">
        <v>743</v>
      </c>
      <c r="H3" s="38" t="s">
        <v>744</v>
      </c>
      <c r="I3" s="38" t="s">
        <v>365</v>
      </c>
      <c r="J3" s="38" t="s">
        <v>942</v>
      </c>
      <c r="K3" s="38" t="s">
        <v>943</v>
      </c>
      <c r="L3" s="38" t="s">
        <v>944</v>
      </c>
      <c r="M3" s="38" t="s">
        <v>945</v>
      </c>
      <c r="N3" s="38" t="s">
        <v>745</v>
      </c>
      <c r="O3" s="38" t="s">
        <v>946</v>
      </c>
      <c r="P3" s="38" t="s">
        <v>947</v>
      </c>
      <c r="Q3" s="38" t="s">
        <v>948</v>
      </c>
      <c r="R3" s="38" t="s">
        <v>968</v>
      </c>
      <c r="S3" s="38" t="s">
        <v>949</v>
      </c>
      <c r="T3" s="38" t="s">
        <v>950</v>
      </c>
      <c r="U3" s="38" t="s">
        <v>951</v>
      </c>
      <c r="V3" s="38" t="s">
        <v>952</v>
      </c>
      <c r="W3" s="38" t="s">
        <v>953</v>
      </c>
      <c r="X3" s="38" t="s">
        <v>954</v>
      </c>
      <c r="Y3" s="38" t="s">
        <v>746</v>
      </c>
      <c r="Z3" s="38" t="s">
        <v>955</v>
      </c>
      <c r="AA3" s="38" t="s">
        <v>832</v>
      </c>
      <c r="AB3" s="38" t="s">
        <v>956</v>
      </c>
      <c r="AC3" s="38"/>
      <c r="AD3" s="38" t="s">
        <v>839</v>
      </c>
      <c r="AE3" s="38"/>
      <c r="AF3" s="38" t="s">
        <v>840</v>
      </c>
      <c r="AG3" s="38"/>
      <c r="AH3" s="38" t="s">
        <v>841</v>
      </c>
      <c r="AI3" s="38"/>
      <c r="AJ3" s="38" t="s">
        <v>842</v>
      </c>
      <c r="AK3" s="38" t="s">
        <v>957</v>
      </c>
      <c r="AL3" s="38" t="s">
        <v>958</v>
      </c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38"/>
      <c r="BC3" s="64"/>
      <c r="BD3" s="38"/>
      <c r="BE3" s="64"/>
      <c r="BF3" s="38"/>
      <c r="BG3" s="64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8"/>
      <c r="CJ3" s="38"/>
      <c r="CK3" s="38"/>
      <c r="CL3" s="38"/>
      <c r="CX3" s="38"/>
      <c r="CY3" s="38"/>
      <c r="CZ3" s="38"/>
      <c r="DA3" s="38"/>
      <c r="DB3" s="38"/>
      <c r="DC3" s="38"/>
      <c r="DD3" s="38"/>
      <c r="DE3" s="38"/>
      <c r="DF3" s="38"/>
      <c r="DG3" s="38"/>
      <c r="DH3" s="38"/>
    </row>
    <row r="4" spans="1:112" x14ac:dyDescent="0.2">
      <c r="A4" s="38" t="s">
        <v>964</v>
      </c>
      <c r="B4" s="38" t="s">
        <v>970</v>
      </c>
      <c r="C4" s="38" t="s">
        <v>959</v>
      </c>
      <c r="D4" s="38" t="s">
        <v>971</v>
      </c>
      <c r="E4" s="38"/>
      <c r="F4" s="38"/>
      <c r="G4" s="38" t="s">
        <v>4</v>
      </c>
      <c r="H4" s="38" t="s">
        <v>863</v>
      </c>
      <c r="I4" s="38" t="s">
        <v>960</v>
      </c>
      <c r="J4" s="38">
        <v>25000</v>
      </c>
      <c r="K4" s="38" t="s">
        <v>86</v>
      </c>
      <c r="L4" s="38" t="s">
        <v>903</v>
      </c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 t="s">
        <v>4</v>
      </c>
      <c r="AC4" s="38" t="s">
        <v>961</v>
      </c>
      <c r="AD4" s="38" t="s">
        <v>15</v>
      </c>
      <c r="AE4" s="38" t="s">
        <v>962</v>
      </c>
      <c r="AF4" s="38" t="s">
        <v>6</v>
      </c>
      <c r="AG4" s="38" t="s">
        <v>963</v>
      </c>
      <c r="AH4" s="38" t="s">
        <v>964</v>
      </c>
      <c r="AI4" s="38" t="s">
        <v>965</v>
      </c>
      <c r="AJ4" s="38"/>
      <c r="AK4" s="38" t="s">
        <v>903</v>
      </c>
      <c r="AL4" s="38">
        <v>7905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64"/>
      <c r="BD4" s="38"/>
      <c r="BE4" s="64"/>
      <c r="BF4" s="38"/>
      <c r="BG4" s="64"/>
      <c r="BH4" s="38"/>
      <c r="BI4" s="38"/>
      <c r="BJ4" s="38"/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F4" s="38"/>
      <c r="CG4" s="38"/>
      <c r="CH4" s="38"/>
      <c r="CI4" s="38"/>
      <c r="CJ4" s="38"/>
      <c r="CK4" s="38"/>
      <c r="CL4" s="38"/>
      <c r="CX4" s="38"/>
      <c r="CY4" s="38"/>
      <c r="CZ4" s="38"/>
      <c r="DA4" s="38"/>
      <c r="DB4" s="38"/>
      <c r="DC4" s="38"/>
      <c r="DD4" s="38"/>
      <c r="DE4" s="38"/>
      <c r="DF4" s="38"/>
      <c r="DG4" s="38"/>
      <c r="DH4" s="38"/>
    </row>
    <row r="5" spans="1:112" x14ac:dyDescent="0.2">
      <c r="A5" s="38"/>
      <c r="B5" s="38" t="s">
        <v>970</v>
      </c>
      <c r="C5" s="38"/>
      <c r="D5" s="38" t="s">
        <v>972</v>
      </c>
      <c r="E5" s="38"/>
      <c r="F5" s="38"/>
      <c r="G5" s="38" t="s">
        <v>4</v>
      </c>
      <c r="H5" s="38" t="s">
        <v>863</v>
      </c>
      <c r="I5" s="38" t="s">
        <v>966</v>
      </c>
      <c r="J5" s="38">
        <v>25000</v>
      </c>
      <c r="K5" s="38" t="s">
        <v>86</v>
      </c>
      <c r="L5" s="38" t="s">
        <v>862</v>
      </c>
      <c r="M5" s="38" t="s">
        <v>877</v>
      </c>
      <c r="N5" s="38" t="s">
        <v>973</v>
      </c>
      <c r="O5" s="38" t="s">
        <v>974</v>
      </c>
      <c r="P5" s="38" t="s">
        <v>975</v>
      </c>
      <c r="Q5" s="38" t="s">
        <v>976</v>
      </c>
      <c r="R5" s="38" t="s">
        <v>977</v>
      </c>
      <c r="S5" s="38" t="s">
        <v>978</v>
      </c>
      <c r="T5" s="38">
        <v>1.35</v>
      </c>
      <c r="U5" s="38" t="s">
        <v>979</v>
      </c>
      <c r="V5" s="38">
        <v>0.15</v>
      </c>
      <c r="W5" s="38">
        <v>1.5</v>
      </c>
      <c r="X5" s="38">
        <v>0</v>
      </c>
      <c r="Y5" s="38">
        <v>1.35</v>
      </c>
      <c r="Z5" s="38"/>
      <c r="AA5" s="38"/>
      <c r="AB5" s="38" t="s">
        <v>4</v>
      </c>
      <c r="AC5" s="38" t="s">
        <v>961</v>
      </c>
      <c r="AD5" s="38" t="s">
        <v>11</v>
      </c>
      <c r="AE5" s="38" t="s">
        <v>967</v>
      </c>
      <c r="AF5" s="38" t="s">
        <v>6</v>
      </c>
      <c r="AG5" s="38" t="s">
        <v>963</v>
      </c>
      <c r="AH5" s="38"/>
      <c r="AI5" s="38" t="s">
        <v>965</v>
      </c>
      <c r="AJ5" s="38"/>
      <c r="AK5" s="38" t="s">
        <v>862</v>
      </c>
      <c r="AL5" s="38">
        <v>2020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64"/>
      <c r="BD5" s="38"/>
      <c r="BE5" s="64"/>
      <c r="BF5" s="38"/>
      <c r="BG5" s="64"/>
      <c r="BH5" s="38"/>
      <c r="BI5" s="38"/>
      <c r="BJ5" s="38"/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F5" s="38"/>
      <c r="CG5" s="38"/>
      <c r="CH5" s="38"/>
      <c r="CI5" s="38"/>
      <c r="CJ5" s="38"/>
      <c r="CK5" s="38"/>
      <c r="CL5" s="38"/>
      <c r="CX5" s="38"/>
      <c r="CY5" s="38"/>
      <c r="CZ5" s="38"/>
      <c r="DA5" s="38"/>
      <c r="DB5" s="38"/>
      <c r="DC5" s="38"/>
      <c r="DD5" s="38"/>
      <c r="DE5" s="38"/>
      <c r="DF5" s="38"/>
      <c r="DG5" s="38"/>
      <c r="DH5" s="38"/>
    </row>
    <row r="6" spans="1:112" hidden="1" x14ac:dyDescent="0.2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CL6" t="e">
        <f>SUBTOTAL(103,#REF!)</f>
        <v>#REF!</v>
      </c>
      <c r="CX6" s="38"/>
      <c r="CY6" s="38"/>
      <c r="CZ6" s="38"/>
      <c r="DA6" s="38"/>
      <c r="DB6" s="38"/>
      <c r="DC6" s="38"/>
      <c r="DD6" s="38"/>
      <c r="DE6" s="38"/>
      <c r="DF6" s="38"/>
      <c r="DG6" s="38"/>
      <c r="DH6" s="38"/>
    </row>
    <row r="7" spans="1:112" x14ac:dyDescent="0.2">
      <c r="A7" s="38" t="s">
        <v>964</v>
      </c>
      <c r="B7" s="38" t="s">
        <v>970</v>
      </c>
      <c r="C7" s="38" t="s">
        <v>959</v>
      </c>
      <c r="D7" s="38" t="s">
        <v>980</v>
      </c>
      <c r="E7" s="38"/>
      <c r="F7" s="38"/>
      <c r="G7" s="38" t="s">
        <v>4</v>
      </c>
      <c r="H7" s="38" t="s">
        <v>863</v>
      </c>
      <c r="I7" s="38" t="s">
        <v>960</v>
      </c>
      <c r="J7" s="38">
        <v>25000</v>
      </c>
      <c r="K7" s="38" t="s">
        <v>86</v>
      </c>
      <c r="L7" s="38" t="s">
        <v>903</v>
      </c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 t="s">
        <v>4</v>
      </c>
      <c r="AC7" s="38" t="s">
        <v>961</v>
      </c>
      <c r="AD7" s="38" t="s">
        <v>15</v>
      </c>
      <c r="AE7" s="38" t="s">
        <v>962</v>
      </c>
      <c r="AF7" s="38" t="s">
        <v>6</v>
      </c>
      <c r="AG7" s="38" t="s">
        <v>963</v>
      </c>
      <c r="AH7" s="38" t="s">
        <v>964</v>
      </c>
      <c r="AI7" s="38" t="s">
        <v>965</v>
      </c>
      <c r="AJ7" s="38"/>
      <c r="AK7" s="38" t="s">
        <v>903</v>
      </c>
      <c r="AL7" s="38">
        <v>7905</v>
      </c>
      <c r="CX7" s="38"/>
      <c r="CY7" s="38"/>
      <c r="CZ7" s="38"/>
      <c r="DA7" s="38"/>
      <c r="DB7" s="38"/>
      <c r="DC7" s="38"/>
      <c r="DD7" s="38"/>
      <c r="DE7" s="38"/>
      <c r="DF7" s="38"/>
      <c r="DG7" s="38"/>
      <c r="DH7" s="38"/>
    </row>
    <row r="8" spans="1:112" x14ac:dyDescent="0.2">
      <c r="A8" s="38"/>
      <c r="B8" s="38" t="s">
        <v>970</v>
      </c>
      <c r="C8" s="38"/>
      <c r="D8" s="38" t="s">
        <v>981</v>
      </c>
      <c r="E8" s="38"/>
      <c r="F8" s="38"/>
      <c r="G8" s="38" t="s">
        <v>4</v>
      </c>
      <c r="H8" s="38" t="s">
        <v>863</v>
      </c>
      <c r="I8" s="38" t="s">
        <v>966</v>
      </c>
      <c r="J8" s="38">
        <v>25000</v>
      </c>
      <c r="K8" s="38" t="s">
        <v>86</v>
      </c>
      <c r="L8" s="38" t="s">
        <v>862</v>
      </c>
      <c r="M8" s="38" t="s">
        <v>877</v>
      </c>
      <c r="N8" s="38" t="s">
        <v>973</v>
      </c>
      <c r="O8" s="38" t="s">
        <v>974</v>
      </c>
      <c r="P8" s="38" t="s">
        <v>975</v>
      </c>
      <c r="Q8" s="38" t="s">
        <v>976</v>
      </c>
      <c r="R8" s="38" t="s">
        <v>977</v>
      </c>
      <c r="S8" s="38" t="s">
        <v>978</v>
      </c>
      <c r="T8" s="38">
        <v>1.8</v>
      </c>
      <c r="U8" s="38" t="s">
        <v>979</v>
      </c>
      <c r="V8" s="38">
        <v>0.19</v>
      </c>
      <c r="W8" s="38">
        <v>1.99</v>
      </c>
      <c r="X8" s="38">
        <v>0</v>
      </c>
      <c r="Y8" s="38">
        <v>1.8</v>
      </c>
      <c r="Z8" s="38"/>
      <c r="AA8" s="38"/>
      <c r="AB8" s="38" t="s">
        <v>4</v>
      </c>
      <c r="AC8" s="38" t="s">
        <v>961</v>
      </c>
      <c r="AD8" s="38" t="s">
        <v>11</v>
      </c>
      <c r="AE8" s="38" t="s">
        <v>967</v>
      </c>
      <c r="AF8" s="38" t="s">
        <v>6</v>
      </c>
      <c r="AG8" s="38" t="s">
        <v>963</v>
      </c>
      <c r="AH8" s="38"/>
      <c r="AI8" s="38" t="s">
        <v>965</v>
      </c>
      <c r="AJ8" s="38"/>
      <c r="AK8" s="38" t="s">
        <v>862</v>
      </c>
      <c r="AL8" s="38">
        <v>2020</v>
      </c>
      <c r="CX8" s="38"/>
      <c r="CY8" s="38"/>
      <c r="CZ8" s="38"/>
      <c r="DA8" s="38"/>
      <c r="DB8" s="38"/>
      <c r="DC8" s="38"/>
      <c r="DD8" s="38"/>
      <c r="DE8" s="38"/>
      <c r="DF8" s="38"/>
      <c r="DG8" s="38"/>
      <c r="DH8" s="38"/>
    </row>
    <row r="9" spans="1:112" hidden="1" x14ac:dyDescent="0.2">
      <c r="A9" s="38" t="s">
        <v>757</v>
      </c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>
        <f>SUBTOTAL(103,Estrutura_P01[ctxtMBEW-BKLAS])</f>
        <v>4</v>
      </c>
      <c r="CX9" s="38"/>
      <c r="CY9" s="38"/>
      <c r="CZ9" s="38"/>
      <c r="DA9" s="38"/>
      <c r="DB9" s="38"/>
      <c r="DC9" s="38"/>
      <c r="DD9" s="38"/>
      <c r="DE9" s="38"/>
      <c r="DF9" s="38"/>
      <c r="DG9" s="38"/>
      <c r="DH9" s="38"/>
    </row>
    <row r="10" spans="1:112" hidden="1" x14ac:dyDescent="0.2">
      <c r="A10" t="s">
        <v>507</v>
      </c>
      <c r="CX10" s="38"/>
      <c r="CY10" s="38"/>
      <c r="CZ10" s="38"/>
      <c r="DA10" s="38"/>
      <c r="DB10" s="38"/>
      <c r="DC10" s="38"/>
      <c r="DD10" s="38"/>
      <c r="DE10" s="38"/>
      <c r="DF10" s="38"/>
      <c r="DG10" s="38"/>
      <c r="DH10" s="38"/>
    </row>
    <row r="11" spans="1:112" hidden="1" x14ac:dyDescent="0.2">
      <c r="CX11" s="38"/>
      <c r="CY11" s="38"/>
      <c r="CZ11" s="38"/>
      <c r="DA11" s="38"/>
      <c r="DB11" s="38"/>
      <c r="DC11" s="38"/>
      <c r="DD11" s="38"/>
      <c r="DE11" s="38"/>
      <c r="DF11" s="38"/>
      <c r="DG11" s="38"/>
      <c r="DH11" s="38"/>
    </row>
    <row r="12" spans="1:112" hidden="1" x14ac:dyDescent="0.2">
      <c r="CX12" s="38"/>
      <c r="CY12" s="38"/>
      <c r="CZ12" s="38"/>
      <c r="DA12" s="38"/>
      <c r="DB12" s="38"/>
      <c r="DC12" s="38"/>
      <c r="DD12" s="38"/>
      <c r="DE12" s="38"/>
      <c r="DF12" s="38"/>
      <c r="DG12" s="38"/>
      <c r="DH12" s="38"/>
    </row>
    <row r="13" spans="1:112" hidden="1" x14ac:dyDescent="0.2">
      <c r="CX13" s="38"/>
      <c r="CY13" s="38"/>
      <c r="CZ13" s="38"/>
      <c r="DA13" s="38"/>
      <c r="DB13" s="38"/>
      <c r="DC13" s="38"/>
      <c r="DD13" s="38"/>
      <c r="DE13" s="38"/>
      <c r="DF13" s="38"/>
      <c r="DG13" s="38"/>
      <c r="DH13" s="38"/>
    </row>
    <row r="14" spans="1:112" hidden="1" x14ac:dyDescent="0.2">
      <c r="CX14" s="38"/>
      <c r="CY14" s="38"/>
      <c r="CZ14" s="38"/>
      <c r="DA14" s="38"/>
      <c r="DB14" s="38"/>
      <c r="DC14" s="38"/>
      <c r="DD14" s="38"/>
      <c r="DE14" s="38"/>
      <c r="DF14" s="38"/>
      <c r="DG14" s="38"/>
      <c r="DH14" s="38"/>
    </row>
    <row r="15" spans="1:112" hidden="1" x14ac:dyDescent="0.2">
      <c r="CX15" s="38"/>
      <c r="CY15" s="38"/>
      <c r="CZ15" s="38"/>
      <c r="DA15" s="38"/>
      <c r="DB15" s="38"/>
      <c r="DC15" s="38"/>
      <c r="DD15" s="38"/>
      <c r="DE15" s="38"/>
      <c r="DF15" s="38"/>
      <c r="DG15" s="38"/>
      <c r="DH15" s="38"/>
    </row>
    <row r="16" spans="1:112" hidden="1" x14ac:dyDescent="0.2">
      <c r="CX16" s="38"/>
      <c r="CY16" s="38"/>
      <c r="CZ16" s="38"/>
      <c r="DA16" s="38"/>
      <c r="DB16" s="38"/>
      <c r="DC16" s="38"/>
      <c r="DD16" s="38"/>
      <c r="DE16" s="38"/>
      <c r="DF16" s="38"/>
      <c r="DG16" s="38"/>
      <c r="DH16" s="38"/>
    </row>
    <row r="17" spans="102:112" hidden="1" x14ac:dyDescent="0.2">
      <c r="CX17" s="38"/>
      <c r="CY17" s="38"/>
      <c r="CZ17" s="38"/>
      <c r="DA17" s="38"/>
      <c r="DB17" s="38"/>
      <c r="DC17" s="38"/>
      <c r="DD17" s="38"/>
      <c r="DE17" s="38"/>
      <c r="DF17" s="38"/>
      <c r="DG17" s="38"/>
      <c r="DH17" s="38"/>
    </row>
    <row r="18" spans="102:112" hidden="1" x14ac:dyDescent="0.2">
      <c r="CX18" s="38"/>
      <c r="CY18" s="38"/>
      <c r="CZ18" s="38"/>
      <c r="DA18" s="38"/>
      <c r="DB18" s="38"/>
      <c r="DC18" s="38"/>
      <c r="DD18" s="38"/>
      <c r="DE18" s="38"/>
      <c r="DF18" s="38"/>
      <c r="DG18" s="38"/>
      <c r="DH18" s="38"/>
    </row>
    <row r="19" spans="102:112" hidden="1" x14ac:dyDescent="0.2">
      <c r="CX19" s="38"/>
      <c r="CY19" s="38"/>
      <c r="CZ19" s="38"/>
      <c r="DA19" s="38"/>
      <c r="DB19" s="38"/>
      <c r="DC19" s="38"/>
      <c r="DD19" s="38"/>
      <c r="DE19" s="38"/>
      <c r="DF19" s="38"/>
      <c r="DG19" s="38"/>
      <c r="DH19" s="38"/>
    </row>
    <row r="20" spans="102:112" hidden="1" x14ac:dyDescent="0.2"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</row>
    <row r="21" spans="102:112" hidden="1" x14ac:dyDescent="0.2"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</row>
    <row r="22" spans="102:112" hidden="1" x14ac:dyDescent="0.2"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</row>
    <row r="23" spans="102:112" hidden="1" x14ac:dyDescent="0.2"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</row>
    <row r="24" spans="102:112" hidden="1" x14ac:dyDescent="0.2"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</row>
    <row r="25" spans="102:112" hidden="1" x14ac:dyDescent="0.2">
      <c r="CX25" s="38"/>
      <c r="CY25" s="38"/>
      <c r="CZ25" s="38"/>
      <c r="DA25" s="38"/>
      <c r="DB25" s="38"/>
      <c r="DC25" s="38"/>
      <c r="DD25" s="38"/>
      <c r="DE25" s="38"/>
      <c r="DF25" s="38"/>
      <c r="DG25" s="38"/>
      <c r="DH25" s="38"/>
    </row>
    <row r="26" spans="102:112" hidden="1" x14ac:dyDescent="0.2">
      <c r="CX26" s="38"/>
      <c r="CY26" s="38"/>
      <c r="CZ26" s="38"/>
      <c r="DA26" s="38"/>
      <c r="DB26" s="38"/>
      <c r="DC26" s="38"/>
      <c r="DD26" s="38"/>
      <c r="DE26" s="38"/>
      <c r="DF26" s="38"/>
      <c r="DG26" s="38"/>
      <c r="DH26" s="38"/>
    </row>
    <row r="27" spans="102:112" hidden="1" x14ac:dyDescent="0.2">
      <c r="CX27" s="38"/>
      <c r="CY27" s="38"/>
      <c r="CZ27" s="38"/>
      <c r="DA27" s="38"/>
      <c r="DB27" s="38"/>
      <c r="DC27" s="38"/>
      <c r="DD27" s="38"/>
      <c r="DE27" s="38"/>
      <c r="DF27" s="38"/>
      <c r="DG27" s="38"/>
      <c r="DH27" s="38"/>
    </row>
    <row r="28" spans="102:112" hidden="1" x14ac:dyDescent="0.2">
      <c r="CX28" s="38"/>
      <c r="CY28" s="38"/>
      <c r="CZ28" s="38"/>
      <c r="DA28" s="38"/>
      <c r="DB28" s="38"/>
      <c r="DC28" s="38"/>
      <c r="DD28" s="38"/>
      <c r="DE28" s="38"/>
      <c r="DF28" s="38"/>
      <c r="DG28" s="38"/>
      <c r="DH28" s="38"/>
    </row>
    <row r="29" spans="102:112" hidden="1" x14ac:dyDescent="0.2">
      <c r="CX29" s="38"/>
      <c r="CY29" s="38"/>
      <c r="CZ29" s="38"/>
      <c r="DA29" s="38"/>
      <c r="DB29" s="38"/>
      <c r="DC29" s="38"/>
      <c r="DD29" s="38"/>
      <c r="DE29" s="38"/>
      <c r="DF29" s="38"/>
      <c r="DG29" s="38"/>
      <c r="DH29" s="38"/>
    </row>
    <row r="30" spans="102:112" hidden="1" x14ac:dyDescent="0.2">
      <c r="CX30" s="38"/>
      <c r="CY30" s="38"/>
      <c r="CZ30" s="38"/>
      <c r="DA30" s="38"/>
      <c r="DB30" s="38"/>
      <c r="DC30" s="38"/>
      <c r="DD30" s="38"/>
      <c r="DE30" s="38"/>
      <c r="DF30" s="38"/>
      <c r="DG30" s="38"/>
      <c r="DH30" s="38"/>
    </row>
    <row r="31" spans="102:112" hidden="1" x14ac:dyDescent="0.2">
      <c r="CX31" s="38"/>
      <c r="CY31" s="38"/>
      <c r="CZ31" s="38"/>
      <c r="DA31" s="38"/>
      <c r="DB31" s="38"/>
      <c r="DC31" s="38"/>
      <c r="DD31" s="38"/>
      <c r="DE31" s="38"/>
      <c r="DF31" s="38"/>
      <c r="DG31" s="38"/>
      <c r="DH31" s="38"/>
    </row>
    <row r="32" spans="102:112" hidden="1" x14ac:dyDescent="0.2">
      <c r="DD32" s="38"/>
      <c r="DE32" s="38"/>
      <c r="DF32" s="38"/>
      <c r="DG32" s="38"/>
      <c r="DH32" s="38"/>
    </row>
    <row r="33" spans="108:112" hidden="1" x14ac:dyDescent="0.2">
      <c r="DD33" s="38"/>
      <c r="DE33" s="38"/>
      <c r="DF33" s="38"/>
      <c r="DG33" s="38"/>
      <c r="DH33" s="38"/>
    </row>
    <row r="34" spans="108:112" hidden="1" x14ac:dyDescent="0.2">
      <c r="DD34" s="38"/>
      <c r="DE34" s="38"/>
      <c r="DF34" s="38"/>
      <c r="DG34" s="38"/>
      <c r="DH34" s="38"/>
    </row>
    <row r="35" spans="108:112" hidden="1" x14ac:dyDescent="0.2">
      <c r="DD35" s="38"/>
      <c r="DE35" s="38"/>
      <c r="DF35" s="38"/>
      <c r="DG35" s="38"/>
      <c r="DH35" s="38"/>
    </row>
    <row r="36" spans="108:112" hidden="1" x14ac:dyDescent="0.2">
      <c r="DD36" s="38"/>
      <c r="DE36" s="38"/>
      <c r="DF36" s="38"/>
      <c r="DG36" s="38"/>
      <c r="DH36" s="38"/>
    </row>
    <row r="37" spans="108:112" hidden="1" x14ac:dyDescent="0.2">
      <c r="DD37" s="38"/>
      <c r="DE37" s="38"/>
      <c r="DF37" s="38"/>
      <c r="DG37" s="38"/>
      <c r="DH37" s="38"/>
    </row>
    <row r="38" spans="108:112" hidden="1" x14ac:dyDescent="0.2"/>
    <row r="39" spans="108:112" hidden="1" x14ac:dyDescent="0.2"/>
    <row r="40" spans="108:112" hidden="1" x14ac:dyDescent="0.2"/>
    <row r="41" spans="108:112" hidden="1" x14ac:dyDescent="0.2"/>
    <row r="42" spans="108:112" hidden="1" x14ac:dyDescent="0.2"/>
    <row r="43" spans="108:112" hidden="1" x14ac:dyDescent="0.2"/>
    <row r="44" spans="108:112" hidden="1" x14ac:dyDescent="0.2"/>
    <row r="45" spans="108:112" hidden="1" x14ac:dyDescent="0.2"/>
    <row r="46" spans="108:112" hidden="1" x14ac:dyDescent="0.2"/>
    <row r="47" spans="108:112" hidden="1" x14ac:dyDescent="0.2"/>
    <row r="48" spans="108:112" hidden="1" x14ac:dyDescent="0.2"/>
    <row r="49" spans="111:111" hidden="1" x14ac:dyDescent="0.2"/>
    <row r="50" spans="111:111" hidden="1" x14ac:dyDescent="0.2"/>
    <row r="51" spans="111:111" hidden="1" x14ac:dyDescent="0.2"/>
    <row r="52" spans="111:111" hidden="1" x14ac:dyDescent="0.2"/>
    <row r="53" spans="111:111" hidden="1" x14ac:dyDescent="0.2">
      <c r="DG53" t="e">
        <f>SUBTOTAL(103,#REF!)</f>
        <v>#REF!</v>
      </c>
    </row>
    <row r="54" spans="111:111" hidden="1" x14ac:dyDescent="0.2"/>
    <row r="55" spans="111:111" hidden="1" x14ac:dyDescent="0.2"/>
    <row r="56" spans="111:111" hidden="1" x14ac:dyDescent="0.2"/>
    <row r="57" spans="111:111" hidden="1" x14ac:dyDescent="0.2"/>
    <row r="58" spans="111:111" hidden="1" x14ac:dyDescent="0.2"/>
    <row r="59" spans="111:111" hidden="1" x14ac:dyDescent="0.2"/>
    <row r="60" spans="111:111" hidden="1" x14ac:dyDescent="0.2"/>
    <row r="61" spans="111:111" hidden="1" x14ac:dyDescent="0.2"/>
    <row r="62" spans="111:111" hidden="1" x14ac:dyDescent="0.2"/>
    <row r="63" spans="111:111" hidden="1" x14ac:dyDescent="0.2"/>
    <row r="64" spans="111:111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  <row r="457" hidden="1" x14ac:dyDescent="0.2"/>
    <row r="458" hidden="1" x14ac:dyDescent="0.2"/>
    <row r="459" hidden="1" x14ac:dyDescent="0.2"/>
    <row r="460" hidden="1" x14ac:dyDescent="0.2"/>
    <row r="461" hidden="1" x14ac:dyDescent="0.2"/>
    <row r="462" hidden="1" x14ac:dyDescent="0.2"/>
    <row r="463" hidden="1" x14ac:dyDescent="0.2"/>
    <row r="464" hidden="1" x14ac:dyDescent="0.2"/>
    <row r="465" hidden="1" x14ac:dyDescent="0.2"/>
    <row r="466" hidden="1" x14ac:dyDescent="0.2"/>
    <row r="467" hidden="1" x14ac:dyDescent="0.2"/>
    <row r="468" hidden="1" x14ac:dyDescent="0.2"/>
    <row r="469" hidden="1" x14ac:dyDescent="0.2"/>
    <row r="470" hidden="1" x14ac:dyDescent="0.2"/>
    <row r="471" hidden="1" x14ac:dyDescent="0.2"/>
    <row r="472" hidden="1" x14ac:dyDescent="0.2"/>
    <row r="473" hidden="1" x14ac:dyDescent="0.2"/>
    <row r="474" hidden="1" x14ac:dyDescent="0.2"/>
    <row r="475" hidden="1" x14ac:dyDescent="0.2"/>
    <row r="476" hidden="1" x14ac:dyDescent="0.2"/>
    <row r="477" hidden="1" x14ac:dyDescent="0.2"/>
    <row r="478" hidden="1" x14ac:dyDescent="0.2"/>
    <row r="479" hidden="1" x14ac:dyDescent="0.2"/>
    <row r="480" hidden="1" x14ac:dyDescent="0.2"/>
    <row r="481" hidden="1" x14ac:dyDescent="0.2"/>
    <row r="482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Y87"/>
  <sheetViews>
    <sheetView showGridLines="0" showRowColHeaders="0" topLeftCell="Z1" workbookViewId="0">
      <selection activeCell="AJ10" sqref="AJ10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17.5703125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3" width="10.140625" style="6" customWidth="1"/>
    <col min="74" max="74" width="29" style="6" customWidth="1"/>
    <col min="75" max="75" width="9.140625" style="6"/>
    <col min="76" max="76" width="17.5703125" style="6" customWidth="1"/>
    <col min="77" max="77" width="10.42578125" style="6" customWidth="1"/>
    <col min="78" max="16384" width="9.140625" style="6"/>
  </cols>
  <sheetData>
    <row r="1" spans="1:77" s="2" customFormat="1" ht="17.100000000000001" customHeight="1" x14ac:dyDescent="0.2">
      <c r="A1" s="102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1"/>
      <c r="BM1" s="51"/>
      <c r="BN1" s="51"/>
      <c r="BO1" s="51"/>
      <c r="BP1" s="51"/>
      <c r="BQ1" s="51"/>
      <c r="BR1" s="51"/>
      <c r="BS1" s="70"/>
      <c r="BT1" s="70"/>
      <c r="BU1" s="70"/>
      <c r="BX1" s="89"/>
      <c r="BY1" s="89"/>
    </row>
    <row r="2" spans="1:77" s="2" customFormat="1" ht="17.100000000000001" customHeight="1" x14ac:dyDescent="0.2">
      <c r="A2" s="102"/>
      <c r="B2" s="102" t="s">
        <v>10</v>
      </c>
      <c r="C2" s="102"/>
      <c r="D2" s="102"/>
      <c r="E2" s="102"/>
      <c r="F2" s="15"/>
      <c r="G2" s="102" t="s">
        <v>33</v>
      </c>
      <c r="H2" s="102"/>
      <c r="I2" s="15"/>
      <c r="J2" s="102" t="s">
        <v>127</v>
      </c>
      <c r="K2" s="102"/>
      <c r="L2" s="15"/>
      <c r="M2" s="102" t="s">
        <v>172</v>
      </c>
      <c r="N2" s="102"/>
      <c r="O2" s="15"/>
      <c r="P2" s="102" t="s">
        <v>184</v>
      </c>
      <c r="Q2" s="102"/>
      <c r="R2" s="102"/>
      <c r="S2" s="102"/>
      <c r="T2" s="102"/>
      <c r="U2" s="102"/>
      <c r="V2" s="102"/>
      <c r="W2" s="102"/>
      <c r="X2" s="102"/>
      <c r="Y2" s="102"/>
      <c r="Z2" s="34"/>
      <c r="AA2" s="102" t="s">
        <v>290</v>
      </c>
      <c r="AB2" s="102"/>
      <c r="AC2" s="15"/>
      <c r="AD2" s="102" t="s">
        <v>299</v>
      </c>
      <c r="AE2" s="102"/>
      <c r="AF2" s="19"/>
      <c r="AG2" s="19" t="s">
        <v>299</v>
      </c>
      <c r="AH2" s="22"/>
      <c r="AI2" s="102" t="s">
        <v>349</v>
      </c>
      <c r="AJ2" s="102"/>
      <c r="AK2" s="22"/>
      <c r="AL2" s="102" t="s">
        <v>385</v>
      </c>
      <c r="AM2" s="102"/>
      <c r="AN2" s="22"/>
      <c r="AO2" s="102" t="s">
        <v>33</v>
      </c>
      <c r="AP2" s="102"/>
      <c r="AQ2" s="22"/>
      <c r="AR2" s="102" t="s">
        <v>388</v>
      </c>
      <c r="AS2" s="102"/>
      <c r="AT2" s="22"/>
      <c r="AU2" s="102" t="s">
        <v>403</v>
      </c>
      <c r="AV2" s="102"/>
      <c r="AW2" s="22"/>
      <c r="AX2" s="102" t="s">
        <v>468</v>
      </c>
      <c r="AY2" s="102"/>
      <c r="AZ2" s="25"/>
      <c r="BA2" s="102" t="s">
        <v>505</v>
      </c>
      <c r="BB2" s="102"/>
      <c r="BC2" s="102"/>
      <c r="BD2" s="102"/>
      <c r="BE2" s="28"/>
      <c r="BF2" s="102" t="s">
        <v>658</v>
      </c>
      <c r="BG2" s="102"/>
      <c r="BH2" s="102"/>
      <c r="BI2" s="37"/>
      <c r="BJ2" s="102" t="s">
        <v>753</v>
      </c>
      <c r="BK2" s="102"/>
      <c r="BL2" s="51"/>
      <c r="BM2" s="51" t="s">
        <v>99</v>
      </c>
      <c r="BN2" s="51"/>
      <c r="BO2" s="102" t="s">
        <v>826</v>
      </c>
      <c r="BP2" s="102"/>
      <c r="BQ2" s="51"/>
      <c r="BR2" s="51" t="s">
        <v>827</v>
      </c>
      <c r="BS2" s="70"/>
      <c r="BT2" s="102" t="s">
        <v>847</v>
      </c>
      <c r="BU2" s="102"/>
      <c r="BV2" s="102"/>
      <c r="BX2" s="102" t="s">
        <v>986</v>
      </c>
      <c r="BY2" s="102"/>
    </row>
    <row r="3" spans="1:77" s="2" customFormat="1" ht="17.100000000000001" customHeight="1" x14ac:dyDescent="0.2">
      <c r="A3" s="102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310</v>
      </c>
      <c r="K3" s="22" t="s">
        <v>311</v>
      </c>
      <c r="L3" s="15"/>
      <c r="M3" s="15" t="s">
        <v>92</v>
      </c>
      <c r="N3" s="15" t="s">
        <v>93</v>
      </c>
      <c r="O3" s="15"/>
      <c r="P3" s="2" t="s">
        <v>185</v>
      </c>
      <c r="Q3" s="2" t="s">
        <v>93</v>
      </c>
      <c r="R3" s="2" t="s">
        <v>186</v>
      </c>
      <c r="S3" s="22" t="s">
        <v>93</v>
      </c>
      <c r="T3" s="2" t="s">
        <v>187</v>
      </c>
      <c r="U3" s="22" t="s">
        <v>93</v>
      </c>
      <c r="V3" s="2" t="s">
        <v>188</v>
      </c>
      <c r="W3" s="22" t="s">
        <v>93</v>
      </c>
      <c r="X3" s="2" t="s">
        <v>189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731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503</v>
      </c>
      <c r="BB3" s="25" t="s">
        <v>504</v>
      </c>
      <c r="BC3" s="2" t="s">
        <v>501</v>
      </c>
      <c r="BD3" s="2" t="s">
        <v>502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752</v>
      </c>
      <c r="BL3" s="51"/>
      <c r="BM3" s="51" t="s">
        <v>752</v>
      </c>
      <c r="BN3" s="51"/>
      <c r="BO3" s="51" t="s">
        <v>752</v>
      </c>
      <c r="BP3" s="51" t="s">
        <v>93</v>
      </c>
      <c r="BQ3" s="51"/>
      <c r="BR3" s="51" t="s">
        <v>828</v>
      </c>
      <c r="BS3" s="70"/>
      <c r="BT3" s="70" t="s">
        <v>0</v>
      </c>
      <c r="BU3" s="70" t="s">
        <v>752</v>
      </c>
      <c r="BV3" s="2" t="s">
        <v>93</v>
      </c>
      <c r="BW3" s="70"/>
      <c r="BX3" s="89" t="s">
        <v>987</v>
      </c>
      <c r="BY3" s="89" t="s">
        <v>988</v>
      </c>
    </row>
    <row r="4" spans="1:77" x14ac:dyDescent="0.2">
      <c r="A4" s="53" t="s">
        <v>831</v>
      </c>
      <c r="B4" s="10" t="s">
        <v>4</v>
      </c>
      <c r="C4" s="17" t="s">
        <v>843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312</v>
      </c>
      <c r="M4" s="10">
        <v>62</v>
      </c>
      <c r="N4" s="20" t="s">
        <v>173</v>
      </c>
      <c r="P4" s="10" t="s">
        <v>190</v>
      </c>
      <c r="Q4" s="20" t="s">
        <v>191</v>
      </c>
      <c r="R4" s="10" t="s">
        <v>192</v>
      </c>
      <c r="S4" s="20" t="s">
        <v>193</v>
      </c>
      <c r="T4" s="10" t="s">
        <v>192</v>
      </c>
      <c r="U4" s="20" t="s">
        <v>194</v>
      </c>
      <c r="V4" s="10" t="s">
        <v>195</v>
      </c>
      <c r="W4" s="20" t="s">
        <v>196</v>
      </c>
      <c r="X4" s="10" t="s">
        <v>192</v>
      </c>
      <c r="Y4" s="20" t="s">
        <v>197</v>
      </c>
      <c r="AA4" s="10">
        <v>99</v>
      </c>
      <c r="AB4" s="20" t="s">
        <v>291</v>
      </c>
      <c r="AD4" s="10"/>
      <c r="AE4" s="20"/>
      <c r="AG4" s="20" t="s">
        <v>300</v>
      </c>
      <c r="AI4" s="17" t="s">
        <v>192</v>
      </c>
      <c r="AJ4" s="20" t="s">
        <v>350</v>
      </c>
      <c r="AL4" s="17" t="s">
        <v>372</v>
      </c>
      <c r="AM4" s="23" t="s">
        <v>373</v>
      </c>
      <c r="AO4" s="17" t="s">
        <v>34</v>
      </c>
      <c r="AP4" s="23" t="s">
        <v>35</v>
      </c>
      <c r="AR4" s="17" t="s">
        <v>389</v>
      </c>
      <c r="AS4" s="23" t="s">
        <v>390</v>
      </c>
      <c r="AU4" s="17" t="s">
        <v>404</v>
      </c>
      <c r="AV4" s="23" t="s">
        <v>433</v>
      </c>
      <c r="AX4" s="17" t="s">
        <v>471</v>
      </c>
      <c r="AY4" s="23" t="s">
        <v>472</v>
      </c>
      <c r="BA4" s="17" t="s">
        <v>506</v>
      </c>
      <c r="BB4" s="17" t="s">
        <v>14</v>
      </c>
      <c r="BC4" s="23" t="s">
        <v>507</v>
      </c>
      <c r="BD4" s="23" t="s">
        <v>507</v>
      </c>
      <c r="BF4" s="17" t="s">
        <v>628</v>
      </c>
      <c r="BG4" s="17" t="s">
        <v>629</v>
      </c>
      <c r="BH4" s="17" t="s">
        <v>4</v>
      </c>
      <c r="BJ4" s="17" t="s">
        <v>4</v>
      </c>
      <c r="BK4" s="17" t="s">
        <v>915</v>
      </c>
      <c r="BM4" s="17" t="s">
        <v>761</v>
      </c>
      <c r="BO4" s="17" t="s">
        <v>766</v>
      </c>
      <c r="BP4" s="17" t="s">
        <v>767</v>
      </c>
      <c r="BR4" s="17" t="s">
        <v>297</v>
      </c>
      <c r="BT4" s="17" t="s">
        <v>4</v>
      </c>
      <c r="BU4" s="17" t="s">
        <v>921</v>
      </c>
      <c r="BV4" s="17" t="s">
        <v>919</v>
      </c>
      <c r="BX4" s="17" t="s">
        <v>989</v>
      </c>
      <c r="BY4" s="17">
        <v>6350</v>
      </c>
    </row>
    <row r="5" spans="1:77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313</v>
      </c>
      <c r="M5" s="10">
        <v>63</v>
      </c>
      <c r="N5" s="20" t="s">
        <v>174</v>
      </c>
      <c r="P5" s="10" t="s">
        <v>198</v>
      </c>
      <c r="Q5" s="20" t="s">
        <v>199</v>
      </c>
      <c r="R5" s="10" t="s">
        <v>200</v>
      </c>
      <c r="S5" s="20" t="s">
        <v>201</v>
      </c>
      <c r="T5" s="10" t="s">
        <v>200</v>
      </c>
      <c r="U5" s="20" t="s">
        <v>202</v>
      </c>
      <c r="V5" s="10" t="s">
        <v>203</v>
      </c>
      <c r="W5" s="20" t="s">
        <v>204</v>
      </c>
      <c r="X5" s="10" t="s">
        <v>200</v>
      </c>
      <c r="Y5" s="20" t="s">
        <v>205</v>
      </c>
      <c r="AA5" s="10"/>
      <c r="AB5" s="20" t="s">
        <v>833</v>
      </c>
      <c r="AD5" s="10" t="s">
        <v>300</v>
      </c>
      <c r="AE5" s="20" t="s">
        <v>732</v>
      </c>
      <c r="AG5" s="20" t="s">
        <v>301</v>
      </c>
      <c r="AI5" s="17" t="s">
        <v>200</v>
      </c>
      <c r="AJ5" s="20" t="s">
        <v>351</v>
      </c>
      <c r="AL5" s="17" t="s">
        <v>374</v>
      </c>
      <c r="AM5" s="23" t="s">
        <v>375</v>
      </c>
      <c r="AO5" s="17" t="s">
        <v>36</v>
      </c>
      <c r="AP5" s="23" t="s">
        <v>37</v>
      </c>
      <c r="AR5" s="17" t="s">
        <v>391</v>
      </c>
      <c r="AS5" s="23" t="s">
        <v>392</v>
      </c>
      <c r="AU5" s="17" t="s">
        <v>405</v>
      </c>
      <c r="AV5" s="23" t="s">
        <v>434</v>
      </c>
      <c r="AX5" s="17" t="s">
        <v>473</v>
      </c>
      <c r="AY5" s="23" t="s">
        <v>474</v>
      </c>
      <c r="BA5" s="17" t="s">
        <v>508</v>
      </c>
      <c r="BB5" s="17" t="s">
        <v>538</v>
      </c>
      <c r="BC5" s="23" t="s">
        <v>509</v>
      </c>
      <c r="BD5" s="23" t="s">
        <v>510</v>
      </c>
      <c r="BF5" s="17" t="s">
        <v>630</v>
      </c>
      <c r="BG5" s="17" t="s">
        <v>631</v>
      </c>
      <c r="BH5" s="17" t="s">
        <v>4</v>
      </c>
      <c r="BJ5" s="17" t="s">
        <v>9</v>
      </c>
      <c r="BK5" s="17" t="s">
        <v>916</v>
      </c>
      <c r="BM5" s="17" t="s">
        <v>747</v>
      </c>
      <c r="BO5" s="17" t="s">
        <v>768</v>
      </c>
      <c r="BP5" s="17" t="s">
        <v>769</v>
      </c>
      <c r="BR5" s="17" t="s">
        <v>759</v>
      </c>
      <c r="BT5" s="17" t="s">
        <v>9</v>
      </c>
      <c r="BU5" s="17"/>
      <c r="BV5" s="17" t="s">
        <v>920</v>
      </c>
      <c r="BX5" s="17" t="s">
        <v>990</v>
      </c>
      <c r="BY5" s="92">
        <v>7069</v>
      </c>
    </row>
    <row r="6" spans="1:77" x14ac:dyDescent="0.2">
      <c r="A6" s="51" t="s">
        <v>829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314</v>
      </c>
      <c r="M6" s="10">
        <v>64</v>
      </c>
      <c r="N6" s="20" t="s">
        <v>175</v>
      </c>
      <c r="P6" s="10" t="s">
        <v>206</v>
      </c>
      <c r="Q6" s="20" t="s">
        <v>207</v>
      </c>
      <c r="R6" s="10" t="s">
        <v>208</v>
      </c>
      <c r="S6" s="20" t="s">
        <v>209</v>
      </c>
      <c r="T6" s="10" t="s">
        <v>208</v>
      </c>
      <c r="U6" s="20" t="s">
        <v>178</v>
      </c>
      <c r="V6" s="10" t="s">
        <v>210</v>
      </c>
      <c r="W6" s="20" t="s">
        <v>211</v>
      </c>
      <c r="X6" s="10" t="s">
        <v>208</v>
      </c>
      <c r="Y6" s="20" t="s">
        <v>212</v>
      </c>
      <c r="AD6" s="10" t="s">
        <v>301</v>
      </c>
      <c r="AE6" s="20" t="s">
        <v>732</v>
      </c>
      <c r="AG6" s="20"/>
      <c r="AI6" s="17" t="s">
        <v>352</v>
      </c>
      <c r="AJ6" s="20" t="s">
        <v>353</v>
      </c>
      <c r="AL6" s="17" t="s">
        <v>376</v>
      </c>
      <c r="AM6" s="23" t="s">
        <v>377</v>
      </c>
      <c r="AO6" s="17" t="s">
        <v>38</v>
      </c>
      <c r="AP6" s="23" t="s">
        <v>39</v>
      </c>
      <c r="AR6" s="17" t="s">
        <v>8</v>
      </c>
      <c r="AS6" s="23" t="s">
        <v>393</v>
      </c>
      <c r="AU6" s="17" t="s">
        <v>406</v>
      </c>
      <c r="AV6" s="23" t="s">
        <v>435</v>
      </c>
      <c r="AX6" s="17" t="s">
        <v>276</v>
      </c>
      <c r="AY6" s="23" t="s">
        <v>477</v>
      </c>
      <c r="BA6" s="17" t="s">
        <v>511</v>
      </c>
      <c r="BB6" s="17" t="s">
        <v>539</v>
      </c>
      <c r="BC6" s="23"/>
      <c r="BD6" s="23"/>
      <c r="BF6" s="17" t="s">
        <v>632</v>
      </c>
      <c r="BG6" s="17" t="s">
        <v>633</v>
      </c>
      <c r="BH6" s="17" t="s">
        <v>4</v>
      </c>
      <c r="BJ6" s="17" t="s">
        <v>4</v>
      </c>
      <c r="BK6" s="17" t="s">
        <v>917</v>
      </c>
      <c r="BM6" s="17" t="s">
        <v>762</v>
      </c>
      <c r="BO6" s="17" t="s">
        <v>770</v>
      </c>
      <c r="BP6" s="17" t="s">
        <v>771</v>
      </c>
      <c r="BR6" s="17" t="s">
        <v>100</v>
      </c>
      <c r="BT6" s="17"/>
      <c r="BU6" s="17"/>
      <c r="BV6" s="17"/>
      <c r="BX6" s="17" t="s">
        <v>973</v>
      </c>
      <c r="BY6" s="92">
        <v>7419</v>
      </c>
    </row>
    <row r="7" spans="1:77" x14ac:dyDescent="0.2">
      <c r="A7" s="52" t="s">
        <v>993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315</v>
      </c>
      <c r="M7" s="10">
        <v>65</v>
      </c>
      <c r="N7" s="20" t="s">
        <v>176</v>
      </c>
      <c r="P7" s="10" t="s">
        <v>213</v>
      </c>
      <c r="Q7" s="20" t="s">
        <v>214</v>
      </c>
      <c r="T7" s="10" t="s">
        <v>215</v>
      </c>
      <c r="U7" s="20" t="s">
        <v>180</v>
      </c>
      <c r="V7" s="10" t="s">
        <v>216</v>
      </c>
      <c r="W7" s="20" t="s">
        <v>217</v>
      </c>
      <c r="X7" s="10" t="s">
        <v>215</v>
      </c>
      <c r="Y7" s="20" t="s">
        <v>218</v>
      </c>
      <c r="AD7" s="10" t="s">
        <v>733</v>
      </c>
      <c r="AE7" s="20" t="s">
        <v>734</v>
      </c>
      <c r="AG7" s="20"/>
      <c r="AI7" s="17" t="s">
        <v>354</v>
      </c>
      <c r="AJ7" s="20"/>
      <c r="AL7" s="17" t="s">
        <v>378</v>
      </c>
      <c r="AM7" s="23"/>
      <c r="AO7" s="17" t="s">
        <v>40</v>
      </c>
      <c r="AP7" s="23" t="s">
        <v>41</v>
      </c>
      <c r="AR7" s="17" t="s">
        <v>27</v>
      </c>
      <c r="AS7" s="23" t="s">
        <v>830</v>
      </c>
      <c r="AU7" s="17" t="s">
        <v>407</v>
      </c>
      <c r="AV7" s="23" t="s">
        <v>436</v>
      </c>
      <c r="AX7" s="17" t="s">
        <v>90</v>
      </c>
      <c r="AY7" s="23" t="s">
        <v>478</v>
      </c>
      <c r="BA7" s="17" t="s">
        <v>512</v>
      </c>
      <c r="BB7" s="17" t="s">
        <v>540</v>
      </c>
      <c r="BC7" s="23"/>
      <c r="BD7" s="23"/>
      <c r="BF7" s="17" t="s">
        <v>634</v>
      </c>
      <c r="BG7" s="17" t="s">
        <v>635</v>
      </c>
      <c r="BH7" s="17" t="s">
        <v>4</v>
      </c>
      <c r="BJ7" s="17" t="s">
        <v>9</v>
      </c>
      <c r="BK7" s="17" t="s">
        <v>918</v>
      </c>
      <c r="BM7" s="17" t="s">
        <v>763</v>
      </c>
      <c r="BO7" s="17" t="s">
        <v>772</v>
      </c>
      <c r="BP7" s="17" t="s">
        <v>773</v>
      </c>
      <c r="BR7" s="17"/>
      <c r="BT7"/>
      <c r="BU7"/>
      <c r="BV7"/>
      <c r="BX7" s="17" t="s">
        <v>991</v>
      </c>
      <c r="BY7" s="17">
        <v>6350</v>
      </c>
    </row>
    <row r="8" spans="1:77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316</v>
      </c>
      <c r="M8" s="10">
        <v>66</v>
      </c>
      <c r="N8" s="20" t="s">
        <v>177</v>
      </c>
      <c r="P8" s="10" t="s">
        <v>219</v>
      </c>
      <c r="Q8" s="20" t="s">
        <v>220</v>
      </c>
      <c r="T8" s="10" t="s">
        <v>221</v>
      </c>
      <c r="U8" s="20" t="s">
        <v>222</v>
      </c>
      <c r="V8" s="10" t="s">
        <v>223</v>
      </c>
      <c r="W8" s="20" t="s">
        <v>224</v>
      </c>
      <c r="X8" s="10" t="s">
        <v>221</v>
      </c>
      <c r="Y8" s="20" t="s">
        <v>225</v>
      </c>
      <c r="AD8" s="10" t="s">
        <v>735</v>
      </c>
      <c r="AE8" s="20" t="s">
        <v>732</v>
      </c>
      <c r="AG8" s="20"/>
      <c r="AI8" s="17" t="s">
        <v>355</v>
      </c>
      <c r="AJ8" s="20" t="s">
        <v>356</v>
      </c>
      <c r="AL8" s="17" t="s">
        <v>379</v>
      </c>
      <c r="AM8" s="23" t="s">
        <v>380</v>
      </c>
      <c r="AO8" s="17" t="s">
        <v>42</v>
      </c>
      <c r="AP8" s="23" t="s">
        <v>43</v>
      </c>
      <c r="AR8" s="17" t="s">
        <v>395</v>
      </c>
      <c r="AS8" s="23" t="s">
        <v>394</v>
      </c>
      <c r="AU8" s="17" t="s">
        <v>408</v>
      </c>
      <c r="AV8" s="23" t="s">
        <v>437</v>
      </c>
      <c r="AX8" s="17"/>
      <c r="AY8" s="23" t="s">
        <v>479</v>
      </c>
      <c r="BA8" s="17" t="s">
        <v>513</v>
      </c>
      <c r="BB8" s="17" t="s">
        <v>541</v>
      </c>
      <c r="BC8" s="23"/>
      <c r="BD8" s="23"/>
      <c r="BF8" s="17" t="s">
        <v>636</v>
      </c>
      <c r="BG8" s="17" t="s">
        <v>637</v>
      </c>
      <c r="BH8" s="17" t="s">
        <v>4</v>
      </c>
      <c r="BJ8" s="17" t="s">
        <v>4</v>
      </c>
      <c r="BK8" s="17" t="s">
        <v>844</v>
      </c>
      <c r="BM8" s="17" t="s">
        <v>764</v>
      </c>
      <c r="BO8" s="17" t="s">
        <v>774</v>
      </c>
      <c r="BP8" s="17" t="s">
        <v>775</v>
      </c>
      <c r="BR8" s="17"/>
      <c r="BT8"/>
      <c r="BU8"/>
      <c r="BV8"/>
    </row>
    <row r="9" spans="1:77" x14ac:dyDescent="0.2">
      <c r="A9" s="57" t="s">
        <v>834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317</v>
      </c>
      <c r="M9" s="10">
        <v>67</v>
      </c>
      <c r="N9" s="20" t="s">
        <v>178</v>
      </c>
      <c r="P9" s="10" t="s">
        <v>226</v>
      </c>
      <c r="Q9" s="20" t="s">
        <v>227</v>
      </c>
      <c r="V9" s="10" t="s">
        <v>228</v>
      </c>
      <c r="W9" s="20" t="s">
        <v>229</v>
      </c>
      <c r="X9" s="10" t="s">
        <v>6</v>
      </c>
      <c r="Y9" s="20" t="s">
        <v>230</v>
      </c>
      <c r="AD9" s="10" t="s">
        <v>736</v>
      </c>
      <c r="AE9" s="20" t="s">
        <v>732</v>
      </c>
      <c r="AI9" s="17" t="s">
        <v>357</v>
      </c>
      <c r="AJ9" s="20" t="s">
        <v>358</v>
      </c>
      <c r="AL9" s="17" t="s">
        <v>381</v>
      </c>
      <c r="AM9" s="23" t="s">
        <v>382</v>
      </c>
      <c r="AO9" s="17" t="s">
        <v>44</v>
      </c>
      <c r="AP9" s="23" t="s">
        <v>45</v>
      </c>
      <c r="AR9" s="17" t="s">
        <v>396</v>
      </c>
      <c r="AS9" s="23" t="s">
        <v>397</v>
      </c>
      <c r="AU9" s="17" t="s">
        <v>409</v>
      </c>
      <c r="AV9" s="23" t="s">
        <v>438</v>
      </c>
      <c r="BA9" s="17" t="s">
        <v>514</v>
      </c>
      <c r="BB9" s="17" t="s">
        <v>542</v>
      </c>
      <c r="BC9" s="23"/>
      <c r="BD9" s="23"/>
      <c r="BF9" s="17" t="s">
        <v>638</v>
      </c>
      <c r="BG9" s="17" t="s">
        <v>639</v>
      </c>
      <c r="BH9" s="17" t="s">
        <v>4</v>
      </c>
      <c r="BJ9" s="17" t="s">
        <v>9</v>
      </c>
      <c r="BK9" s="17" t="s">
        <v>845</v>
      </c>
      <c r="BM9" s="17" t="s">
        <v>765</v>
      </c>
      <c r="BO9" s="17" t="s">
        <v>776</v>
      </c>
      <c r="BP9" s="17" t="s">
        <v>777</v>
      </c>
      <c r="BR9" s="17"/>
      <c r="BT9"/>
      <c r="BU9"/>
      <c r="BV9"/>
    </row>
    <row r="10" spans="1:77" x14ac:dyDescent="0.2">
      <c r="A10" s="53" t="s">
        <v>838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318</v>
      </c>
      <c r="M10" s="10">
        <v>68</v>
      </c>
      <c r="N10" s="20" t="s">
        <v>179</v>
      </c>
      <c r="P10" s="10" t="s">
        <v>231</v>
      </c>
      <c r="Q10" s="20" t="s">
        <v>232</v>
      </c>
      <c r="X10" s="10" t="s">
        <v>24</v>
      </c>
      <c r="Y10" s="20" t="s">
        <v>233</v>
      </c>
      <c r="AD10" s="10" t="s">
        <v>737</v>
      </c>
      <c r="AE10" s="20" t="s">
        <v>732</v>
      </c>
      <c r="AI10" s="17" t="s">
        <v>348</v>
      </c>
      <c r="AJ10" s="20" t="s">
        <v>358</v>
      </c>
      <c r="AL10" s="17" t="s">
        <v>383</v>
      </c>
      <c r="AM10" s="23" t="s">
        <v>384</v>
      </c>
      <c r="AO10" s="17" t="s">
        <v>46</v>
      </c>
      <c r="AP10" s="23" t="s">
        <v>47</v>
      </c>
      <c r="AR10" s="17" t="s">
        <v>398</v>
      </c>
      <c r="AS10" s="23" t="s">
        <v>399</v>
      </c>
      <c r="AU10" s="17" t="s">
        <v>38</v>
      </c>
      <c r="AV10" s="23" t="s">
        <v>439</v>
      </c>
      <c r="BA10" s="17" t="s">
        <v>515</v>
      </c>
      <c r="BB10" s="17" t="s">
        <v>543</v>
      </c>
      <c r="BC10" s="23"/>
      <c r="BD10" s="23"/>
      <c r="BF10" s="17" t="s">
        <v>640</v>
      </c>
      <c r="BG10" s="17" t="s">
        <v>641</v>
      </c>
      <c r="BH10" s="17" t="s">
        <v>4</v>
      </c>
      <c r="BJ10"/>
      <c r="BK10"/>
      <c r="BM10"/>
      <c r="BO10" s="17" t="s">
        <v>778</v>
      </c>
      <c r="BP10" s="17" t="s">
        <v>779</v>
      </c>
      <c r="BR10"/>
      <c r="BT10"/>
      <c r="BU10"/>
      <c r="BV10"/>
    </row>
    <row r="11" spans="1:77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319</v>
      </c>
      <c r="M11" s="10">
        <v>69</v>
      </c>
      <c r="N11" s="20" t="s">
        <v>180</v>
      </c>
      <c r="P11" s="10" t="s">
        <v>234</v>
      </c>
      <c r="Q11" s="20" t="s">
        <v>180</v>
      </c>
      <c r="X11" s="10" t="s">
        <v>7</v>
      </c>
      <c r="Y11" s="20" t="s">
        <v>235</v>
      </c>
      <c r="AI11" s="17" t="s">
        <v>359</v>
      </c>
      <c r="AJ11" s="20" t="s">
        <v>358</v>
      </c>
      <c r="AO11" s="17" t="s">
        <v>48</v>
      </c>
      <c r="AP11" s="23" t="s">
        <v>49</v>
      </c>
      <c r="AR11" s="17" t="s">
        <v>400</v>
      </c>
      <c r="AS11" s="23" t="s">
        <v>401</v>
      </c>
      <c r="AU11" s="17" t="s">
        <v>40</v>
      </c>
      <c r="AV11" s="23" t="s">
        <v>440</v>
      </c>
      <c r="BA11" s="17" t="s">
        <v>516</v>
      </c>
      <c r="BB11" s="17" t="s">
        <v>544</v>
      </c>
      <c r="BC11" s="23"/>
      <c r="BD11" s="23"/>
      <c r="BF11" s="17" t="s">
        <v>642</v>
      </c>
      <c r="BG11" s="17" t="s">
        <v>643</v>
      </c>
      <c r="BH11" s="17" t="s">
        <v>4</v>
      </c>
      <c r="BJ11"/>
      <c r="BK11"/>
      <c r="BM11"/>
      <c r="BO11" s="17" t="s">
        <v>780</v>
      </c>
      <c r="BP11" s="17" t="s">
        <v>781</v>
      </c>
      <c r="BR11"/>
      <c r="BT11"/>
      <c r="BU11"/>
      <c r="BV11"/>
    </row>
    <row r="12" spans="1:77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320</v>
      </c>
      <c r="M12" s="10">
        <v>70</v>
      </c>
      <c r="N12" s="20" t="s">
        <v>181</v>
      </c>
      <c r="X12" s="10" t="s">
        <v>25</v>
      </c>
      <c r="Y12" s="20" t="s">
        <v>236</v>
      </c>
      <c r="AO12" s="17" t="s">
        <v>50</v>
      </c>
      <c r="AP12" s="23" t="s">
        <v>51</v>
      </c>
      <c r="AU12" s="17" t="s">
        <v>42</v>
      </c>
      <c r="AV12" s="23" t="s">
        <v>441</v>
      </c>
      <c r="BA12" s="17" t="s">
        <v>517</v>
      </c>
      <c r="BB12" s="17" t="s">
        <v>545</v>
      </c>
      <c r="BC12" s="23"/>
      <c r="BD12" s="23"/>
      <c r="BF12" s="17" t="s">
        <v>644</v>
      </c>
      <c r="BG12" s="17" t="s">
        <v>645</v>
      </c>
      <c r="BH12" s="17" t="s">
        <v>4</v>
      </c>
      <c r="BJ12"/>
      <c r="BK12"/>
      <c r="BM12"/>
      <c r="BO12" s="17" t="s">
        <v>782</v>
      </c>
      <c r="BP12" s="17" t="s">
        <v>783</v>
      </c>
      <c r="BR12"/>
      <c r="BT12"/>
      <c r="BU12"/>
      <c r="BV12"/>
    </row>
    <row r="13" spans="1:77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321</v>
      </c>
      <c r="M13" s="10">
        <v>71</v>
      </c>
      <c r="N13" s="20" t="s">
        <v>182</v>
      </c>
      <c r="X13" s="10" t="s">
        <v>26</v>
      </c>
      <c r="Y13" s="20" t="s">
        <v>237</v>
      </c>
      <c r="AO13" s="17" t="s">
        <v>52</v>
      </c>
      <c r="AP13" s="23" t="s">
        <v>53</v>
      </c>
      <c r="AU13" s="17" t="s">
        <v>410</v>
      </c>
      <c r="AV13" s="23" t="s">
        <v>442</v>
      </c>
      <c r="BA13" s="17" t="s">
        <v>518</v>
      </c>
      <c r="BB13" s="17" t="s">
        <v>546</v>
      </c>
      <c r="BC13" s="23"/>
      <c r="BD13" s="23"/>
      <c r="BF13" s="17" t="s">
        <v>646</v>
      </c>
      <c r="BG13" s="17" t="s">
        <v>647</v>
      </c>
      <c r="BH13" s="17" t="s">
        <v>4</v>
      </c>
      <c r="BJ13"/>
      <c r="BK13"/>
      <c r="BM13"/>
      <c r="BO13" s="17" t="s">
        <v>784</v>
      </c>
      <c r="BP13" s="17" t="s">
        <v>785</v>
      </c>
      <c r="BR13"/>
      <c r="BT13"/>
      <c r="BU13"/>
      <c r="BV13"/>
    </row>
    <row r="14" spans="1:77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322</v>
      </c>
      <c r="M14" s="10">
        <v>72</v>
      </c>
      <c r="N14" s="20" t="s">
        <v>183</v>
      </c>
      <c r="X14" s="10" t="s">
        <v>238</v>
      </c>
      <c r="Y14" s="20" t="s">
        <v>239</v>
      </c>
      <c r="AO14" s="17" t="s">
        <v>54</v>
      </c>
      <c r="AP14" s="23" t="s">
        <v>55</v>
      </c>
      <c r="AU14" s="17" t="s">
        <v>411</v>
      </c>
      <c r="AV14" s="23" t="s">
        <v>443</v>
      </c>
      <c r="BA14" s="17" t="s">
        <v>519</v>
      </c>
      <c r="BB14" s="17" t="s">
        <v>547</v>
      </c>
      <c r="BC14" s="23"/>
      <c r="BD14" s="23"/>
      <c r="BF14" s="17" t="s">
        <v>648</v>
      </c>
      <c r="BG14" s="17" t="s">
        <v>649</v>
      </c>
      <c r="BH14" s="17" t="s">
        <v>4</v>
      </c>
      <c r="BJ14"/>
      <c r="BK14"/>
      <c r="BM14"/>
      <c r="BO14" s="17" t="s">
        <v>786</v>
      </c>
      <c r="BP14" s="17" t="s">
        <v>787</v>
      </c>
      <c r="BR14"/>
      <c r="BT14"/>
      <c r="BU14"/>
      <c r="BV14"/>
    </row>
    <row r="15" spans="1:77" x14ac:dyDescent="0.2">
      <c r="A15" s="35" t="s">
        <v>620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323</v>
      </c>
      <c r="X15" s="10" t="s">
        <v>240</v>
      </c>
      <c r="Y15" s="20" t="s">
        <v>241</v>
      </c>
      <c r="AO15" s="17" t="s">
        <v>56</v>
      </c>
      <c r="AP15" s="23" t="s">
        <v>57</v>
      </c>
      <c r="AU15" s="17" t="s">
        <v>412</v>
      </c>
      <c r="AV15" s="23" t="s">
        <v>444</v>
      </c>
      <c r="BA15" s="17" t="s">
        <v>520</v>
      </c>
      <c r="BB15" s="17" t="s">
        <v>548</v>
      </c>
      <c r="BC15" s="23"/>
      <c r="BD15" s="23"/>
      <c r="BF15" s="17" t="s">
        <v>650</v>
      </c>
      <c r="BG15" s="17" t="s">
        <v>651</v>
      </c>
      <c r="BH15" s="17" t="s">
        <v>4</v>
      </c>
      <c r="BJ15"/>
      <c r="BK15"/>
      <c r="BM15"/>
      <c r="BO15" s="17" t="s">
        <v>760</v>
      </c>
      <c r="BP15" s="17" t="s">
        <v>788</v>
      </c>
      <c r="BR15"/>
      <c r="BT15"/>
      <c r="BU15"/>
      <c r="BV15"/>
    </row>
    <row r="16" spans="1:77" x14ac:dyDescent="0.2">
      <c r="A16" s="28" t="s">
        <v>622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324</v>
      </c>
      <c r="X16" s="10" t="s">
        <v>242</v>
      </c>
      <c r="Y16" s="20" t="s">
        <v>243</v>
      </c>
      <c r="AO16" s="17" t="s">
        <v>58</v>
      </c>
      <c r="AP16" s="23" t="s">
        <v>59</v>
      </c>
      <c r="AU16" s="17" t="s">
        <v>413</v>
      </c>
      <c r="AV16" s="23" t="s">
        <v>445</v>
      </c>
      <c r="BA16" s="17" t="s">
        <v>521</v>
      </c>
      <c r="BB16" s="17" t="s">
        <v>15</v>
      </c>
      <c r="BC16" s="23"/>
      <c r="BD16" s="23"/>
      <c r="BF16" s="17" t="s">
        <v>652</v>
      </c>
      <c r="BG16" s="17" t="s">
        <v>653</v>
      </c>
      <c r="BH16" s="17" t="s">
        <v>4</v>
      </c>
      <c r="BJ16"/>
      <c r="BK16"/>
      <c r="BM16"/>
      <c r="BO16" s="17" t="s">
        <v>789</v>
      </c>
      <c r="BP16" s="17" t="s">
        <v>790</v>
      </c>
      <c r="BR16"/>
      <c r="BT16"/>
      <c r="BU16"/>
      <c r="BV16"/>
    </row>
    <row r="17" spans="1:74" x14ac:dyDescent="0.2">
      <c r="A17" s="26" t="s">
        <v>621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325</v>
      </c>
      <c r="X17" s="10" t="s">
        <v>244</v>
      </c>
      <c r="Y17" s="20" t="s">
        <v>245</v>
      </c>
      <c r="AO17" s="17" t="s">
        <v>60</v>
      </c>
      <c r="AP17" s="23" t="s">
        <v>61</v>
      </c>
      <c r="AU17" s="17" t="s">
        <v>414</v>
      </c>
      <c r="AV17" s="23" t="s">
        <v>446</v>
      </c>
      <c r="BA17" s="17" t="s">
        <v>522</v>
      </c>
      <c r="BB17" s="17" t="s">
        <v>549</v>
      </c>
      <c r="BC17" s="23"/>
      <c r="BD17" s="23"/>
      <c r="BF17" s="17" t="s">
        <v>654</v>
      </c>
      <c r="BG17" s="17" t="s">
        <v>655</v>
      </c>
      <c r="BH17" s="17" t="s">
        <v>4</v>
      </c>
      <c r="BJ17"/>
      <c r="BK17"/>
      <c r="BM17"/>
      <c r="BO17" s="17" t="s">
        <v>791</v>
      </c>
      <c r="BP17" s="17" t="s">
        <v>792</v>
      </c>
      <c r="BR17"/>
      <c r="BT17"/>
      <c r="BU17"/>
      <c r="BV17"/>
    </row>
    <row r="18" spans="1:74" x14ac:dyDescent="0.2">
      <c r="A18" s="54" t="s">
        <v>627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326</v>
      </c>
      <c r="X18" s="10" t="s">
        <v>246</v>
      </c>
      <c r="Y18" s="20" t="s">
        <v>247</v>
      </c>
      <c r="AO18" s="17" t="s">
        <v>62</v>
      </c>
      <c r="AP18" s="23" t="s">
        <v>63</v>
      </c>
      <c r="AU18" s="17" t="s">
        <v>415</v>
      </c>
      <c r="AV18" s="23" t="s">
        <v>447</v>
      </c>
      <c r="BA18" s="17" t="s">
        <v>523</v>
      </c>
      <c r="BB18" s="17" t="s">
        <v>550</v>
      </c>
      <c r="BC18" s="23"/>
      <c r="BD18" s="23"/>
      <c r="BF18" s="17" t="s">
        <v>656</v>
      </c>
      <c r="BG18" s="17" t="s">
        <v>657</v>
      </c>
      <c r="BH18" s="17" t="s">
        <v>4</v>
      </c>
      <c r="BJ18"/>
      <c r="BK18"/>
      <c r="BM18"/>
      <c r="BO18" s="17" t="s">
        <v>793</v>
      </c>
      <c r="BP18" s="17" t="s">
        <v>794</v>
      </c>
      <c r="BR18"/>
      <c r="BT18"/>
      <c r="BU18"/>
      <c r="BV18"/>
    </row>
    <row r="19" spans="1:74" x14ac:dyDescent="0.2">
      <c r="A19" s="32" t="s">
        <v>626</v>
      </c>
      <c r="G19" s="10" t="s">
        <v>64</v>
      </c>
      <c r="H19" s="20" t="s">
        <v>65</v>
      </c>
      <c r="J19" s="10" t="s">
        <v>116</v>
      </c>
      <c r="K19" s="10" t="s">
        <v>327</v>
      </c>
      <c r="X19" s="10" t="s">
        <v>248</v>
      </c>
      <c r="Y19" s="20" t="s">
        <v>249</v>
      </c>
      <c r="AO19" s="17" t="s">
        <v>64</v>
      </c>
      <c r="AP19" s="23" t="s">
        <v>65</v>
      </c>
      <c r="AU19" s="17" t="s">
        <v>416</v>
      </c>
      <c r="AV19" s="23" t="s">
        <v>448</v>
      </c>
      <c r="BA19" s="17" t="s">
        <v>524</v>
      </c>
      <c r="BB19" s="17" t="s">
        <v>551</v>
      </c>
      <c r="BC19" s="23"/>
      <c r="BD19" s="23"/>
      <c r="BF19" s="17" t="s">
        <v>659</v>
      </c>
      <c r="BG19" s="17" t="s">
        <v>660</v>
      </c>
      <c r="BH19" s="17" t="s">
        <v>9</v>
      </c>
      <c r="BJ19"/>
      <c r="BK19"/>
      <c r="BM19"/>
      <c r="BO19" s="17" t="s">
        <v>795</v>
      </c>
      <c r="BP19" s="17" t="s">
        <v>796</v>
      </c>
      <c r="BR19"/>
      <c r="BT19"/>
      <c r="BU19"/>
      <c r="BV19"/>
    </row>
    <row r="20" spans="1:74" x14ac:dyDescent="0.2">
      <c r="A20" s="30" t="s">
        <v>625</v>
      </c>
      <c r="G20" s="10" t="s">
        <v>66</v>
      </c>
      <c r="H20" s="20" t="s">
        <v>67</v>
      </c>
      <c r="J20" s="10" t="s">
        <v>117</v>
      </c>
      <c r="K20" s="10" t="s">
        <v>328</v>
      </c>
      <c r="X20" s="10" t="s">
        <v>250</v>
      </c>
      <c r="Y20" s="20" t="s">
        <v>251</v>
      </c>
      <c r="AO20" s="17" t="s">
        <v>66</v>
      </c>
      <c r="AP20" s="23" t="s">
        <v>67</v>
      </c>
      <c r="AU20" s="17" t="s">
        <v>417</v>
      </c>
      <c r="AV20" s="23" t="s">
        <v>449</v>
      </c>
      <c r="BA20" s="17" t="s">
        <v>525</v>
      </c>
      <c r="BB20" s="17" t="s">
        <v>552</v>
      </c>
      <c r="BC20" s="23"/>
      <c r="BD20" s="23"/>
      <c r="BF20" s="17" t="s">
        <v>661</v>
      </c>
      <c r="BG20" s="17" t="s">
        <v>662</v>
      </c>
      <c r="BH20" s="17" t="s">
        <v>9</v>
      </c>
      <c r="BJ20"/>
      <c r="BK20"/>
      <c r="BM20"/>
      <c r="BO20" s="17" t="s">
        <v>797</v>
      </c>
      <c r="BP20" s="17" t="s">
        <v>798</v>
      </c>
      <c r="BR20"/>
      <c r="BT20"/>
      <c r="BU20"/>
      <c r="BV20"/>
    </row>
    <row r="21" spans="1:74" x14ac:dyDescent="0.2">
      <c r="A21" s="31" t="s">
        <v>623</v>
      </c>
      <c r="G21" s="10" t="s">
        <v>68</v>
      </c>
      <c r="H21" s="20" t="s">
        <v>69</v>
      </c>
      <c r="J21" s="10" t="s">
        <v>118</v>
      </c>
      <c r="K21" s="10" t="s">
        <v>329</v>
      </c>
      <c r="X21" s="10" t="s">
        <v>252</v>
      </c>
      <c r="Y21" s="20" t="s">
        <v>253</v>
      </c>
      <c r="AO21" s="17" t="s">
        <v>68</v>
      </c>
      <c r="AP21" s="23" t="s">
        <v>69</v>
      </c>
      <c r="AU21" s="17" t="s">
        <v>418</v>
      </c>
      <c r="AV21" s="23" t="s">
        <v>450</v>
      </c>
      <c r="BA21" s="17" t="s">
        <v>526</v>
      </c>
      <c r="BB21" s="17" t="s">
        <v>553</v>
      </c>
      <c r="BC21" s="23"/>
      <c r="BD21" s="23"/>
      <c r="BF21" s="17" t="s">
        <v>663</v>
      </c>
      <c r="BG21" s="17" t="s">
        <v>664</v>
      </c>
      <c r="BH21" s="17" t="s">
        <v>9</v>
      </c>
      <c r="BJ21"/>
      <c r="BK21"/>
      <c r="BM21"/>
      <c r="BO21" s="17" t="s">
        <v>799</v>
      </c>
      <c r="BP21" s="17" t="s">
        <v>800</v>
      </c>
      <c r="BR21"/>
      <c r="BT21"/>
      <c r="BU21"/>
      <c r="BV21"/>
    </row>
    <row r="22" spans="1:74" x14ac:dyDescent="0.2">
      <c r="A22" s="6" t="s">
        <v>624</v>
      </c>
      <c r="G22" s="10" t="s">
        <v>70</v>
      </c>
      <c r="H22" s="20" t="s">
        <v>71</v>
      </c>
      <c r="J22" s="10" t="s">
        <v>119</v>
      </c>
      <c r="K22" s="10" t="s">
        <v>330</v>
      </c>
      <c r="X22" s="10" t="s">
        <v>254</v>
      </c>
      <c r="Y22" s="20" t="s">
        <v>255</v>
      </c>
      <c r="AO22" s="17" t="s">
        <v>70</v>
      </c>
      <c r="AP22" s="23" t="s">
        <v>71</v>
      </c>
      <c r="AU22" s="17" t="s">
        <v>419</v>
      </c>
      <c r="AV22" s="23" t="s">
        <v>451</v>
      </c>
      <c r="BA22" s="17" t="s">
        <v>527</v>
      </c>
      <c r="BB22" s="17" t="s">
        <v>554</v>
      </c>
      <c r="BC22" s="23"/>
      <c r="BD22" s="23"/>
      <c r="BF22" s="17" t="s">
        <v>665</v>
      </c>
      <c r="BG22" s="17" t="s">
        <v>666</v>
      </c>
      <c r="BH22" s="17" t="s">
        <v>9</v>
      </c>
      <c r="BJ22"/>
      <c r="BK22"/>
      <c r="BM22"/>
      <c r="BO22" s="17" t="s">
        <v>801</v>
      </c>
      <c r="BP22" s="17" t="s">
        <v>802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331</v>
      </c>
      <c r="X23" s="10" t="s">
        <v>256</v>
      </c>
      <c r="Y23" s="20" t="s">
        <v>257</v>
      </c>
      <c r="AO23" s="17" t="s">
        <v>72</v>
      </c>
      <c r="AP23" s="23" t="s">
        <v>73</v>
      </c>
      <c r="AU23" s="17" t="s">
        <v>420</v>
      </c>
      <c r="AV23" s="23" t="s">
        <v>452</v>
      </c>
      <c r="BA23" s="17" t="s">
        <v>528</v>
      </c>
      <c r="BB23" s="17" t="s">
        <v>555</v>
      </c>
      <c r="BC23" s="23"/>
      <c r="BD23" s="23"/>
      <c r="BF23" s="17" t="s">
        <v>667</v>
      </c>
      <c r="BG23" s="17" t="s">
        <v>668</v>
      </c>
      <c r="BH23" s="17" t="s">
        <v>9</v>
      </c>
      <c r="BJ23"/>
      <c r="BK23"/>
      <c r="BM23"/>
      <c r="BO23" s="17" t="s">
        <v>803</v>
      </c>
      <c r="BP23" s="17" t="s">
        <v>804</v>
      </c>
      <c r="BR23"/>
      <c r="BT23"/>
      <c r="BU23"/>
      <c r="BV23"/>
    </row>
    <row r="24" spans="1:74" x14ac:dyDescent="0.2">
      <c r="A24" s="6" t="s">
        <v>923</v>
      </c>
      <c r="G24" s="10" t="s">
        <v>74</v>
      </c>
      <c r="H24" s="20" t="s">
        <v>75</v>
      </c>
      <c r="J24" s="10" t="s">
        <v>121</v>
      </c>
      <c r="K24" s="10" t="s">
        <v>332</v>
      </c>
      <c r="X24" s="10" t="s">
        <v>258</v>
      </c>
      <c r="Y24" s="20" t="s">
        <v>259</v>
      </c>
      <c r="AO24" s="17" t="s">
        <v>74</v>
      </c>
      <c r="AP24" s="23" t="s">
        <v>75</v>
      </c>
      <c r="AU24" s="17" t="s">
        <v>421</v>
      </c>
      <c r="AV24" s="23" t="s">
        <v>453</v>
      </c>
      <c r="BA24" s="17" t="s">
        <v>529</v>
      </c>
      <c r="BB24" s="17" t="s">
        <v>556</v>
      </c>
      <c r="BC24" s="23"/>
      <c r="BD24" s="23"/>
      <c r="BF24" s="17" t="s">
        <v>669</v>
      </c>
      <c r="BG24" s="17" t="s">
        <v>670</v>
      </c>
      <c r="BH24" s="17" t="s">
        <v>9</v>
      </c>
      <c r="BJ24"/>
      <c r="BK24"/>
      <c r="BM24"/>
      <c r="BO24" s="17" t="s">
        <v>805</v>
      </c>
      <c r="BP24" s="17" t="s">
        <v>806</v>
      </c>
      <c r="BR24"/>
      <c r="BT24"/>
      <c r="BU24"/>
      <c r="BV24"/>
    </row>
    <row r="25" spans="1:74" x14ac:dyDescent="0.2">
      <c r="A25" s="6" t="s">
        <v>924</v>
      </c>
      <c r="G25" s="10" t="s">
        <v>76</v>
      </c>
      <c r="H25" s="20" t="s">
        <v>77</v>
      </c>
      <c r="J25" s="10" t="s">
        <v>122</v>
      </c>
      <c r="K25" s="10" t="s">
        <v>333</v>
      </c>
      <c r="X25" s="10" t="s">
        <v>260</v>
      </c>
      <c r="Y25" s="20" t="s">
        <v>261</v>
      </c>
      <c r="AO25" s="17" t="s">
        <v>76</v>
      </c>
      <c r="AP25" s="23" t="s">
        <v>77</v>
      </c>
      <c r="AU25" s="17" t="s">
        <v>422</v>
      </c>
      <c r="AV25" s="23" t="s">
        <v>454</v>
      </c>
      <c r="BA25" s="17" t="s">
        <v>530</v>
      </c>
      <c r="BB25" s="17" t="s">
        <v>557</v>
      </c>
      <c r="BC25" s="23"/>
      <c r="BD25" s="23"/>
      <c r="BF25" s="17" t="s">
        <v>671</v>
      </c>
      <c r="BG25" s="17" t="s">
        <v>672</v>
      </c>
      <c r="BH25" s="17" t="s">
        <v>9</v>
      </c>
      <c r="BJ25"/>
      <c r="BK25"/>
      <c r="BM25"/>
      <c r="BO25" s="17" t="s">
        <v>807</v>
      </c>
      <c r="BP25" s="17" t="s">
        <v>808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334</v>
      </c>
      <c r="X26" s="10" t="s">
        <v>262</v>
      </c>
      <c r="Y26" s="20" t="s">
        <v>263</v>
      </c>
      <c r="AO26" s="17" t="s">
        <v>78</v>
      </c>
      <c r="AP26" s="23" t="s">
        <v>79</v>
      </c>
      <c r="AU26" s="17" t="s">
        <v>423</v>
      </c>
      <c r="AV26" s="23" t="s">
        <v>455</v>
      </c>
      <c r="BA26" s="17" t="s">
        <v>531</v>
      </c>
      <c r="BB26" s="17" t="s">
        <v>16</v>
      </c>
      <c r="BC26" s="23"/>
      <c r="BD26" s="23"/>
      <c r="BF26" s="17" t="s">
        <v>673</v>
      </c>
      <c r="BG26" s="17" t="s">
        <v>674</v>
      </c>
      <c r="BH26" s="17" t="s">
        <v>9</v>
      </c>
      <c r="BJ26"/>
      <c r="BK26"/>
      <c r="BM26"/>
      <c r="BO26" s="17" t="s">
        <v>758</v>
      </c>
      <c r="BP26" s="17" t="s">
        <v>809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335</v>
      </c>
      <c r="X27" s="10" t="s">
        <v>264</v>
      </c>
      <c r="Y27" s="20" t="s">
        <v>265</v>
      </c>
      <c r="AO27" s="17" t="s">
        <v>80</v>
      </c>
      <c r="AP27" s="23" t="s">
        <v>81</v>
      </c>
      <c r="AU27" s="17" t="s">
        <v>424</v>
      </c>
      <c r="AV27" s="23" t="s">
        <v>456</v>
      </c>
      <c r="BA27" s="17" t="s">
        <v>532</v>
      </c>
      <c r="BB27" s="17" t="s">
        <v>558</v>
      </c>
      <c r="BC27" s="23"/>
      <c r="BD27" s="23"/>
      <c r="BF27" s="17" t="s">
        <v>675</v>
      </c>
      <c r="BG27" s="17" t="s">
        <v>676</v>
      </c>
      <c r="BH27" s="17" t="s">
        <v>9</v>
      </c>
      <c r="BJ27"/>
      <c r="BK27"/>
      <c r="BM27"/>
      <c r="BO27" s="17" t="s">
        <v>810</v>
      </c>
      <c r="BP27" s="17" t="s">
        <v>811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336</v>
      </c>
      <c r="X28" s="10" t="s">
        <v>266</v>
      </c>
      <c r="Y28" s="20" t="s">
        <v>267</v>
      </c>
      <c r="AO28" s="17" t="s">
        <v>82</v>
      </c>
      <c r="AP28" s="23" t="s">
        <v>83</v>
      </c>
      <c r="AU28" s="17" t="s">
        <v>425</v>
      </c>
      <c r="AV28" s="23" t="s">
        <v>457</v>
      </c>
      <c r="BA28" s="17" t="s">
        <v>533</v>
      </c>
      <c r="BB28" s="17" t="s">
        <v>559</v>
      </c>
      <c r="BC28" s="23"/>
      <c r="BD28" s="23"/>
      <c r="BF28" s="17" t="s">
        <v>677</v>
      </c>
      <c r="BG28" s="17" t="s">
        <v>678</v>
      </c>
      <c r="BH28" s="17" t="s">
        <v>9</v>
      </c>
      <c r="BJ28"/>
      <c r="BK28"/>
      <c r="BM28"/>
      <c r="BO28" s="17" t="s">
        <v>812</v>
      </c>
      <c r="BP28" s="17" t="s">
        <v>813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337</v>
      </c>
      <c r="X29" s="10" t="s">
        <v>268</v>
      </c>
      <c r="Y29" s="20" t="s">
        <v>269</v>
      </c>
      <c r="AO29" s="17" t="s">
        <v>84</v>
      </c>
      <c r="AP29" s="23" t="s">
        <v>85</v>
      </c>
      <c r="AU29" s="17" t="s">
        <v>426</v>
      </c>
      <c r="AV29" s="23" t="s">
        <v>458</v>
      </c>
      <c r="BA29" s="17" t="s">
        <v>534</v>
      </c>
      <c r="BB29" s="17" t="s">
        <v>560</v>
      </c>
      <c r="BC29" s="23"/>
      <c r="BD29" s="23"/>
      <c r="BF29" s="17" t="s">
        <v>679</v>
      </c>
      <c r="BG29" s="17" t="s">
        <v>680</v>
      </c>
      <c r="BH29" s="17" t="s">
        <v>9</v>
      </c>
      <c r="BJ29"/>
      <c r="BK29"/>
      <c r="BM29"/>
      <c r="BO29" s="17" t="s">
        <v>814</v>
      </c>
      <c r="BP29" s="17" t="s">
        <v>815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270</v>
      </c>
      <c r="Y30" s="20" t="s">
        <v>271</v>
      </c>
      <c r="AO30" s="17" t="s">
        <v>86</v>
      </c>
      <c r="AP30" s="23" t="s">
        <v>87</v>
      </c>
      <c r="AU30" s="17" t="s">
        <v>427</v>
      </c>
      <c r="AV30" s="23" t="s">
        <v>459</v>
      </c>
      <c r="BA30" s="17" t="s">
        <v>535</v>
      </c>
      <c r="BB30" s="17" t="s">
        <v>561</v>
      </c>
      <c r="BC30" s="23"/>
      <c r="BD30" s="23"/>
      <c r="BF30" s="17" t="s">
        <v>681</v>
      </c>
      <c r="BG30" s="17" t="s">
        <v>682</v>
      </c>
      <c r="BH30" s="17" t="s">
        <v>9</v>
      </c>
      <c r="BJ30"/>
      <c r="BK30"/>
      <c r="BM30"/>
      <c r="BO30" s="17" t="s">
        <v>816</v>
      </c>
      <c r="BP30" s="17" t="s">
        <v>817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272</v>
      </c>
      <c r="Y31" s="20" t="s">
        <v>273</v>
      </c>
      <c r="AO31" s="17" t="s">
        <v>88</v>
      </c>
      <c r="AP31" s="23" t="s">
        <v>89</v>
      </c>
      <c r="AU31" s="17" t="s">
        <v>428</v>
      </c>
      <c r="AV31" s="23" t="s">
        <v>460</v>
      </c>
      <c r="BA31" s="17" t="s">
        <v>536</v>
      </c>
      <c r="BB31" s="17" t="s">
        <v>17</v>
      </c>
      <c r="BC31" s="23"/>
      <c r="BD31" s="23"/>
      <c r="BF31" s="17" t="s">
        <v>683</v>
      </c>
      <c r="BG31" s="17" t="s">
        <v>684</v>
      </c>
      <c r="BH31" s="17" t="s">
        <v>9</v>
      </c>
      <c r="BJ31"/>
      <c r="BK31"/>
      <c r="BM31"/>
      <c r="BO31" s="17" t="s">
        <v>818</v>
      </c>
      <c r="BP31" s="17" t="s">
        <v>819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274</v>
      </c>
      <c r="Y32" s="20" t="s">
        <v>275</v>
      </c>
      <c r="AO32" s="17" t="s">
        <v>90</v>
      </c>
      <c r="AP32" s="23" t="s">
        <v>91</v>
      </c>
      <c r="AU32" s="17" t="s">
        <v>429</v>
      </c>
      <c r="AV32" s="23" t="s">
        <v>461</v>
      </c>
      <c r="BA32" s="17" t="s">
        <v>537</v>
      </c>
      <c r="BB32" s="17" t="s">
        <v>562</v>
      </c>
      <c r="BC32" s="23"/>
      <c r="BD32" s="23"/>
      <c r="BF32" s="17" t="s">
        <v>685</v>
      </c>
      <c r="BG32" s="17" t="s">
        <v>686</v>
      </c>
      <c r="BH32" s="17" t="s">
        <v>9</v>
      </c>
      <c r="BJ32"/>
      <c r="BK32"/>
      <c r="BM32"/>
      <c r="BO32" s="17" t="s">
        <v>820</v>
      </c>
      <c r="BP32" s="17" t="s">
        <v>821</v>
      </c>
      <c r="BR32"/>
      <c r="BT32"/>
      <c r="BU32"/>
      <c r="BV32"/>
    </row>
    <row r="33" spans="1:74" x14ac:dyDescent="0.2">
      <c r="A33" s="68"/>
      <c r="X33" s="10" t="s">
        <v>276</v>
      </c>
      <c r="Y33" s="20" t="s">
        <v>277</v>
      </c>
      <c r="AU33" s="17" t="s">
        <v>430</v>
      </c>
      <c r="AV33" s="23" t="s">
        <v>462</v>
      </c>
      <c r="BA33" s="17"/>
      <c r="BB33" s="17" t="s">
        <v>563</v>
      </c>
      <c r="BC33" s="23"/>
      <c r="BD33" s="23"/>
      <c r="BF33" s="17" t="s">
        <v>687</v>
      </c>
      <c r="BG33" s="17" t="s">
        <v>688</v>
      </c>
      <c r="BH33" s="17" t="s">
        <v>9</v>
      </c>
      <c r="BJ33"/>
      <c r="BK33"/>
      <c r="BM33"/>
      <c r="BO33" s="17" t="s">
        <v>822</v>
      </c>
      <c r="BP33" s="17" t="s">
        <v>823</v>
      </c>
      <c r="BR33"/>
      <c r="BT33"/>
      <c r="BU33"/>
      <c r="BV33"/>
    </row>
    <row r="34" spans="1:74" x14ac:dyDescent="0.2">
      <c r="X34" s="10" t="s">
        <v>278</v>
      </c>
      <c r="Y34" s="20" t="s">
        <v>279</v>
      </c>
      <c r="AU34" s="17" t="s">
        <v>431</v>
      </c>
      <c r="AV34" s="23" t="s">
        <v>463</v>
      </c>
      <c r="BA34" s="17"/>
      <c r="BB34" s="17" t="s">
        <v>564</v>
      </c>
      <c r="BC34" s="23"/>
      <c r="BD34" s="23"/>
      <c r="BF34" s="17" t="s">
        <v>689</v>
      </c>
      <c r="BG34" s="17" t="s">
        <v>690</v>
      </c>
      <c r="BH34" s="17" t="s">
        <v>9</v>
      </c>
      <c r="BJ34"/>
      <c r="BK34"/>
      <c r="BM34"/>
      <c r="BO34" s="17" t="s">
        <v>824</v>
      </c>
      <c r="BP34" s="17" t="s">
        <v>825</v>
      </c>
      <c r="BR34"/>
      <c r="BT34"/>
      <c r="BU34"/>
      <c r="BV34"/>
    </row>
    <row r="35" spans="1:74" x14ac:dyDescent="0.2">
      <c r="X35" s="10" t="s">
        <v>280</v>
      </c>
      <c r="Y35" s="20" t="s">
        <v>281</v>
      </c>
      <c r="AU35" s="17" t="s">
        <v>432</v>
      </c>
      <c r="AV35" s="23" t="s">
        <v>464</v>
      </c>
      <c r="BA35" s="17"/>
      <c r="BB35" s="17" t="s">
        <v>565</v>
      </c>
      <c r="BC35" s="23"/>
      <c r="BD35" s="23"/>
      <c r="BF35" s="17" t="s">
        <v>691</v>
      </c>
      <c r="BG35" s="17" t="s">
        <v>692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282</v>
      </c>
      <c r="Y36" s="20" t="s">
        <v>283</v>
      </c>
      <c r="AU36" s="17"/>
      <c r="AV36" s="23"/>
      <c r="BA36" s="17"/>
      <c r="BB36" s="17" t="s">
        <v>566</v>
      </c>
      <c r="BC36" s="23"/>
      <c r="BD36" s="23"/>
      <c r="BF36" s="17" t="s">
        <v>693</v>
      </c>
      <c r="BG36" s="17" t="s">
        <v>694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68"/>
      <c r="X37" s="10" t="s">
        <v>284</v>
      </c>
      <c r="Y37" s="20" t="s">
        <v>285</v>
      </c>
      <c r="BA37" s="17"/>
      <c r="BB37" s="17" t="s">
        <v>567</v>
      </c>
      <c r="BC37" s="23"/>
      <c r="BD37" s="23"/>
      <c r="BF37" s="17" t="s">
        <v>695</v>
      </c>
      <c r="BG37" s="17" t="s">
        <v>696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568</v>
      </c>
      <c r="BC38" s="23"/>
      <c r="BD38" s="23"/>
      <c r="BF38" s="17" t="s">
        <v>697</v>
      </c>
      <c r="BG38" s="17" t="s">
        <v>698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569</v>
      </c>
      <c r="BC39" s="23"/>
      <c r="BD39" s="23"/>
      <c r="BF39" s="17" t="s">
        <v>656</v>
      </c>
      <c r="BG39" s="17" t="s">
        <v>657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58"/>
      <c r="BA40" s="17"/>
      <c r="BB40" s="17" t="s">
        <v>570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571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572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573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68"/>
      <c r="BA44" s="17"/>
      <c r="BB44" s="17" t="s">
        <v>574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575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576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577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578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69"/>
      <c r="BA49" s="17"/>
      <c r="BB49" s="17" t="s">
        <v>579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580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581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582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583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584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585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586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587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588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589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590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591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592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593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594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595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596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597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598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599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600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601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602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603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604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605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606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607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608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609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610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611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612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20">
    <mergeCell ref="AL2:AM2"/>
    <mergeCell ref="AO2:AP2"/>
    <mergeCell ref="AR2:AS2"/>
    <mergeCell ref="AU2:AV2"/>
    <mergeCell ref="BX2:BY2"/>
    <mergeCell ref="BT2:BV2"/>
    <mergeCell ref="BO2:BP2"/>
    <mergeCell ref="A1:A3"/>
    <mergeCell ref="G2:H2"/>
    <mergeCell ref="M2:N2"/>
    <mergeCell ref="P2:Y2"/>
    <mergeCell ref="J2:K2"/>
    <mergeCell ref="B2:E2"/>
    <mergeCell ref="AA2:AB2"/>
    <mergeCell ref="BJ2:BK2"/>
    <mergeCell ref="BF2:BH2"/>
    <mergeCell ref="AD2:AE2"/>
    <mergeCell ref="BA2:BD2"/>
    <mergeCell ref="AX2:AY2"/>
    <mergeCell ref="AI2:AJ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0FF7246-E6F2-4EA9-A641-88EE8E8B73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1</vt:i4>
      </vt:variant>
    </vt:vector>
  </HeadingPairs>
  <TitlesOfParts>
    <vt:vector size="10" baseType="lpstr">
      <vt:lpstr>MM01-BOB</vt:lpstr>
      <vt:lpstr>MM01</vt:lpstr>
      <vt:lpstr>CA02</vt:lpstr>
      <vt:lpstr>CS40</vt:lpstr>
      <vt:lpstr>MM02</vt:lpstr>
      <vt:lpstr>C223</vt:lpstr>
      <vt:lpstr>MM01-EXP</vt:lpstr>
      <vt:lpstr>Consulta</vt:lpstr>
      <vt:lpstr>Listas de Dados</vt:lpstr>
      <vt:lpstr>LocalArquivo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2022-05-17T12:04:04Z</dcterms:modified>
</cp:coreProperties>
</file>