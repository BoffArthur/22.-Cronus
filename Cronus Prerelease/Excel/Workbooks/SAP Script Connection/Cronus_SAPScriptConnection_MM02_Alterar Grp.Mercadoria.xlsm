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7440" yWindow="552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5" i="6"/>
  <c r="A107" i="6" l="1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<sst xmlns="http://schemas.openxmlformats.org/spreadsheetml/2006/main" count="5136" uniqueCount="4634">
  <si>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</si>
  <si>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</si>
  <si>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</si>
  <si>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</si>
  <si>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</si>
  <si>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</si>
  <si>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</si>
  <si>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</si>
  <si>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</si>
  <si>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</si>
  <si>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</si>
  <si>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</si>
  <si>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</si>
  <si>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</si>
  <si>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</si>
  <si>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</si>
  <si>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</si>
  <si>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</si>
  <si>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</si>
  <si>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</si>
  <si>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</si>
  <si>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</si>
  <si>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</si>
  <si>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</si>
  <si>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</si>
  <si>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</si>
  <si>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</si>
  <si>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</si>
  <si>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</si>
  <si>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</si>
  <si>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</si>
  <si>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</si>
  <si>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</si>
  <si>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</si>
  <si>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</si>
  <si>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</si>
  <si>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</si>
  <si>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</si>
  <si>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</si>
  <si>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</si>
  <si>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</si>
  <si>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</si>
  <si>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</si>
  <si>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</si>
  <si>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</si>
  <si>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</si>
  <si>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</si>
  <si>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</si>
  <si>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</si>
  <si>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</si>
  <si>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</si>
  <si>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</si>
  <si>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</si>
  <si>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</si>
  <si>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</si>
  <si>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</si>
  <si>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</si>
  <si>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</si>
  <si>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</si>
  <si>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</si>
  <si>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</si>
  <si>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</si>
  <si>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</si>
  <si>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</si>
  <si>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</si>
  <si>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</si>
  <si>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</si>
  <si>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</si>
  <si>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</si>
  <si>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</si>
  <si>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</si>
  <si>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</si>
  <si>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</si>
  <si>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</si>
  <si>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</si>
  <si>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</si>
  <si>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</si>
  <si>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</si>
  <si>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</si>
  <si>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</si>
  <si>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</si>
  <si>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</si>
  <si>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</si>
  <si>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</si>
  <si>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</si>
  <si>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</si>
  <si>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</si>
  <si>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</si>
  <si>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</si>
  <si>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</si>
  <si>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</si>
  <si>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</si>
  <si>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</si>
  <si>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</si>
  <si>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</si>
  <si>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</si>
  <si>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</si>
  <si>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</si>
  <si>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</si>
  <si>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</si>
  <si>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</si>
  <si>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</si>
  <si>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</si>
  <si>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</si>
  <si>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</si>
  <si>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</si>
  <si>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</si>
  <si>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</si>
  <si>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</si>
  <si>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</si>
  <si>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</si>
  <si>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</si>
  <si>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</si>
  <si>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</si>
  <si>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</si>
  <si>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</si>
  <si>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</si>
  <si>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</si>
  <si>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</si>
  <si>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</si>
  <si>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</si>
  <si>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</si>
  <si>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</si>
  <si>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</si>
  <si>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</si>
  <si>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</si>
  <si>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</si>
  <si>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</si>
  <si>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</si>
  <si>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</si>
  <si>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</si>
  <si>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</si>
  <si>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</si>
  <si>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</si>
  <si>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</si>
  <si>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</si>
  <si>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</si>
  <si>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</si>
  <si>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</si>
  <si>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</si>
  <si>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</si>
  <si>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</si>
  <si>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</si>
  <si>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</si>
  <si>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</si>
  <si>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</si>
  <si>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</si>
  <si>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</si>
  <si>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</si>
  <si>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</si>
  <si>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</si>
  <si>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</si>
  <si>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</si>
  <si>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</si>
  <si>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</si>
  <si>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</si>
  <si>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</si>
  <si>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</si>
  <si>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</si>
  <si>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</si>
  <si>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</si>
  <si>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</si>
  <si>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</si>
  <si>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</si>
  <si>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</si>
  <si>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</si>
  <si>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</si>
  <si>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</si>
  <si>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</si>
  <si>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</si>
  <si>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</si>
  <si>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</si>
  <si>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</si>
  <si>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</si>
  <si>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</si>
  <si>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</si>
  <si>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</si>
  <si>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</si>
  <si>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</si>
  <si>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</si>
  <si>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</si>
  <si>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</si>
  <si>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</si>
  <si>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</si>
  <si>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</si>
  <si>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</si>
  <si>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</si>
  <si>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</si>
  <si>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</si>
  <si>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</si>
  <si>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</si>
  <si>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</si>
  <si>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</si>
  <si>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</si>
  <si>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</si>
  <si>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</si>
  <si>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</si>
  <si>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</si>
  <si>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</si>
  <si>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</si>
  <si>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</si>
  <si>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</si>
  <si>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</si>
  <si>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</si>
  <si>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</si>
  <si>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</si>
  <si>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</si>
  <si>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</si>
  <si>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</si>
  <si>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</si>
  <si>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</si>
  <si>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</si>
  <si>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</si>
  <si>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</si>
  <si>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</si>
  <si>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</si>
  <si>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</si>
  <si>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</si>
  <si>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</si>
  <si>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</si>
  <si>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</si>
  <si>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</si>
  <si>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</si>
  <si>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</si>
  <si>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</si>
  <si>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</si>
  <si>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</si>
  <si>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</si>
  <si>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</si>
  <si>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</si>
  <si>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</si>
  <si>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</si>
  <si>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</si>
  <si>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</si>
  <si>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</si>
  <si>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</si>
  <si>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</si>
  <si>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</si>
  <si>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</si>
  <si>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</si>
  <si>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</si>
  <si>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</si>
  <si>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</si>
  <si>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</si>
  <si>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</si>
  <si>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</si>
  <si>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</si>
  <si>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</si>
  <si>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</si>
  <si>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</si>
  <si>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</si>
  <si>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</si>
  <si>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</si>
  <si>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</si>
  <si>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</si>
  <si>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</si>
  <si>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</si>
  <si>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</si>
  <si>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</si>
  <si>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</si>
  <si>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</si>
  <si>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</si>
  <si>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</si>
  <si>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</si>
  <si>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</si>
  <si>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</si>
  <si>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</si>
  <si>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</si>
  <si>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</si>
  <si>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</si>
  <si>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</si>
  <si>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</si>
  <si>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</si>
  <si>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</si>
  <si>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</si>
  <si>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</si>
  <si>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</si>
  <si>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</si>
  <si>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</si>
  <si>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</si>
  <si>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</si>
  <si>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</si>
  <si>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</si>
  <si>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</si>
  <si>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</si>
  <si>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</si>
  <si>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</si>
  <si>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</si>
  <si>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</si>
  <si>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</si>
  <si>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</si>
  <si>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</si>
  <si>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</si>
  <si>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</si>
  <si>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</si>
  <si>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</si>
  <si>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</si>
  <si>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</si>
  <si>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</si>
  <si>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</si>
  <si>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</si>
  <si>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</si>
  <si>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</si>
  <si>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</si>
  <si>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</si>
  <si>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</si>
  <si>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</si>
  <si>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</si>
  <si>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</si>
  <si>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</si>
  <si>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</si>
  <si>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</si>
  <si>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</si>
  <si>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</si>
  <si>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</si>
  <si>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</si>
  <si>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</si>
  <si>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</si>
  <si>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</si>
  <si>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</si>
  <si>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</si>
  <si>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</si>
  <si>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</si>
  <si>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</si>
  <si>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</si>
  <si>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</si>
  <si>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</si>
  <si>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</si>
  <si>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</si>
  <si>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</si>
  <si>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</si>
  <si>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</si>
  <si>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</si>
  <si>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</si>
  <si>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</si>
  <si>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</si>
  <si>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</si>
  <si>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</si>
  <si>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</si>
  <si>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</si>
  <si>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</si>
  <si>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</si>
  <si>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</si>
  <si>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</si>
  <si>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</si>
  <si>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</si>
  <si>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</si>
  <si>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</si>
  <si>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</si>
  <si>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</si>
  <si>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</si>
  <si>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</si>
  <si>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</si>
  <si>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</si>
  <si>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</si>
  <si>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</si>
  <si>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</si>
  <si>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</si>
  <si>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</si>
  <si>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</si>
  <si>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</si>
  <si>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</si>
  <si>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</si>
  <si>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</si>
  <si>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</si>
  <si>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</si>
  <si>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</si>
  <si>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</si>
  <si>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</si>
  <si>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</si>
  <si>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</si>
  <si>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</si>
  <si>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</si>
  <si>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</si>
  <si>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</si>
  <si>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</si>
  <si>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</si>
  <si>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</si>
  <si>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</si>
  <si>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</si>
  <si>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</si>
  <si>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</si>
  <si>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</si>
  <si>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</si>
  <si>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</si>
  <si>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</si>
  <si>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</si>
  <si>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</si>
  <si>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</si>
  <si>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</si>
  <si>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</si>
  <si>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</si>
  <si>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</si>
  <si>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</si>
  <si>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</si>
  <si>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</si>
  <si>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</si>
  <si>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</si>
  <si>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</si>
  <si>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</si>
  <si>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</si>
  <si>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</si>
  <si>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</si>
  <si>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</si>
  <si>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</si>
  <si>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</si>
  <si>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</si>
  <si>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</si>
  <si>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</si>
  <si>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</si>
  <si>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</si>
  <si>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</si>
  <si>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</si>
  <si>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</si>
  <si>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</si>
  <si>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</si>
  <si>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</si>
  <si>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</si>
  <si>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</si>
  <si>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</si>
  <si>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</si>
  <si>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</si>
  <si>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</si>
  <si>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</si>
  <si>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</si>
  <si>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</si>
  <si>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</si>
  <si>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</si>
  <si>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</si>
  <si>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</si>
  <si>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</si>
  <si>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</si>
  <si>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</si>
  <si>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</si>
  <si>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</si>
  <si>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</si>
  <si>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</si>
  <si>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</si>
  <si>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</si>
  <si>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</si>
  <si>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</si>
  <si>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</si>
  <si>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</si>
  <si>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</si>
  <si>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</si>
  <si>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</si>
  <si>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</si>
  <si>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</si>
  <si>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</si>
  <si>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</si>
  <si>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</si>
  <si>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</si>
  <si>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</si>
  <si>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</si>
  <si>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</si>
  <si>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</si>
  <si>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</si>
  <si>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</si>
  <si>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</si>
  <si>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</si>
  <si>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</si>
  <si>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</si>
  <si>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</si>
  <si>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</si>
  <si>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</si>
  <si>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</si>
  <si>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</si>
  <si>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</si>
  <si>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</si>
  <si>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</si>
  <si>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</si>
  <si>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</si>
  <si>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</si>
  <si>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</si>
  <si>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</si>
  <si>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</si>
  <si>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</si>
  <si>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</si>
  <si>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</si>
  <si>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</si>
  <si>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</si>
  <si>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</si>
  <si>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</si>
  <si>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</si>
  <si>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</si>
  <si>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</si>
  <si>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</si>
  <si>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</si>
  <si>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</si>
  <si>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</si>
  <si>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</si>
  <si>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</si>
  <si>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</si>
  <si>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</si>
  <si>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</si>
  <si>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</si>
  <si>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</si>
  <si>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</si>
  <si>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</si>
  <si>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</si>
  <si>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</si>
  <si>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</si>
  <si>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</si>
  <si>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</si>
  <si>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</si>
  <si>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</si>
  <si>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</si>
  <si>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</si>
  <si>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</si>
  <si>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</si>
  <si>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</si>
  <si>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</si>
  <si>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</si>
  <si>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</si>
  <si>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</si>
  <si>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</si>
  <si>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</si>
  <si>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</si>
  <si>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</si>
  <si>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</si>
  <si>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</si>
  <si>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</si>
  <si>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</si>
  <si>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</si>
  <si>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</si>
  <si>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</si>
  <si>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</si>
  <si>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</si>
  <si>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</si>
  <si>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</si>
  <si>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</si>
  <si>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</si>
  <si>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</si>
  <si>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</si>
  <si>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</si>
  <si>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</si>
  <si>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</si>
  <si>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</si>
  <si>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</si>
  <si>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</si>
  <si>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</si>
  <si>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</si>
  <si>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</si>
  <si>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</si>
  <si>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</si>
  <si>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</si>
  <si>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</si>
  <si>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</si>
  <si>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</si>
  <si>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</si>
  <si>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</si>
  <si>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</si>
  <si>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</si>
  <si>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</si>
  <si>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</si>
  <si>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</si>
  <si>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</si>
  <si>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</si>
  <si>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</si>
  <si>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</si>
  <si>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</si>
  <si>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</si>
  <si>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</si>
  <si>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</si>
  <si>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</si>
  <si>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</si>
  <si>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</si>
  <si>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</si>
  <si>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</si>
  <si>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</si>
  <si>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</si>
  <si>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</si>
  <si>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</si>
  <si>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</si>
  <si>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</si>
  <si>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</si>
  <si>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</si>
  <si>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</si>
  <si>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</si>
  <si>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</si>
  <si>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</si>
  <si>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</si>
  <si>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</si>
  <si>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</si>
  <si>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</si>
  <si>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</si>
  <si>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</si>
  <si>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</si>
  <si>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</si>
  <si>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</si>
  <si>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</si>
  <si>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</si>
  <si>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</si>
  <si>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</si>
  <si>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</si>
  <si>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</si>
  <si>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</si>
  <si>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</si>
  <si>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</si>
  <si>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</si>
  <si>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</si>
  <si>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</si>
  <si>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</si>
  <si>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</si>
  <si>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</si>
  <si>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</si>
  <si>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</si>
  <si>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</si>
  <si>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</si>
  <si>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</si>
  <si>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</si>
  <si>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</si>
  <si>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</si>
  <si>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</si>
  <si>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</si>
  <si>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</si>
  <si>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</si>
  <si>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</si>
  <si>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</si>
  <si>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</si>
  <si>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</si>
  <si>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</si>
  <si>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</si>
  <si>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</si>
  <si>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</si>
  <si>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</si>
  <si>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</si>
  <si>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</si>
  <si>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</si>
  <si>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</si>
  <si>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</si>
  <si>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</si>
  <si>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</si>
  <si>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</si>
  <si>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</si>
  <si>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</si>
  <si>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</si>
  <si>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</si>
  <si>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</si>
  <si>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</si>
  <si>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</si>
  <si>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</si>
  <si>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</si>
  <si>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</si>
  <si>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</si>
  <si>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</si>
  <si>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</si>
  <si>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</si>
  <si>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</si>
  <si>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</si>
  <si>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</si>
  <si>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</si>
  <si>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</si>
  <si>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</si>
  <si>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</si>
  <si>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</si>
  <si>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</si>
  <si>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</si>
  <si>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</si>
  <si>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</si>
  <si>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</si>
  <si>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</si>
  <si>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</si>
  <si>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</si>
  <si>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</si>
  <si>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</si>
  <si>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</si>
  <si>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</si>
  <si>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</si>
  <si>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</si>
  <si>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</si>
  <si>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</si>
  <si>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</si>
  <si>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</si>
  <si>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</si>
  <si>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</si>
  <si>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</si>
  <si>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</si>
  <si>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</si>
  <si>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</si>
  <si>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</si>
  <si>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</si>
  <si>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</si>
  <si>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</si>
  <si>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</si>
  <si>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</si>
  <si>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</si>
  <si>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</si>
  <si>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</si>
  <si>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</si>
  <si>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</si>
  <si>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</si>
  <si>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</si>
  <si>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</si>
  <si>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</si>
  <si>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</si>
  <si>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</si>
  <si>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</si>
  <si>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</si>
  <si>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</si>
  <si>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</si>
  <si>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</si>
  <si>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</si>
  <si>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</si>
  <si>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</si>
  <si>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</si>
  <si>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</si>
  <si>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</si>
  <si>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</si>
  <si>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</si>
  <si>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</si>
  <si>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</si>
  <si>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</si>
  <si>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</si>
  <si>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</si>
  <si>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</si>
  <si>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</si>
  <si>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</si>
  <si>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</si>
  <si>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</si>
  <si>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</si>
  <si>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</si>
  <si>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</si>
  <si>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</si>
  <si>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</si>
  <si>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</si>
  <si>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</si>
  <si>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</si>
  <si>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</si>
  <si>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</si>
  <si>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</si>
  <si>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</si>
  <si>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</si>
  <si>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</si>
  <si>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</si>
  <si>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</si>
  <si>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</si>
  <si>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</si>
  <si>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</si>
  <si>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</si>
  <si>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</si>
  <si>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</si>
  <si>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</si>
  <si>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</si>
  <si>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</si>
  <si>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</si>
  <si>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</si>
  <si>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</si>
  <si>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</si>
  <si>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</si>
  <si>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</si>
  <si>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</si>
  <si>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</si>
  <si>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</si>
  <si>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</si>
  <si>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</si>
  <si>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</si>
  <si>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</si>
  <si>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</si>
  <si>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</si>
  <si>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</si>
  <si>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</si>
  <si>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</si>
  <si>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</si>
  <si>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</si>
  <si>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</si>
  <si>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</si>
  <si>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</si>
  <si>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</si>
  <si>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</si>
  <si>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</si>
  <si>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</si>
  <si>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</si>
  <si>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</si>
  <si>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</si>
  <si>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</si>
  <si>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</si>
  <si>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</si>
  <si>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</si>
  <si>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</si>
  <si>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</si>
  <si>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</si>
  <si>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</si>
  <si>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</si>
  <si>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</si>
  <si>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</si>
  <si>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</si>
  <si>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</si>
  <si>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</si>
  <si>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</si>
  <si>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</si>
  <si>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</si>
  <si>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</si>
  <si>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</si>
  <si>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</si>
  <si>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</si>
  <si>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</si>
  <si>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</si>
  <si>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</si>
  <si>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</si>
  <si>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</si>
  <si>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</si>
  <si>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</si>
  <si>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</si>
  <si>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</si>
  <si>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</si>
  <si>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</si>
  <si>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</si>
  <si>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</si>
  <si>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</si>
  <si>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</si>
  <si>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</si>
  <si>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</si>
  <si>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</si>
  <si>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</si>
  <si>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</si>
  <si>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</si>
  <si>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</si>
  <si>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</si>
  <si>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</si>
  <si>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</si>
  <si>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</si>
  <si>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</si>
  <si>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</si>
  <si>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</si>
  <si>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</si>
  <si>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</si>
  <si>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</si>
  <si>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</si>
  <si>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</si>
  <si>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</si>
  <si>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</si>
  <si>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</si>
  <si>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</si>
  <si>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</si>
  <si>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</si>
  <si>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</si>
  <si>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</si>
  <si>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</si>
  <si>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</si>
  <si>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</si>
  <si>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</si>
  <si>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</si>
  <si>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</si>
  <si>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</si>
  <si>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</si>
  <si>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</si>
  <si>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</si>
  <si>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</si>
  <si>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</si>
  <si>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</si>
  <si>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</si>
  <si>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</si>
  <si>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</si>
  <si>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</si>
  <si>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</si>
  <si>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</si>
  <si>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</si>
  <si>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</si>
  <si>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</si>
  <si>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</si>
  <si>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</si>
  <si>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</si>
  <si>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</si>
  <si>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</si>
  <si>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</si>
  <si>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</si>
  <si>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</si>
  <si>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</si>
  <si>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</si>
  <si>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</si>
  <si>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</si>
  <si>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</si>
  <si>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</si>
  <si>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</si>
  <si>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</si>
  <si>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</si>
  <si>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</si>
  <si>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</si>
  <si>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</si>
  <si>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</si>
  <si>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</si>
  <si>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</si>
  <si>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</si>
  <si>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</si>
  <si>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</si>
  <si>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</si>
  <si>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</si>
  <si>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</si>
  <si>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</si>
  <si>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</si>
  <si>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</si>
  <si>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</si>
  <si>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</si>
  <si>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</si>
  <si>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</si>
  <si>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</si>
  <si>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</si>
  <si>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</si>
  <si>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</si>
  <si>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</si>
  <si>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</si>
  <si>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</si>
  <si>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</si>
  <si>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</si>
  <si>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</si>
  <si>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</si>
  <si>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</si>
  <si>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</si>
  <si>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</si>
  <si>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</si>
  <si>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</si>
  <si>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</si>
  <si>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</si>
  <si>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</si>
  <si>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</si>
  <si>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</si>
  <si>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</si>
  <si>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</si>
  <si>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</si>
  <si>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</si>
  <si>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</si>
  <si>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</si>
  <si>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</si>
  <si>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</si>
  <si>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</si>
  <si>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</si>
  <si>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</si>
  <si>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</si>
  <si>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</si>
  <si>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</si>
  <si>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</si>
  <si>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</si>
  <si>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</si>
  <si>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</si>
  <si>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</si>
  <si>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</si>
  <si>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</si>
  <si>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</si>
  <si>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</si>
  <si>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</si>
  <si>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</si>
  <si>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</si>
  <si>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</si>
  <si>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</si>
  <si>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</si>
  <si>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</si>
  <si>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</si>
  <si>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</si>
  <si>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</si>
  <si>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</si>
  <si>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</si>
  <si>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</si>
  <si>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</si>
  <si>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</si>
  <si>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</si>
  <si>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</si>
  <si>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</si>
  <si>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</si>
  <si>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</si>
  <si>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</si>
  <si>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</si>
  <si>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</si>
  <si>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</si>
  <si>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</si>
  <si>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</si>
  <si>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</si>
  <si>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</si>
  <si>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</si>
  <si>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</si>
  <si>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</si>
  <si>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</si>
  <si>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</si>
  <si>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</si>
  <si>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</si>
  <si>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</si>
  <si>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</si>
  <si>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</si>
  <si>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</si>
  <si>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</si>
  <si>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</si>
  <si>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</si>
  <si>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</si>
  <si>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</si>
  <si>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</si>
  <si>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</si>
  <si>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</si>
  <si>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</si>
  <si>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</si>
  <si>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</si>
  <si>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</si>
  <si>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</si>
  <si>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</si>
  <si>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</si>
  <si>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</si>
  <si>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</si>
  <si>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</si>
  <si>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</si>
  <si>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</si>
  <si>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</si>
  <si>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</si>
  <si>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</si>
  <si>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</si>
  <si>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</si>
  <si>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</si>
  <si>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</si>
  <si>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</si>
  <si>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</si>
  <si>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</si>
  <si>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</si>
  <si>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</si>
  <si>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</si>
  <si>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</si>
  <si>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</si>
  <si>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</si>
  <si>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</si>
  <si>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</si>
  <si>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</si>
  <si>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</si>
  <si>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</si>
  <si>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</si>
  <si>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</si>
  <si>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</si>
  <si>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</si>
  <si>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</si>
  <si>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</si>
  <si>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</si>
  <si>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</si>
  <si>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</si>
  <si>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</si>
  <si>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</si>
  <si>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</si>
  <si>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</si>
  <si>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</si>
  <si>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</si>
  <si>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</si>
  <si>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</si>
  <si>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</si>
  <si>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</si>
  <si>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</si>
  <si>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</si>
  <si>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</si>
  <si>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</si>
  <si>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</si>
  <si>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</si>
  <si>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</si>
  <si>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</si>
  <si>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</si>
  <si>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</si>
  <si>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</si>
  <si>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</si>
  <si>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</si>
  <si>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</si>
  <si>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</si>
  <si>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</si>
  <si>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</si>
  <si>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</si>
  <si>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</si>
  <si>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</si>
  <si>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</si>
  <si>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</si>
  <si>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</si>
  <si>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</si>
  <si>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</si>
  <si>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</si>
  <si>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</si>
  <si>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</si>
  <si>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</si>
  <si>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</si>
  <si>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</si>
  <si>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</si>
  <si>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</si>
  <si>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</si>
  <si>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</si>
  <si>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</si>
  <si>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</si>
  <si>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</si>
  <si>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</si>
  <si>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</si>
  <si>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</si>
  <si>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</si>
  <si>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</si>
  <si>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</si>
  <si>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</si>
  <si>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</si>
  <si>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</si>
  <si>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</si>
  <si>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</si>
  <si>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</si>
  <si>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</si>
  <si>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</si>
  <si>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</si>
  <si>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</si>
  <si>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</si>
  <si>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</si>
  <si>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</si>
  <si>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</si>
  <si>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</si>
  <si>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</si>
  <si>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</si>
  <si>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</si>
  <si>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</si>
  <si>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</si>
  <si>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</si>
  <si>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</si>
  <si>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</si>
  <si>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</si>
  <si>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</si>
  <si>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</si>
  <si>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</si>
  <si>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</si>
  <si>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</si>
  <si>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</si>
  <si>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</si>
  <si>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</si>
  <si>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</si>
  <si>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</si>
  <si>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</si>
  <si>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</si>
  <si>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</si>
  <si>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</si>
  <si>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</si>
  <si>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</si>
  <si>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</si>
  <si>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</si>
  <si>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</si>
  <si>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</si>
  <si>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</si>
  <si>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</si>
  <si>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</si>
  <si>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</si>
  <si>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</si>
  <si>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</si>
  <si>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</si>
  <si>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</si>
  <si>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</si>
  <si>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</si>
  <si>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</si>
  <si>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</si>
  <si>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</si>
  <si>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</si>
  <si>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</si>
  <si>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</si>
  <si>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</si>
  <si>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</si>
  <si>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</si>
  <si>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</si>
  <si>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</si>
  <si>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</si>
  <si>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</si>
  <si>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</si>
  <si>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</si>
  <si>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</si>
  <si>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</si>
  <si>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</si>
  <si>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</si>
  <si>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</si>
  <si>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</si>
  <si>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</si>
  <si>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</si>
  <si>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</si>
  <si>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</si>
  <si>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</si>
  <si>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</si>
  <si>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</si>
  <si>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</si>
  <si>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</si>
  <si>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</si>
  <si>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</si>
  <si>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</si>
  <si>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</si>
  <si>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</si>
  <si>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</si>
  <si>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</si>
  <si>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</si>
  <si>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</si>
  <si>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</si>
  <si>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</si>
  <si>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</si>
  <si>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</si>
  <si>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</si>
  <si>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</si>
  <si>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</si>
  <si>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</si>
  <si>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</si>
  <si>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</si>
  <si>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</si>
  <si>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</si>
  <si>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</si>
  <si>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</si>
  <si>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</si>
  <si>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</si>
  <si>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</si>
  <si>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</si>
  <si>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</si>
  <si>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</si>
  <si>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</si>
  <si>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</si>
  <si>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</si>
  <si>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</si>
  <si>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</si>
  <si>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</si>
  <si>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</si>
  <si>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</si>
  <si>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</si>
  <si>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</si>
  <si>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</si>
  <si>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</si>
  <si>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</si>
  <si>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</si>
  <si>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</si>
  <si>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</si>
  <si>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</si>
  <si>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</si>
  <si>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</si>
  <si>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</si>
  <si>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</si>
  <si>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</si>
  <si>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</si>
  <si>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</si>
  <si>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</si>
  <si>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</si>
  <si>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</si>
  <si>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</si>
  <si>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</si>
  <si>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</si>
  <si>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</si>
  <si>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</si>
  <si>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</si>
  <si>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</si>
  <si>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</si>
  <si>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</si>
  <si>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</si>
  <si>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</si>
  <si>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</si>
  <si>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</si>
  <si>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</si>
  <si>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</si>
  <si>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</si>
  <si>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</si>
  <si>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</si>
  <si>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</si>
  <si>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</si>
  <si>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</si>
  <si>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</si>
  <si>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</si>
  <si>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</si>
  <si>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</si>
  <si>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</si>
  <si>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</si>
  <si>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</si>
  <si>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</si>
  <si>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</si>
  <si>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</si>
  <si>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</si>
  <si>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</si>
  <si>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</si>
  <si>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</si>
  <si>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</si>
  <si>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</si>
  <si>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</si>
  <si>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</si>
  <si>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</si>
  <si>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</si>
  <si>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</si>
  <si>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</si>
  <si>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</si>
  <si>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</si>
  <si>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</si>
  <si>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</si>
  <si>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</si>
  <si>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</si>
  <si>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</si>
  <si>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</si>
  <si>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</si>
  <si>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</si>
  <si>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</si>
  <si>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</si>
  <si>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</si>
  <si>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</si>
  <si>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</si>
  <si>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</si>
  <si>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</si>
  <si>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</si>
  <si>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</si>
  <si>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</si>
  <si>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</si>
  <si>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</si>
  <si>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</si>
  <si>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</si>
  <si>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</si>
  <si>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</si>
  <si>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</si>
  <si>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</si>
  <si>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</si>
  <si>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</si>
  <si>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</si>
  <si>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</si>
  <si>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</si>
  <si>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</si>
  <si>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</si>
  <si>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</si>
  <si>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</si>
  <si>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</si>
  <si>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</si>
  <si>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</si>
  <si>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</si>
  <si>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</si>
  <si>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</si>
  <si>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</si>
  <si>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</si>
  <si>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</si>
  <si>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</si>
  <si>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</si>
  <si>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</si>
  <si>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</si>
  <si>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</si>
  <si>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</si>
  <si>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</si>
  <si>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</si>
  <si>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</si>
  <si>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</si>
  <si>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</si>
  <si>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</si>
  <si>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</si>
  <si>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</si>
  <si>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</si>
  <si>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</si>
  <si>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</si>
  <si>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</si>
  <si>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</si>
  <si>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</si>
  <si>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</si>
  <si>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</si>
  <si>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</si>
  <si>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</si>
  <si>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</si>
  <si>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</si>
  <si>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</si>
  <si>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</si>
  <si>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</si>
  <si>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</si>
  <si>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</si>
  <si>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</si>
  <si>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</si>
  <si>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</si>
  <si>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</si>
  <si>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</si>
  <si>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</si>
  <si>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</si>
  <si>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</si>
  <si>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</si>
  <si>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</si>
  <si>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</si>
  <si>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</si>
  <si>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</si>
  <si>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</si>
  <si>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</si>
  <si>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</si>
  <si>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</si>
  <si>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</si>
  <si>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</si>
  <si>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</si>
  <si>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</si>
  <si>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</si>
  <si>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</si>
  <si>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</si>
  <si>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</si>
  <si>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</si>
  <si>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</si>
  <si>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</si>
  <si>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</si>
  <si>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</si>
  <si>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</si>
  <si>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</si>
  <si>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</si>
  <si>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</si>
  <si>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</si>
  <si>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</si>
  <si>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</si>
  <si>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</si>
  <si>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</si>
  <si>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</si>
  <si>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</si>
  <si>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</si>
  <si>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</si>
  <si>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</si>
  <si>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</si>
  <si>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</si>
  <si>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</si>
  <si>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</si>
  <si>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</si>
  <si>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</si>
  <si>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</si>
  <si>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</si>
  <si>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</si>
  <si>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</si>
  <si>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</si>
  <si>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</si>
  <si>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</si>
  <si>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</si>
  <si>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</si>
  <si>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</si>
  <si>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</si>
  <si>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</si>
  <si>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</si>
  <si>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</si>
  <si>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</si>
  <si>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</si>
  <si>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</si>
  <si>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</si>
  <si>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</si>
  <si>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</si>
  <si>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</si>
  <si>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</si>
  <si>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</si>
  <si>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</si>
  <si>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</si>
  <si>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</si>
  <si>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</si>
  <si>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</si>
  <si>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</si>
  <si>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</si>
  <si>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</si>
  <si>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</si>
  <si>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</si>
  <si>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</si>
  <si>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</si>
  <si>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</si>
  <si>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</si>
  <si>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</si>
  <si>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</si>
  <si>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</si>
  <si>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</si>
  <si>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</si>
  <si>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</si>
  <si>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</si>
  <si>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</si>
  <si>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</si>
  <si>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</si>
  <si>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</si>
  <si>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</si>
  <si>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</si>
  <si>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</si>
  <si>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</si>
  <si>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</si>
  <si>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</si>
  <si>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</si>
  <si>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</si>
  <si>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</si>
  <si>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</si>
  <si>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</si>
  <si>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</si>
  <si>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</si>
  <si>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</si>
  <si>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</si>
  <si>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</si>
  <si>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</si>
  <si>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</si>
  <si>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</si>
  <si>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</si>
  <si>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</si>
  <si>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</si>
  <si>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</si>
  <si>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</si>
  <si>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</si>
  <si>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</si>
  <si>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</si>
  <si>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</si>
  <si>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</si>
  <si>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</si>
  <si>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</si>
  <si>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</si>
  <si>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</si>
  <si>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</si>
  <si>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</si>
  <si>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</si>
  <si>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</si>
  <si>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</si>
  <si>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</si>
  <si>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</si>
  <si>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</si>
  <si>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</si>
  <si>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</si>
  <si>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</si>
  <si>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</si>
  <si>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</si>
  <si>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</si>
  <si>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</si>
  <si>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</si>
  <si>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</si>
  <si>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</si>
  <si>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</si>
  <si>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</si>
  <si>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</si>
  <si>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</si>
  <si>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</si>
  <si>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</si>
  <si>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</si>
  <si>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</si>
  <si>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</si>
  <si>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</si>
  <si>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</si>
  <si>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</si>
  <si>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</si>
  <si>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</si>
  <si>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</si>
  <si>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</si>
  <si>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</si>
  <si>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</si>
  <si>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</si>
  <si>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</si>
  <si>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</si>
  <si>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</si>
  <si>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</si>
  <si>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</si>
  <si>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</si>
  <si>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</si>
  <si>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</si>
  <si>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</si>
  <si>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</si>
  <si>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</si>
  <si>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</si>
  <si>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</si>
  <si>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</si>
  <si>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</si>
  <si>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</si>
  <si>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</si>
  <si>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</si>
  <si>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</si>
  <si>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</si>
  <si>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</si>
  <si>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</si>
  <si>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</si>
  <si>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</si>
  <si>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</si>
  <si>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</si>
  <si>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</si>
  <si>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</si>
  <si>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</si>
  <si>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</si>
  <si>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</si>
  <si>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</si>
  <si>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</si>
  <si>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</si>
  <si>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</si>
  <si>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</si>
  <si>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</si>
  <si>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</si>
  <si>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</si>
  <si>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</si>
  <si>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</si>
  <si>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</si>
  <si>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</si>
  <si>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</si>
  <si>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</si>
  <si>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</si>
  <si>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</si>
  <si>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</si>
  <si>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</si>
  <si>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</si>
  <si>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</si>
  <si>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</si>
  <si>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</si>
  <si>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</si>
  <si>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</si>
  <si>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</si>
  <si>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</si>
  <si>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</si>
  <si>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</si>
  <si>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</si>
  <si>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</si>
  <si>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</si>
  <si>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</si>
  <si>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</si>
  <si>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</si>
  <si>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</si>
  <si>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</si>
  <si>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</si>
  <si>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</si>
  <si>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</si>
  <si>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</si>
  <si>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</si>
  <si>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</si>
  <si>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</si>
  <si>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</si>
  <si>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</si>
  <si>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</si>
  <si>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</si>
  <si>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</si>
  <si>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</si>
  <si>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</si>
  <si>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</si>
  <si>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</si>
  <si>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</si>
  <si>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</si>
  <si>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</si>
  <si>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</si>
  <si>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</si>
  <si>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</si>
  <si>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</si>
  <si>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</si>
  <si>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</si>
  <si>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</si>
  <si>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</si>
  <si>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</si>
  <si>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</si>
  <si>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</si>
  <si>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</si>
  <si>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</si>
  <si>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</si>
  <si>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</si>
  <si>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</si>
  <si>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</si>
  <si>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</si>
  <si>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</si>
  <si>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</si>
  <si>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</si>
  <si>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</si>
  <si>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</si>
  <si>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</si>
  <si>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</si>
  <si>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</si>
  <si>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</si>
  <si>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</si>
  <si>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</si>
  <si>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</si>
  <si>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</si>
  <si>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</si>
  <si>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</si>
  <si>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</si>
  <si>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</si>
  <si>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</si>
  <si>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</si>
  <si>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</si>
  <si>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</si>
  <si>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</si>
  <si>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</si>
  <si>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</si>
  <si>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</si>
  <si>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</si>
  <si>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</si>
  <si>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</si>
  <si>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</si>
  <si>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</si>
  <si>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</si>
  <si>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</si>
  <si>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</si>
  <si>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</si>
  <si>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</si>
  <si>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</si>
  <si>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</si>
  <si>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</si>
  <si>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</si>
  <si>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</si>
  <si>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</si>
  <si>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</si>
  <si>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</si>
  <si>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</si>
  <si>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</si>
  <si>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</si>
  <si>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</si>
  <si>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</si>
  <si>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</si>
  <si>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</si>
  <si>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</si>
  <si>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</si>
  <si>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</si>
  <si>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</si>
  <si>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</si>
  <si>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</si>
  <si>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</si>
  <si>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</si>
  <si>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</si>
  <si>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</si>
  <si>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</si>
  <si>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</si>
  <si>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</si>
  <si>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</si>
  <si>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</si>
  <si>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</si>
  <si>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</si>
  <si>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</si>
  <si>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</si>
  <si>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</si>
  <si>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</si>
  <si>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</si>
  <si>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</si>
  <si>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</si>
  <si>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</si>
  <si>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</si>
  <si>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</si>
  <si>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</si>
  <si>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</si>
  <si>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</si>
  <si>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</si>
  <si>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</si>
  <si>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</si>
  <si>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</si>
  <si>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</si>
  <si>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</si>
  <si>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</si>
  <si>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</si>
  <si>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</si>
  <si>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</si>
  <si>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</si>
  <si>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</si>
  <si>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</si>
  <si>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</si>
  <si>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</si>
  <si>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</si>
  <si>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</si>
  <si>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</si>
  <si>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</si>
  <si>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</si>
  <si>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</si>
  <si>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</si>
  <si>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</si>
  <si>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</si>
  <si>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</si>
  <si>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</si>
  <si>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</si>
  <si>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</si>
  <si>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</si>
  <si>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</si>
  <si>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</si>
  <si>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</si>
  <si>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</si>
  <si>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</si>
  <si>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</si>
  <si>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</si>
  <si>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</si>
  <si>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</si>
  <si>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</si>
  <si>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</si>
  <si>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</si>
  <si>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</si>
  <si>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</si>
  <si>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</si>
  <si>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</si>
  <si>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</si>
  <si>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</si>
  <si>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</si>
  <si>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</si>
  <si>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</si>
  <si>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</si>
  <si>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</si>
  <si>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</si>
  <si>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</si>
  <si>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</si>
  <si>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</si>
  <si>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</si>
  <si>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</si>
  <si>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</si>
  <si>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</si>
  <si>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</si>
  <si>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</si>
  <si>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</si>
  <si>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</si>
  <si>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</si>
  <si>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</si>
  <si>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</si>
  <si>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</si>
  <si>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</si>
  <si>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</si>
  <si>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</si>
  <si>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</si>
  <si>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</si>
  <si>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</si>
  <si>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</si>
  <si>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</si>
  <si>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</si>
  <si>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</si>
  <si>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</si>
  <si>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</si>
  <si>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</si>
  <si>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</si>
  <si>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</si>
  <si>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</si>
  <si>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</si>
  <si>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</si>
  <si>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</si>
  <si>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</si>
  <si>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</si>
  <si>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</si>
  <si>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</si>
  <si>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</si>
  <si>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</si>
  <si>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</si>
  <si>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</si>
  <si>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</si>
  <si>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</si>
  <si>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</si>
  <si>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</si>
  <si>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</si>
  <si>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</si>
  <si>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</si>
  <si>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</si>
  <si>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</si>
  <si>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</si>
  <si>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</si>
  <si>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</si>
  <si>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</si>
  <si>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</si>
  <si>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</si>
  <si>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</si>
  <si>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</si>
  <si>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</si>
  <si>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</si>
  <si>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</si>
  <si>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</si>
  <si>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</si>
  <si>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</si>
  <si>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</si>
  <si>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</si>
  <si>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</si>
  <si>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</si>
  <si>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</si>
  <si>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</si>
  <si>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</si>
  <si>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</si>
  <si>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</si>
  <si>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</si>
  <si>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</si>
  <si>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</si>
  <si>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</si>
  <si>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</si>
  <si>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</si>
  <si>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</si>
  <si>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</si>
  <si>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</si>
  <si>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</si>
  <si>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</si>
  <si>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</si>
  <si>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</si>
  <si>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</si>
  <si>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</si>
  <si>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</si>
  <si>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</si>
  <si>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</si>
  <si>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</si>
  <si>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</si>
  <si>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</si>
  <si>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</si>
  <si>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</si>
  <si>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</si>
  <si>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</si>
  <si>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</si>
  <si>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</si>
  <si>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</si>
  <si>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</si>
  <si>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</si>
  <si>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</si>
  <si>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</si>
  <si>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</si>
  <si>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</si>
  <si>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</si>
  <si>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</si>
  <si>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</si>
  <si>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</si>
  <si>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</si>
  <si>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</si>
  <si>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</si>
  <si>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</si>
  <si>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</si>
  <si>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</si>
  <si>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</si>
  <si>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</si>
  <si>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</si>
  <si>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</si>
  <si>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</si>
  <si>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</si>
  <si>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</si>
  <si>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</si>
  <si>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</si>
  <si>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</si>
  <si>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</si>
  <si>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</si>
  <si>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</si>
  <si>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</si>
  <si>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</si>
  <si>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</si>
  <si>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</si>
  <si>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</si>
  <si>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</si>
  <si>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</si>
  <si>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</si>
  <si>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</si>
  <si>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</si>
  <si>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</si>
  <si>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</si>
  <si>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</si>
  <si>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</si>
  <si>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</si>
  <si>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</si>
  <si>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</si>
  <si>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</si>
  <si>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</si>
  <si>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</si>
  <si>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</si>
  <si>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</si>
  <si>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</si>
  <si>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</si>
  <si>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</si>
  <si>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</si>
  <si>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</si>
  <si>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</si>
  <si>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</si>
  <si>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</si>
  <si>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</si>
  <si>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</si>
  <si>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</si>
  <si>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</si>
  <si>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</si>
  <si>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</si>
  <si>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</si>
  <si>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</si>
  <si>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</si>
  <si>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</si>
  <si>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</si>
  <si>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</si>
  <si>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</si>
  <si>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</si>
  <si>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</si>
  <si>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</si>
  <si>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</si>
  <si>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</si>
  <si>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</si>
  <si>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</si>
  <si>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</si>
  <si>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</si>
  <si>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</si>
  <si>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</si>
  <si>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</si>
  <si>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</si>
  <si>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</si>
  <si>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</si>
  <si>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</si>
  <si>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</si>
  <si>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</si>
  <si>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</si>
  <si>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</si>
  <si>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</si>
  <si>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</si>
  <si>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</si>
  <si>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</si>
  <si>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</si>
  <si>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</si>
  <si>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</si>
  <si>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</si>
  <si>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</si>
  <si>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</si>
  <si>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</si>
  <si>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</si>
  <si>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</si>
  <si>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</si>
  <si>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</si>
  <si>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</si>
  <si>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</si>
  <si>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</si>
  <si>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</si>
  <si>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</si>
  <si>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</si>
  <si>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</si>
  <si>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</si>
  <si>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</si>
  <si>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</si>
  <si>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</si>
  <si>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</si>
  <si>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</si>
  <si>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</si>
  <si>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</si>
  <si>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</si>
  <si>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</si>
  <si>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</si>
  <si>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</si>
  <si>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</si>
  <si>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</si>
  <si>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</si>
  <si>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</si>
  <si>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</si>
  <si>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</si>
  <si>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</si>
  <si>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</si>
  <si>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</si>
  <si>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</si>
  <si>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</si>
  <si>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</si>
  <si>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</si>
  <si>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</si>
  <si>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</si>
  <si>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</si>
  <si>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</si>
  <si>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</si>
  <si>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</si>
  <si>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</si>
  <si>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</si>
  <si>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</si>
  <si>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</si>
  <si>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</si>
  <si>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</si>
  <si>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</si>
  <si>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</si>
  <si>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</si>
  <si>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</si>
  <si>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</si>
  <si>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</si>
  <si>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</si>
  <si>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</si>
  <si>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</si>
  <si>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</si>
  <si>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</si>
  <si>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</si>
  <si>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</si>
  <si>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</si>
  <si>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</si>
  <si>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</si>
  <si>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</si>
  <si>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</si>
  <si>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</si>
  <si>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</si>
  <si>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</si>
  <si>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</si>
  <si>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</si>
  <si>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</si>
  <si>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</si>
  <si>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</si>
  <si>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</si>
  <si>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</si>
  <si>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</si>
  <si>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</si>
  <si>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</si>
  <si>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</si>
  <si>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</si>
  <si>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</si>
  <si>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</si>
  <si>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</si>
  <si>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</si>
  <si>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</si>
  <si>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</si>
  <si>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</si>
  <si>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</si>
  <si>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</si>
  <si>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</si>
  <si>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</si>
  <si>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</si>
  <si>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</si>
  <si>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</si>
  <si>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</si>
  <si>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</si>
  <si>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</si>
  <si>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</si>
  <si>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</si>
  <si>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</si>
  <si>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</si>
  <si>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</si>
  <si>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</si>
  <si>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</si>
  <si>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</si>
  <si>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</si>
  <si>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</si>
  <si>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</si>
  <si>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</si>
  <si>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</si>
  <si>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</si>
  <si>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</si>
  <si>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</si>
  <si>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</si>
  <si>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</si>
  <si>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</si>
  <si>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</si>
  <si>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</si>
  <si>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</si>
  <si>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</si>
  <si>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</si>
  <si>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</si>
  <si>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</si>
  <si>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</si>
  <si>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</si>
  <si>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</si>
  <si>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</si>
  <si>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</si>
  <si>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</si>
  <si>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</si>
  <si>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</si>
  <si>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</si>
  <si>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</si>
  <si>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</si>
  <si>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</si>
  <si>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</si>
  <si>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</si>
  <si>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</si>
  <si>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</si>
  <si>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</si>
  <si>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</si>
  <si>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</si>
  <si>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</si>
  <si>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</si>
  <si>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</si>
  <si>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</si>
  <si>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</si>
  <si>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</si>
  <si>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</si>
  <si>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</si>
  <si>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</si>
  <si>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</si>
  <si>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</si>
  <si>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</si>
  <si>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</si>
  <si>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</si>
  <si>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</si>
  <si>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</si>
  <si>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</si>
  <si>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</si>
  <si>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</si>
  <si>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</si>
  <si>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</si>
  <si>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</si>
  <si>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</si>
  <si>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</si>
  <si>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</si>
  <si>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</si>
  <si>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</si>
  <si>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</si>
  <si>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</si>
  <si>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</si>
  <si>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</si>
  <si>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</si>
  <si>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</si>
  <si>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</si>
  <si>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</si>
  <si>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</si>
  <si>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</si>
  <si>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</si>
  <si>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</si>
  <si>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</si>
  <si>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</si>
  <si>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</si>
  <si>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</si>
  <si>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</si>
  <si>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</si>
  <si>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</si>
  <si>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</si>
  <si>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</si>
  <si>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</si>
  <si>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</si>
  <si>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</si>
  <si>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</si>
  <si>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</si>
  <si>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</si>
  <si>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</si>
  <si>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</si>
  <si>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</si>
  <si>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</si>
  <si>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</si>
  <si>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</si>
  <si>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</si>
  <si>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</si>
  <si>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</si>
  <si>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</si>
  <si>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</si>
  <si>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</si>
  <si>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</si>
  <si>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</si>
  <si>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</si>
  <si>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</si>
  <si>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</si>
  <si>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</si>
  <si>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</si>
  <si>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</si>
  <si>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</si>
  <si>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</si>
  <si>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</si>
  <si>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</si>
  <si>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</si>
  <si>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</si>
  <si>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</si>
  <si>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</si>
  <si>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</si>
  <si>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</si>
  <si>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</si>
  <si>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</si>
  <si>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</si>
  <si>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</si>
  <si>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</si>
  <si>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</si>
  <si>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</si>
  <si>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</si>
  <si>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</si>
  <si>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</si>
  <si>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</si>
  <si>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</si>
  <si>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</si>
  <si>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</si>
  <si>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</si>
  <si>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</si>
  <si>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</si>
  <si>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</si>
  <si>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</si>
  <si>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</si>
  <si>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</si>
  <si>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</si>
  <si>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</si>
  <si>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</si>
  <si>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</si>
  <si>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</si>
  <si>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</si>
  <si>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</si>
  <si>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</si>
  <si>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</si>
  <si>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</si>
  <si>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</si>
  <si>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</si>
  <si>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</si>
  <si>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</si>
  <si>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</si>
  <si>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</si>
  <si>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</si>
  <si>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</si>
  <si>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</si>
  <si>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</si>
  <si>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</si>
  <si>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</si>
  <si>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</si>
  <si>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</si>
  <si>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</si>
  <si>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</si>
  <si>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</si>
  <si>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</si>
  <si>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</si>
  <si>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</si>
  <si>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</si>
  <si>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</si>
  <si>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</si>
  <si>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</si>
  <si>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</si>
  <si>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</si>
  <si>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</si>
  <si>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</si>
  <si>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</si>
  <si>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</si>
  <si>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</si>
  <si>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</si>
  <si>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</si>
  <si>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</si>
  <si>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</si>
  <si>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</si>
  <si>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</si>
  <si>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</si>
  <si>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</si>
  <si>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</si>
  <si>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</si>
  <si>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</si>
  <si>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</si>
  <si>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</si>
  <si>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</si>
  <si>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</si>
  <si>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</si>
  <si>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</si>
  <si>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</si>
  <si>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</si>
  <si>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</si>
  <si>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</si>
  <si>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</si>
  <si>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</si>
  <si>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</si>
  <si>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</si>
  <si>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</si>
  <si>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</si>
  <si>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</si>
  <si>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</si>
  <si>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</si>
  <si>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</si>
  <si>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</si>
  <si>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</si>
  <si>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</si>
  <si>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</si>
  <si>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</si>
  <si>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</si>
  <si>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</si>
  <si>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</si>
  <si>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</si>
  <si>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</si>
  <si>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</si>
  <si>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</si>
  <si>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</si>
  <si>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</si>
  <si>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</si>
  <si>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</si>
  <si>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</si>
  <si>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</si>
  <si>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</si>
  <si>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</si>
  <si>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</si>
  <si>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</si>
  <si>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</si>
  <si>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</si>
  <si>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</si>
  <si>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</si>
  <si>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</si>
  <si>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</si>
  <si>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</si>
  <si>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</si>
  <si>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</si>
  <si>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</si>
  <si>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</si>
  <si>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</si>
  <si>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</si>
  <si>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</si>
  <si>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</si>
  <si>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</si>
  <si>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</si>
  <si>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</si>
  <si>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</si>
  <si>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</si>
  <si>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</si>
  <si>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</si>
  <si>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</si>
  <si>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</si>
  <si>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</si>
  <si>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</si>
  <si>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</si>
  <si>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</si>
  <si>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</si>
  <si>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</si>
  <si>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</si>
  <si>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</si>
  <si>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</si>
  <si>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</si>
  <si>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</si>
  <si>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</si>
  <si>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</si>
  <si>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</si>
  <si>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</si>
  <si>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</si>
  <si>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</si>
  <si>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</si>
  <si>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</si>
  <si>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</si>
  <si>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</si>
  <si>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</si>
  <si>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</si>
  <si>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</si>
  <si>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</si>
  <si>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</si>
  <si>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</si>
  <si>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</si>
  <si>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</si>
  <si>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</si>
  <si>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</si>
  <si>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</si>
  <si>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</si>
  <si>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</si>
  <si>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</si>
  <si>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</si>
  <si>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</si>
  <si>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</si>
  <si>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</si>
  <si>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</si>
  <si>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</si>
  <si>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</si>
  <si>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</si>
  <si>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</si>
  <si>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</si>
  <si>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</si>
  <si>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</si>
  <si>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</si>
  <si>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</si>
  <si>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</si>
  <si>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</si>
  <si>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</si>
  <si>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</si>
  <si>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</si>
  <si>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</si>
  <si>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</si>
  <si>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</si>
  <si>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</si>
  <si>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</si>
  <si>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</si>
  <si>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</si>
  <si>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</si>
  <si>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</si>
  <si>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</si>
  <si>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</si>
  <si>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</si>
  <si>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</si>
  <si>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</si>
  <si>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</si>
  <si>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</si>
  <si>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</si>
  <si>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</si>
  <si>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</si>
  <si>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</si>
  <si>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</si>
  <si>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</si>
  <si>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</si>
  <si>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</si>
  <si>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</si>
  <si>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</si>
  <si>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</si>
  <si>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</si>
  <si>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</si>
  <si>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</si>
  <si>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</si>
  <si>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</si>
  <si>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</si>
  <si>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</si>
  <si>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</si>
  <si>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</si>
  <si>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</si>
  <si>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</si>
  <si>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</si>
  <si>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</si>
  <si>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</si>
  <si>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</si>
  <si>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</si>
  <si>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</si>
  <si>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</si>
  <si>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</si>
  <si>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</si>
  <si>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</si>
  <si>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</si>
  <si>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</si>
  <si>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</si>
  <si>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</si>
  <si>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</si>
  <si>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</si>
  <si>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</si>
  <si>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</si>
  <si>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</si>
  <si>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</si>
  <si>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</si>
  <si>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</si>
  <si>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</si>
  <si>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</si>
  <si>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</si>
  <si>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</si>
  <si>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</si>
  <si>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</si>
  <si>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</si>
  <si>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</si>
  <si>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</si>
  <si>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</si>
  <si>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</si>
  <si>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</si>
  <si>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</si>
  <si>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</si>
  <si>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</si>
  <si>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</si>
  <si>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</si>
  <si>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</si>
  <si>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</si>
  <si>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</si>
  <si>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</si>
  <si>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</si>
  <si>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</si>
  <si>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</si>
  <si>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</si>
  <si>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</si>
  <si>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</si>
  <si>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</si>
  <si>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</si>
  <si>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</si>
  <si>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</si>
  <si>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</si>
  <si>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</si>
  <si>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</si>
  <si>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</si>
  <si>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</si>
  <si>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</si>
  <si>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</si>
  <si>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</si>
  <si>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</si>
  <si>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</si>
  <si>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</si>
  <si>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</si>
  <si>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</si>
  <si>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</si>
  <si>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</si>
  <si>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</si>
  <si>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</si>
  <si>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</si>
  <si>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</si>
  <si>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</si>
  <si>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</si>
  <si>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</si>
  <si>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</si>
  <si>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</si>
  <si>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</si>
  <si>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</si>
  <si>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</si>
  <si>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</si>
  <si>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</si>
  <si>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</si>
  <si>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</si>
  <si>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</si>
  <si>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</si>
  <si>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</si>
  <si>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</si>
  <si>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</si>
  <si>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</si>
  <si>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</si>
  <si>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</si>
  <si>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</si>
  <si>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</si>
  <si>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</si>
  <si>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</si>
  <si>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</si>
  <si>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</si>
  <si>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</si>
  <si>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</si>
  <si>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</si>
  <si>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</si>
  <si>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</si>
  <si>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</si>
  <si>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</si>
  <si>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</si>
  <si>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</si>
  <si>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</si>
  <si>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</si>
  <si>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</si>
  <si>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</si>
  <si>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</si>
  <si>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</si>
  <si>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</si>
  <si>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</si>
  <si>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</si>
  <si>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</si>
  <si>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</si>
  <si>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</si>
  <si>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</si>
  <si>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</si>
  <si>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</si>
  <si>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</si>
  <si>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</si>
  <si>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</si>
  <si>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</si>
  <si>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</si>
  <si>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</si>
  <si>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</si>
  <si>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</si>
  <si>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</si>
  <si>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</si>
  <si>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</si>
  <si>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</si>
  <si>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</si>
  <si>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</si>
  <si>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</si>
  <si>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</si>
  <si>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</si>
  <si>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</si>
  <si>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</si>
  <si>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</si>
  <si>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</si>
  <si>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</si>
  <si>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</si>
  <si>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</si>
  <si>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</si>
  <si>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</si>
  <si>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</si>
  <si>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</si>
  <si>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</si>
  <si>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</si>
  <si>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</si>
  <si>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</si>
  <si>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</si>
  <si>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</si>
  <si>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</si>
  <si>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</si>
  <si>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</si>
  <si>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</si>
  <si>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</si>
  <si>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</si>
  <si>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</si>
  <si>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</si>
  <si>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</si>
  <si>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</si>
  <si>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</si>
  <si>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</si>
  <si>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</si>
  <si>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</si>
  <si>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</si>
  <si>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</si>
  <si>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</si>
  <si>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</si>
  <si>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</si>
  <si>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</si>
  <si>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</si>
  <si>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</si>
  <si>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</si>
  <si>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</si>
  <si>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</si>
  <si>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</si>
  <si>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</si>
  <si>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</si>
  <si>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</si>
  <si>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</si>
  <si>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</si>
  <si>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</si>
  <si>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</si>
  <si>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</si>
  <si>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</si>
  <si>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</si>
  <si>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</si>
  <si>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</si>
  <si>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</si>
  <si>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</si>
  <si>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</si>
  <si>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</si>
  <si>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</si>
  <si>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</si>
  <si>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</si>
  <si>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</si>
  <si>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</si>
  <si>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</si>
  <si>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</si>
  <si>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</si>
  <si>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</si>
  <si>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</si>
  <si>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</si>
  <si>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</si>
  <si>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</si>
  <si>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</si>
  <si>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</si>
  <si>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</si>
  <si>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</si>
  <si>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</si>
  <si>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</si>
  <si>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</si>
  <si>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</si>
  <si>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</si>
  <si>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</si>
  <si>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</si>
  <si>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</si>
  <si>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</si>
  <si>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</si>
  <si>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</si>
  <si>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</si>
  <si>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</si>
  <si>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</si>
  <si>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</si>
  <si>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</si>
  <si>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</si>
  <si>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</si>
  <si>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</si>
  <si>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</si>
  <si>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</si>
  <si>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</si>
  <si>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</si>
  <si>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</si>
  <si>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</si>
  <si>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</si>
  <si>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</si>
  <si>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</si>
  <si>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</si>
  <si>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</si>
  <si>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</si>
  <si>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</si>
  <si>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</si>
  <si>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</si>
  <si>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</si>
  <si>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</si>
  <si>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</si>
  <si>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</si>
  <si>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</si>
  <si>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</si>
  <si>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</si>
  <si>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</si>
  <si>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</si>
  <si>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</si>
  <si>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</si>
  <si>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</si>
  <si>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</si>
  <si>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</si>
  <si>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</si>
  <si>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</si>
  <si>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</si>
  <si>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</si>
  <si>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</si>
  <si>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</si>
  <si>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</si>
  <si>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</si>
  <si>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</si>
  <si>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</si>
  <si>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</si>
  <si>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</si>
  <si>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</si>
  <si>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</si>
  <si>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</si>
  <si>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</si>
  <si>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</si>
  <si>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</si>
  <si>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</si>
  <si>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</si>
  <si>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</si>
  <si>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</si>
  <si>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</si>
  <si>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</si>
  <si>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</si>
  <si>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</si>
  <si>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</si>
  <si>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</si>
  <si>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</si>
  <si>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</si>
  <si>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</si>
  <si>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</si>
  <si>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</si>
  <si>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</si>
  <si>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</si>
  <si>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</si>
  <si>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</si>
  <si>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</si>
  <si>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</si>
  <si>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</si>
  <si>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</si>
  <si>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</si>
  <si>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</si>
  <si>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</si>
  <si>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</si>
  <si>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</si>
  <si>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</si>
  <si>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</si>
  <si>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</si>
  <si>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</si>
  <si>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</si>
  <si>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</si>
  <si>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</si>
  <si>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</si>
  <si>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</si>
  <si>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</si>
  <si>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</si>
  <si>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</si>
  <si>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</si>
  <si>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</si>
  <si>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</si>
  <si>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</si>
  <si>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</si>
  <si>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</si>
  <si>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</si>
  <si>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</si>
  <si>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</si>
  <si>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</si>
  <si>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</si>
  <si>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</si>
  <si>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</si>
  <si>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</si>
  <si>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</si>
  <si>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</si>
  <si>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</si>
  <si>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</si>
  <si>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</si>
  <si>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</si>
  <si>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</si>
  <si>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</si>
  <si>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</si>
  <si>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</si>
  <si>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</si>
  <si>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</si>
  <si>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</si>
  <si>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</si>
  <si>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</si>
  <si>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</si>
  <si>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</si>
  <si>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</si>
  <si>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</si>
  <si>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</si>
  <si>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</si>
  <si>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</si>
  <si>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</si>
  <si>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</si>
  <si>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</si>
  <si>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</si>
  <si>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</si>
  <si>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</si>
  <si>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</si>
  <si>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</si>
  <si>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</si>
  <si>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</si>
  <si>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</si>
  <si>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</si>
  <si>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</si>
  <si>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</si>
  <si>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</si>
  <si>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</si>
  <si>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</si>
  <si>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</si>
  <si>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</si>
  <si>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</si>
  <si>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</si>
  <si>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</si>
  <si>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</si>
  <si>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</si>
  <si>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</si>
  <si>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</si>
  <si>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</si>
  <si>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</si>
  <si>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</si>
  <si>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</si>
  <si>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</si>
  <si>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</si>
  <si>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</si>
  <si>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</si>
  <si>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</si>
  <si>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</si>
  <si>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</si>
  <si>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</si>
  <si>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</si>
  <si>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</si>
  <si>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</si>
  <si>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</si>
  <si>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</si>
  <si>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</si>
  <si>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</si>
  <si>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</si>
  <si>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</si>
  <si>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</si>
  <si>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</si>
  <si>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</si>
  <si>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</si>
  <si>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</si>
  <si>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</si>
  <si>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</si>
  <si>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</si>
  <si>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</si>
  <si>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</si>
  <si>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</si>
  <si>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</si>
  <si>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</si>
  <si>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</si>
  <si>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</si>
  <si>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</si>
  <si>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</si>
  <si>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</si>
  <si>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</si>
  <si>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</si>
  <si>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</si>
  <si>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</si>
  <si>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</si>
  <si>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</si>
  <si>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</si>
  <si>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</si>
  <si>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</si>
  <si>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</si>
  <si>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</si>
  <si>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</si>
  <si>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</si>
  <si>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</si>
  <si>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</si>
  <si>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</si>
  <si>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</si>
  <si>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</si>
  <si>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</si>
  <si>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</si>
  <si>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</si>
  <si>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</si>
  <si>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</si>
  <si>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</si>
  <si>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</si>
  <si>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</si>
  <si>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</si>
  <si>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</si>
  <si>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</si>
  <si>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</si>
  <si>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</si>
  <si>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</si>
  <si>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</si>
  <si>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</si>
  <si>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</si>
  <si>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</si>
  <si>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</si>
  <si>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</si>
  <si>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</si>
  <si>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</si>
  <si>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</si>
  <si>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</si>
  <si>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</si>
  <si>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</si>
  <si>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</si>
  <si>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</si>
  <si>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</si>
  <si>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</si>
  <si>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</si>
  <si>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</si>
  <si>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</si>
  <si>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</si>
  <si>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</si>
  <si>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</si>
  <si>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</si>
  <si>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</si>
  <si>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</si>
  <si>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</si>
  <si>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</si>
  <si>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</si>
  <si>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</si>
  <si>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</si>
  <si>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</si>
  <si>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</si>
  <si>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</si>
  <si>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</si>
  <si>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</si>
  <si>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</si>
  <si>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</si>
  <si>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</si>
  <si>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</si>
  <si>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</si>
  <si>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</si>
  <si>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</si>
  <si>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</si>
  <si>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</si>
  <si>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</si>
  <si>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</si>
  <si>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</si>
  <si>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</si>
  <si>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</si>
  <si>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</si>
  <si>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</si>
  <si>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</si>
  <si>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</si>
  <si>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</si>
  <si>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</si>
  <si>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</si>
  <si>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</si>
  <si>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</si>
  <si>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</si>
  <si>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</si>
  <si>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</si>
  <si>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</si>
  <si>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</si>
  <si>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</si>
  <si>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</si>
  <si>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</si>
  <si>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</si>
  <si>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</si>
  <si>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</si>
  <si>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</si>
  <si>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</si>
  <si>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</si>
  <si>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</si>
  <si>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</si>
  <si>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</si>
  <si>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</si>
  <si>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</si>
  <si>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</si>
  <si>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</si>
  <si>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</si>
  <si>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</si>
  <si>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</si>
  <si>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</si>
  <si>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</si>
  <si>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</si>
  <si>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</si>
  <si>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</si>
  <si>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</si>
  <si>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</si>
  <si>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</si>
  <si>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</si>
  <si>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</si>
  <si>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</si>
  <si>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</si>
  <si>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</si>
  <si>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</si>
  <si>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</si>
  <si>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</si>
  <si>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</si>
  <si>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</si>
  <si>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</si>
  <si>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</si>
  <si>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</si>
  <si>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</si>
  <si>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</si>
  <si>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</si>
  <si>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</si>
  <si>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</si>
  <si>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</si>
  <si>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</si>
  <si>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</si>
  <si>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</si>
  <si>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</si>
  <si>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</si>
  <si>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</si>
  <si>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</si>
  <si>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</si>
  <si>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</si>
  <si>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</si>
  <si>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</si>
  <si>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</si>
  <si>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</si>
  <si>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</si>
  <si>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</si>
  <si>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</si>
  <si>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</si>
  <si>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</si>
  <si>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</si>
  <si>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</si>
  <si>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</si>
  <si>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</si>
  <si>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</si>
  <si>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</si>
  <si>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</si>
  <si>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</si>
  <si>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</si>
  <si>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</si>
  <si>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</si>
  <si>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</si>
  <si>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</si>
  <si>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</si>
  <si>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</si>
  <si>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</si>
  <si>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</si>
  <si>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</si>
  <si>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</si>
  <si>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</si>
  <si>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</si>
  <si>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</si>
  <si>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</si>
  <si>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</si>
  <si>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</si>
  <si>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</si>
  <si>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</si>
  <si>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</si>
  <si>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</si>
  <si>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</si>
  <si>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</si>
  <si>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</si>
  <si>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</si>
  <si>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</si>
  <si>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</si>
  <si>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</si>
  <si>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</si>
  <si>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</si>
  <si>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</si>
  <si>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</si>
  <si>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</si>
  <si>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</si>
  <si>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</si>
  <si>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</si>
  <si>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</si>
  <si>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</si>
  <si>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</si>
  <si>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</si>
  <si>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</si>
  <si>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</si>
  <si>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</si>
  <si>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</si>
  <si>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</si>
  <si>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</si>
  <si>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</si>
  <si>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</si>
  <si>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</si>
  <si>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</si>
  <si>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</si>
  <si>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</si>
  <si>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</si>
  <si>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</si>
  <si>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</si>
  <si>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</si>
  <si>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</si>
  <si>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</si>
  <si>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</si>
  <si>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</si>
  <si>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</si>
  <si>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</si>
  <si>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</si>
  <si>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</si>
  <si>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</si>
  <si>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</si>
  <si>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</si>
  <si>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</si>
  <si>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</si>
  <si>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</si>
  <si>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</si>
  <si>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</si>
  <si>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</si>
  <si>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</si>
  <si>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</si>
  <si>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</si>
  <si>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</si>
  <si>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</si>
  <si>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</si>
  <si>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</si>
  <si>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</si>
  <si>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</si>
  <si>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</si>
  <si>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</si>
  <si>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</si>
  <si>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</si>
  <si>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</si>
  <si>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</si>
  <si>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</si>
  <si>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</si>
  <si>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</si>
  <si>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</si>
  <si>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</si>
  <si>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</si>
  <si>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</si>
  <si>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</si>
  <si>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</si>
  <si>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</si>
  <si>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</si>
  <si>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</si>
  <si>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</si>
  <si>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</si>
  <si>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</si>
  <si>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</si>
  <si>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</si>
  <si>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</si>
  <si>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</si>
  <si>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</si>
  <si>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</si>
  <si>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</si>
  <si>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</si>
  <si>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</si>
  <si>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</si>
  <si>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</si>
  <si>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</si>
  <si>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</si>
  <si>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</si>
  <si>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</si>
  <si>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</si>
  <si>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</si>
  <si>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</si>
  <si>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</si>
  <si>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</si>
  <si>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</si>
  <si>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</si>
  <si>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</si>
  <si>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</si>
  <si>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</si>
  <si>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</si>
  <si>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</si>
  <si>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</si>
  <si>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</si>
  <si>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</si>
  <si>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</si>
  <si>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</si>
  <si>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</si>
  <si>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</si>
  <si>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</si>
  <si>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</si>
  <si>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</si>
  <si>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</si>
  <si>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</si>
  <si>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</si>
  <si>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</si>
  <si>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</si>
  <si>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</si>
  <si>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</si>
  <si>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</si>
  <si>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</si>
  <si>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</si>
  <si>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</si>
  <si>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</si>
  <si>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</si>
  <si>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</si>
  <si>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</si>
  <si>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</si>
  <si>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</si>
  <si>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</si>
  <si>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</si>
  <si>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</si>
  <si>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</si>
  <si>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</si>
  <si>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</si>
  <si>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</si>
  <si>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</si>
  <si>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</si>
  <si>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</si>
  <si>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</si>
  <si>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</si>
  <si>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</si>
  <si>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</si>
  <si>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</si>
  <si>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</si>
  <si>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</si>
  <si>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</si>
  <si>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</si>
  <si>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</si>
  <si>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</si>
  <si>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</si>
  <si>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</si>
  <si>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</si>
  <si>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</si>
  <si>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</si>
  <si>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</si>
  <si>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</si>
  <si>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</si>
  <si>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</si>
  <si>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</si>
  <si>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</si>
  <si>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</si>
  <si>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</si>
  <si>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</si>
  <si>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</si>
  <si>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</si>
  <si>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</si>
  <si>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</si>
  <si>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</si>
  <si>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</si>
  <si>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</si>
  <si>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</si>
  <si>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</si>
  <si>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</si>
  <si>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</si>
  <si>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</si>
  <si>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</si>
  <si>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</si>
  <si>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</si>
  <si>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</si>
  <si>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</si>
  <si>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</si>
  <si>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</si>
  <si>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</si>
  <si>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</si>
  <si>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</si>
  <si>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</si>
  <si>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</si>
  <si>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</si>
  <si>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</si>
  <si>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</si>
  <si>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</si>
  <si>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</si>
  <si>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</si>
  <si>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</si>
  <si>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</si>
  <si>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</si>
  <si>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</si>
  <si>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</si>
  <si>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</si>
  <si>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</si>
  <si>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</si>
  <si>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</si>
  <si>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</si>
  <si>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</si>
  <si>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</si>
  <si>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</si>
  <si>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</si>
  <si>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</si>
  <si>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</si>
  <si>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</si>
  <si>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</si>
  <si>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</si>
  <si>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</si>
  <si>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</si>
  <si>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</si>
  <si>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</si>
  <si>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</si>
  <si>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</si>
  <si>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</si>
  <si>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</si>
  <si>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</si>
  <si>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</si>
  <si>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</si>
  <si>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</si>
  <si>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</si>
  <si>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</si>
  <si>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</si>
  <si>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</si>
  <si>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</si>
  <si>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</si>
  <si>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</si>
  <si>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</si>
  <si>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</si>
  <si>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</si>
  <si>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</si>
  <si>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</si>
  <si>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</si>
  <si>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</si>
  <si>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</si>
  <si>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</si>
  <si>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</si>
  <si>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</si>
  <si>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</si>
  <si>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</si>
  <si>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</si>
  <si>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</si>
  <si>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</si>
  <si>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</si>
  <si>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</si>
  <si>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</si>
  <si>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</si>
  <si>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</si>
  <si>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</si>
  <si>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</si>
  <si>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</si>
  <si>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</si>
  <si>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</si>
  <si>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</si>
  <si>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</si>
  <si>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</si>
  <si>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</si>
  <si>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</si>
  <si>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</si>
  <si>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</si>
  <si>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</si>
  <si>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</si>
  <si>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</si>
  <si>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</si>
  <si>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</si>
  <si>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</si>
  <si>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</si>
  <si>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</si>
  <si>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</si>
  <si>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</si>
  <si>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</si>
  <si>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</si>
  <si>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</si>
  <si>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</si>
  <si>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</si>
  <si>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</si>
  <si>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</si>
  <si>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</si>
  <si>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</si>
  <si>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</si>
  <si>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</si>
  <si>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</si>
  <si>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</si>
  <si>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</si>
  <si>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</si>
  <si>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</si>
  <si>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</si>
  <si>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</si>
  <si>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</si>
  <si>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</si>
  <si>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</si>
  <si>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</si>
  <si>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</si>
  <si>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</si>
  <si>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</si>
  <si>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</si>
  <si>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</si>
  <si>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</si>
  <si>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</si>
  <si>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</si>
  <si>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</si>
  <si>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</si>
  <si>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</si>
  <si>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</si>
  <si>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</si>
  <si>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</si>
  <si>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</si>
  <si>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</si>
  <si>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</si>
  <si>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</si>
  <si>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</si>
  <si>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</si>
  <si>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</si>
  <si>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</si>
  <si>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</si>
  <si>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</si>
  <si>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</si>
  <si>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</si>
  <si>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</si>
  <si>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</si>
  <si>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</si>
  <si>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</si>
  <si>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</si>
  <si>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</si>
  <si>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</si>
  <si>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</si>
  <si>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</si>
  <si>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</si>
  <si>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</si>
  <si>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</si>
  <si>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</si>
  <si>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</si>
  <si>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</si>
  <si>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</si>
  <si>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</si>
  <si>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</si>
  <si>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</si>
  <si>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</si>
  <si>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</si>
  <si>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</si>
  <si>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</si>
  <si>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</si>
  <si>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</si>
  <si>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</si>
  <si>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</si>
  <si>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</si>
  <si>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</si>
  <si>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</si>
  <si>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</si>
  <si>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</si>
  <si>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</si>
  <si>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</si>
  <si>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</si>
  <si>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</si>
  <si>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</si>
  <si>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</si>
  <si>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</si>
  <si>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</si>
  <si>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</si>
  <si>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</si>
  <si>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</si>
  <si>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</si>
  <si>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</si>
  <si>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</si>
  <si>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</si>
  <si>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</si>
  <si>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</si>
  <si>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</si>
  <si>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</si>
  <si>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</si>
  <si>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</si>
  <si>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</si>
  <si>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</si>
  <si>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</si>
  <si>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</si>
  <si>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</si>
  <si>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</si>
  <si>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</si>
  <si>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</si>
  <si>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</si>
  <si>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</si>
  <si>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</si>
  <si>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</si>
  <si>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</si>
  <si>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</si>
  <si>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</si>
  <si>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</si>
  <si>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</si>
  <si>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</si>
  <si>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</si>
  <si>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</si>
  <si>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</si>
  <si>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</si>
  <si>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</si>
  <si>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</si>
  <si>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</si>
  <si>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</si>
  <si>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</si>
  <si>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</si>
  <si>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</si>
  <si>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</si>
  <si>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</si>
  <si>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</si>
  <si>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</si>
  <si>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</si>
  <si>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</si>
  <si>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</si>
  <si>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</si>
  <si>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</si>
  <si>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</si>
  <si>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</si>
  <si>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</si>
  <si>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</si>
  <si>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</si>
  <si>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</si>
  <si>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</si>
  <si>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</si>
  <si>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</si>
  <si>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</si>
  <si>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</si>
  <si>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</si>
  <si>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</si>
  <si>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</si>
  <si>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</si>
  <si>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</si>
  <si>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</si>
  <si>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</si>
  <si>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</si>
  <si>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</si>
  <si>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</si>
  <si>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</si>
  <si>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</si>
  <si>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</si>
  <si>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</si>
  <si>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</si>
  <si>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</si>
  <si>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</si>
  <si>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</si>
  <si>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</si>
  <si>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</si>
  <si>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</si>
  <si>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</si>
  <si>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</si>
  <si>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</si>
  <si>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</si>
  <si>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</si>
  <si>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</si>
  <si>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</si>
  <si>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</si>
  <si>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</si>
  <si>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</si>
  <si>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</si>
  <si>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</si>
  <si>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</si>
  <si>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</si>
  <si>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</si>
  <si>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</si>
  <si>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</si>
  <si>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</si>
  <si>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</si>
  <si>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</si>
  <si>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</si>
  <si>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</si>
  <si>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</si>
  <si>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</si>
  <si>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</si>
  <si>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</si>
  <si>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</si>
  <si>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</si>
  <si>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</si>
  <si>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</si>
  <si>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</si>
  <si>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</si>
  <si>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</si>
  <si>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</si>
  <si>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</si>
  <si>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</si>
  <si>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</si>
  <si>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</si>
  <si>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</si>
  <si>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</si>
  <si>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</si>
  <si>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</si>
  <si>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</si>
  <si>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</si>
  <si>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</si>
  <si>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</si>
  <si>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</si>
  <si>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</si>
  <si>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</si>
  <si>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</si>
  <si>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</si>
  <si>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</si>
  <si>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</si>
  <si>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</si>
  <si>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</si>
  <si>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</si>
  <si>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</si>
  <si>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</si>
  <si>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</si>
  <si>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</si>
  <si>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</si>
  <si>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</si>
  <si>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</si>
  <si>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</si>
  <si>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</si>
  <si>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</si>
  <si>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</si>
  <si>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</si>
  <si>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</si>
  <si>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</si>
  <si>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</si>
  <si>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</si>
  <si>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</si>
  <si>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</si>
  <si>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</si>
  <si>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</si>
  <si>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</si>
  <si>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</si>
  <si>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</si>
  <si>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</si>
  <si>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</si>
  <si>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</si>
  <si>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</si>
  <si>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</si>
  <si>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</si>
  <si>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</si>
  <si>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</si>
  <si>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</si>
  <si>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</si>
  <si>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</si>
  <si>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</si>
  <si>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</si>
  <si>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</si>
  <si>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</si>
  <si>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</si>
  <si>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</si>
  <si>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</si>
  <si>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</si>
  <si>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</si>
  <si>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</si>
  <si>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</si>
  <si>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</si>
  <si>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</si>
  <si>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</si>
  <si>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</si>
  <si>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</si>
  <si>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</si>
  <si>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</si>
  <si>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</si>
  <si>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</si>
  <si>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</si>
  <si>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</si>
  <si>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</si>
  <si>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</si>
  <si>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</si>
  <si>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</si>
  <si>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</si>
  <si>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</si>
  <si>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</si>
  <si>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</si>
  <si>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</si>
  <si>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</si>
  <si>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</si>
  <si>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</si>
  <si>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</si>
  <si>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</si>
  <si>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</si>
  <si>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</si>
  <si>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</si>
  <si>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</si>
  <si>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</si>
  <si>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</si>
  <si>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</si>
  <si>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</si>
  <si>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</si>
  <si>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</si>
  <si>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</si>
  <si>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</si>
  <si>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</si>
  <si>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</si>
  <si>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</si>
  <si>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</si>
  <si>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</si>
  <si>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</si>
  <si>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</si>
  <si>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</si>
  <si>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</si>
  <si>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</si>
  <si>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</si>
  <si>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</si>
  <si>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</si>
  <si>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</si>
  <si>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</si>
  <si>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</si>
  <si>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</si>
  <si>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</si>
  <si>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</si>
  <si>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</si>
  <si>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</si>
  <si>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</si>
  <si>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</si>
  <si>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</si>
  <si>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</si>
  <si>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</si>
  <si>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</si>
  <si>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</si>
  <si>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</si>
  <si>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</si>
  <si>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</si>
  <si>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</si>
  <si>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</si>
  <si>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</si>
  <si>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</si>
  <si>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</si>
  <si>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</si>
  <si>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</si>
  <si>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</si>
  <si>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</si>
  <si>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</si>
  <si>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</si>
  <si>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</si>
  <si>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</si>
  <si>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</si>
  <si>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</si>
  <si>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</si>
  <si>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</si>
  <si>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</si>
  <si>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</si>
  <si>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</si>
  <si>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</si>
  <si>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</si>
  <si>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</si>
  <si>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</si>
  <si>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</si>
  <si>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</si>
  <si>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</si>
  <si>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</si>
  <si>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</si>
  <si>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</si>
  <si>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</si>
  <si>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</si>
  <si>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</si>
  <si>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</si>
  <si>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</si>
  <si>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</si>
  <si>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</si>
  <si>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</si>
  <si>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</si>
  <si>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</si>
  <si>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</si>
  <si>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</si>
  <si>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</si>
  <si>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</si>
  <si>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</si>
  <si>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</si>
  <si>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</si>
  <si>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</si>
  <si>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</si>
  <si>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</si>
  <si>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</si>
  <si>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</si>
  <si>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</si>
  <si>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</si>
  <si>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</si>
  <si>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</si>
  <si>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</si>
  <si>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</si>
  <si>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</si>
  <si>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</si>
  <si>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</si>
  <si>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</si>
  <si>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</si>
  <si>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</si>
  <si>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</si>
  <si>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</si>
  <si>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</si>
  <si>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</si>
  <si>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</si>
  <si>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</si>
  <si>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</si>
  <si>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</si>
  <si>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</si>
  <si>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</si>
  <si>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</si>
  <si>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</si>
  <si>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</si>
  <si>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</si>
  <si>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</si>
  <si>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</si>
  <si>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</si>
  <si>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</si>
  <si>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</si>
  <si>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</si>
  <si>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</si>
  <si>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</si>
  <si>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</si>
  <si>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</si>
  <si>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</si>
  <si>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</si>
  <si>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</si>
  <si>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</si>
  <si>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</si>
  <si>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</si>
  <si>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</si>
  <si>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</si>
  <si>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</si>
  <si>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</si>
  <si>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</si>
  <si>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</si>
  <si>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</si>
  <si>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</si>
  <si>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</si>
  <si>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</si>
  <si>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</si>
  <si>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</si>
  <si>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</si>
  <si>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</si>
  <si>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</si>
  <si>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</si>
  <si>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</si>
  <si>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</si>
  <si>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</si>
  <si>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</si>
  <si>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</si>
  <si>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</si>
  <si>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</si>
  <si>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</si>
  <si>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</si>
  <si>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</si>
  <si>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</si>
  <si>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</si>
  <si>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</si>
  <si>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</si>
  <si>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</si>
  <si>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</si>
  <si>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</si>
  <si>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</si>
  <si>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</si>
  <si>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</si>
  <si>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</si>
  <si>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</si>
  <si>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</si>
  <si>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</si>
  <si>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</si>
  <si>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</si>
  <si>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</si>
  <si>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</si>
  <si>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</si>
  <si>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</si>
  <si>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</si>
  <si>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</si>
  <si>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</si>
  <si>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</si>
  <si>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</si>
  <si>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</si>
  <si>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</si>
  <si>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</si>
  <si>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</si>
  <si>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</si>
  <si>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</si>
  <si>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</si>
  <si>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</si>
  <si>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</si>
  <si>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</si>
  <si>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</si>
  <si>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</si>
  <si>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</si>
  <si>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</si>
  <si>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</si>
  <si>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</si>
  <si>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</si>
  <si>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</si>
  <si>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</si>
  <si>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</si>
  <si>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</si>
  <si>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</si>
  <si>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</si>
  <si>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</si>
  <si>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</si>
  <si>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</si>
  <si>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</si>
  <si>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</si>
  <si>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</si>
  <si>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</si>
  <si>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</si>
  <si>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</si>
  <si>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</si>
  <si>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</si>
  <si>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</si>
  <si>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</si>
  <si>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</si>
  <si>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</si>
  <si>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</si>
  <si>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</si>
  <si>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</si>
  <si>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</si>
  <si>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</si>
  <si>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</si>
  <si>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</si>
  <si>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</si>
  <si>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</si>
  <si>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</si>
  <si>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</si>
  <si>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</si>
  <si>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</si>
  <si>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</si>
  <si>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</si>
  <si>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</si>
  <si>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</si>
  <si>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</si>
  <si>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</si>
  <si>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</si>
  <si>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</si>
  <si>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</si>
  <si>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</si>
  <si>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</si>
  <si>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</si>
  <si>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</si>
  <si>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</si>
  <si>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</si>
  <si>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</si>
  <si>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</si>
  <si>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</si>
  <si>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</si>
  <si>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</si>
  <si>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</si>
  <si>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</si>
  <si>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</si>
  <si>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</si>
  <si>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</si>
  <si>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</si>
  <si>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</si>
  <si>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</si>
  <si>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</si>
  <si>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</si>
  <si>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</si>
  <si>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</si>
  <si>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</si>
  <si>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</si>
  <si>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</si>
  <si>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</si>
  <si>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</si>
  <si>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</si>
  <si>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</si>
  <si>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</si>
  <si>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</si>
  <si>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</si>
  <si>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</si>
  <si>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</si>
  <si>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</si>
  <si>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</si>
  <si>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</si>
  <si>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</si>
  <si>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</si>
  <si>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</si>
  <si>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</si>
  <si>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</si>
  <si>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</si>
  <si>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</si>
  <si>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</si>
  <si>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</si>
  <si>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</si>
  <si>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</si>
  <si>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</si>
  <si>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</si>
  <si>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</si>
  <si>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</si>
  <si>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</si>
  <si>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</si>
  <si>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</si>
  <si>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</si>
  <si>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</si>
  <si>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</si>
  <si>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</si>
  <si>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</si>
  <si>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</si>
  <si>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</si>
  <si>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</si>
  <si>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</si>
  <si>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</si>
  <si>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</si>
  <si>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</si>
  <si>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</si>
  <si>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</si>
  <si>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</si>
  <si>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</si>
  <si>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</si>
  <si>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</si>
  <si>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</si>
  <si>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</si>
  <si>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</si>
  <si>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</si>
  <si>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</si>
  <si>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</si>
  <si>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</si>
  <si>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</si>
  <si>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</si>
  <si>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</si>
  <si>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</si>
  <si>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</si>
  <si>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</si>
  <si>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</si>
  <si>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</si>
  <si>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</si>
  <si>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</si>
  <si>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</si>
  <si>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</si>
  <si>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</si>
  <si>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</si>
  <si>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</si>
  <si>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</si>
  <si>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</si>
  <si>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</si>
  <si>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</si>
  <si>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</si>
  <si>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</si>
  <si>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</si>
  <si>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</si>
  <si>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</si>
  <si>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</si>
  <si>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</si>
  <si>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</si>
  <si>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</si>
  <si>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</si>
  <si>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</si>
  <si>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</si>
  <si>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</si>
  <si>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</si>
  <si>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</si>
  <si>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</si>
  <si>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</si>
  <si>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</si>
  <si>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</si>
  <si>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</si>
  <si>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</si>
  <si>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</si>
  <si>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</si>
  <si>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</si>
  <si>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</si>
  <si>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</si>
  <si>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</si>
  <si>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</si>
  <si>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</si>
  <si>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</si>
  <si>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</si>
  <si>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</si>
  <si>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</si>
  <si>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</si>
  <si>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</si>
  <si>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</si>
  <si>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</si>
  <si>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</si>
  <si>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</si>
  <si>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</si>
  <si>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</si>
  <si>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</si>
  <si>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</si>
  <si>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</si>
  <si>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</si>
  <si>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</si>
  <si>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</si>
  <si>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</si>
  <si>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</si>
  <si>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</si>
  <si>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</si>
  <si>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</si>
  <si>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</si>
  <si>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</si>
  <si>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</si>
  <si>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</si>
  <si>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</si>
  <si>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</si>
  <si>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</si>
  <si>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</si>
  <si>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</si>
  <si>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</si>
  <si>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</si>
  <si>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</si>
  <si>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</si>
  <si>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</si>
  <si>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</si>
  <si>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</si>
  <si>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</si>
  <si>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</si>
  <si>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</si>
  <si>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</si>
  <si>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</si>
  <si>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</si>
  <si>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</si>
  <si>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</si>
  <si>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</si>
  <si>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</si>
  <si>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</si>
  <si>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</si>
  <si>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</si>
  <si>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</si>
  <si>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</si>
  <si>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</si>
  <si>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</si>
  <si>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</si>
  <si>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</si>
  <si>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</si>
  <si>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</si>
  <si>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</si>
  <si>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</si>
  <si>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</si>
  <si>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</si>
  <si>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</si>
  <si>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</si>
  <si>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</si>
  <si>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</si>
  <si>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</si>
  <si>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</si>
  <si>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</si>
  <si>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</si>
  <si>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</si>
  <si>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</si>
  <si>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</si>
  <si>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</si>
  <si>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</si>
  <si>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</si>
  <si>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</si>
  <si>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</si>
  <si>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</si>
  <si>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</si>
  <si>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</si>
  <si>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</si>
  <si>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</si>
  <si>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</si>
  <si>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</si>
  <si>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</si>
  <si>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</si>
  <si>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</si>
  <si>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</si>
  <si>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</si>
  <si>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</si>
  <si>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</si>
  <si>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</si>
  <si>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</si>
  <si>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</si>
  <si>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</si>
  <si>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</si>
  <si>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</si>
  <si>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</si>
  <si>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</si>
  <si>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</si>
  <si>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</si>
  <si>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</si>
  <si>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</si>
  <si>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</si>
  <si>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</si>
  <si>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</si>
  <si>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</si>
  <si>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</si>
  <si>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</si>
  <si>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</si>
  <si>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</si>
  <si>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</si>
  <si>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</si>
  <si>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</si>
  <si>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</si>
  <si>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</si>
  <si>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</si>
  <si>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</si>
  <si>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</si>
  <si>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</si>
  <si>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</si>
  <si>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</si>
  <si>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</si>
  <si>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</si>
  <si>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</si>
  <si>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</si>
  <si>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</si>
  <si>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</si>
  <si>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</si>
  <si>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</si>
  <si>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</si>
  <si>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</si>
  <si>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</si>
  <si>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</si>
  <si>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</si>
  <si>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</si>
  <si>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</si>
  <si>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</si>
  <si>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</si>
  <si>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</si>
  <si>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</si>
  <si>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</si>
  <si>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</si>
  <si>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</si>
  <si>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</si>
  <si>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</si>
  <si>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</si>
  <si>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</si>
  <si>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</si>
  <si>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</si>
  <si>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</si>
  <si>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</si>
  <si>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</si>
  <si>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</si>
  <si>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</si>
  <si>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</si>
  <si>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</si>
  <si>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</si>
  <si>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</si>
  <si>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</si>
  <si>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</si>
  <si>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</si>
  <si>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</si>
  <si>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</si>
  <si>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</si>
  <si>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</si>
  <si>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</si>
  <si>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</si>
  <si>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</si>
  <si>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</si>
  <si>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</si>
  <si>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</si>
  <si>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</si>
  <si>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</si>
  <si>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</si>
  <si>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</si>
  <si>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</si>
  <si>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</si>
  <si>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</si>
  <si>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</si>
  <si>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</si>
  <si>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</si>
  <si>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</si>
  <si>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</si>
  <si>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</si>
  <si>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</si>
  <si>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</si>
  <si>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</si>
  <si>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</si>
  <si>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</si>
  <si>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</si>
  <si>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</si>
  <si>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</si>
  <si>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</si>
  <si>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</si>
  <si>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</si>
  <si>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</si>
  <si>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</si>
  <si>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</si>
  <si>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</si>
  <si>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</si>
  <si>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</si>
  <si>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</si>
  <si>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</si>
  <si>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</si>
  <si>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</si>
  <si>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</si>
  <si>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</si>
  <si>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</si>
  <si>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</si>
  <si>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</si>
  <si>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</si>
  <si>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</si>
  <si>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</si>
  <si>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</si>
  <si>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</si>
  <si>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</si>
  <si>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</si>
  <si>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</si>
  <si>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</si>
  <si>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</si>
  <si>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</si>
  <si>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</si>
  <si>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</si>
  <si>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</si>
  <si>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</si>
  <si>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</si>
  <si>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</si>
  <si>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</si>
  <si>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</si>
  <si>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</si>
  <si>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</si>
  <si>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</si>
  <si>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</si>
  <si>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</si>
  <si>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</si>
  <si>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</si>
  <si>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</si>
  <si>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</si>
  <si>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</si>
  <si>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</si>
  <si>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</si>
  <si>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</si>
  <si>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</si>
  <si>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</si>
  <si>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</si>
  <si>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</si>
  <si>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</si>
  <si>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</si>
  <si>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</si>
  <si>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</si>
  <si>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</si>
  <si>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</si>
  <si>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</si>
  <si>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</si>
  <si>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</si>
  <si>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</si>
  <si>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</si>
  <si>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</si>
  <si>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</si>
  <si>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</si>
  <si>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</si>
  <si>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</si>
  <si>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</si>
  <si>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</si>
  <si>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</si>
  <si>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</si>
  <si>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</si>
  <si>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</si>
  <si>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</si>
  <si>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</si>
  <si>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</si>
  <si>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</si>
  <si>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</si>
  <si>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</si>
  <si>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</si>
  <si>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</si>
  <si>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</si>
  <si>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</si>
  <si>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</si>
  <si>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</si>
  <si>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</si>
  <si>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</si>
  <si>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</si>
  <si>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</si>
  <si>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</si>
  <si>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</si>
  <si>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</si>
  <si>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</si>
  <si>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</si>
  <si>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</si>
  <si>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</si>
  <si>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</si>
  <si>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</si>
  <si>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</si>
  <si>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</si>
  <si>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</si>
  <si>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</si>
  <si>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</si>
  <si>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</si>
  <si>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</si>
  <si>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</si>
  <si>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</si>
  <si>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</si>
  <si>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</si>
  <si>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</si>
  <si>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</si>
  <si>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</si>
  <si>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</si>
  <si>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</si>
  <si>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</si>
  <si>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</si>
  <si>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</si>
  <si>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</si>
  <si>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</si>
  <si>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</si>
  <si>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</si>
  <si>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</si>
  <si>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</si>
  <si>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</si>
  <si>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</si>
  <si>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</si>
  <si>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</si>
  <si>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</si>
  <si>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</si>
  <si>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</si>
  <si>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</si>
  <si>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</si>
  <si>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</si>
  <si>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</si>
  <si>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</si>
  <si>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</si>
  <si>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</si>
  <si>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</si>
  <si>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</si>
  <si>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</si>
  <si>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</si>
  <si>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</si>
  <si>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</si>
  <si>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</si>
  <si>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</si>
  <si>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</si>
  <si>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</si>
  <si>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</si>
  <si>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</si>
  <si>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</si>
  <si>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</si>
  <si>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</si>
  <si>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</si>
  <si>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</si>
  <si>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</si>
  <si>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</si>
  <si>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</si>
  <si>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</si>
  <si>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</si>
  <si>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</si>
  <si>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</si>
  <si>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</si>
  <si>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</si>
  <si>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</si>
  <si>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</si>
  <si>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</si>
  <si>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</si>
  <si>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</si>
  <si>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</si>
  <si>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</si>
  <si>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</si>
  <si>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</si>
  <si>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</si>
  <si>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</si>
  <si>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</si>
  <si>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</si>
  <si>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</si>
  <si>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</si>
  <si>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</si>
  <si>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</si>
  <si>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</si>
  <si>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</si>
  <si>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</si>
  <si>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</si>
  <si>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</si>
  <si>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</si>
  <si>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</si>
  <si>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</si>
  <si>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</si>
  <si>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</si>
  <si>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</si>
  <si>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</si>
  <si>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</si>
  <si>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</si>
  <si>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</si>
  <si>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</si>
  <si>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</si>
  <si>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</si>
  <si>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</si>
  <si>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</si>
  <si>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</si>
  <si>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</si>
  <si>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</si>
  <si>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</si>
  <si>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</si>
  <si>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</si>
  <si>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</si>
  <si>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</si>
  <si>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</si>
  <si>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</si>
  <si>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</si>
  <si>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</si>
  <si>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</si>
  <si>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</si>
  <si>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</si>
  <si>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</si>
  <si>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</si>
  <si>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</si>
  <si>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</si>
  <si>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</si>
  <si>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</si>
  <si>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</si>
  <si>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</si>
  <si>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</si>
  <si>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</si>
  <si>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</si>
  <si>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</si>
  <si>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</si>
  <si>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</si>
  <si>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</si>
  <si>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</si>
  <si>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</si>
  <si>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</si>
  <si>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</si>
  <si>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</si>
  <si>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</si>
  <si>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</si>
  <si>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</si>
  <si>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</si>
  <si>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</si>
  <si>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</si>
  <si>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</si>
  <si>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</si>
  <si>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</si>
  <si>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</si>
  <si>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</si>
  <si>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</si>
  <si>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</si>
  <si>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</si>
  <si>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</si>
  <si>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</si>
  <si>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</si>
  <si>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</si>
  <si>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</si>
  <si>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</si>
  <si>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</si>
  <si>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</si>
  <si>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</si>
  <si>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</si>
  <si>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</si>
  <si>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</si>
  <si>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</si>
  <si>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</si>
  <si>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</si>
  <si>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</si>
  <si>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</si>
  <si>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</si>
  <si>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</si>
  <si>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</si>
  <si>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</si>
  <si>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</si>
  <si>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</si>
  <si>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</si>
  <si>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</si>
  <si>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</si>
  <si>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</si>
  <si>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</si>
  <si>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</si>
  <si>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</si>
  <si>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</si>
  <si>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</si>
  <si>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</si>
  <si>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</si>
  <si>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</si>
  <si>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</si>
  <si>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</si>
  <si>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</si>
  <si>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</si>
  <si>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</si>
  <si>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</si>
  <si>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</si>
  <si>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</si>
  <si>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</si>
  <si>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</si>
  <si>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</si>
  <si>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</si>
  <si>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</si>
  <si>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</si>
  <si>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</si>
  <si>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</si>
  <si>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</si>
  <si>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</si>
  <si>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</si>
  <si>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</si>
  <si>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</si>
  <si>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</si>
  <si>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</si>
  <si>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</si>
  <si>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</si>
  <si>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</si>
  <si>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</si>
  <si>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</si>
  <si>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</si>
  <si>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</si>
  <si>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</si>
  <si>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</si>
  <si>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</si>
  <si>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</si>
  <si>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</si>
  <si>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</si>
  <si>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</si>
  <si>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</si>
  <si>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</si>
  <si>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</si>
  <si>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</si>
  <si>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</si>
  <si>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</si>
  <si>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</si>
  <si>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</si>
  <si>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</si>
  <si>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</si>
  <si>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</si>
  <si>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</si>
  <si>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</si>
  <si>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</si>
  <si>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</si>
  <si>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</si>
  <si>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</si>
  <si>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</si>
  <si>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</si>
  <si>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</si>
  <si>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</si>
  <si>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</si>
  <si>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</si>
  <si>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</si>
  <si>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</si>
  <si>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</si>
  <si>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</si>
  <si>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</si>
  <si>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</si>
  <si>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</si>
  <si>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</si>
  <si>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</si>
  <si>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</si>
  <si>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</si>
  <si>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</si>
  <si>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</si>
  <si>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</si>
  <si>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</si>
  <si>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</si>
  <si>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</si>
  <si>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</si>
  <si>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</si>
  <si>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</si>
  <si>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</si>
  <si>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</si>
  <si>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</si>
  <si>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</si>
  <si>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</si>
  <si>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</si>
  <si>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</si>
  <si>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</si>
  <si>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</si>
  <si>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</si>
  <si>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</si>
  <si>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</si>
  <si>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</si>
  <si>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</si>
  <si>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</si>
  <si>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</si>
  <si>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</si>
  <si>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</si>
  <si>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</si>
  <si>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</si>
  <si>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</si>
  <si>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</si>
  <si>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</si>
  <si>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</si>
  <si>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</si>
  <si>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</si>
  <si>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</si>
  <si>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</si>
  <si>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</si>
  <si>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</si>
  <si>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</si>
  <si>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</si>
  <si>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</si>
  <si>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</si>
  <si>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</si>
  <si>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</si>
  <si>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</si>
  <si>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</si>
  <si>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</si>
  <si>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</si>
  <si>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</si>
  <si>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</si>
  <si>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</si>
  <si>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</si>
  <si>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</si>
  <si>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</si>
  <si>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</si>
  <si>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</si>
  <si>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</si>
  <si>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</si>
  <si>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</si>
  <si>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</si>
  <si>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</si>
  <si>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</si>
  <si>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</si>
  <si>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</si>
  <si>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</si>
  <si>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</si>
  <si>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</si>
  <si>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</si>
  <si>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</si>
  <si>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</si>
  <si>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</si>
  <si>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</si>
  <si>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</si>
  <si>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</si>
  <si>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</si>
  <si>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</si>
  <si>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</si>
  <si>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</si>
  <si>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</si>
  <si>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</si>
  <si>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</si>
  <si>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</si>
  <si>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</si>
  <si>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</si>
  <si>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</si>
  <si>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</si>
  <si>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</si>
  <si>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</si>
  <si>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</si>
  <si>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</si>
  <si>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</si>
  <si>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</si>
  <si>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</si>
  <si>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</si>
  <si>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</si>
  <si>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</si>
  <si>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</si>
  <si>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</si>
  <si>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</si>
  <si>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GRP. DE MERCADORIA</t>
  </si>
  <si>
    <t>ctxtMARA-MATKL</t>
  </si>
  <si>
    <t>DESCRIÇÃO DO GRP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</si>
</sst>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u/>
      <sz val="10"/>
      <color theme="10"/>
      <name val="Trebuchet MS"/>
      <family val="2"/>
    </font>
    <font>
      <b/>
      <u/>
      <sz val="10"/>
      <color theme="0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4" width="20.7109375" style="6" bestFit="1" customWidth="1"/>
    <col min="5" max="5" width="15" style="6" hidden="1" customWidth="1" outlineLevel="1"/>
    <col min="6" max="6" width="8" style="6" hidden="1" customWidth="1" outlineLevel="1"/>
    <col min="7" max="7" width="12.28515625" style="6" hidden="1" customWidth="1" outlineLevel="1"/>
    <col min="8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C1" s="48"/>
      <c r="D1" s="46"/>
      <c r="AF1" s="52" t="s">
        <v>124</v>
      </c>
      <c r="AG1" s="38"/>
    </row>
    <row r="2" spans="1:33" s="31" customFormat="1" x14ac:dyDescent="0.3">
      <c r="A2" s="7"/>
      <c r="B2" s="30"/>
      <c r="C2" s="48"/>
      <c r="D2" s="4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2"/>
    </row>
    <row r="3" spans="1:33" s="9" customFormat="1" ht="15" customHeight="1" x14ac:dyDescent="0.3">
      <c r="A3" s="7" t="s">
        <v>29</v>
      </c>
      <c r="B3" s="4" t="s">
        <v>94</v>
      </c>
      <c r="C3" s="47" t="s">
        <v>4632</v>
      </c>
      <c r="D3" s="47"/>
      <c r="E3" s="51" t="s">
        <v>152</v>
      </c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13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50" t="s">
        <v>4631</v>
      </c>
      <c r="D4" s="14" t="s">
        <v>4633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3"/>
      <c r="D5" s="49" t="str">
        <f>IFERROR(VLOOKUP(C5,'Listas de Dados'!BO:BP,2,0),"")</f>
        <v/>
      </c>
      <c r="E5" s="33" t="s">
        <v>98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1"/>
    </row>
    <row r="6" spans="1:33" x14ac:dyDescent="0.3">
      <c r="A6" s="7" t="str">
        <f t="shared" ref="A6:A69" si="0">"Execução "&amp;ROW()-4</f>
        <v>Execução 2</v>
      </c>
      <c r="B6" s="32"/>
      <c r="C6" s="33"/>
      <c r="D6" s="49" t="str">
        <f>IFERROR(VLOOKUP(C6,'Listas de Dados'!BO:BP,2,0),"")</f>
        <v/>
      </c>
      <c r="E6" s="33" t="s">
        <v>98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1"/>
    </row>
    <row r="7" spans="1:33" x14ac:dyDescent="0.3">
      <c r="A7" s="7" t="str">
        <f t="shared" si="0"/>
        <v>Execução 3</v>
      </c>
      <c r="B7" s="32"/>
      <c r="C7" s="33"/>
      <c r="D7" s="49" t="str">
        <f>IFERROR(VLOOKUP(C7,'Listas de Dados'!BO:BP,2,0),"")</f>
        <v/>
      </c>
      <c r="E7" s="33" t="s">
        <v>98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1"/>
    </row>
    <row r="8" spans="1:33" x14ac:dyDescent="0.3">
      <c r="A8" s="7" t="str">
        <f t="shared" si="0"/>
        <v>Execução 4</v>
      </c>
      <c r="B8" s="32"/>
      <c r="C8" s="33"/>
      <c r="D8" s="49" t="str">
        <f>IFERROR(VLOOKUP(C8,'Listas de Dados'!BO:BP,2,0),"")</f>
        <v/>
      </c>
      <c r="E8" s="33" t="s">
        <v>98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1"/>
    </row>
    <row r="9" spans="1:33" x14ac:dyDescent="0.3">
      <c r="A9" s="7" t="str">
        <f t="shared" si="0"/>
        <v>Execução 5</v>
      </c>
      <c r="B9" s="32"/>
      <c r="C9" s="33"/>
      <c r="D9" s="49" t="str">
        <f>IFERROR(VLOOKUP(C9,'Listas de Dados'!BO:BP,2,0),"")</f>
        <v/>
      </c>
      <c r="E9" s="33" t="s">
        <v>98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1"/>
    </row>
    <row r="10" spans="1:33" x14ac:dyDescent="0.3">
      <c r="A10" s="7" t="str">
        <f t="shared" si="0"/>
        <v>Execução 6</v>
      </c>
      <c r="B10" s="32"/>
      <c r="C10" s="33"/>
      <c r="D10" s="49" t="str">
        <f>IFERROR(VLOOKUP(C10,'Listas de Dados'!BO:BP,2,0),"")</f>
        <v/>
      </c>
      <c r="E10" s="33" t="s">
        <v>98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1"/>
    </row>
    <row r="11" spans="1:33" x14ac:dyDescent="0.3">
      <c r="A11" s="7" t="str">
        <f t="shared" si="0"/>
        <v>Execução 7</v>
      </c>
      <c r="B11" s="32"/>
      <c r="C11" s="33"/>
      <c r="D11" s="49" t="str">
        <f>IFERROR(VLOOKUP(C11,'Listas de Dados'!BO:BP,2,0),"")</f>
        <v/>
      </c>
      <c r="E11" s="33" t="s">
        <v>98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1"/>
    </row>
    <row r="12" spans="1:33" x14ac:dyDescent="0.3">
      <c r="A12" s="7" t="str">
        <f t="shared" si="0"/>
        <v>Execução 8</v>
      </c>
      <c r="B12" s="32"/>
      <c r="C12" s="33"/>
      <c r="D12" s="49" t="str">
        <f>IFERROR(VLOOKUP(C12,'Listas de Dados'!BO:BP,2,0),"")</f>
        <v/>
      </c>
      <c r="E12" s="33" t="s">
        <v>98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1"/>
    </row>
    <row r="13" spans="1:33" x14ac:dyDescent="0.3">
      <c r="A13" s="7" t="str">
        <f t="shared" si="0"/>
        <v>Execução 9</v>
      </c>
      <c r="B13" s="32"/>
      <c r="C13" s="33"/>
      <c r="D13" s="49" t="str">
        <f>IFERROR(VLOOKUP(C13,'Listas de Dados'!BO:BP,2,0),"")</f>
        <v/>
      </c>
      <c r="E13" s="33" t="s">
        <v>98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1"/>
    </row>
    <row r="14" spans="1:33" x14ac:dyDescent="0.3">
      <c r="A14" s="7" t="str">
        <f t="shared" si="0"/>
        <v>Execução 10</v>
      </c>
      <c r="B14" s="32"/>
      <c r="C14" s="33"/>
      <c r="D14" s="49" t="str">
        <f>IFERROR(VLOOKUP(C14,'Listas de Dados'!BO:BP,2,0),"")</f>
        <v/>
      </c>
      <c r="E14" s="33" t="s">
        <v>98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1"/>
    </row>
    <row r="15" spans="1:33" x14ac:dyDescent="0.3">
      <c r="A15" s="7" t="str">
        <f t="shared" si="0"/>
        <v>Execução 11</v>
      </c>
      <c r="B15" s="32"/>
      <c r="C15" s="33"/>
      <c r="D15" s="49" t="str">
        <f>IFERROR(VLOOKUP(C15,'Listas de Dados'!BO:BP,2,0),"")</f>
        <v/>
      </c>
      <c r="E15" s="33" t="s">
        <v>98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1"/>
    </row>
    <row r="16" spans="1:33" x14ac:dyDescent="0.3">
      <c r="A16" s="7" t="str">
        <f t="shared" si="0"/>
        <v>Execução 12</v>
      </c>
      <c r="B16" s="32"/>
      <c r="C16" s="33"/>
      <c r="D16" s="49" t="str">
        <f>IFERROR(VLOOKUP(C16,'Listas de Dados'!BO:BP,2,0),"")</f>
        <v/>
      </c>
      <c r="E16" s="33" t="s">
        <v>98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1"/>
    </row>
    <row r="17" spans="1:33" x14ac:dyDescent="0.3">
      <c r="A17" s="7" t="str">
        <f t="shared" si="0"/>
        <v>Execução 13</v>
      </c>
      <c r="B17" s="32"/>
      <c r="C17" s="33"/>
      <c r="D17" s="49" t="str">
        <f>IFERROR(VLOOKUP(C17,'Listas de Dados'!BO:BP,2,0),"")</f>
        <v/>
      </c>
      <c r="E17" s="33" t="s">
        <v>98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1"/>
    </row>
    <row r="18" spans="1:33" x14ac:dyDescent="0.3">
      <c r="A18" s="7" t="str">
        <f t="shared" si="0"/>
        <v>Execução 14</v>
      </c>
      <c r="B18" s="32"/>
      <c r="C18" s="33"/>
      <c r="D18" s="49" t="str">
        <f>IFERROR(VLOOKUP(C18,'Listas de Dados'!BO:BP,2,0),"")</f>
        <v/>
      </c>
      <c r="E18" s="33" t="s">
        <v>98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1"/>
    </row>
    <row r="19" spans="1:33" x14ac:dyDescent="0.3">
      <c r="A19" s="7" t="str">
        <f t="shared" si="0"/>
        <v>Execução 15</v>
      </c>
      <c r="B19" s="32"/>
      <c r="C19" s="33"/>
      <c r="D19" s="49" t="str">
        <f>IFERROR(VLOOKUP(C19,'Listas de Dados'!BO:BP,2,0),"")</f>
        <v/>
      </c>
      <c r="E19" s="33" t="s">
        <v>98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1"/>
    </row>
    <row r="20" spans="1:33" x14ac:dyDescent="0.3">
      <c r="A20" s="7" t="str">
        <f t="shared" si="0"/>
        <v>Execução 16</v>
      </c>
      <c r="B20" s="32"/>
      <c r="C20" s="33"/>
      <c r="D20" s="49" t="str">
        <f>IFERROR(VLOOKUP(C20,'Listas de Dados'!BO:BP,2,0),"")</f>
        <v/>
      </c>
      <c r="E20" s="33" t="s">
        <v>98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1"/>
    </row>
    <row r="21" spans="1:33" x14ac:dyDescent="0.3">
      <c r="A21" s="7" t="str">
        <f t="shared" si="0"/>
        <v>Execução 17</v>
      </c>
      <c r="B21" s="32"/>
      <c r="C21" s="33"/>
      <c r="D21" s="49" t="str">
        <f>IFERROR(VLOOKUP(C21,'Listas de Dados'!BO:BP,2,0),"")</f>
        <v/>
      </c>
      <c r="E21" s="33" t="s">
        <v>98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1"/>
    </row>
    <row r="22" spans="1:33" x14ac:dyDescent="0.3">
      <c r="A22" s="7" t="str">
        <f t="shared" si="0"/>
        <v>Execução 18</v>
      </c>
      <c r="B22" s="32"/>
      <c r="C22" s="33"/>
      <c r="D22" s="49" t="str">
        <f>IFERROR(VLOOKUP(C22,'Listas de Dados'!BO:BP,2,0),"")</f>
        <v/>
      </c>
      <c r="E22" s="33" t="s">
        <v>98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1"/>
    </row>
    <row r="23" spans="1:33" x14ac:dyDescent="0.3">
      <c r="A23" s="7" t="str">
        <f t="shared" si="0"/>
        <v>Execução 19</v>
      </c>
      <c r="B23" s="32"/>
      <c r="C23" s="33"/>
      <c r="D23" s="49" t="str">
        <f>IFERROR(VLOOKUP(C23,'Listas de Dados'!BO:BP,2,0),"")</f>
        <v/>
      </c>
      <c r="E23" s="33" t="s">
        <v>98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1"/>
    </row>
    <row r="24" spans="1:33" x14ac:dyDescent="0.3">
      <c r="A24" s="7" t="str">
        <f t="shared" si="0"/>
        <v>Execução 20</v>
      </c>
      <c r="B24" s="32"/>
      <c r="C24" s="33"/>
      <c r="D24" s="49" t="str">
        <f>IFERROR(VLOOKUP(C24,'Listas de Dados'!BO:BP,2,0),"")</f>
        <v/>
      </c>
      <c r="E24" s="33" t="s">
        <v>98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1"/>
    </row>
    <row r="25" spans="1:33" x14ac:dyDescent="0.3">
      <c r="A25" s="7" t="str">
        <f t="shared" si="0"/>
        <v>Execução 21</v>
      </c>
      <c r="B25" s="32"/>
      <c r="C25" s="33"/>
      <c r="D25" s="49" t="str">
        <f>IFERROR(VLOOKUP(C25,'Listas de Dados'!BO:BP,2,0),"")</f>
        <v/>
      </c>
      <c r="E25" s="33" t="s">
        <v>98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1"/>
    </row>
    <row r="26" spans="1:33" x14ac:dyDescent="0.3">
      <c r="A26" s="7" t="str">
        <f t="shared" si="0"/>
        <v>Execução 22</v>
      </c>
      <c r="B26" s="32"/>
      <c r="C26" s="33"/>
      <c r="D26" s="49" t="str">
        <f>IFERROR(VLOOKUP(C26,'Listas de Dados'!BO:BP,2,0),"")</f>
        <v/>
      </c>
      <c r="E26" s="33" t="s">
        <v>98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1"/>
    </row>
    <row r="27" spans="1:33" x14ac:dyDescent="0.3">
      <c r="A27" s="7" t="str">
        <f t="shared" si="0"/>
        <v>Execução 23</v>
      </c>
      <c r="B27" s="32"/>
      <c r="C27" s="33"/>
      <c r="D27" s="49" t="str">
        <f>IFERROR(VLOOKUP(C27,'Listas de Dados'!BO:BP,2,0),"")</f>
        <v/>
      </c>
      <c r="E27" s="33" t="s">
        <v>98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1"/>
    </row>
    <row r="28" spans="1:33" x14ac:dyDescent="0.3">
      <c r="A28" s="7" t="str">
        <f t="shared" si="0"/>
        <v>Execução 24</v>
      </c>
      <c r="B28" s="32"/>
      <c r="C28" s="33"/>
      <c r="D28" s="49" t="str">
        <f>IFERROR(VLOOKUP(C28,'Listas de Dados'!BO:BP,2,0),"")</f>
        <v/>
      </c>
      <c r="E28" s="33" t="s">
        <v>98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1"/>
    </row>
    <row r="29" spans="1:33" x14ac:dyDescent="0.3">
      <c r="A29" s="7" t="str">
        <f t="shared" si="0"/>
        <v>Execução 25</v>
      </c>
      <c r="B29" s="32"/>
      <c r="C29" s="33"/>
      <c r="D29" s="49" t="str">
        <f>IFERROR(VLOOKUP(C29,'Listas de Dados'!BO:BP,2,0),"")</f>
        <v/>
      </c>
      <c r="E29" s="33" t="s">
        <v>98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1"/>
    </row>
    <row r="30" spans="1:33" x14ac:dyDescent="0.3">
      <c r="A30" s="7" t="str">
        <f t="shared" si="0"/>
        <v>Execução 26</v>
      </c>
      <c r="B30" s="32"/>
      <c r="C30" s="33"/>
      <c r="D30" s="49" t="str">
        <f>IFERROR(VLOOKUP(C30,'Listas de Dados'!BO:BP,2,0),"")</f>
        <v/>
      </c>
      <c r="E30" s="33" t="s">
        <v>98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1"/>
    </row>
    <row r="31" spans="1:33" x14ac:dyDescent="0.3">
      <c r="A31" s="7" t="str">
        <f t="shared" si="0"/>
        <v>Execução 27</v>
      </c>
      <c r="B31" s="32"/>
      <c r="C31" s="33"/>
      <c r="D31" s="49" t="str">
        <f>IFERROR(VLOOKUP(C31,'Listas de Dados'!BO:BP,2,0),"")</f>
        <v/>
      </c>
      <c r="E31" s="33" t="s">
        <v>98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1"/>
    </row>
    <row r="32" spans="1:33" x14ac:dyDescent="0.3">
      <c r="A32" s="7" t="str">
        <f t="shared" si="0"/>
        <v>Execução 28</v>
      </c>
      <c r="B32" s="32"/>
      <c r="C32" s="33"/>
      <c r="D32" s="49" t="str">
        <f>IFERROR(VLOOKUP(C32,'Listas de Dados'!BO:BP,2,0),"")</f>
        <v/>
      </c>
      <c r="E32" s="33" t="s">
        <v>98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1"/>
    </row>
    <row r="33" spans="1:33" x14ac:dyDescent="0.3">
      <c r="A33" s="7" t="str">
        <f t="shared" si="0"/>
        <v>Execução 29</v>
      </c>
      <c r="B33" s="32"/>
      <c r="C33" s="33"/>
      <c r="D33" s="49" t="str">
        <f>IFERROR(VLOOKUP(C33,'Listas de Dados'!BO:BP,2,0),"")</f>
        <v/>
      </c>
      <c r="E33" s="33" t="s">
        <v>98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1"/>
    </row>
    <row r="34" spans="1:33" x14ac:dyDescent="0.3">
      <c r="A34" s="7" t="str">
        <f t="shared" si="0"/>
        <v>Execução 30</v>
      </c>
      <c r="B34" s="32"/>
      <c r="C34" s="33"/>
      <c r="D34" s="49" t="str">
        <f>IFERROR(VLOOKUP(C34,'Listas de Dados'!BO:BP,2,0),"")</f>
        <v/>
      </c>
      <c r="E34" s="33" t="s">
        <v>98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1"/>
    </row>
    <row r="35" spans="1:33" x14ac:dyDescent="0.3">
      <c r="A35" s="7" t="str">
        <f t="shared" si="0"/>
        <v>Execução 31</v>
      </c>
      <c r="B35" s="32"/>
      <c r="C35" s="33"/>
      <c r="D35" s="49" t="str">
        <f>IFERROR(VLOOKUP(C35,'Listas de Dados'!BO:BP,2,0),"")</f>
        <v/>
      </c>
      <c r="E35" s="33" t="s">
        <v>98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1"/>
    </row>
    <row r="36" spans="1:33" x14ac:dyDescent="0.3">
      <c r="A36" s="7" t="str">
        <f t="shared" si="0"/>
        <v>Execução 32</v>
      </c>
      <c r="B36" s="32"/>
      <c r="C36" s="33"/>
      <c r="D36" s="49" t="str">
        <f>IFERROR(VLOOKUP(C36,'Listas de Dados'!BO:BP,2,0),"")</f>
        <v/>
      </c>
      <c r="E36" s="33" t="s">
        <v>98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1"/>
    </row>
    <row r="37" spans="1:33" x14ac:dyDescent="0.3">
      <c r="A37" s="7" t="str">
        <f t="shared" si="0"/>
        <v>Execução 33</v>
      </c>
      <c r="B37" s="32"/>
      <c r="C37" s="33"/>
      <c r="D37" s="49" t="str">
        <f>IFERROR(VLOOKUP(C37,'Listas de Dados'!BO:BP,2,0),"")</f>
        <v/>
      </c>
      <c r="E37" s="33" t="s">
        <v>98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1"/>
    </row>
    <row r="38" spans="1:33" x14ac:dyDescent="0.3">
      <c r="A38" s="7" t="str">
        <f t="shared" si="0"/>
        <v>Execução 34</v>
      </c>
      <c r="B38" s="32"/>
      <c r="C38" s="33"/>
      <c r="D38" s="49" t="str">
        <f>IFERROR(VLOOKUP(C38,'Listas de Dados'!BO:BP,2,0),"")</f>
        <v/>
      </c>
      <c r="E38" s="33" t="s">
        <v>98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1"/>
    </row>
    <row r="39" spans="1:33" x14ac:dyDescent="0.3">
      <c r="A39" s="7" t="str">
        <f t="shared" si="0"/>
        <v>Execução 35</v>
      </c>
      <c r="B39" s="32"/>
      <c r="C39" s="33"/>
      <c r="D39" s="49" t="str">
        <f>IFERROR(VLOOKUP(C39,'Listas de Dados'!BO:BP,2,0),"")</f>
        <v/>
      </c>
      <c r="E39" s="33" t="s">
        <v>98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1"/>
    </row>
    <row r="40" spans="1:33" x14ac:dyDescent="0.3">
      <c r="A40" s="7" t="str">
        <f t="shared" si="0"/>
        <v>Execução 36</v>
      </c>
      <c r="B40" s="32"/>
      <c r="C40" s="33"/>
      <c r="D40" s="49" t="str">
        <f>IFERROR(VLOOKUP(C40,'Listas de Dados'!BO:BP,2,0),"")</f>
        <v/>
      </c>
      <c r="E40" s="33" t="s">
        <v>98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1"/>
    </row>
    <row r="41" spans="1:33" x14ac:dyDescent="0.3">
      <c r="A41" s="7" t="str">
        <f t="shared" si="0"/>
        <v>Execução 37</v>
      </c>
      <c r="B41" s="32"/>
      <c r="C41" s="33"/>
      <c r="D41" s="49" t="str">
        <f>IFERROR(VLOOKUP(C41,'Listas de Dados'!BO:BP,2,0),"")</f>
        <v/>
      </c>
      <c r="E41" s="33" t="s">
        <v>98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1"/>
    </row>
    <row r="42" spans="1:33" x14ac:dyDescent="0.3">
      <c r="A42" s="7" t="str">
        <f t="shared" si="0"/>
        <v>Execução 38</v>
      </c>
      <c r="B42" s="32"/>
      <c r="C42" s="33"/>
      <c r="D42" s="49" t="str">
        <f>IFERROR(VLOOKUP(C42,'Listas de Dados'!BO:BP,2,0),"")</f>
        <v/>
      </c>
      <c r="E42" s="33" t="s">
        <v>98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1"/>
    </row>
    <row r="43" spans="1:33" x14ac:dyDescent="0.3">
      <c r="A43" s="7" t="str">
        <f t="shared" si="0"/>
        <v>Execução 39</v>
      </c>
      <c r="B43" s="32"/>
      <c r="C43" s="33"/>
      <c r="D43" s="49" t="str">
        <f>IFERROR(VLOOKUP(C43,'Listas de Dados'!BO:BP,2,0),"")</f>
        <v/>
      </c>
      <c r="E43" s="33" t="s">
        <v>98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1"/>
    </row>
    <row r="44" spans="1:33" x14ac:dyDescent="0.3">
      <c r="A44" s="7" t="str">
        <f t="shared" si="0"/>
        <v>Execução 40</v>
      </c>
      <c r="B44" s="32"/>
      <c r="C44" s="33"/>
      <c r="D44" s="49" t="str">
        <f>IFERROR(VLOOKUP(C44,'Listas de Dados'!BO:BP,2,0),"")</f>
        <v/>
      </c>
      <c r="E44" s="33" t="s">
        <v>98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1"/>
    </row>
    <row r="45" spans="1:33" x14ac:dyDescent="0.3">
      <c r="A45" s="7" t="str">
        <f t="shared" si="0"/>
        <v>Execução 41</v>
      </c>
      <c r="B45" s="32"/>
      <c r="C45" s="33"/>
      <c r="D45" s="49" t="str">
        <f>IFERROR(VLOOKUP(C45,'Listas de Dados'!BO:BP,2,0),"")</f>
        <v/>
      </c>
      <c r="E45" s="33" t="s">
        <v>98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1"/>
    </row>
    <row r="46" spans="1:33" x14ac:dyDescent="0.3">
      <c r="A46" s="7" t="str">
        <f t="shared" si="0"/>
        <v>Execução 42</v>
      </c>
      <c r="B46" s="32"/>
      <c r="C46" s="33"/>
      <c r="D46" s="49" t="str">
        <f>IFERROR(VLOOKUP(C46,'Listas de Dados'!BO:BP,2,0),"")</f>
        <v/>
      </c>
      <c r="E46" s="33" t="s">
        <v>98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1"/>
    </row>
    <row r="47" spans="1:33" x14ac:dyDescent="0.3">
      <c r="A47" s="7" t="str">
        <f t="shared" si="0"/>
        <v>Execução 43</v>
      </c>
      <c r="B47" s="32"/>
      <c r="C47" s="33"/>
      <c r="D47" s="49" t="str">
        <f>IFERROR(VLOOKUP(C47,'Listas de Dados'!BO:BP,2,0),"")</f>
        <v/>
      </c>
      <c r="E47" s="33" t="s">
        <v>98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1"/>
    </row>
    <row r="48" spans="1:33" x14ac:dyDescent="0.3">
      <c r="A48" s="7" t="str">
        <f t="shared" si="0"/>
        <v>Execução 44</v>
      </c>
      <c r="B48" s="32"/>
      <c r="C48" s="33"/>
      <c r="D48" s="49" t="str">
        <f>IFERROR(VLOOKUP(C48,'Listas de Dados'!BO:BP,2,0),"")</f>
        <v/>
      </c>
      <c r="E48" s="33" t="s">
        <v>98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1"/>
    </row>
    <row r="49" spans="1:33" x14ac:dyDescent="0.3">
      <c r="A49" s="7" t="str">
        <f t="shared" si="0"/>
        <v>Execução 45</v>
      </c>
      <c r="B49" s="32"/>
      <c r="C49" s="33"/>
      <c r="D49" s="49" t="str">
        <f>IFERROR(VLOOKUP(C49,'Listas de Dados'!BO:BP,2,0),"")</f>
        <v/>
      </c>
      <c r="E49" s="33" t="s">
        <v>98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1"/>
    </row>
    <row r="50" spans="1:33" x14ac:dyDescent="0.3">
      <c r="A50" s="7" t="str">
        <f t="shared" si="0"/>
        <v>Execução 46</v>
      </c>
      <c r="B50" s="32"/>
      <c r="C50" s="33"/>
      <c r="D50" s="49" t="str">
        <f>IFERROR(VLOOKUP(C50,'Listas de Dados'!BO:BP,2,0),"")</f>
        <v/>
      </c>
      <c r="E50" s="33" t="s">
        <v>98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1"/>
    </row>
    <row r="51" spans="1:33" x14ac:dyDescent="0.3">
      <c r="A51" s="7" t="str">
        <f t="shared" si="0"/>
        <v>Execução 47</v>
      </c>
      <c r="B51" s="32"/>
      <c r="C51" s="33"/>
      <c r="D51" s="49" t="str">
        <f>IFERROR(VLOOKUP(C51,'Listas de Dados'!BO:BP,2,0),"")</f>
        <v/>
      </c>
      <c r="E51" s="33" t="s">
        <v>98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1"/>
    </row>
    <row r="52" spans="1:33" x14ac:dyDescent="0.3">
      <c r="A52" s="7" t="str">
        <f t="shared" si="0"/>
        <v>Execução 48</v>
      </c>
      <c r="B52" s="32"/>
      <c r="C52" s="33"/>
      <c r="D52" s="49" t="str">
        <f>IFERROR(VLOOKUP(C52,'Listas de Dados'!BO:BP,2,0),"")</f>
        <v/>
      </c>
      <c r="E52" s="33" t="s">
        <v>98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1"/>
    </row>
    <row r="53" spans="1:33" x14ac:dyDescent="0.3">
      <c r="A53" s="7" t="str">
        <f t="shared" si="0"/>
        <v>Execução 49</v>
      </c>
      <c r="B53" s="32"/>
      <c r="C53" s="33"/>
      <c r="D53" s="49" t="str">
        <f>IFERROR(VLOOKUP(C53,'Listas de Dados'!BO:BP,2,0),"")</f>
        <v/>
      </c>
      <c r="E53" s="33" t="s">
        <v>98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2"/>
    </row>
    <row r="54" spans="1:33" x14ac:dyDescent="0.3">
      <c r="A54" s="7" t="str">
        <f t="shared" si="0"/>
        <v>Execução 50</v>
      </c>
      <c r="B54" s="32"/>
      <c r="C54" s="33"/>
      <c r="D54" s="49" t="str">
        <f>IFERROR(VLOOKUP(C54,'Listas de Dados'!BO:BP,2,0),"")</f>
        <v/>
      </c>
      <c r="E54" s="33" t="s">
        <v>98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2"/>
    </row>
    <row r="55" spans="1:33" x14ac:dyDescent="0.3">
      <c r="A55" s="7" t="str">
        <f t="shared" si="0"/>
        <v>Execução 51</v>
      </c>
      <c r="B55" s="32"/>
      <c r="C55" s="33"/>
      <c r="D55" s="49" t="str">
        <f>IFERROR(VLOOKUP(C55,'Listas de Dados'!BO:BP,2,0),"")</f>
        <v/>
      </c>
      <c r="E55" s="33" t="s">
        <v>98</v>
      </c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G55" s="42"/>
    </row>
    <row r="56" spans="1:33" x14ac:dyDescent="0.3">
      <c r="A56" s="7" t="str">
        <f t="shared" si="0"/>
        <v>Execução 52</v>
      </c>
      <c r="B56" s="32"/>
      <c r="C56" s="33"/>
      <c r="D56" s="49" t="str">
        <f>IFERROR(VLOOKUP(C56,'Listas de Dados'!BO:BP,2,0),"")</f>
        <v/>
      </c>
      <c r="E56" s="33" t="s">
        <v>98</v>
      </c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G56" s="42"/>
    </row>
    <row r="57" spans="1:33" x14ac:dyDescent="0.3">
      <c r="A57" s="7" t="str">
        <f t="shared" si="0"/>
        <v>Execução 53</v>
      </c>
      <c r="B57" s="32"/>
      <c r="C57" s="33"/>
      <c r="D57" s="49" t="str">
        <f>IFERROR(VLOOKUP(C57,'Listas de Dados'!BO:BP,2,0),"")</f>
        <v/>
      </c>
      <c r="E57" s="33" t="s">
        <v>98</v>
      </c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G57" s="42"/>
    </row>
    <row r="58" spans="1:33" x14ac:dyDescent="0.3">
      <c r="A58" s="7" t="str">
        <f t="shared" si="0"/>
        <v>Execução 54</v>
      </c>
      <c r="B58" s="32"/>
      <c r="C58" s="33"/>
      <c r="D58" s="49" t="str">
        <f>IFERROR(VLOOKUP(C58,'Listas de Dados'!BO:BP,2,0),"")</f>
        <v/>
      </c>
      <c r="E58" s="33" t="s">
        <v>98</v>
      </c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G58" s="42"/>
    </row>
    <row r="59" spans="1:33" x14ac:dyDescent="0.3">
      <c r="A59" s="7" t="str">
        <f t="shared" si="0"/>
        <v>Execução 55</v>
      </c>
      <c r="B59" s="32"/>
      <c r="C59" s="33"/>
      <c r="D59" s="49" t="str">
        <f>IFERROR(VLOOKUP(C59,'Listas de Dados'!BO:BP,2,0),"")</f>
        <v/>
      </c>
      <c r="E59" s="33" t="s">
        <v>98</v>
      </c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G59" s="42"/>
    </row>
    <row r="60" spans="1:33" x14ac:dyDescent="0.3">
      <c r="A60" s="7" t="str">
        <f t="shared" si="0"/>
        <v>Execução 56</v>
      </c>
      <c r="B60" s="32"/>
      <c r="C60" s="33"/>
      <c r="D60" s="49" t="str">
        <f>IFERROR(VLOOKUP(C60,'Listas de Dados'!BO:BP,2,0),"")</f>
        <v/>
      </c>
      <c r="E60" s="33" t="s">
        <v>98</v>
      </c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G60" s="42"/>
    </row>
    <row r="61" spans="1:33" x14ac:dyDescent="0.3">
      <c r="A61" s="7" t="str">
        <f t="shared" si="0"/>
        <v>Execução 57</v>
      </c>
      <c r="B61" s="32"/>
      <c r="C61" s="33"/>
      <c r="D61" s="49" t="str">
        <f>IFERROR(VLOOKUP(C61,'Listas de Dados'!BO:BP,2,0),"")</f>
        <v/>
      </c>
      <c r="E61" s="33" t="s">
        <v>98</v>
      </c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G61" s="42"/>
    </row>
    <row r="62" spans="1:33" x14ac:dyDescent="0.3">
      <c r="A62" s="7" t="str">
        <f t="shared" si="0"/>
        <v>Execução 58</v>
      </c>
      <c r="B62" s="32"/>
      <c r="C62" s="33"/>
      <c r="D62" s="49" t="str">
        <f>IFERROR(VLOOKUP(C62,'Listas de Dados'!BO:BP,2,0),"")</f>
        <v/>
      </c>
      <c r="E62" s="33" t="s">
        <v>98</v>
      </c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G62" s="42"/>
    </row>
    <row r="63" spans="1:33" x14ac:dyDescent="0.3">
      <c r="A63" s="7" t="str">
        <f t="shared" si="0"/>
        <v>Execução 59</v>
      </c>
      <c r="B63" s="32"/>
      <c r="C63" s="33"/>
      <c r="D63" s="49" t="str">
        <f>IFERROR(VLOOKUP(C63,'Listas de Dados'!BO:BP,2,0),"")</f>
        <v/>
      </c>
      <c r="E63" s="33" t="s">
        <v>98</v>
      </c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G63" s="42"/>
    </row>
    <row r="64" spans="1:33" x14ac:dyDescent="0.3">
      <c r="A64" s="7" t="str">
        <f t="shared" si="0"/>
        <v>Execução 60</v>
      </c>
      <c r="B64" s="32"/>
      <c r="C64" s="33"/>
      <c r="D64" s="49" t="str">
        <f>IFERROR(VLOOKUP(C64,'Listas de Dados'!BO:BP,2,0),"")</f>
        <v/>
      </c>
      <c r="E64" s="33" t="s">
        <v>98</v>
      </c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G64" s="42"/>
    </row>
    <row r="65" spans="1:33" x14ac:dyDescent="0.3">
      <c r="A65" s="7" t="str">
        <f t="shared" si="0"/>
        <v>Execução 61</v>
      </c>
      <c r="B65" s="32"/>
      <c r="C65" s="33"/>
      <c r="D65" s="49" t="str">
        <f>IFERROR(VLOOKUP(C65,'Listas de Dados'!BO:BP,2,0),"")</f>
        <v/>
      </c>
      <c r="E65" s="33" t="s">
        <v>98</v>
      </c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G65" s="42"/>
    </row>
    <row r="66" spans="1:33" x14ac:dyDescent="0.3">
      <c r="A66" s="7" t="str">
        <f t="shared" si="0"/>
        <v>Execução 62</v>
      </c>
      <c r="B66" s="32"/>
      <c r="C66" s="33"/>
      <c r="D66" s="49" t="str">
        <f>IFERROR(VLOOKUP(C66,'Listas de Dados'!BO:BP,2,0),"")</f>
        <v/>
      </c>
      <c r="E66" s="33" t="s">
        <v>98</v>
      </c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G66" s="42"/>
    </row>
    <row r="67" spans="1:33" x14ac:dyDescent="0.3">
      <c r="A67" s="7" t="str">
        <f t="shared" si="0"/>
        <v>Execução 63</v>
      </c>
      <c r="B67" s="32"/>
      <c r="C67" s="33"/>
      <c r="D67" s="49" t="str">
        <f>IFERROR(VLOOKUP(C67,'Listas de Dados'!BO:BP,2,0),"")</f>
        <v/>
      </c>
      <c r="E67" s="33" t="s">
        <v>98</v>
      </c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G67" s="42"/>
    </row>
    <row r="68" spans="1:33" x14ac:dyDescent="0.3">
      <c r="A68" s="7" t="str">
        <f t="shared" si="0"/>
        <v>Execução 64</v>
      </c>
      <c r="B68" s="32"/>
      <c r="C68" s="33"/>
      <c r="D68" s="49" t="str">
        <f>IFERROR(VLOOKUP(C68,'Listas de Dados'!BO:BP,2,0),"")</f>
        <v/>
      </c>
      <c r="E68" s="33" t="s">
        <v>98</v>
      </c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G68" s="42"/>
    </row>
    <row r="69" spans="1:33" x14ac:dyDescent="0.3">
      <c r="A69" s="7" t="str">
        <f t="shared" si="0"/>
        <v>Execução 65</v>
      </c>
      <c r="B69" s="32"/>
      <c r="C69" s="33"/>
      <c r="D69" s="49" t="str">
        <f>IFERROR(VLOOKUP(C69,'Listas de Dados'!BO:BP,2,0),"")</f>
        <v/>
      </c>
      <c r="E69" s="33" t="s">
        <v>98</v>
      </c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G69" s="42"/>
    </row>
    <row r="70" spans="1:33" x14ac:dyDescent="0.3">
      <c r="A70" s="7" t="str">
        <f t="shared" ref="A70:A107" si="1">"Execução "&amp;ROW()-4</f>
        <v>Execução 66</v>
      </c>
      <c r="B70" s="32"/>
      <c r="C70" s="33"/>
      <c r="D70" s="49" t="str">
        <f>IFERROR(VLOOKUP(C70,'Listas de Dados'!BO:BP,2,0),"")</f>
        <v/>
      </c>
      <c r="E70" s="33" t="s">
        <v>98</v>
      </c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G70" s="42"/>
    </row>
    <row r="71" spans="1:33" x14ac:dyDescent="0.3">
      <c r="A71" s="7" t="str">
        <f t="shared" si="1"/>
        <v>Execução 67</v>
      </c>
      <c r="B71" s="32"/>
      <c r="C71" s="33"/>
      <c r="D71" s="49" t="str">
        <f>IFERROR(VLOOKUP(C71,'Listas de Dados'!BO:BP,2,0),"")</f>
        <v/>
      </c>
      <c r="E71" s="33" t="s">
        <v>98</v>
      </c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G71" s="42"/>
    </row>
    <row r="72" spans="1:33" x14ac:dyDescent="0.3">
      <c r="A72" s="7" t="str">
        <f t="shared" si="1"/>
        <v>Execução 68</v>
      </c>
      <c r="B72" s="32"/>
      <c r="C72" s="33"/>
      <c r="D72" s="49" t="str">
        <f>IFERROR(VLOOKUP(C72,'Listas de Dados'!BO:BP,2,0),"")</f>
        <v/>
      </c>
      <c r="E72" s="33" t="s">
        <v>98</v>
      </c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G72" s="42"/>
    </row>
    <row r="73" spans="1:33" x14ac:dyDescent="0.3">
      <c r="A73" s="7" t="str">
        <f t="shared" si="1"/>
        <v>Execução 69</v>
      </c>
      <c r="B73" s="32"/>
      <c r="C73" s="33"/>
      <c r="D73" s="49" t="str">
        <f>IFERROR(VLOOKUP(C73,'Listas de Dados'!BO:BP,2,0),"")</f>
        <v/>
      </c>
      <c r="E73" s="33" t="s">
        <v>98</v>
      </c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G73" s="42"/>
    </row>
    <row r="74" spans="1:33" x14ac:dyDescent="0.3">
      <c r="A74" s="7" t="str">
        <f t="shared" si="1"/>
        <v>Execução 70</v>
      </c>
      <c r="B74" s="32"/>
      <c r="C74" s="33"/>
      <c r="D74" s="49" t="str">
        <f>IFERROR(VLOOKUP(C74,'Listas de Dados'!BO:BP,2,0),"")</f>
        <v/>
      </c>
      <c r="E74" s="33" t="s">
        <v>98</v>
      </c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G74" s="42"/>
    </row>
    <row r="75" spans="1:33" x14ac:dyDescent="0.3">
      <c r="A75" s="7" t="str">
        <f t="shared" si="1"/>
        <v>Execução 71</v>
      </c>
      <c r="B75" s="32"/>
      <c r="C75" s="33"/>
      <c r="D75" s="49" t="str">
        <f>IFERROR(VLOOKUP(C75,'Listas de Dados'!BO:BP,2,0),"")</f>
        <v/>
      </c>
      <c r="E75" s="33" t="s">
        <v>98</v>
      </c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G75" s="42"/>
    </row>
    <row r="76" spans="1:33" x14ac:dyDescent="0.3">
      <c r="A76" s="7" t="str">
        <f t="shared" si="1"/>
        <v>Execução 72</v>
      </c>
      <c r="B76" s="32"/>
      <c r="C76" s="33"/>
      <c r="D76" s="49" t="str">
        <f>IFERROR(VLOOKUP(C76,'Listas de Dados'!BO:BP,2,0),"")</f>
        <v/>
      </c>
      <c r="E76" s="33" t="s">
        <v>98</v>
      </c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G76" s="42"/>
    </row>
    <row r="77" spans="1:33" x14ac:dyDescent="0.3">
      <c r="A77" s="7" t="str">
        <f t="shared" si="1"/>
        <v>Execução 73</v>
      </c>
      <c r="B77" s="32"/>
      <c r="C77" s="33"/>
      <c r="D77" s="49" t="str">
        <f>IFERROR(VLOOKUP(C77,'Listas de Dados'!BO:BP,2,0),"")</f>
        <v/>
      </c>
      <c r="E77" s="33" t="s">
        <v>98</v>
      </c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G77" s="42"/>
    </row>
    <row r="78" spans="1:33" x14ac:dyDescent="0.3">
      <c r="A78" s="7" t="str">
        <f t="shared" si="1"/>
        <v>Execução 74</v>
      </c>
      <c r="B78" s="32"/>
      <c r="C78" s="33"/>
      <c r="D78" s="49" t="str">
        <f>IFERROR(VLOOKUP(C78,'Listas de Dados'!BO:BP,2,0),"")</f>
        <v/>
      </c>
      <c r="E78" s="33" t="s">
        <v>98</v>
      </c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G78" s="42"/>
    </row>
    <row r="79" spans="1:33" x14ac:dyDescent="0.3">
      <c r="A79" s="7" t="str">
        <f t="shared" si="1"/>
        <v>Execução 75</v>
      </c>
      <c r="B79" s="32"/>
      <c r="C79" s="33"/>
      <c r="D79" s="49" t="str">
        <f>IFERROR(VLOOKUP(C79,'Listas de Dados'!BO:BP,2,0),"")</f>
        <v/>
      </c>
      <c r="E79" s="33" t="s">
        <v>98</v>
      </c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G79" s="42"/>
    </row>
    <row r="80" spans="1:33" x14ac:dyDescent="0.3">
      <c r="A80" s="7" t="str">
        <f t="shared" si="1"/>
        <v>Execução 76</v>
      </c>
      <c r="B80" s="32"/>
      <c r="C80" s="33"/>
      <c r="D80" s="49" t="str">
        <f>IFERROR(VLOOKUP(C80,'Listas de Dados'!BO:BP,2,0),"")</f>
        <v/>
      </c>
      <c r="E80" s="33" t="s">
        <v>98</v>
      </c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G80" s="42"/>
    </row>
    <row r="81" spans="1:33" x14ac:dyDescent="0.3">
      <c r="A81" s="7" t="str">
        <f t="shared" si="1"/>
        <v>Execução 77</v>
      </c>
      <c r="B81" s="32"/>
      <c r="C81" s="33"/>
      <c r="D81" s="49" t="str">
        <f>IFERROR(VLOOKUP(C81,'Listas de Dados'!BO:BP,2,0),"")</f>
        <v/>
      </c>
      <c r="E81" s="33" t="s">
        <v>98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G81" s="42"/>
    </row>
    <row r="82" spans="1:33" x14ac:dyDescent="0.3">
      <c r="A82" s="7" t="str">
        <f t="shared" si="1"/>
        <v>Execução 78</v>
      </c>
      <c r="B82" s="32"/>
      <c r="C82" s="33"/>
      <c r="D82" s="49" t="str">
        <f>IFERROR(VLOOKUP(C82,'Listas de Dados'!BO:BP,2,0),"")</f>
        <v/>
      </c>
      <c r="E82" s="33" t="s">
        <v>98</v>
      </c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G82" s="42"/>
    </row>
    <row r="83" spans="1:33" x14ac:dyDescent="0.3">
      <c r="A83" s="7" t="str">
        <f t="shared" si="1"/>
        <v>Execução 79</v>
      </c>
      <c r="B83" s="32"/>
      <c r="C83" s="33"/>
      <c r="D83" s="49" t="str">
        <f>IFERROR(VLOOKUP(C83,'Listas de Dados'!BO:BP,2,0),"")</f>
        <v/>
      </c>
      <c r="E83" s="33" t="s">
        <v>98</v>
      </c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G83" s="42"/>
    </row>
    <row r="84" spans="1:33" x14ac:dyDescent="0.3">
      <c r="A84" s="7" t="str">
        <f t="shared" si="1"/>
        <v>Execução 80</v>
      </c>
      <c r="B84" s="32"/>
      <c r="C84" s="33"/>
      <c r="D84" s="49" t="str">
        <f>IFERROR(VLOOKUP(C84,'Listas de Dados'!BO:BP,2,0),"")</f>
        <v/>
      </c>
      <c r="E84" s="33" t="s">
        <v>98</v>
      </c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G84" s="42"/>
    </row>
    <row r="85" spans="1:33" x14ac:dyDescent="0.3">
      <c r="A85" s="7" t="str">
        <f t="shared" si="1"/>
        <v>Execução 81</v>
      </c>
      <c r="B85" s="32"/>
      <c r="C85" s="33"/>
      <c r="D85" s="49" t="str">
        <f>IFERROR(VLOOKUP(C85,'Listas de Dados'!BO:BP,2,0),"")</f>
        <v/>
      </c>
      <c r="E85" s="33" t="s">
        <v>98</v>
      </c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G85" s="42"/>
    </row>
    <row r="86" spans="1:33" x14ac:dyDescent="0.3">
      <c r="A86" s="7" t="str">
        <f t="shared" si="1"/>
        <v>Execução 82</v>
      </c>
      <c r="B86" s="32"/>
      <c r="C86" s="33"/>
      <c r="D86" s="49" t="str">
        <f>IFERROR(VLOOKUP(C86,'Listas de Dados'!BO:BP,2,0),"")</f>
        <v/>
      </c>
      <c r="E86" s="33" t="s">
        <v>98</v>
      </c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G86" s="42"/>
    </row>
    <row r="87" spans="1:33" x14ac:dyDescent="0.3">
      <c r="A87" s="7" t="str">
        <f t="shared" si="1"/>
        <v>Execução 83</v>
      </c>
      <c r="B87" s="32"/>
      <c r="C87" s="33"/>
      <c r="D87" s="49" t="str">
        <f>IFERROR(VLOOKUP(C87,'Listas de Dados'!BO:BP,2,0),"")</f>
        <v/>
      </c>
      <c r="E87" s="33" t="s">
        <v>98</v>
      </c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G87" s="42"/>
    </row>
    <row r="88" spans="1:33" x14ac:dyDescent="0.3">
      <c r="A88" s="7" t="str">
        <f t="shared" si="1"/>
        <v>Execução 84</v>
      </c>
      <c r="B88" s="32"/>
      <c r="C88" s="33"/>
      <c r="D88" s="49" t="str">
        <f>IFERROR(VLOOKUP(C88,'Listas de Dados'!BO:BP,2,0),"")</f>
        <v/>
      </c>
      <c r="E88" s="33" t="s">
        <v>98</v>
      </c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G88" s="42"/>
    </row>
    <row r="89" spans="1:33" x14ac:dyDescent="0.3">
      <c r="A89" s="7" t="str">
        <f t="shared" si="1"/>
        <v>Execução 85</v>
      </c>
      <c r="B89" s="32"/>
      <c r="C89" s="33"/>
      <c r="D89" s="49" t="str">
        <f>IFERROR(VLOOKUP(C89,'Listas de Dados'!BO:BP,2,0),"")</f>
        <v/>
      </c>
      <c r="E89" s="33" t="s">
        <v>98</v>
      </c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G89" s="42"/>
    </row>
    <row r="90" spans="1:33" x14ac:dyDescent="0.3">
      <c r="A90" s="7" t="str">
        <f t="shared" si="1"/>
        <v>Execução 86</v>
      </c>
      <c r="B90" s="32"/>
      <c r="C90" s="33"/>
      <c r="D90" s="49" t="str">
        <f>IFERROR(VLOOKUP(C90,'Listas de Dados'!BO:BP,2,0),"")</f>
        <v/>
      </c>
      <c r="E90" s="33" t="s">
        <v>98</v>
      </c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G90" s="42"/>
    </row>
    <row r="91" spans="1:33" x14ac:dyDescent="0.3">
      <c r="A91" s="7" t="str">
        <f t="shared" si="1"/>
        <v>Execução 87</v>
      </c>
      <c r="B91" s="32"/>
      <c r="C91" s="33"/>
      <c r="D91" s="49" t="str">
        <f>IFERROR(VLOOKUP(C91,'Listas de Dados'!BO:BP,2,0),"")</f>
        <v/>
      </c>
      <c r="E91" s="33" t="s">
        <v>98</v>
      </c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G91" s="42"/>
    </row>
    <row r="92" spans="1:33" x14ac:dyDescent="0.3">
      <c r="A92" s="7" t="str">
        <f t="shared" si="1"/>
        <v>Execução 88</v>
      </c>
      <c r="B92" s="32"/>
      <c r="C92" s="33"/>
      <c r="D92" s="49" t="str">
        <f>IFERROR(VLOOKUP(C92,'Listas de Dados'!BO:BP,2,0),"")</f>
        <v/>
      </c>
      <c r="E92" s="33" t="s">
        <v>98</v>
      </c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G92" s="42"/>
    </row>
    <row r="93" spans="1:33" x14ac:dyDescent="0.3">
      <c r="A93" s="7" t="str">
        <f t="shared" si="1"/>
        <v>Execução 89</v>
      </c>
      <c r="B93" s="32"/>
      <c r="C93" s="33"/>
      <c r="D93" s="49" t="str">
        <f>IFERROR(VLOOKUP(C93,'Listas de Dados'!BO:BP,2,0),"")</f>
        <v/>
      </c>
      <c r="E93" s="33" t="s">
        <v>98</v>
      </c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G93" s="42"/>
    </row>
    <row r="94" spans="1:33" x14ac:dyDescent="0.3">
      <c r="A94" s="7" t="str">
        <f t="shared" si="1"/>
        <v>Execução 90</v>
      </c>
      <c r="B94" s="32"/>
      <c r="C94" s="33"/>
      <c r="D94" s="49" t="str">
        <f>IFERROR(VLOOKUP(C94,'Listas de Dados'!BO:BP,2,0),"")</f>
        <v/>
      </c>
      <c r="E94" s="33" t="s">
        <v>98</v>
      </c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G94" s="42"/>
    </row>
    <row r="95" spans="1:33" x14ac:dyDescent="0.3">
      <c r="A95" s="7" t="str">
        <f t="shared" si="1"/>
        <v>Execução 91</v>
      </c>
      <c r="B95" s="32"/>
      <c r="C95" s="33"/>
      <c r="D95" s="49" t="str">
        <f>IFERROR(VLOOKUP(C95,'Listas de Dados'!BO:BP,2,0),"")</f>
        <v/>
      </c>
      <c r="E95" s="33" t="s">
        <v>98</v>
      </c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G95" s="42"/>
    </row>
    <row r="96" spans="1:33" x14ac:dyDescent="0.3">
      <c r="A96" s="7" t="str">
        <f t="shared" si="1"/>
        <v>Execução 92</v>
      </c>
      <c r="B96" s="32"/>
      <c r="C96" s="33"/>
      <c r="D96" s="49" t="str">
        <f>IFERROR(VLOOKUP(C96,'Listas de Dados'!BO:BP,2,0),"")</f>
        <v/>
      </c>
      <c r="E96" s="33" t="s">
        <v>98</v>
      </c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G96" s="42"/>
    </row>
    <row r="97" spans="1:33" x14ac:dyDescent="0.3">
      <c r="A97" s="7" t="str">
        <f t="shared" si="1"/>
        <v>Execução 93</v>
      </c>
      <c r="B97" s="32"/>
      <c r="C97" s="33"/>
      <c r="D97" s="49" t="str">
        <f>IFERROR(VLOOKUP(C97,'Listas de Dados'!BO:BP,2,0),"")</f>
        <v/>
      </c>
      <c r="E97" s="33" t="s">
        <v>98</v>
      </c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G97" s="42"/>
    </row>
    <row r="98" spans="1:33" x14ac:dyDescent="0.3">
      <c r="A98" s="7" t="str">
        <f t="shared" si="1"/>
        <v>Execução 94</v>
      </c>
      <c r="B98" s="32"/>
      <c r="C98" s="33"/>
      <c r="D98" s="49" t="str">
        <f>IFERROR(VLOOKUP(C98,'Listas de Dados'!BO:BP,2,0),"")</f>
        <v/>
      </c>
      <c r="E98" s="33" t="s">
        <v>98</v>
      </c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G98" s="42"/>
    </row>
    <row r="99" spans="1:33" x14ac:dyDescent="0.3">
      <c r="A99" s="7" t="str">
        <f t="shared" si="1"/>
        <v>Execução 95</v>
      </c>
      <c r="B99" s="32"/>
      <c r="C99" s="33"/>
      <c r="D99" s="49" t="str">
        <f>IFERROR(VLOOKUP(C99,'Listas de Dados'!BO:BP,2,0),"")</f>
        <v/>
      </c>
      <c r="E99" s="33" t="s">
        <v>98</v>
      </c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G99" s="42"/>
    </row>
    <row r="100" spans="1:33" x14ac:dyDescent="0.3">
      <c r="A100" s="7" t="str">
        <f t="shared" si="1"/>
        <v>Execução 96</v>
      </c>
      <c r="B100" s="32"/>
      <c r="C100" s="33"/>
      <c r="D100" s="49" t="str">
        <f>IFERROR(VLOOKUP(C100,'Listas de Dados'!BO:BP,2,0),"")</f>
        <v/>
      </c>
      <c r="E100" s="33" t="s">
        <v>98</v>
      </c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G100" s="42"/>
    </row>
    <row r="101" spans="1:33" x14ac:dyDescent="0.3">
      <c r="A101" s="7" t="str">
        <f t="shared" si="1"/>
        <v>Execução 97</v>
      </c>
      <c r="B101" s="32"/>
      <c r="C101" s="33"/>
      <c r="D101" s="49" t="str">
        <f>IFERROR(VLOOKUP(C101,'Listas de Dados'!BO:BP,2,0),"")</f>
        <v/>
      </c>
      <c r="E101" s="33" t="s">
        <v>98</v>
      </c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G101" s="42"/>
    </row>
    <row r="102" spans="1:33" x14ac:dyDescent="0.3">
      <c r="A102" s="7" t="str">
        <f t="shared" si="1"/>
        <v>Execução 98</v>
      </c>
      <c r="B102" s="32"/>
      <c r="C102" s="33"/>
      <c r="D102" s="49" t="str">
        <f>IFERROR(VLOOKUP(C102,'Listas de Dados'!BO:BP,2,0),"")</f>
        <v/>
      </c>
      <c r="E102" s="33" t="s">
        <v>98</v>
      </c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G102" s="42"/>
    </row>
    <row r="103" spans="1:33" x14ac:dyDescent="0.3">
      <c r="A103" s="7" t="str">
        <f t="shared" si="1"/>
        <v>Execução 99</v>
      </c>
      <c r="B103" s="32"/>
      <c r="C103" s="33"/>
      <c r="D103" s="49" t="str">
        <f>IFERROR(VLOOKUP(C103,'Listas de Dados'!BO:BP,2,0),"")</f>
        <v/>
      </c>
      <c r="E103" s="33" t="s">
        <v>98</v>
      </c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G103" s="42"/>
    </row>
    <row r="104" spans="1:33" x14ac:dyDescent="0.3">
      <c r="A104" s="7" t="str">
        <f t="shared" si="1"/>
        <v>Execução 100</v>
      </c>
      <c r="B104" s="32"/>
      <c r="C104" s="33"/>
      <c r="D104" s="49" t="str">
        <f>IFERROR(VLOOKUP(C104,'Listas de Dados'!BO:BP,2,0),"")</f>
        <v/>
      </c>
      <c r="E104" s="33" t="s">
        <v>98</v>
      </c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G104" s="42"/>
    </row>
    <row r="105" spans="1:33" x14ac:dyDescent="0.3">
      <c r="A105" s="7" t="str">
        <f t="shared" si="1"/>
        <v>Execução 101</v>
      </c>
      <c r="B105" s="32"/>
      <c r="C105" s="33"/>
      <c r="D105" s="49" t="str">
        <f>IFERROR(VLOOKUP(C105,'Listas de Dados'!BO:BP,2,0),"")</f>
        <v/>
      </c>
      <c r="E105" s="33" t="s">
        <v>98</v>
      </c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G105" s="42"/>
    </row>
    <row r="106" spans="1:33" x14ac:dyDescent="0.3">
      <c r="A106" s="7" t="str">
        <f t="shared" si="1"/>
        <v>Execução 102</v>
      </c>
      <c r="B106" s="32"/>
      <c r="C106" s="33"/>
      <c r="D106" s="49" t="str">
        <f>IFERROR(VLOOKUP(C106,'Listas de Dados'!BO:BP,2,0),"")</f>
        <v/>
      </c>
      <c r="E106" s="33" t="s">
        <v>98</v>
      </c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G106" s="42"/>
    </row>
    <row r="107" spans="1:33" x14ac:dyDescent="0.3">
      <c r="A107" s="7" t="str">
        <f t="shared" si="1"/>
        <v>Execução 103</v>
      </c>
      <c r="B107" s="32"/>
      <c r="C107" s="33"/>
      <c r="D107" s="49" t="str">
        <f>IFERROR(VLOOKUP(C107,'Listas de Dados'!BO:BP,2,0),"")</f>
        <v/>
      </c>
      <c r="E107" s="33" t="s">
        <v>98</v>
      </c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G107" s="42"/>
    </row>
  </sheetData>
  <sortState ref="B5:B61">
    <sortCondition ref="B5"/>
  </sortState>
  <mergeCells count="2">
    <mergeCell ref="E3:AE3"/>
    <mergeCell ref="AF1:AF2"/>
  </mergeCells>
  <conditionalFormatting sqref="B5">
    <cfRule type="beginsWith" dxfId="15" priority="96" operator="beginsWith" text="L">
      <formula>LEFT(B5,LEN("L"))="L"</formula>
    </cfRule>
  </conditionalFormatting>
  <conditionalFormatting sqref="B6:B54">
    <cfRule type="beginsWith" dxfId="14" priority="34" operator="beginsWith" text="L">
      <formula>LEFT(B6,LEN("L"))="L"</formula>
    </cfRule>
  </conditionalFormatting>
  <conditionalFormatting sqref="AG1:AG54 AG108:AG1048576">
    <cfRule type="containsText" dxfId="13" priority="13" operator="containsText" text="criadas">
      <formula>NOT(ISERROR(SEARCH("criadas",AG1)))</formula>
    </cfRule>
    <cfRule type="containsText" dxfId="12" priority="15" operator="containsText" text="é gravado">
      <formula>NOT(ISERROR(SEARCH("é gravado",AG1)))</formula>
    </cfRule>
    <cfRule type="containsText" dxfId="11" priority="16" operator="containsText" text="é modificado">
      <formula>NOT(ISERROR(SEARCH("é modificado",AG1)))</formula>
    </cfRule>
    <cfRule type="containsText" dxfId="10" priority="17" operator="containsText" text="Error">
      <formula>NOT(ISERROR(SEARCH("Error",AG1)))</formula>
    </cfRule>
    <cfRule type="containsText" dxfId="9" priority="18" operator="containsText" text="é criado">
      <formula>NOT(ISERROR(SEARCH("é criado",AG1)))</formula>
    </cfRule>
  </conditionalFormatting>
  <conditionalFormatting sqref="B55:B107">
    <cfRule type="beginsWith" dxfId="8" priority="6" operator="beginsWith" text="L">
      <formula>LEFT(B55,LEN("L"))="L"</formula>
    </cfRule>
  </conditionalFormatting>
  <conditionalFormatting sqref="AG55:AG107">
    <cfRule type="containsText" dxfId="7" priority="1" operator="containsText" text="criadas">
      <formula>NOT(ISERROR(SEARCH("criadas",AG55)))</formula>
    </cfRule>
    <cfRule type="containsText" dxfId="6" priority="2" operator="containsText" text="é gravado">
      <formula>NOT(ISERROR(SEARCH("é gravado",AG55)))</formula>
    </cfRule>
    <cfRule type="containsText" dxfId="5" priority="3" operator="containsText" text="é modificado">
      <formula>NOT(ISERROR(SEARCH("é modificado",AG55)))</formula>
    </cfRule>
    <cfRule type="containsText" dxfId="4" priority="4" operator="containsText" text="Error">
      <formula>NOT(ISERROR(SEARCH("Error",AG55)))</formula>
    </cfRule>
    <cfRule type="containsText" dxfId="3" priority="5" operator="containsText" text="é criado">
      <formula>NOT(ISERROR(SEARCH("é criado",AG55)))</formula>
    </cfRule>
  </conditionalFormatting>
  <dataValidations count="1">
    <dataValidation operator="lessThanOrEqual" allowBlank="1" showInputMessage="1" showErrorMessage="1" sqref="D5:D107"/>
  </dataValidations>
  <hyperlinks>
    <hyperlink ref="C4" location="'Listas de Dados'!BO1" display="GRP. DE MERCADORIA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lessThanOrEqual" allowBlank="1" showInputMessage="1" showErrorMessage="1">
          <x14:formula1>
            <xm:f>'Listas de Dados'!$BO$4:$BO$34</xm:f>
          </x14:formula1>
          <xm:sqref>C5:C107</xm:sqref>
        </x14:dataValidation>
        <x14:dataValidation type="list" allowBlank="1" showInputMessage="1" showErrorMessage="1">
          <x14:formula1>
            <xm:f>'Listas de Dados'!$J$4:$J$29</xm:f>
          </x14:formula1>
          <xm:sqref>E5:AE107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BF1" workbookViewId="0">
      <selection activeCell="BO31" sqref="BO31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2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2"/>
      <c r="B2" s="52" t="s">
        <v>10</v>
      </c>
      <c r="C2" s="52"/>
      <c r="D2" s="52"/>
      <c r="E2" s="52"/>
      <c r="F2" s="15"/>
      <c r="G2" s="52" t="s">
        <v>33</v>
      </c>
      <c r="H2" s="52"/>
      <c r="I2" s="15"/>
      <c r="J2" s="52" t="s">
        <v>124</v>
      </c>
      <c r="K2" s="52"/>
      <c r="L2" s="15"/>
      <c r="M2" s="52" t="s">
        <v>153</v>
      </c>
      <c r="N2" s="52"/>
      <c r="O2" s="15"/>
      <c r="P2" s="52" t="s">
        <v>165</v>
      </c>
      <c r="Q2" s="52"/>
      <c r="R2" s="52"/>
      <c r="S2" s="52"/>
      <c r="T2" s="52"/>
      <c r="U2" s="52"/>
      <c r="V2" s="52"/>
      <c r="W2" s="52"/>
      <c r="X2" s="52"/>
      <c r="Y2" s="52"/>
      <c r="Z2" s="27"/>
      <c r="AA2" s="52" t="s">
        <v>267</v>
      </c>
      <c r="AB2" s="52"/>
      <c r="AC2" s="15"/>
      <c r="AD2" s="52" t="s">
        <v>270</v>
      </c>
      <c r="AE2" s="52"/>
      <c r="AF2" s="17"/>
      <c r="AG2" s="17" t="s">
        <v>270</v>
      </c>
      <c r="AH2" s="19"/>
      <c r="AI2" s="52" t="s">
        <v>302</v>
      </c>
      <c r="AJ2" s="52"/>
      <c r="AK2" s="19"/>
      <c r="AL2" s="52" t="s">
        <v>326</v>
      </c>
      <c r="AM2" s="52"/>
      <c r="AN2" s="19"/>
      <c r="AO2" s="52" t="s">
        <v>33</v>
      </c>
      <c r="AP2" s="52"/>
      <c r="AQ2" s="19"/>
      <c r="AR2" s="52" t="s">
        <v>327</v>
      </c>
      <c r="AS2" s="52"/>
      <c r="AT2" s="19"/>
      <c r="AU2" s="52" t="s">
        <v>341</v>
      </c>
      <c r="AV2" s="52"/>
      <c r="AW2" s="19"/>
      <c r="AX2" s="52" t="s">
        <v>403</v>
      </c>
      <c r="AY2" s="52"/>
      <c r="AZ2" s="21"/>
      <c r="BA2" s="52" t="s">
        <v>415</v>
      </c>
      <c r="BB2" s="52"/>
      <c r="BC2" s="52"/>
      <c r="BD2" s="52"/>
      <c r="BE2" s="23"/>
      <c r="BF2" s="52" t="s">
        <v>561</v>
      </c>
      <c r="BG2" s="52"/>
      <c r="BH2" s="52"/>
      <c r="BI2" s="29"/>
      <c r="BJ2" s="52" t="s">
        <v>613</v>
      </c>
      <c r="BK2" s="52"/>
      <c r="BL2" s="34"/>
      <c r="BM2" s="34" t="s">
        <v>96</v>
      </c>
      <c r="BN2" s="34"/>
      <c r="BO2" s="52" t="s">
        <v>684</v>
      </c>
      <c r="BP2" s="52"/>
      <c r="BQ2" s="34"/>
      <c r="BR2" s="34" t="s">
        <v>685</v>
      </c>
      <c r="BS2" s="45"/>
      <c r="BT2" s="52" t="s">
        <v>695</v>
      </c>
      <c r="BU2" s="52"/>
    </row>
    <row r="3" spans="1:73" s="2" customFormat="1" ht="17.100000000000001" customHeight="1" x14ac:dyDescent="0.3">
      <c r="A3" s="5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20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680</v>
      </c>
      <c r="BP5" s="20" t="s">
        <v>681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634</v>
      </c>
      <c r="BP6" s="20" t="s">
        <v>635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626</v>
      </c>
      <c r="BP7" s="20" t="s">
        <v>627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661</v>
      </c>
      <c r="BP8" s="20" t="s">
        <v>662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632</v>
      </c>
      <c r="BP9" s="20" t="s">
        <v>633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628</v>
      </c>
      <c r="BP10" s="20" t="s">
        <v>629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630</v>
      </c>
      <c r="BP11" s="20" t="s">
        <v>631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682</v>
      </c>
      <c r="BP12" s="20" t="s">
        <v>683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670</v>
      </c>
      <c r="BP13" s="20" t="s">
        <v>671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672</v>
      </c>
      <c r="BP14" s="20" t="s">
        <v>673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674</v>
      </c>
      <c r="BP15" s="20" t="s">
        <v>675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678</v>
      </c>
      <c r="BP16" s="20" t="s">
        <v>679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676</v>
      </c>
      <c r="BP17" s="20" t="s">
        <v>677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649</v>
      </c>
      <c r="BP18" s="20" t="s">
        <v>650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663</v>
      </c>
      <c r="BP19" s="20" t="s">
        <v>664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668</v>
      </c>
      <c r="BP20" s="20" t="s">
        <v>669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636</v>
      </c>
      <c r="BP21" s="20" t="s">
        <v>637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655</v>
      </c>
      <c r="BP22" s="20" t="s">
        <v>656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651</v>
      </c>
      <c r="BP23" s="20" t="s">
        <v>652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638</v>
      </c>
      <c r="BP24" s="20" t="s">
        <v>639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657</v>
      </c>
      <c r="BP25" s="20" t="s">
        <v>658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642</v>
      </c>
      <c r="BP26" s="20" t="s">
        <v>643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640</v>
      </c>
      <c r="BP27" s="20" t="s">
        <v>641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647</v>
      </c>
      <c r="BP28" s="20" t="s">
        <v>648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659</v>
      </c>
      <c r="BP29" s="20" t="s">
        <v>660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644</v>
      </c>
      <c r="BP30" s="20" t="s">
        <v>645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618</v>
      </c>
      <c r="BP31" s="20" t="s">
        <v>646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653</v>
      </c>
      <c r="BP32" s="20" t="s">
        <v>654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665</v>
      </c>
      <c r="BP33" s="20" t="s">
        <v>666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616</v>
      </c>
      <c r="BP34" s="20" t="s">
        <v>667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BO4:BP34">
    <sortCondition ref="BP34"/>
  </sortState>
  <mergeCells count="19">
    <mergeCell ref="A1:A3"/>
    <mergeCell ref="G2:H2"/>
    <mergeCell ref="M2:N2"/>
    <mergeCell ref="P2:Y2"/>
    <mergeCell ref="J2:K2"/>
    <mergeCell ref="B2:E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2022-05-12T12:11:13Z</dcterms:modified>
</cp:coreProperties>
</file>