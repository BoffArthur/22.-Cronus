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120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Consulta!$A$1:$CB$151</definedName>
  </definedNames>
  <calcPr calcId="162913"/>
</workbook>
</file>

<file path=xl/calcChain.xml><?xml version="1.0" encoding="utf-8"?>
<calcChain xmlns="http://schemas.openxmlformats.org/spreadsheetml/2006/main">
  <c r="CM152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A126" i="6"/>
  <c r="AW126" i="6"/>
  <c r="BB126" i="6" s="1"/>
  <c r="BD126" i="6" s="1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G111" i="6"/>
  <c r="K111" i="6" s="1"/>
  <c r="E111" i="6"/>
  <c r="DB111" i="6" s="1"/>
  <c r="D111" i="6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CJ93" i="6"/>
  <c r="CI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G93" i="6"/>
  <c r="CR93" i="6" s="1"/>
  <c r="E93" i="6"/>
  <c r="DB93" i="6" s="1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G92" i="6"/>
  <c r="CC92" i="6" s="1"/>
  <c r="E92" i="6"/>
  <c r="DB92" i="6" s="1"/>
  <c r="D92" i="6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J90" i="6"/>
  <c r="CI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R88" i="6"/>
  <c r="AS88" i="6" s="1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R82" i="6"/>
  <c r="AS82" i="6" s="1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R74" i="6"/>
  <c r="AS74" i="6" s="1"/>
  <c r="AP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A66" i="6"/>
  <c r="AW66" i="6"/>
  <c r="BB66" i="6" s="1"/>
  <c r="BD66" i="6" s="1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R78" i="6" l="1"/>
  <c r="BH110" i="6"/>
  <c r="BF110" i="6" s="1"/>
  <c r="BG110" i="6" s="1"/>
  <c r="K93" i="6"/>
  <c r="K120" i="6"/>
  <c r="CY108" i="6"/>
  <c r="BH105" i="6"/>
  <c r="BF105" i="6" s="1"/>
  <c r="BG105" i="6" s="1"/>
  <c r="CR90" i="6"/>
  <c r="BH111" i="6"/>
  <c r="BF111" i="6" s="1"/>
  <c r="BG111" i="6" s="1"/>
  <c r="CX85" i="6"/>
  <c r="CR57" i="6"/>
  <c r="I111" i="6"/>
  <c r="K86" i="6"/>
  <c r="CX55" i="6"/>
  <c r="BH104" i="6"/>
  <c r="BF104" i="6" s="1"/>
  <c r="BG104" i="6" s="1"/>
  <c r="DF62" i="6"/>
  <c r="I74" i="6"/>
  <c r="BD115" i="6"/>
  <c r="CR77" i="6"/>
  <c r="BH80" i="6"/>
  <c r="BF80" i="6" s="1"/>
  <c r="BG80" i="6" s="1"/>
  <c r="I90" i="6"/>
  <c r="CC90" i="6"/>
  <c r="I92" i="6"/>
  <c r="CZ63" i="6"/>
  <c r="CZ71" i="6"/>
  <c r="BH131" i="6"/>
  <c r="BF131" i="6" s="1"/>
  <c r="BG131" i="6" s="1"/>
  <c r="I83" i="6"/>
  <c r="DF61" i="6"/>
  <c r="CC93" i="6"/>
  <c r="K95" i="6"/>
  <c r="BD119" i="6"/>
  <c r="BH89" i="6"/>
  <c r="BF89" i="6" s="1"/>
  <c r="BG89" i="6" s="1"/>
  <c r="BO110" i="6"/>
  <c r="BH124" i="6"/>
  <c r="BF124" i="6" s="1"/>
  <c r="BG124" i="6" s="1"/>
  <c r="I129" i="6"/>
  <c r="I68" i="6"/>
  <c r="CY109" i="6"/>
  <c r="BB62" i="6"/>
  <c r="BD62" i="6" s="1"/>
  <c r="CR71" i="6"/>
  <c r="BH92" i="6"/>
  <c r="BF92" i="6" s="1"/>
  <c r="BG92" i="6" s="1"/>
  <c r="CX136" i="6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I143" i="6"/>
  <c r="CR143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BH11" i="6" s="1"/>
  <c r="BF11" i="6" s="1"/>
  <c r="BG11" i="6" s="1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BH22" i="6" s="1"/>
  <c r="BF22" i="6" s="1"/>
  <c r="BG22" i="6" s="1"/>
  <c r="E22" i="6"/>
  <c r="D23" i="6"/>
  <c r="E23" i="6"/>
  <c r="D24" i="6"/>
  <c r="E24" i="6"/>
  <c r="D25" i="6"/>
  <c r="E25" i="6"/>
  <c r="D26" i="6"/>
  <c r="E26" i="6"/>
  <c r="D27" i="6"/>
  <c r="E27" i="6"/>
  <c r="D28" i="6"/>
  <c r="E28" i="6"/>
  <c r="BH28" i="6" s="1"/>
  <c r="BF28" i="6" s="1"/>
  <c r="BG28" i="6" s="1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D36" i="6"/>
  <c r="E36" i="6"/>
  <c r="D37" i="6"/>
  <c r="E37" i="6"/>
  <c r="D38" i="6"/>
  <c r="E38" i="6"/>
  <c r="D39" i="6"/>
  <c r="E39" i="6"/>
  <c r="D40" i="6"/>
  <c r="BH40" i="6" s="1"/>
  <c r="BF40" i="6" s="1"/>
  <c r="BG40" i="6" s="1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BH52" i="6" s="1"/>
  <c r="BF52" i="6" s="1"/>
  <c r="BG52" i="6" s="1"/>
  <c r="E52" i="6"/>
  <c r="D53" i="6"/>
  <c r="E53" i="6"/>
  <c r="D54" i="6"/>
  <c r="E54" i="6"/>
  <c r="AP5" i="6"/>
  <c r="AR5" i="6"/>
  <c r="AS5" i="6" s="1"/>
  <c r="AP6" i="6"/>
  <c r="AR6" i="6"/>
  <c r="AS6" i="6" s="1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S13" i="6" s="1"/>
  <c r="AP14" i="6"/>
  <c r="AR14" i="6"/>
  <c r="AS14" i="6" s="1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S19" i="6" s="1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S25" i="6" s="1"/>
  <c r="AP26" i="6"/>
  <c r="AR26" i="6"/>
  <c r="AS26" i="6" s="1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S31" i="6" s="1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S36" i="6" s="1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S41" i="6" s="1"/>
  <c r="AP42" i="6"/>
  <c r="AR42" i="6"/>
  <c r="AP43" i="6"/>
  <c r="AR43" i="6"/>
  <c r="AS43" i="6" s="1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S49" i="6" s="1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54" i="6" s="1"/>
  <c r="AS11" i="6"/>
  <c r="AS15" i="6"/>
  <c r="AS18" i="6"/>
  <c r="AS24" i="6"/>
  <c r="AS30" i="6"/>
  <c r="AS37" i="6"/>
  <c r="AS42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I15" i="6"/>
  <c r="BE16" i="6"/>
  <c r="BI16" i="6"/>
  <c r="BE17" i="6"/>
  <c r="BH17" i="6"/>
  <c r="BF17" i="6" s="1"/>
  <c r="BG17" i="6" s="1"/>
  <c r="BI17" i="6"/>
  <c r="BE18" i="6"/>
  <c r="BI18" i="6"/>
  <c r="BE19" i="6"/>
  <c r="BI19" i="6"/>
  <c r="BE20" i="6"/>
  <c r="BI20" i="6"/>
  <c r="BE21" i="6"/>
  <c r="BI21" i="6"/>
  <c r="BE22" i="6"/>
  <c r="BI22" i="6"/>
  <c r="BE23" i="6"/>
  <c r="BI23" i="6"/>
  <c r="BE24" i="6"/>
  <c r="BI24" i="6"/>
  <c r="BE25" i="6"/>
  <c r="BI25" i="6"/>
  <c r="BE26" i="6"/>
  <c r="BI26" i="6"/>
  <c r="BE27" i="6"/>
  <c r="BI27" i="6"/>
  <c r="BE28" i="6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I33" i="6"/>
  <c r="BE34" i="6"/>
  <c r="BI34" i="6"/>
  <c r="BE35" i="6"/>
  <c r="BI35" i="6"/>
  <c r="BE36" i="6"/>
  <c r="BI36" i="6"/>
  <c r="BE37" i="6"/>
  <c r="BI37" i="6"/>
  <c r="BE38" i="6"/>
  <c r="BI38" i="6"/>
  <c r="BE39" i="6"/>
  <c r="BI39" i="6"/>
  <c r="BE40" i="6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I51" i="6"/>
  <c r="BE52" i="6"/>
  <c r="BI52" i="6"/>
  <c r="BE53" i="6"/>
  <c r="BH53" i="6"/>
  <c r="BF53" i="6" s="1"/>
  <c r="BG53" i="6" s="1"/>
  <c r="BI53" i="6"/>
  <c r="BE54" i="6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D144" i="6" l="1"/>
  <c r="BH54" i="6"/>
  <c r="BF54" i="6" s="1"/>
  <c r="BG54" i="6" s="1"/>
  <c r="BH36" i="6"/>
  <c r="BF36" i="6" s="1"/>
  <c r="BG36" i="6" s="1"/>
  <c r="BH18" i="6"/>
  <c r="BF18" i="6" s="1"/>
  <c r="BG18" i="6" s="1"/>
  <c r="BH51" i="6"/>
  <c r="BF51" i="6" s="1"/>
  <c r="BG51" i="6" s="1"/>
  <c r="BH33" i="6"/>
  <c r="BF33" i="6" s="1"/>
  <c r="BG33" i="6" s="1"/>
  <c r="BH21" i="6"/>
  <c r="BF21" i="6" s="1"/>
  <c r="BG21" i="6" s="1"/>
  <c r="BH15" i="6"/>
  <c r="BF15" i="6" s="1"/>
  <c r="BG15" i="6" s="1"/>
  <c r="BC142" i="6"/>
  <c r="BH9" i="6"/>
  <c r="BF9" i="6" s="1"/>
  <c r="BG9" i="6" s="1"/>
  <c r="BD99" i="6"/>
  <c r="BC148" i="6"/>
  <c r="BC138" i="6"/>
  <c r="BB45" i="6"/>
  <c r="BD45" i="6" s="1"/>
  <c r="BH12" i="6"/>
  <c r="BF12" i="6" s="1"/>
  <c r="BG12" i="6" s="1"/>
  <c r="BH35" i="6"/>
  <c r="BF35" i="6" s="1"/>
  <c r="BG35" i="6" s="1"/>
  <c r="BH23" i="6"/>
  <c r="BF23" i="6" s="1"/>
  <c r="BG23" i="6" s="1"/>
  <c r="BH10" i="6"/>
  <c r="BF10" i="6" s="1"/>
  <c r="BG10" i="6" s="1"/>
  <c r="BH6" i="6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27" i="6"/>
  <c r="BD52" i="6"/>
  <c r="BD46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5" i="6" l="1"/>
  <c r="BD40" i="6"/>
  <c r="BC42" i="6"/>
  <c r="BC48" i="6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<sst xmlns="http://schemas.openxmlformats.org/spreadsheetml/2006/main" count="11674" uniqueCount="1221">
  <si>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</si>
  <si>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</si>
  <si>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</si>
  <si>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</si>
  <si>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</si>
  <si>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</si>
  <si>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</si>
  <si>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</si>
  <si>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</si>
  <si>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</si>
  <si>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</si>
  <si>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</si>
  <si>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</si>
  <si>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</si>
  <si>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</si>
  <si>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</si>
  <si>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</si>
  <si>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</si>
  <si>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</si>
  <si>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</si>
  <si>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</si>
  <si>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</si>
  <si>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</si>
  <si>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</si>
  <si>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</si>
  <si>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</si>
  <si>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</si>
  <si>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</si>
  <si>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</si>
  <si>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</si>
  <si>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</si>
  <si>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</si>
  <si>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</si>
  <si>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</si>
  <si>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</si>
  <si>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</si>
  <si>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</si>
  <si>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</si>
  <si>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</si>
  <si>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</si>
  <si>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</si>
  <si>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</si>
  <si>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</si>
  <si>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</si>
  <si>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</si>
  <si>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</si>
  <si>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</si>
  <si>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</si>
  <si>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</si>
  <si>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</si>
  <si>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</si>
  <si>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</si>
  <si>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</si>
  <si>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</si>
  <si>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</si>
  <si>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</si>
  <si>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</si>
  <si>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</si>
  <si>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</si>
  <si>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</si>
  <si>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</si>
  <si>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</si>
  <si>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</si>
  <si>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</si>
  <si>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</si>
  <si>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</si>
  <si>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</si>
  <si>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</si>
  <si>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</si>
  <si>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</si>
  <si>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</si>
  <si>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</si>
  <si>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</si>
  <si>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</si>
  <si>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</si>
  <si>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</si>
  <si>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</si>
  <si>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</si>
  <si>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</si>
  <si>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</si>
  <si>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</si>
  <si>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</si>
  <si>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</si>
  <si>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</si>
  <si>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</si>
  <si>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</si>
  <si>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</si>
  <si>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</si>
  <si>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</si>
  <si>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</si>
  <si>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</si>
  <si>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</si>
  <si>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</si>
  <si>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</si>
  <si>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</si>
  <si>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</si>
  <si>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</si>
  <si>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</si>
  <si>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</si>
  <si>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</si>
  <si>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</si>
  <si>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</si>
  <si>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</si>
  <si>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</si>
  <si>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</si>
  <si>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</si>
  <si>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</si>
  <si>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</si>
  <si>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</si>
  <si>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</si>
  <si>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</si>
  <si>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</si>
  <si>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</si>
  <si>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</si>
  <si>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</si>
  <si>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</si>
  <si>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</si>
  <si>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</si>
  <si>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</si>
  <si>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</si>
  <si>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</si>
  <si>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</si>
  <si>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</si>
  <si>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</si>
  <si>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</si>
  <si>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</si>
  <si>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</si>
  <si>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</si>
  <si>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</si>
  <si>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</si>
  <si>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</si>
  <si>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</si>
  <si>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</si>
  <si>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</si>
  <si>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</si>
  <si>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</si>
  <si>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</si>
  <si>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</si>
  <si>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</si>
  <si>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</si>
  <si>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</si>
  <si>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</si>
  <si>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</si>
  <si>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</si>
  <si>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</si>
  <si>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</si>
  <si>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</si>
  <si>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</si>
  <si>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</si>
  <si>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</si>
  <si>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</si>
  <si>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</si>
  <si>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</si>
  <si>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</si>
  <si>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</si>
  <si>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</si>
  <si>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</si>
  <si>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</si>
  <si>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</si>
  <si>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</si>
  <si>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</si>
  <si>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</si>
  <si>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</si>
  <si>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</si>
  <si>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</si>
  <si>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</si>
  <si>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</si>
  <si>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</si>
  <si>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</si>
  <si>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</si>
  <si>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</si>
  <si>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</si>
  <si>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</si>
  <si>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</si>
  <si>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</si>
  <si>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</si>
  <si>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</si>
  <si>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</si>
  <si>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</si>
  <si>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</si>
  <si>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</si>
  <si>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</si>
  <si>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</si>
  <si>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</si>
  <si>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</si>
  <si>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</si>
  <si>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</si>
  <si>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</si>
  <si>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</si>
  <si>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</si>
  <si>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</si>
  <si>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</si>
  <si>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</si>
  <si>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</si>
  <si>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</si>
  <si>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</si>
  <si>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</si>
  <si>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</si>
  <si>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</si>
  <si>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</si>
  <si>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</si>
  <si>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</si>
  <si>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</si>
  <si>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</si>
  <si>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</si>
  <si>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</si>
  <si>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</si>
  <si>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</si>
  <si>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</si>
  <si>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</si>
  <si>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</si>
  <si>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</si>
  <si>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</si>
  <si>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</si>
  <si>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</si>
  <si>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</si>
  <si>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</si>
  <si>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</si>
  <si>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</si>
  <si>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</si>
  <si>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</si>
  <si>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</si>
  <si>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</si>
  <si>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</si>
  <si>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</si>
  <si>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</si>
  <si>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</si>
  <si>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</si>
  <si>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</si>
  <si>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</si>
  <si>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</si>
  <si>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</si>
  <si>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</si>
  <si>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</si>
  <si>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</si>
  <si>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</si>
  <si>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</si>
  <si>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</si>
  <si>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</si>
  <si>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</si>
  <si>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</si>
  <si>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</si>
  <si>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</si>
  <si>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</si>
  <si>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</si>
  <si>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</si>
  <si>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</si>
  <si>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</si>
  <si>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</si>
  <si>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</si>
  <si>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</si>
  <si>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</si>
  <si>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</si>
  <si>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</si>
  <si>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</si>
  <si>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</si>
  <si>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</si>
  <si>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</si>
  <si>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</si>
  <si>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</si>
  <si>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</si>
  <si>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</si>
  <si>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</si>
  <si>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</si>
  <si>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</si>
  <si>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</si>
  <si>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</si>
  <si>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</si>
  <si>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</si>
  <si>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</si>
  <si>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</si>
  <si>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</si>
  <si>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</si>
  <si>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</si>
  <si>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</si>
  <si>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</si>
  <si>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</si>
  <si>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</si>
  <si>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</si>
  <si>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</si>
  <si>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</si>
  <si>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</si>
  <si>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</si>
  <si>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</si>
  <si>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</si>
  <si>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</si>
  <si>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</si>
  <si>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</si>
  <si>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</si>
  <si>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</si>
  <si>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</si>
  <si>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</si>
  <si>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</si>
  <si>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</si>
  <si>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</si>
  <si>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</si>
  <si>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</si>
  <si>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</si>
  <si>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</si>
  <si>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</si>
  <si>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</si>
  <si>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</si>
  <si>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</si>
  <si>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</si>
  <si>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</si>
  <si>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</si>
  <si>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</si>
  <si>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</si>
  <si>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</si>
  <si>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</si>
  <si>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</si>
  <si>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</si>
  <si>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</si>
  <si>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</si>
  <si>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</si>
  <si>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</si>
  <si>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</si>
  <si>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</si>
  <si>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</si>
  <si>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</si>
  <si>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</si>
  <si>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</si>
  <si>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</si>
  <si>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</si>
  <si>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</si>
  <si>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</si>
  <si>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</si>
  <si>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</si>
  <si>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</si>
  <si>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</si>
  <si>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</si>
  <si>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</si>
  <si>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</si>
  <si>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</si>
  <si>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</si>
  <si>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</si>
  <si>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</si>
  <si>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</si>
  <si>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</si>
  <si>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</si>
  <si>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</si>
  <si>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</si>
  <si>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</si>
  <si>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</si>
  <si>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</si>
  <si>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</si>
  <si>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</si>
  <si>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</si>
  <si>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</si>
  <si>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</si>
  <si>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</si>
  <si>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</si>
  <si>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</si>
  <si>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</si>
  <si>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</si>
  <si>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</si>
  <si>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</si>
  <si>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</si>
  <si>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</si>
  <si>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</si>
  <si>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</si>
  <si>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</si>
  <si>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</si>
  <si>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</si>
  <si>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</si>
  <si>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</si>
  <si>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</si>
  <si>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</si>
  <si>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</si>
  <si>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</si>
  <si>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</si>
  <si>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</si>
  <si>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</si>
  <si>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</si>
  <si>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</si>
  <si>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</si>
  <si>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</si>
  <si>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</si>
  <si>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</si>
  <si>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</si>
  <si>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</si>
  <si>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</si>
  <si>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</si>
  <si>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</si>
  <si>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</si>
  <si>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</si>
  <si>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</si>
  <si>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</si>
  <si>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</si>
  <si>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</si>
  <si>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</si>
  <si>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</si>
  <si>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</si>
  <si>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</si>
  <si>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</si>
  <si>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</si>
  <si>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</si>
  <si>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</si>
  <si>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</si>
  <si>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</si>
  <si>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</si>
  <si>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</si>
  <si>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</si>
  <si>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</si>
  <si>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</si>
  <si>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</si>
  <si>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</si>
  <si>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</si>
  <si>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</si>
  <si>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</si>
  <si>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</si>
  <si>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</si>
  <si>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</si>
  <si>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</si>
  <si>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</si>
  <si>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</si>
  <si>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</si>
  <si>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</si>
  <si>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</si>
  <si>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</si>
  <si>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</si>
  <si>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</si>
  <si>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</si>
  <si>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</si>
  <si>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</si>
  <si>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</si>
  <si>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</si>
  <si>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</si>
  <si>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</si>
  <si>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</si>
  <si>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</si>
  <si>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</si>
  <si>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</si>
  <si>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</si>
  <si>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</si>
  <si>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</si>
  <si>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</si>
  <si>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</si>
  <si>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</si>
  <si>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</si>
  <si>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</si>
  <si>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</si>
  <si>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</si>
  <si>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</si>
  <si>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</si>
  <si>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</si>
  <si>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</si>
  <si>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</si>
  <si>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</si>
  <si>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</si>
  <si>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</si>
  <si>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</si>
  <si>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</si>
  <si>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</si>
  <si>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</si>
  <si>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</si>
  <si>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</si>
  <si>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</si>
  <si>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</si>
  <si>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</si>
  <si>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</si>
  <si>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</si>
  <si>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</si>
  <si>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</si>
  <si>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</si>
  <si>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</si>
  <si>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</si>
  <si>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</si>
  <si>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</si>
  <si>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</si>
  <si>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</si>
  <si>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</si>
  <si>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</si>
  <si>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</si>
  <si>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</si>
  <si>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</si>
  <si>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</si>
  <si>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</si>
  <si>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</si>
  <si>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</si>
  <si>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</si>
  <si>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</si>
  <si>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</si>
  <si>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</si>
  <si>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</si>
  <si>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</si>
  <si>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</si>
  <si>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</si>
  <si>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</si>
  <si>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</si>
  <si>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</si>
  <si>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</si>
  <si>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</si>
  <si>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</si>
  <si>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</si>
  <si>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</si>
  <si>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</si>
  <si>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</si>
  <si>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</si>
  <si>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</si>
  <si>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</si>
  <si>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</si>
  <si>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</si>
  <si>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</si>
  <si>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</si>
  <si>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</si>
  <si>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</si>
  <si>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</si>
  <si>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</si>
  <si>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</si>
  <si>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</si>
  <si>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</si>
  <si>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</si>
  <si>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</si>
  <si>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</si>
  <si>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</si>
  <si>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</si>
  <si>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</si>
  <si>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</si>
  <si>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</si>
  <si>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</si>
  <si>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</si>
  <si>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</si>
  <si>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</si>
  <si>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</si>
  <si>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</si>
  <si>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</si>
  <si>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</si>
  <si>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</si>
  <si>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</si>
  <si>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</si>
  <si>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</si>
  <si>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</si>
  <si>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</si>
  <si>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</si>
  <si>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</si>
  <si>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</si>
  <si>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</si>
  <si>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</si>
  <si>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</si>
  <si>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</si>
  <si>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</si>
  <si>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</si>
  <si>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</si>
  <si>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</si>
  <si>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</si>
  <si>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</si>
  <si>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</si>
  <si>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</si>
  <si>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</si>
  <si>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</si>
  <si>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</si>
  <si>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</si>
  <si>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</si>
  <si>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</si>
  <si>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</si>
  <si>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</si>
  <si>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</si>
  <si>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</si>
  <si>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</si>
  <si>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</si>
  <si>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</si>
  <si>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</si>
  <si>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</si>
  <si>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</si>
  <si>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</si>
  <si>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</si>
  <si>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</si>
  <si>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</si>
  <si>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</si>
  <si>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</si>
  <si>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</si>
  <si>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</si>
  <si>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</si>
  <si>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</si>
  <si>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</si>
  <si>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</si>
  <si>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</si>
  <si>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</si>
  <si>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</si>
  <si>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</si>
  <si>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</si>
  <si>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</si>
  <si>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</si>
  <si>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</si>
  <si>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</si>
  <si>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</si>
  <si>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</si>
  <si>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</si>
  <si>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</si>
  <si>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</si>
  <si>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</si>
  <si>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</si>
  <si>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</si>
  <si>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</si>
  <si>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</si>
  <si>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</si>
  <si>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</si>
  <si>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</si>
  <si>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</si>
  <si>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</si>
  <si>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</si>
  <si>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</si>
  <si>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</si>
  <si>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</si>
  <si>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</si>
  <si>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</si>
  <si>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</si>
  <si>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</si>
  <si>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</si>
  <si>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</si>
  <si>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</si>
  <si>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</si>
  <si>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</si>
  <si>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</si>
  <si>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</si>
  <si>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</si>
  <si>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</si>
  <si>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</si>
  <si>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</si>
  <si>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</si>
  <si>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</si>
  <si>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</si>
  <si>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</si>
  <si>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</si>
  <si>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</si>
  <si>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</si>
  <si>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</si>
  <si>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</si>
  <si>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</si>
  <si>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</si>
  <si>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</si>
  <si>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</si>
  <si>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</si>
  <si>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</si>
  <si>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</si>
  <si>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</si>
  <si>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</si>
  <si>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</si>
  <si>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</si>
  <si>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</si>
  <si>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</si>
  <si>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</si>
  <si>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</si>
  <si>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</si>
  <si>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</si>
  <si>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</si>
  <si>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</si>
  <si>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</si>
  <si>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</si>
  <si>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</si>
  <si>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</si>
  <si>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</si>
  <si>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</si>
  <si>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</si>
  <si>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</si>
  <si>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</si>
  <si>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</si>
  <si>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</si>
  <si>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</si>
  <si>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</si>
  <si>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</si>
  <si>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</si>
  <si>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</si>
  <si>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</si>
  <si>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</si>
  <si>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</si>
  <si>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</si>
  <si>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</si>
  <si>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</si>
  <si>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</si>
  <si>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</si>
  <si>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</si>
  <si>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</si>
  <si>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</si>
  <si>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</si>
  <si>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</si>
  <si>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</si>
  <si>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</si>
  <si>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</si>
  <si>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</si>
  <si>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</si>
  <si>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</si>
  <si>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</si>
  <si>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</si>
  <si>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</si>
  <si>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</si>
  <si>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</si>
  <si>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</si>
  <si>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</si>
  <si>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</si>
  <si>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</si>
  <si>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</si>
  <si>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</si>
  <si>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</si>
  <si>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</si>
  <si>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</si>
  <si>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</si>
  <si>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</si>
  <si>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</si>
  <si>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</si>
  <si>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</si>
  <si>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</si>
  <si>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</si>
  <si>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</si>
  <si>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</si>
  <si>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</si>
  <si>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</si>
  <si>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</si>
  <si>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</si>
  <si>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</si>
  <si>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</si>
  <si>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</si>
  <si>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</si>
  <si>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</si>
  <si>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</si>
  <si>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</si>
  <si>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</si>
  <si>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</si>
  <si>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</si>
  <si>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</si>
  <si>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</si>
  <si>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</si>
  <si>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</si>
  <si>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</si>
  <si>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</si>
  <si>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</si>
  <si>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</si>
  <si>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</si>
  <si>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</si>
  <si>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</si>
  <si>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</si>
  <si>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</si>
  <si>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</si>
  <si>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</si>
  <si>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</si>
  <si>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</si>
  <si>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</si>
  <si>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</si>
  <si>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</si>
  <si>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</si>
  <si>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</si>
  <si>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</si>
  <si>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</si>
  <si>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</si>
  <si>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</si>
  <si>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</si>
  <si>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</si>
  <si>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</si>
  <si>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</si>
  <si>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</si>
  <si>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</si>
  <si>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</si>
  <si>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</si>
  <si>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</si>
  <si>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</si>
  <si>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</si>
  <si>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</si>
  <si>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</si>
  <si>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</si>
  <si>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</si>
  <si>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</si>
  <si>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</si>
  <si>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</si>
  <si>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</si>
  <si>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</si>
  <si>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</si>
  <si>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</si>
  <si>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</si>
  <si>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</si>
  <si>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</si>
  <si>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</si>
  <si>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</si>
  <si>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</si>
  <si>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</si>
  <si>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</si>
  <si>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</si>
  <si>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</si>
  <si>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</si>
  <si>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</si>
  <si>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</si>
  <si>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</si>
  <si>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</si>
  <si>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</si>
  <si>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</si>
  <si>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</si>
  <si>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</si>
  <si>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</si>
  <si>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</si>
  <si>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</si>
  <si>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</si>
  <si>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</si>
  <si>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</si>
  <si>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</si>
  <si>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</si>
  <si>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</si>
  <si>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</si>
  <si>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</si>
  <si>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</si>
  <si>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</si>
  <si>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</si>
  <si>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</si>
  <si>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</si>
  <si>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</si>
  <si>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</si>
  <si>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</si>
  <si>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</si>
  <si>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</si>
  <si>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</si>
  <si>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</si>
  <si>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</si>
  <si>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</si>
  <si>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</si>
  <si>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</si>
  <si>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</si>
  <si>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</si>
  <si>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</si>
  <si>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</si>
  <si>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</si>
  <si>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</si>
  <si>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</si>
  <si>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</si>
  <si>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</si>
  <si>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</si>
  <si>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</si>
  <si>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</si>
  <si>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</si>
  <si>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</si>
  <si>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</si>
  <si>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</si>
  <si>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</si>
  <si>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</si>
  <si>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</si>
  <si>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</si>
  <si>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</si>
  <si>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</si>
  <si>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</si>
  <si>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</si>
  <si>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</si>
  <si>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</si>
  <si>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</si>
  <si>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</si>
  <si>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</si>
  <si>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</si>
  <si>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</si>
  <si>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</si>
  <si>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</si>
  <si>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</si>
  <si>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</si>
  <si>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</si>
  <si>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</si>
  <si>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</si>
  <si>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</si>
  <si>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</si>
  <si>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</si>
  <si>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</si>
  <si>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</si>
  <si>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</si>
  <si>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</si>
  <si>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</si>
  <si>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</si>
  <si>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</si>
  <si>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</si>
  <si>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</si>
  <si>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</si>
  <si>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</si>
  <si>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</si>
  <si>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</si>
  <si>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</si>
  <si>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</si>
  <si>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</si>
  <si>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</si>
  <si>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</si>
  <si>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</si>
  <si>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</si>
  <si>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</si>
  <si>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</si>
  <si>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</si>
  <si>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</si>
  <si>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</si>
  <si>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</si>
  <si>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</si>
  <si>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</si>
  <si>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</si>
  <si>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</si>
  <si>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</si>
  <si>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</si>
  <si>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</si>
  <si>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</si>
  <si>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</si>
  <si>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</si>
  <si>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</si>
  <si>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</si>
  <si>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</si>
  <si>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</si>
  <si>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</si>
  <si>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</si>
  <si>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</si>
  <si>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</si>
  <si>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</si>
  <si>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</si>
  <si>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</si>
  <si>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</si>
  <si>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</si>
  <si>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</si>
  <si>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</si>
  <si>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</si>
  <si>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</si>
  <si>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</si>
  <si>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</si>
  <si>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</si>
  <si>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</si>
  <si>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</si>
  <si>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</si>
  <si>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</si>
  <si>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</si>
  <si>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</si>
  <si>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</si>
  <si>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</si>
  <si>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</si>
  <si>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</si>
  <si>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</si>
  <si>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</si>
  <si>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</si>
  <si>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</si>
  <si>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</si>
  <si>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</si>
  <si>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</si>
  <si>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</si>
  <si>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</si>
  <si>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</si>
  <si>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</si>
  <si>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</si>
  <si>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</si>
  <si>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</si>
  <si>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</si>
  <si>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</si>
  <si>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</si>
  <si>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</si>
  <si>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</si>
  <si>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</si>
  <si>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</si>
  <si>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</si>
  <si>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</si>
  <si>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</si>
  <si>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</si>
  <si>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</si>
  <si>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</si>
  <si>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</si>
  <si>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</si>
  <si>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</si>
  <si>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</si>
  <si>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</si>
  <si>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</si>
  <si>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</si>
  <si>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</si>
  <si>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</si>
  <si>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</si>
  <si>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</si>
  <si>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</si>
  <si>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</si>
  <si>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</si>
  <si>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</si>
  <si>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</si>
  <si>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</si>
  <si>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</si>
  <si>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</si>
  <si>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</si>
  <si>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</si>
  <si>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</si>
  <si>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</si>
  <si>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</si>
  <si>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</si>
  <si>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</si>
  <si>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</si>
  <si>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</si>
  <si>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</si>
  <si>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</si>
  <si>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</si>
  <si>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</si>
  <si>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</si>
  <si>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</si>
  <si>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</si>
  <si>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</si>
  <si>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</si>
  <si>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</si>
  <si>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</si>
  <si>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</si>
  <si>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</si>
  <si>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</si>
  <si>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</si>
  <si>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</si>
  <si>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</si>
  <si>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</si>
  <si>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Multiplo&lt;Final</t>
  </si>
  <si>
    <t>Q:\Trabalhos em Andamento\Arthur Boff\8. Planilhas\12.1. Cadastros Novos P01 (Estruturas)\2022-03-18_AB_Estrutura P01 (TUBOS 100X100 STI)\2022-03-18_AB_Estrutura P01 (TUBOS 100X100 STI).xlsm</t>
  </si>
  <si>
    <t>SS300 2,40 MTH</t>
  </si>
  <si>
    <t>D058110000519</t>
  </si>
  <si>
    <t>TUBO GF QUA 100X2,65X11999 BQ STI16633</t>
  </si>
  <si>
    <t>94,263999999999996</t>
  </si>
  <si>
    <t>TUBO 5</t>
  </si>
  <si>
    <t>125</t>
  </si>
  <si>
    <t>K093174</t>
  </si>
  <si>
    <t>1-</t>
  </si>
  <si>
    <t>1000</t>
  </si>
  <si>
    <t>STI16633</t>
  </si>
  <si>
    <t>TUBO QUA 100X2,65 BQ SS300 STI</t>
  </si>
  <si>
    <t>K001186</t>
  </si>
  <si>
    <t>TUBO QUA 100X3,00 BQ TUB 350M</t>
  </si>
  <si>
    <t>L093174</t>
  </si>
  <si>
    <t>2,2400000000000002</t>
  </si>
  <si>
    <t>2,84</t>
  </si>
  <si>
    <t>Semi-Fini. Goods</t>
  </si>
  <si>
    <t>Intercompanhia</t>
  </si>
  <si>
    <t>V105463</t>
  </si>
  <si>
    <t>BOBINA 2,40 BQ AMT SOLARSYSTEM 300 MTH</t>
  </si>
  <si>
    <t>D058110000477</t>
  </si>
  <si>
    <t>TUBO GF QUA 100X2,65X11350 BQ STI21089</t>
  </si>
  <si>
    <t>89,165999999999997</t>
  </si>
  <si>
    <t>STI21089</t>
  </si>
  <si>
    <t>D058110000548</t>
  </si>
  <si>
    <t>TUBO GF QUA 100X2,65X8100 BQ STI20603</t>
  </si>
  <si>
    <t>63,634</t>
  </si>
  <si>
    <t>STI20603</t>
  </si>
  <si>
    <t>D058110000549</t>
  </si>
  <si>
    <t>TUBO GF QUA 100X2,65X11500 BQ STI20604</t>
  </si>
  <si>
    <t>90,343999999999994</t>
  </si>
  <si>
    <t>STI20604</t>
  </si>
  <si>
    <t>D058110000550</t>
  </si>
  <si>
    <t>TUBO GF QUA 100X2,65X11805 BQ STI20605</t>
  </si>
  <si>
    <t>92,74</t>
  </si>
  <si>
    <t>STI20605</t>
  </si>
  <si>
    <t>SS300 2,70 MTH</t>
  </si>
  <si>
    <t>D058110000478</t>
  </si>
  <si>
    <t>TUBO GF QUA 100X3,00X9547 BQ STI20787</t>
  </si>
  <si>
    <t>83,650999999999996</t>
  </si>
  <si>
    <t>K093274</t>
  </si>
  <si>
    <t>STI20787</t>
  </si>
  <si>
    <t>TUBO QUA 100X3,00 BQ SS300 STI</t>
  </si>
  <si>
    <t>K001473</t>
  </si>
  <si>
    <t>TUBO QUA 100X3,00 BQ</t>
  </si>
  <si>
    <t>L093274</t>
  </si>
  <si>
    <t>2,5</t>
  </si>
  <si>
    <t>3,18</t>
  </si>
  <si>
    <t>V105379</t>
  </si>
  <si>
    <t>BOBINA 2,70 BQ AMT SOLARSYSTEM 300 MTH</t>
  </si>
  <si>
    <t>D058110000479</t>
  </si>
  <si>
    <t>TUBO GF QUA 100X3,00X9606 BQ STI20876</t>
  </si>
  <si>
    <t>84,168000000000006</t>
  </si>
  <si>
    <t>STI20876</t>
  </si>
  <si>
    <t>D058110000480</t>
  </si>
  <si>
    <t>TUBO GF QUA 100X3,00X8462 BQ STI20899</t>
  </si>
  <si>
    <t>74,144000000000005</t>
  </si>
  <si>
    <t>STI20899</t>
  </si>
  <si>
    <t>D058110000481</t>
  </si>
  <si>
    <t>TUBO GF QUA 100X3,00X3908 BQ STI15225</t>
  </si>
  <si>
    <t>34,241999999999997</t>
  </si>
  <si>
    <t>STI15225</t>
  </si>
  <si>
    <t>D058110000482</t>
  </si>
  <si>
    <t>TUBO GF QUA 100X3,00X8495 BQ STI17114</t>
  </si>
  <si>
    <t>74,433000000000007</t>
  </si>
  <si>
    <t>STI17114</t>
  </si>
  <si>
    <t>D058110000483</t>
  </si>
  <si>
    <t>TUBO GF QUA 100X3,00X11350 BQ STI17115</t>
  </si>
  <si>
    <t>99,448999999999998</t>
  </si>
  <si>
    <t>STI17115</t>
  </si>
  <si>
    <t>D058110000484</t>
  </si>
  <si>
    <t>TUBO GF QUA 100X3,00X11650 BQ STI16277</t>
  </si>
  <si>
    <t>102,077</t>
  </si>
  <si>
    <t>STI16277</t>
  </si>
  <si>
    <t>D058110000485</t>
  </si>
  <si>
    <t>TUBO GF QUA 100X3,00X11011 BQ STI21092</t>
  </si>
  <si>
    <t>96,477999999999994</t>
  </si>
  <si>
    <t>STI21092</t>
  </si>
  <si>
    <t>D058110000486</t>
  </si>
  <si>
    <t>TUBO GF QUA 100X3,00X11350 BQ STI21093</t>
  </si>
  <si>
    <t>STI21093</t>
  </si>
  <si>
    <t>D058110000487</t>
  </si>
  <si>
    <t>TUBO GF QUA 100X3,00X8462 BQ STI21096</t>
  </si>
  <si>
    <t>STI21096</t>
  </si>
  <si>
    <t>D058110000488</t>
  </si>
  <si>
    <t>TUBO GF QUA 100X3,00X11650 BQ STI21138</t>
  </si>
  <si>
    <t>STI21138</t>
  </si>
  <si>
    <t>D058110000489</t>
  </si>
  <si>
    <t>TUBO GF QUA 100X3,00X7444 BQ STI21152</t>
  </si>
  <si>
    <t>65,224000000000004</t>
  </si>
  <si>
    <t>STI21152</t>
  </si>
  <si>
    <t>D058110000490</t>
  </si>
  <si>
    <t>TUBO GF QUA 100X3,00X10541 BQ STI21153</t>
  </si>
  <si>
    <t>92,36</t>
  </si>
  <si>
    <t>STI21153</t>
  </si>
  <si>
    <t>D058110000505</t>
  </si>
  <si>
    <t>TUBO GF QUA 100X3,00X3908 BQ STI17113</t>
  </si>
  <si>
    <t>STI17113</t>
  </si>
  <si>
    <t>D058110000506</t>
  </si>
  <si>
    <t>TUBO GF QUA 100X3,00X11650 BQ STI20551</t>
  </si>
  <si>
    <t>STI20551</t>
  </si>
  <si>
    <t>D058110000507</t>
  </si>
  <si>
    <t>TUBO GF QUA 100X3,00X8111 BQ STI21087</t>
  </si>
  <si>
    <t>71,069000000000003</t>
  </si>
  <si>
    <t>STI21087</t>
  </si>
  <si>
    <t>D058110000508</t>
  </si>
  <si>
    <t>TUBO GF QUA 100X3,00X3908 BQ STI21090</t>
  </si>
  <si>
    <t>STI21090</t>
  </si>
  <si>
    <t>D058110000509</t>
  </si>
  <si>
    <t>TUBO GF QUA 100X3,00X11650 BQ STI21094</t>
  </si>
  <si>
    <t>STI21094</t>
  </si>
  <si>
    <t>D058110000510</t>
  </si>
  <si>
    <t>TUBO GF QUA 100X3,00X11350 BQ STI21095</t>
  </si>
  <si>
    <t>STI21095</t>
  </si>
  <si>
    <t>D058110000511</t>
  </si>
  <si>
    <t>TUBO GF QUA 100X3,00X11200 BQ STI21136</t>
  </si>
  <si>
    <t>98,134</t>
  </si>
  <si>
    <t>STI21136</t>
  </si>
  <si>
    <t>D058110000512</t>
  </si>
  <si>
    <t>TUBO GF QUA 100X3,00X10921 BQ STI21137</t>
  </si>
  <si>
    <t>95,69</t>
  </si>
  <si>
    <t>STI21137</t>
  </si>
  <si>
    <t>D058110000520</t>
  </si>
  <si>
    <t>TUBO GF QUA 100X3,00X3908 BQ STI15644</t>
  </si>
  <si>
    <t>STI15644</t>
  </si>
  <si>
    <t>D058110000521</t>
  </si>
  <si>
    <t>TUBO GF QUA 100X3,00X3908 BQ STI15679</t>
  </si>
  <si>
    <t>STI15679</t>
  </si>
  <si>
    <t>D058110000522</t>
  </si>
  <si>
    <t>TUBO GF QUA 100X3,00X11350 BQ STI20785</t>
  </si>
  <si>
    <t>STI20785</t>
  </si>
  <si>
    <t>D058110000523</t>
  </si>
  <si>
    <t>TUBO GF QUA 100X3,00X11650 BQ STI20786</t>
  </si>
  <si>
    <t>STI20786</t>
  </si>
  <si>
    <t>D058110000524</t>
  </si>
  <si>
    <t>TUBO GF QUA 100X3,00X11350 BQ STI20896</t>
  </si>
  <si>
    <t>STI20896</t>
  </si>
  <si>
    <t>D058110000525</t>
  </si>
  <si>
    <t>TUBO GF QUA 100X3,00X11650 BQ STI21088</t>
  </si>
  <si>
    <t>STI21088</t>
  </si>
  <si>
    <t>D058110000526</t>
  </si>
  <si>
    <t>TUBO GF QUA 100X3,00X8900 BQ STI20942</t>
  </si>
  <si>
    <t>77,981999999999999</t>
  </si>
  <si>
    <t>STI20942</t>
  </si>
  <si>
    <t>D058110000527</t>
  </si>
  <si>
    <t>TUBO GF QUA 100X3,00X5668 BQ STI21091</t>
  </si>
  <si>
    <t>49,662999999999997</t>
  </si>
  <si>
    <t>STI21091</t>
  </si>
  <si>
    <t>D058110000535</t>
  </si>
  <si>
    <t>TUBO GF QUA 100X3,00X10296 BQ STI10296</t>
  </si>
  <si>
    <t>90,213999999999999</t>
  </si>
  <si>
    <t>STI10296</t>
  </si>
  <si>
    <t>D058110000536</t>
  </si>
  <si>
    <t>TUBO GF QUA 100X3,00X8100 BQ STI20603</t>
  </si>
  <si>
    <t>70,971999999999994</t>
  </si>
  <si>
    <t>D058110000537</t>
  </si>
  <si>
    <t>TUBO GF QUA 100X3,00X7750 BQ STI21028</t>
  </si>
  <si>
    <t>67,906000000000006</t>
  </si>
  <si>
    <t>STI21028</t>
  </si>
  <si>
    <t>D058110000538</t>
  </si>
  <si>
    <t>TUBO GF QUA 100X3,00X8474 BQ STI21029</t>
  </si>
  <si>
    <t>74,248999999999995</t>
  </si>
  <si>
    <t>STI21029</t>
  </si>
  <si>
    <t>D058110000539</t>
  </si>
  <si>
    <t>TUBO GF QUA 100X3,00X7161 BQ STI21030</t>
  </si>
  <si>
    <t>62,744999999999997</t>
  </si>
  <si>
    <t>STI21030</t>
  </si>
  <si>
    <t>D058110000540</t>
  </si>
  <si>
    <t>TUBO GF QUA 100X3,00X11650 BQ STI20069</t>
  </si>
  <si>
    <t>STI20069</t>
  </si>
  <si>
    <t>D058110000541</t>
  </si>
  <si>
    <t>TUBO GF QUA 100X3,00X11350 BQ STI20454</t>
  </si>
  <si>
    <t>STI20454</t>
  </si>
  <si>
    <t>D058110000542</t>
  </si>
  <si>
    <t>TUBO GF QUA 100X3,00X10037 BQ STI21031</t>
  </si>
  <si>
    <t>87,944000000000003</t>
  </si>
  <si>
    <t>STI21031</t>
  </si>
  <si>
    <t>D058110000543</t>
  </si>
  <si>
    <t>TUBO GF QUA 100X3,00X9257 BQ STI21032</t>
  </si>
  <si>
    <t>81,11</t>
  </si>
  <si>
    <t>STI21032</t>
  </si>
  <si>
    <t>D058110000551</t>
  </si>
  <si>
    <t>TUBO GF QUA 100X3,00X11500 BQ STI20604</t>
  </si>
  <si>
    <t>100,76300000000001</t>
  </si>
  <si>
    <t>D058110000552</t>
  </si>
  <si>
    <t>TUBO GF QUA 100X3,00X11805 BQ STI20605</t>
  </si>
  <si>
    <t>103,435</t>
  </si>
  <si>
    <t>SS300 3,45 MTH</t>
  </si>
  <si>
    <t>D058110000491</t>
  </si>
  <si>
    <t>TUBO GF QUA 100X3,75X8200 BQ STI16629</t>
  </si>
  <si>
    <t>90,584999999999994</t>
  </si>
  <si>
    <t>K093374</t>
  </si>
  <si>
    <t>STI16629</t>
  </si>
  <si>
    <t>TUBO QUA 100X3,75 BQ SS300 STI</t>
  </si>
  <si>
    <t>K001026</t>
  </si>
  <si>
    <t>TUBO QUA 100X3,75 BQ RIR CIVIL300</t>
  </si>
  <si>
    <t>L093374</t>
  </si>
  <si>
    <t>3,16</t>
  </si>
  <si>
    <t>4,0199999999999996</t>
  </si>
  <si>
    <t>V105464</t>
  </si>
  <si>
    <t>BOBINA 3,45 BQ AMT SOLARSYSTEM 300 MTH</t>
  </si>
  <si>
    <t>D058110000492</t>
  </si>
  <si>
    <t>TUBO GF QUA 100X3,75X11600 BQ STI16631</t>
  </si>
  <si>
    <t>128,14500000000001</t>
  </si>
  <si>
    <t>STI16631</t>
  </si>
  <si>
    <t>D058110000493</t>
  </si>
  <si>
    <t>TUBO GF QUA 100X3,75X11999 BQ STI16634</t>
  </si>
  <si>
    <t>132,553</t>
  </si>
  <si>
    <t>STI16634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</si>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</sst>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 unboundColumnsRight="11">
    <queryTableFields count="9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Descrição CAM" tableColumnId="70"/>
      <queryTableField id="71" name="Enrijecedor Superior (mm)" tableColumnId="71"/>
      <queryTableField id="72" name="Enrijecedor Inferior (mm)" tableColumnId="72"/>
      <queryTableField id="73" name="Aba Superior (mm)" tableColumnId="73"/>
      <queryTableField id="74" name="Aba Inferior (mm)" tableColumnId="74"/>
      <queryTableField id="75" name="DIM 1 (mm)" tableColumnId="75"/>
      <queryTableField id="76" name="DIM 2 (mm)" tableColumnId="76"/>
      <queryTableField id="77" name="DIM 3 (mm)" tableColumnId="77"/>
      <queryTableField id="78" name="Alavanca 1 (mm)" tableColumnId="78"/>
      <queryTableField id="79" name="Alavanca 2 (mm)" tableColumnId="79"/>
      <queryTableField id="80" name="DADOS PURLINS" tableColumnId="80"/>
      <queryTableField id="91" dataBound="0" tableColumnId="81"/>
      <queryTableField id="90" dataBound="0" tableColumnId="82"/>
      <queryTableField id="89" dataBound="0" tableColumnId="83"/>
      <queryTableField id="88" dataBound="0" tableColumnId="84"/>
      <queryTableField id="87" dataBound="0" tableColumnId="85"/>
      <queryTableField id="86" dataBound="0" tableColumnId="86"/>
      <queryTableField id="85" dataBound="0" tableColumnId="87"/>
      <queryTableField id="84" dataBound="0" tableColumnId="88"/>
      <queryTableField id="83" dataBound="0" tableColumnId="89"/>
      <queryTableField id="82" dataBound="0" tableColumnId="90"/>
      <queryTableField id="81" dataBound="0" tableColumnId="9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52" tableType="queryTable" totalsRowCount="1">
  <autoFilter ref="A1:CM151">
    <filterColumn colId="1">
      <filters>
        <filter val="NEW"/>
      </filters>
    </filterColumn>
  </autoFilter>
  <tableColumns count="91">
    <tableColumn id="1" uniqueName="1" name="PJT" totalsRowLabel="Total" queryTableFieldId="1"/>
    <tableColumn id="2" uniqueName="2" name="STS" queryTableFieldId="2"/>
    <tableColumn id="3" uniqueName="3" name="Código P01" queryTableFieldId="3"/>
    <tableColumn id="4" uniqueName="4" name="Descrição P01" queryTableFieldId="4"/>
    <tableColumn id="5" uniqueName="5" name="Modelo" queryTableFieldId="5"/>
    <tableColumn id="6" uniqueName="6" name="Descrição do Modelo" queryTableFieldId="6"/>
    <tableColumn id="7" uniqueName="7" name="Centro" queryTableFieldId="7"/>
    <tableColumn id="8" uniqueName="8" name="Comprimento_x000a_Final" queryTableFieldId="8"/>
    <tableColumn id="9" uniqueName="9" name="Peso Kg/m" queryTableFieldId="9"/>
    <tableColumn id="10" uniqueName="10" name="KG/PC" queryTableFieldId="10"/>
    <tableColumn id="11" uniqueName="11" name="Hierarquia 1" queryTableFieldId="11"/>
    <tableColumn id="12" uniqueName="12" name="Hierarquia 2" queryTableFieldId="12"/>
    <tableColumn id="13" uniqueName="13" name="Hierarquia 3" queryTableFieldId="13"/>
    <tableColumn id="14" uniqueName="14" name="Hierarquia 4" queryTableFieldId="14"/>
    <tableColumn id="15" uniqueName="15" name="Hierarquia 5" queryTableFieldId="15"/>
    <tableColumn id="16" uniqueName="16" name="Hierarquia Final" queryTableFieldId="16"/>
    <tableColumn id="17" uniqueName="17" name="GrPMerc." queryTableFieldId="17"/>
    <tableColumn id="18" uniqueName="18" name="Bitola de Produção_x000a_          Descrição" queryTableFieldId="18"/>
    <tableColumn id="19" uniqueName="19" name="N° SAP da Bitola" queryTableFieldId="19"/>
    <tableColumn id="20" uniqueName="20" name="Unidade de Venda" queryTableFieldId="20"/>
    <tableColumn id="21" uniqueName="21" name="NCM" queryTableFieldId="21"/>
    <tableColumn id="22" uniqueName="22" name="Peças por _x000a_Amarrado" queryTableFieldId="22"/>
    <tableColumn id="23" uniqueName="23" name="Centro de trabalho" queryTableFieldId="23"/>
    <tableColumn id="24" uniqueName="24" name="Tempo_x000a_Setup" queryTableFieldId="24"/>
    <tableColumn id="25" uniqueName="25" name="Tempo de_x000a_Operação" queryTableFieldId="25"/>
    <tableColumn id="26" uniqueName="26" name="Perda de _x000a_Processo" queryTableFieldId="26"/>
    <tableColumn id="27" uniqueName="27" name="Código do componente" queryTableFieldId="27"/>
    <tableColumn id="28" uniqueName="28" name="Comprimento _x000a_do Multiplo" queryTableFieldId="28"/>
    <tableColumn id="29" uniqueName="29" name="Perda em Kg para fabricar 1000 peças do tubo cortado (perda inerente)" queryTableFieldId="29"/>
    <tableColumn id="30" uniqueName="30" name="Quantidade em metros para fabricar 1000 peças + perda de processo" queryTableFieldId="30"/>
    <tableColumn id="31" uniqueName="31" name="Quantidade em peças para fabricar 1000 peças + perda de processo" queryTableFieldId="31"/>
    <tableColumn id="32" uniqueName="32" name="DADOS AO" queryTableFieldId="32"/>
    <tableColumn id="33" uniqueName="33" name="Chave LNTR" queryTableFieldId="33"/>
    <tableColumn id="34" uniqueName="34" name="Espessura nominal" queryTableFieldId="34"/>
    <tableColumn id="35" uniqueName="35" name="Laminação" queryTableFieldId="35"/>
    <tableColumn id="36" uniqueName="36" name="MTH?_x000a_MTL?" queryTableFieldId="36"/>
    <tableColumn id="37" uniqueName="37" name="Espessura Mínima" queryTableFieldId="37"/>
    <tableColumn id="38" uniqueName="38" name="Espessura Máxima" queryTableFieldId="38"/>
    <tableColumn id="39" uniqueName="39" name="Máquina" queryTableFieldId="39"/>
    <tableColumn id="40" uniqueName="40" name="Mapa/Plano de montagem" queryTableFieldId="40"/>
    <tableColumn id="41" uniqueName="41" name="Velocidade_x000a_(m/hr)" queryTableFieldId="41"/>
    <tableColumn id="42" uniqueName="42" name="Nave" queryTableFieldId="42"/>
    <tableColumn id="43" uniqueName="43" name="Tempo de _x000a_pré-instalação" queryTableFieldId="43"/>
    <tableColumn id="44" uniqueName="44" name="Sucata (m)" queryTableFieldId="44"/>
    <tableColumn id="45" uniqueName="45" name="Perda (%)" queryTableFieldId="45"/>
    <tableColumn id="46" uniqueName="46" name="Largura da tira" queryTableFieldId="46"/>
    <tableColumn id="47" uniqueName="47" name="Bobina_x000a_ configuravel?" queryTableFieldId="47"/>
    <tableColumn id="48" uniqueName="48" name="Largura ideal" queryTableFieldId="48"/>
    <tableColumn id="49" uniqueName="49" name="Velocidade_x000a_3000 até 4999" queryTableFieldId="49"/>
    <tableColumn id="50" uniqueName="50" name="Velocidade_x000a_5000 até 8000" queryTableFieldId="50"/>
    <tableColumn id="51" uniqueName="51" name="Velocidade_x000a_8001 até 14000" queryTableFieldId="51"/>
    <tableColumn id="52" uniqueName="52" name="DADOS LNP" queryTableFieldId="52"/>
    <tableColumn id="53" uniqueName="53" name="Cliente" queryTableFieldId="53"/>
    <tableColumn id="54" uniqueName="54" name="Preço de terceirização " queryTableFieldId="54" dataDxfId="5"/>
    <tableColumn id="55" uniqueName="55" name="Centro de Produção" queryTableFieldId="55"/>
    <tableColumn id="56" uniqueName="56" name="Column56" queryTableFieldId="56" dataDxfId="4"/>
    <tableColumn id="57" uniqueName="57" name="Depósito de produção" queryTableFieldId="57"/>
    <tableColumn id="58" uniqueName="58" name="Column58" queryTableFieldId="58" dataDxfId="3"/>
    <tableColumn id="59" uniqueName="59" name="Canal de Distribuição" queryTableFieldId="59"/>
    <tableColumn id="60" uniqueName="60" name="Column60" queryTableFieldId="60"/>
    <tableColumn id="61" uniqueName="61" name="Setor de Atividade" queryTableFieldId="61"/>
    <tableColumn id="62" uniqueName="62" name="Column62" queryTableFieldId="62"/>
    <tableColumn id="63" uniqueName="63" name="Níveis Organizacionais SAP" queryTableFieldId="63"/>
    <tableColumn id="64" uniqueName="64" name="Tipo de Material PROF" queryTableFieldId="64"/>
    <tableColumn id="65" uniqueName="65" name="Geometria CHAR" queryTableFieldId="65"/>
    <tableColumn id="66" uniqueName="66" name="Espessura CHAR" queryTableFieldId="66"/>
    <tableColumn id="67" uniqueName="67" name="Raspagem Interna?" queryTableFieldId="67"/>
    <tableColumn id="68" uniqueName="68" name="Metalização?" queryTableFieldId="68"/>
    <tableColumn id="69" uniqueName="69" name="DADOS VARIANT" queryTableFieldId="69"/>
    <tableColumn id="70" uniqueName="70" name="Descrição CAM" queryTableFieldId="70"/>
    <tableColumn id="71" uniqueName="71" name="Enrijecedor Superior (mm)" queryTableFieldId="71"/>
    <tableColumn id="72" uniqueName="72" name="Enrijecedor Inferior (mm)" queryTableFieldId="72"/>
    <tableColumn id="73" uniqueName="73" name="Aba Superior (mm)" queryTableFieldId="73"/>
    <tableColumn id="74" uniqueName="74" name="Aba Inferior (mm)" queryTableFieldId="74"/>
    <tableColumn id="75" uniqueName="75" name="DIM 1 (mm)" queryTableFieldId="75"/>
    <tableColumn id="76" uniqueName="76" name="DIM 2 (mm)" queryTableFieldId="76"/>
    <tableColumn id="77" uniqueName="77" name="DIM 3 (mm)" queryTableFieldId="77"/>
    <tableColumn id="78" uniqueName="78" name="Alavanca 1 (mm)" queryTableFieldId="78"/>
    <tableColumn id="79" uniqueName="79" name="Alavanca 2 (mm)" queryTableFieldId="79"/>
    <tableColumn id="80" uniqueName="80" name="DADOS PURLINS" queryTableFieldId="80"/>
    <tableColumn id="81" uniqueName="81" name="Coluna1" queryTableFieldId="91"/>
    <tableColumn id="82" uniqueName="82" name="Coluna2" queryTableFieldId="90"/>
    <tableColumn id="83" uniqueName="83" name="Coluna3" queryTableFieldId="89"/>
    <tableColumn id="84" uniqueName="84" name="Coluna4" queryTableFieldId="88"/>
    <tableColumn id="85" uniqueName="85" name="Coluna5" queryTableFieldId="87"/>
    <tableColumn id="86" uniqueName="86" name="Coluna6" queryTableFieldId="86"/>
    <tableColumn id="87" uniqueName="87" name="Coluna7" queryTableFieldId="85"/>
    <tableColumn id="88" uniqueName="88" name="Coluna8" queryTableFieldId="84"/>
    <tableColumn id="89" uniqueName="89" name="Coluna9" queryTableFieldId="83"/>
    <tableColumn id="90" uniqueName="90" name="Coluna10" queryTableFieldId="82"/>
    <tableColumn id="91" uniqueName="91" name="Coluna11" totalsRowFunction="count" queryTableFieldId="8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981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17.05.2022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17.05.2022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17.05.2022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982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17.05.2022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17.05.2022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982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17.05.2022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603"/>
  <sheetViews>
    <sheetView showGridLines="0" showRowColHeaders="0" workbookViewId="0">
      <selection sqref="A1:CM152"/>
    </sheetView>
  </sheetViews>
  <sheetFormatPr defaultColWidth="0" defaultRowHeight="12.75" zeroHeight="1" x14ac:dyDescent="0.2"/>
  <cols>
    <col min="1" max="1" width="15.28515625" customWidth="1"/>
    <col min="2" max="2" width="6.85546875" customWidth="1"/>
    <col min="3" max="3" width="14.42578125" customWidth="1"/>
    <col min="4" max="4" width="43.5703125" customWidth="1"/>
    <col min="5" max="5" width="9.28515625" customWidth="1"/>
    <col min="6" max="6" width="34.42578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3.710937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9" width="10" customWidth="1"/>
    <col min="90" max="91" width="11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983</v>
      </c>
      <c r="BS1" s="38" t="s">
        <v>984</v>
      </c>
      <c r="BT1" s="38" t="s">
        <v>985</v>
      </c>
      <c r="BU1" s="38" t="s">
        <v>986</v>
      </c>
      <c r="BV1" s="38" t="s">
        <v>987</v>
      </c>
      <c r="BW1" s="38" t="s">
        <v>988</v>
      </c>
      <c r="BX1" s="38" t="s">
        <v>989</v>
      </c>
      <c r="BY1" s="38" t="s">
        <v>990</v>
      </c>
      <c r="BZ1" s="38" t="s">
        <v>991</v>
      </c>
      <c r="CA1" s="38" t="s">
        <v>992</v>
      </c>
      <c r="CB1" s="38" t="s">
        <v>993</v>
      </c>
      <c r="CC1" s="38" t="s">
        <v>1210</v>
      </c>
      <c r="CD1" s="38" t="s">
        <v>1211</v>
      </c>
      <c r="CE1" s="38" t="s">
        <v>1212</v>
      </c>
      <c r="CF1" s="38" t="s">
        <v>1213</v>
      </c>
      <c r="CG1" s="38" t="s">
        <v>1214</v>
      </c>
      <c r="CH1" s="38" t="s">
        <v>1215</v>
      </c>
      <c r="CI1" s="38" t="s">
        <v>1216</v>
      </c>
      <c r="CJ1" s="38" t="s">
        <v>1217</v>
      </c>
      <c r="CK1" s="38" t="s">
        <v>1218</v>
      </c>
      <c r="CL1" s="38" t="s">
        <v>1219</v>
      </c>
      <c r="CM1" s="38" t="s">
        <v>1220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hidden="1" x14ac:dyDescent="0.2">
      <c r="A2" s="38" t="s">
        <v>996</v>
      </c>
      <c r="B2" s="38" t="s">
        <v>84</v>
      </c>
      <c r="C2" s="38" t="s">
        <v>997</v>
      </c>
      <c r="D2" s="38" t="s">
        <v>998</v>
      </c>
      <c r="E2" s="38"/>
      <c r="F2" s="38"/>
      <c r="G2" s="38" t="s">
        <v>4</v>
      </c>
      <c r="H2" s="38">
        <v>11999</v>
      </c>
      <c r="I2" s="38">
        <v>7.8559999999999999</v>
      </c>
      <c r="J2" s="38" t="s">
        <v>999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979</v>
      </c>
      <c r="Q2" s="38" t="s">
        <v>865</v>
      </c>
      <c r="R2" s="38" t="s">
        <v>1000</v>
      </c>
      <c r="S2" s="38" t="s">
        <v>1001</v>
      </c>
      <c r="T2" s="38" t="s">
        <v>864</v>
      </c>
      <c r="U2" s="38" t="s">
        <v>974</v>
      </c>
      <c r="V2" s="38">
        <v>16</v>
      </c>
      <c r="W2" s="38" t="s">
        <v>716</v>
      </c>
      <c r="X2" s="38">
        <v>1</v>
      </c>
      <c r="Y2" s="38">
        <v>1</v>
      </c>
      <c r="Z2" s="38">
        <v>0</v>
      </c>
      <c r="AA2" s="38" t="s">
        <v>1002</v>
      </c>
      <c r="AB2" s="38" t="s">
        <v>973</v>
      </c>
      <c r="AC2" s="38" t="s">
        <v>1003</v>
      </c>
      <c r="AD2" s="38" t="s">
        <v>994</v>
      </c>
      <c r="AE2" s="38" t="s">
        <v>1004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>
        <v>0</v>
      </c>
      <c r="BA2" s="38" t="s">
        <v>1005</v>
      </c>
      <c r="BB2" s="66"/>
      <c r="BC2" s="38" t="s">
        <v>4</v>
      </c>
      <c r="BD2" s="66" t="s">
        <v>980</v>
      </c>
      <c r="BE2" s="38" t="s">
        <v>5</v>
      </c>
      <c r="BF2" s="66" t="s">
        <v>975</v>
      </c>
      <c r="BG2" s="38" t="s">
        <v>6</v>
      </c>
      <c r="BH2" s="38" t="s">
        <v>976</v>
      </c>
      <c r="BI2" s="38"/>
      <c r="BJ2" s="38" t="s">
        <v>977</v>
      </c>
      <c r="BK2" s="38"/>
      <c r="BL2" s="38" t="s">
        <v>870</v>
      </c>
      <c r="BM2" s="38"/>
      <c r="BN2" s="38" t="s">
        <v>595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84</v>
      </c>
      <c r="C3" s="38" t="s">
        <v>1002</v>
      </c>
      <c r="D3" s="38" t="s">
        <v>1006</v>
      </c>
      <c r="E3" s="38" t="s">
        <v>1007</v>
      </c>
      <c r="F3" s="38" t="s">
        <v>1008</v>
      </c>
      <c r="G3" s="38" t="s">
        <v>4</v>
      </c>
      <c r="H3" s="38"/>
      <c r="I3" s="38">
        <v>7.8559999999999999</v>
      </c>
      <c r="J3" s="38" t="s">
        <v>973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979</v>
      </c>
      <c r="Q3" s="38" t="s">
        <v>865</v>
      </c>
      <c r="R3" s="38" t="s">
        <v>1000</v>
      </c>
      <c r="S3" s="38" t="s">
        <v>1001</v>
      </c>
      <c r="T3" s="38"/>
      <c r="U3" s="38" t="s">
        <v>974</v>
      </c>
      <c r="V3" s="38">
        <v>16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1009</v>
      </c>
      <c r="AH3" s="38">
        <v>2.54</v>
      </c>
      <c r="AI3" s="38"/>
      <c r="AJ3" s="38"/>
      <c r="AK3" s="38" t="s">
        <v>1010</v>
      </c>
      <c r="AL3" s="38" t="s">
        <v>1011</v>
      </c>
      <c r="AM3" s="38"/>
      <c r="AN3" s="38" t="s">
        <v>973</v>
      </c>
      <c r="AO3" s="38"/>
      <c r="AP3" s="38" t="s">
        <v>973</v>
      </c>
      <c r="AQ3" s="38" t="s">
        <v>973</v>
      </c>
      <c r="AR3" s="38" t="s">
        <v>973</v>
      </c>
      <c r="AS3" s="38"/>
      <c r="AT3" s="38">
        <v>394</v>
      </c>
      <c r="AU3" s="38"/>
      <c r="AV3" s="38" t="s">
        <v>973</v>
      </c>
      <c r="AW3" s="38" t="s">
        <v>973</v>
      </c>
      <c r="AX3" s="38" t="s">
        <v>973</v>
      </c>
      <c r="AY3" s="38" t="s">
        <v>973</v>
      </c>
      <c r="AZ3" s="38">
        <v>1</v>
      </c>
      <c r="BA3" s="38" t="s">
        <v>1005</v>
      </c>
      <c r="BB3" s="66"/>
      <c r="BC3" s="38" t="s">
        <v>4</v>
      </c>
      <c r="BD3" s="66" t="s">
        <v>980</v>
      </c>
      <c r="BE3" s="38" t="s">
        <v>16</v>
      </c>
      <c r="BF3" s="66" t="s">
        <v>1012</v>
      </c>
      <c r="BG3" s="38" t="s">
        <v>24</v>
      </c>
      <c r="BH3" s="38" t="s">
        <v>1013</v>
      </c>
      <c r="BI3" s="38"/>
      <c r="BJ3" s="38" t="s">
        <v>977</v>
      </c>
      <c r="BK3" s="38"/>
      <c r="BL3" s="38" t="s">
        <v>869</v>
      </c>
      <c r="BM3" s="38" t="s">
        <v>539</v>
      </c>
      <c r="BN3" s="38" t="s">
        <v>595</v>
      </c>
      <c r="BO3" s="38" t="s">
        <v>534</v>
      </c>
      <c r="BP3" s="38" t="s">
        <v>534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hidden="1" x14ac:dyDescent="0.2">
      <c r="A4" s="38"/>
      <c r="B4" s="38" t="s">
        <v>978</v>
      </c>
      <c r="C4" s="38" t="s">
        <v>1014</v>
      </c>
      <c r="D4" s="38" t="s">
        <v>1015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66"/>
      <c r="BC4" s="38"/>
      <c r="BD4" s="66"/>
      <c r="BE4" s="38"/>
      <c r="BF4" s="66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 t="s">
        <v>996</v>
      </c>
      <c r="B5" s="38" t="s">
        <v>84</v>
      </c>
      <c r="C5" s="38" t="s">
        <v>1016</v>
      </c>
      <c r="D5" s="38" t="s">
        <v>1017</v>
      </c>
      <c r="E5" s="38"/>
      <c r="F5" s="38"/>
      <c r="G5" s="38" t="s">
        <v>4</v>
      </c>
      <c r="H5" s="38">
        <v>11350</v>
      </c>
      <c r="I5" s="38">
        <v>7.8559999999999999</v>
      </c>
      <c r="J5" s="38" t="s">
        <v>1018</v>
      </c>
      <c r="K5" s="38" t="s">
        <v>193</v>
      </c>
      <c r="L5" s="38" t="s">
        <v>195</v>
      </c>
      <c r="M5" s="38" t="s">
        <v>196</v>
      </c>
      <c r="N5" s="38" t="s">
        <v>198</v>
      </c>
      <c r="O5" s="38" t="s">
        <v>275</v>
      </c>
      <c r="P5" s="38" t="s">
        <v>979</v>
      </c>
      <c r="Q5" s="38" t="s">
        <v>865</v>
      </c>
      <c r="R5" s="38" t="s">
        <v>1000</v>
      </c>
      <c r="S5" s="38" t="s">
        <v>1001</v>
      </c>
      <c r="T5" s="38" t="s">
        <v>864</v>
      </c>
      <c r="U5" s="38" t="s">
        <v>974</v>
      </c>
      <c r="V5" s="38">
        <v>16</v>
      </c>
      <c r="W5" s="38" t="s">
        <v>716</v>
      </c>
      <c r="X5" s="38">
        <v>1</v>
      </c>
      <c r="Y5" s="38">
        <v>1</v>
      </c>
      <c r="Z5" s="38">
        <v>0</v>
      </c>
      <c r="AA5" s="38" t="s">
        <v>1002</v>
      </c>
      <c r="AB5" s="38" t="s">
        <v>973</v>
      </c>
      <c r="AC5" s="38" t="s">
        <v>1003</v>
      </c>
      <c r="AD5" s="38" t="s">
        <v>994</v>
      </c>
      <c r="AE5" s="38" t="s">
        <v>1004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>
        <v>1</v>
      </c>
      <c r="BA5" s="38" t="s">
        <v>1019</v>
      </c>
      <c r="BB5" s="66"/>
      <c r="BC5" s="38" t="s">
        <v>4</v>
      </c>
      <c r="BD5" s="66" t="s">
        <v>980</v>
      </c>
      <c r="BE5" s="38" t="s">
        <v>5</v>
      </c>
      <c r="BF5" s="66" t="s">
        <v>975</v>
      </c>
      <c r="BG5" s="38" t="s">
        <v>6</v>
      </c>
      <c r="BH5" s="38" t="s">
        <v>976</v>
      </c>
      <c r="BI5" s="38"/>
      <c r="BJ5" s="38" t="s">
        <v>977</v>
      </c>
      <c r="BK5" s="38"/>
      <c r="BL5" s="38" t="s">
        <v>870</v>
      </c>
      <c r="BM5" s="38"/>
      <c r="BN5" s="38" t="s">
        <v>595</v>
      </c>
      <c r="BO5" s="38" t="s">
        <v>534</v>
      </c>
      <c r="BP5" s="38" t="s">
        <v>534</v>
      </c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 t="s">
        <v>84</v>
      </c>
      <c r="C6" s="38" t="s">
        <v>1002</v>
      </c>
      <c r="D6" s="38" t="s">
        <v>1006</v>
      </c>
      <c r="E6" s="38" t="s">
        <v>1007</v>
      </c>
      <c r="F6" s="38" t="s">
        <v>1008</v>
      </c>
      <c r="G6" s="38" t="s">
        <v>4</v>
      </c>
      <c r="H6" s="38"/>
      <c r="I6" s="38">
        <v>7.8559999999999999</v>
      </c>
      <c r="J6" s="38" t="s">
        <v>973</v>
      </c>
      <c r="K6" s="38" t="s">
        <v>193</v>
      </c>
      <c r="L6" s="38" t="s">
        <v>195</v>
      </c>
      <c r="M6" s="38" t="s">
        <v>196</v>
      </c>
      <c r="N6" s="38" t="s">
        <v>198</v>
      </c>
      <c r="O6" s="38" t="s">
        <v>275</v>
      </c>
      <c r="P6" s="38" t="s">
        <v>979</v>
      </c>
      <c r="Q6" s="38" t="s">
        <v>865</v>
      </c>
      <c r="R6" s="38" t="s">
        <v>1000</v>
      </c>
      <c r="S6" s="38" t="s">
        <v>1001</v>
      </c>
      <c r="T6" s="38"/>
      <c r="U6" s="38" t="s">
        <v>974</v>
      </c>
      <c r="V6" s="38">
        <v>16</v>
      </c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 t="s">
        <v>1009</v>
      </c>
      <c r="AH6" s="38">
        <v>2.54</v>
      </c>
      <c r="AI6" s="38"/>
      <c r="AJ6" s="38"/>
      <c r="AK6" s="38" t="s">
        <v>1010</v>
      </c>
      <c r="AL6" s="38" t="s">
        <v>1011</v>
      </c>
      <c r="AM6" s="38"/>
      <c r="AN6" s="38" t="s">
        <v>973</v>
      </c>
      <c r="AO6" s="38"/>
      <c r="AP6" s="38" t="s">
        <v>973</v>
      </c>
      <c r="AQ6" s="38" t="s">
        <v>973</v>
      </c>
      <c r="AR6" s="38" t="s">
        <v>973</v>
      </c>
      <c r="AS6" s="38"/>
      <c r="AT6" s="38">
        <v>394</v>
      </c>
      <c r="AU6" s="38"/>
      <c r="AV6" s="38" t="s">
        <v>973</v>
      </c>
      <c r="AW6" s="38" t="s">
        <v>973</v>
      </c>
      <c r="AX6" s="38" t="s">
        <v>973</v>
      </c>
      <c r="AY6" s="38" t="s">
        <v>973</v>
      </c>
      <c r="AZ6" s="38">
        <v>1</v>
      </c>
      <c r="BA6" s="38" t="s">
        <v>1019</v>
      </c>
      <c r="BB6" s="66"/>
      <c r="BC6" s="38" t="s">
        <v>4</v>
      </c>
      <c r="BD6" s="66" t="s">
        <v>980</v>
      </c>
      <c r="BE6" s="38" t="s">
        <v>16</v>
      </c>
      <c r="BF6" s="66" t="s">
        <v>1012</v>
      </c>
      <c r="BG6" s="38" t="s">
        <v>24</v>
      </c>
      <c r="BH6" s="38" t="s">
        <v>1013</v>
      </c>
      <c r="BI6" s="38"/>
      <c r="BJ6" s="38" t="s">
        <v>977</v>
      </c>
      <c r="BK6" s="38"/>
      <c r="BL6" s="38" t="s">
        <v>869</v>
      </c>
      <c r="BM6" s="38" t="s">
        <v>539</v>
      </c>
      <c r="BN6" s="38" t="s">
        <v>595</v>
      </c>
      <c r="BO6" s="38" t="s">
        <v>534</v>
      </c>
      <c r="BP6" s="38" t="s">
        <v>534</v>
      </c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hidden="1" x14ac:dyDescent="0.2">
      <c r="A7" s="38"/>
      <c r="B7" s="38" t="s">
        <v>978</v>
      </c>
      <c r="C7" s="38" t="s">
        <v>1014</v>
      </c>
      <c r="D7" s="38" t="s">
        <v>1015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66"/>
      <c r="BC7" s="38"/>
      <c r="BD7" s="66"/>
      <c r="BE7" s="38"/>
      <c r="BF7" s="66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 t="s">
        <v>996</v>
      </c>
      <c r="B8" s="38" t="s">
        <v>84</v>
      </c>
      <c r="C8" s="38" t="s">
        <v>1020</v>
      </c>
      <c r="D8" s="38" t="s">
        <v>1021</v>
      </c>
      <c r="E8" s="38"/>
      <c r="F8" s="38"/>
      <c r="G8" s="38" t="s">
        <v>4</v>
      </c>
      <c r="H8" s="38">
        <v>8100</v>
      </c>
      <c r="I8" s="38">
        <v>7.8559999999999999</v>
      </c>
      <c r="J8" s="38" t="s">
        <v>1022</v>
      </c>
      <c r="K8" s="38" t="s">
        <v>193</v>
      </c>
      <c r="L8" s="38" t="s">
        <v>195</v>
      </c>
      <c r="M8" s="38" t="s">
        <v>196</v>
      </c>
      <c r="N8" s="38" t="s">
        <v>198</v>
      </c>
      <c r="O8" s="38" t="s">
        <v>275</v>
      </c>
      <c r="P8" s="38" t="s">
        <v>979</v>
      </c>
      <c r="Q8" s="38" t="s">
        <v>865</v>
      </c>
      <c r="R8" s="38" t="s">
        <v>1000</v>
      </c>
      <c r="S8" s="38" t="s">
        <v>1001</v>
      </c>
      <c r="T8" s="38" t="s">
        <v>864</v>
      </c>
      <c r="U8" s="38" t="s">
        <v>974</v>
      </c>
      <c r="V8" s="38">
        <v>16</v>
      </c>
      <c r="W8" s="38" t="s">
        <v>716</v>
      </c>
      <c r="X8" s="38">
        <v>1</v>
      </c>
      <c r="Y8" s="38">
        <v>1</v>
      </c>
      <c r="Z8" s="38">
        <v>0</v>
      </c>
      <c r="AA8" s="38" t="s">
        <v>1002</v>
      </c>
      <c r="AB8" s="38" t="s">
        <v>973</v>
      </c>
      <c r="AC8" s="38" t="s">
        <v>1003</v>
      </c>
      <c r="AD8" s="38" t="s">
        <v>994</v>
      </c>
      <c r="AE8" s="38" t="s">
        <v>1004</v>
      </c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>
        <v>2</v>
      </c>
      <c r="BA8" s="38" t="s">
        <v>1023</v>
      </c>
      <c r="BB8" s="66"/>
      <c r="BC8" s="38" t="s">
        <v>4</v>
      </c>
      <c r="BD8" s="66" t="s">
        <v>980</v>
      </c>
      <c r="BE8" s="38" t="s">
        <v>5</v>
      </c>
      <c r="BF8" s="66" t="s">
        <v>975</v>
      </c>
      <c r="BG8" s="38" t="s">
        <v>6</v>
      </c>
      <c r="BH8" s="38" t="s">
        <v>976</v>
      </c>
      <c r="BI8" s="38"/>
      <c r="BJ8" s="38" t="s">
        <v>977</v>
      </c>
      <c r="BK8" s="38"/>
      <c r="BL8" s="38" t="s">
        <v>870</v>
      </c>
      <c r="BM8" s="38"/>
      <c r="BN8" s="38" t="s">
        <v>595</v>
      </c>
      <c r="BO8" s="38" t="s">
        <v>534</v>
      </c>
      <c r="BP8" s="38" t="s">
        <v>534</v>
      </c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hidden="1" x14ac:dyDescent="0.2">
      <c r="A9" s="38"/>
      <c r="B9" s="38" t="s">
        <v>84</v>
      </c>
      <c r="C9" s="38" t="s">
        <v>1002</v>
      </c>
      <c r="D9" s="38" t="s">
        <v>1006</v>
      </c>
      <c r="E9" s="38" t="s">
        <v>1007</v>
      </c>
      <c r="F9" s="38" t="s">
        <v>1008</v>
      </c>
      <c r="G9" s="38" t="s">
        <v>4</v>
      </c>
      <c r="H9" s="38"/>
      <c r="I9" s="38">
        <v>7.8559999999999999</v>
      </c>
      <c r="J9" s="38" t="s">
        <v>973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979</v>
      </c>
      <c r="Q9" s="38" t="s">
        <v>865</v>
      </c>
      <c r="R9" s="38" t="s">
        <v>1000</v>
      </c>
      <c r="S9" s="38" t="s">
        <v>1001</v>
      </c>
      <c r="T9" s="38"/>
      <c r="U9" s="38" t="s">
        <v>974</v>
      </c>
      <c r="V9" s="38">
        <v>16</v>
      </c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 t="s">
        <v>1009</v>
      </c>
      <c r="AH9" s="38">
        <v>2.54</v>
      </c>
      <c r="AI9" s="38"/>
      <c r="AJ9" s="38"/>
      <c r="AK9" s="38" t="s">
        <v>1010</v>
      </c>
      <c r="AL9" s="38" t="s">
        <v>1011</v>
      </c>
      <c r="AM9" s="38"/>
      <c r="AN9" s="38" t="s">
        <v>973</v>
      </c>
      <c r="AO9" s="38"/>
      <c r="AP9" s="38" t="s">
        <v>973</v>
      </c>
      <c r="AQ9" s="38" t="s">
        <v>973</v>
      </c>
      <c r="AR9" s="38" t="s">
        <v>973</v>
      </c>
      <c r="AS9" s="38"/>
      <c r="AT9" s="38">
        <v>394</v>
      </c>
      <c r="AU9" s="38"/>
      <c r="AV9" s="38" t="s">
        <v>973</v>
      </c>
      <c r="AW9" s="38" t="s">
        <v>973</v>
      </c>
      <c r="AX9" s="38" t="s">
        <v>973</v>
      </c>
      <c r="AY9" s="38" t="s">
        <v>973</v>
      </c>
      <c r="AZ9" s="38">
        <v>1</v>
      </c>
      <c r="BA9" s="38" t="s">
        <v>1023</v>
      </c>
      <c r="BB9" s="66"/>
      <c r="BC9" s="38" t="s">
        <v>4</v>
      </c>
      <c r="BD9" s="66" t="s">
        <v>980</v>
      </c>
      <c r="BE9" s="38" t="s">
        <v>16</v>
      </c>
      <c r="BF9" s="66" t="s">
        <v>1012</v>
      </c>
      <c r="BG9" s="38" t="s">
        <v>24</v>
      </c>
      <c r="BH9" s="38" t="s">
        <v>1013</v>
      </c>
      <c r="BI9" s="38"/>
      <c r="BJ9" s="38" t="s">
        <v>977</v>
      </c>
      <c r="BK9" s="38"/>
      <c r="BL9" s="38" t="s">
        <v>869</v>
      </c>
      <c r="BM9" s="38" t="s">
        <v>539</v>
      </c>
      <c r="BN9" s="38" t="s">
        <v>595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978</v>
      </c>
      <c r="C10" s="38" t="s">
        <v>1014</v>
      </c>
      <c r="D10" s="38" t="s">
        <v>1015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hidden="1" x14ac:dyDescent="0.2">
      <c r="A11" s="38" t="s">
        <v>996</v>
      </c>
      <c r="B11" s="38" t="s">
        <v>84</v>
      </c>
      <c r="C11" s="38" t="s">
        <v>1024</v>
      </c>
      <c r="D11" s="38" t="s">
        <v>1025</v>
      </c>
      <c r="E11" s="38"/>
      <c r="F11" s="38"/>
      <c r="G11" s="38" t="s">
        <v>4</v>
      </c>
      <c r="H11" s="38">
        <v>11500</v>
      </c>
      <c r="I11" s="38">
        <v>7.8559999999999999</v>
      </c>
      <c r="J11" s="38" t="s">
        <v>1026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979</v>
      </c>
      <c r="Q11" s="38" t="s">
        <v>865</v>
      </c>
      <c r="R11" s="38" t="s">
        <v>1000</v>
      </c>
      <c r="S11" s="38" t="s">
        <v>1001</v>
      </c>
      <c r="T11" s="38" t="s">
        <v>864</v>
      </c>
      <c r="U11" s="38" t="s">
        <v>974</v>
      </c>
      <c r="V11" s="38">
        <v>16</v>
      </c>
      <c r="W11" s="38" t="s">
        <v>716</v>
      </c>
      <c r="X11" s="38">
        <v>1</v>
      </c>
      <c r="Y11" s="38">
        <v>1</v>
      </c>
      <c r="Z11" s="38">
        <v>0</v>
      </c>
      <c r="AA11" s="38" t="s">
        <v>1002</v>
      </c>
      <c r="AB11" s="38" t="s">
        <v>973</v>
      </c>
      <c r="AC11" s="38" t="s">
        <v>1003</v>
      </c>
      <c r="AD11" s="38" t="s">
        <v>994</v>
      </c>
      <c r="AE11" s="38" t="s">
        <v>1004</v>
      </c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>
        <v>3</v>
      </c>
      <c r="BA11" s="38" t="s">
        <v>1027</v>
      </c>
      <c r="BB11" s="66"/>
      <c r="BC11" s="38" t="s">
        <v>4</v>
      </c>
      <c r="BD11" s="66" t="s">
        <v>980</v>
      </c>
      <c r="BE11" s="38" t="s">
        <v>5</v>
      </c>
      <c r="BF11" s="66" t="s">
        <v>975</v>
      </c>
      <c r="BG11" s="38" t="s">
        <v>6</v>
      </c>
      <c r="BH11" s="38" t="s">
        <v>976</v>
      </c>
      <c r="BI11" s="38"/>
      <c r="BJ11" s="38" t="s">
        <v>977</v>
      </c>
      <c r="BK11" s="38"/>
      <c r="BL11" s="38" t="s">
        <v>870</v>
      </c>
      <c r="BM11" s="38"/>
      <c r="BN11" s="38" t="s">
        <v>595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84</v>
      </c>
      <c r="C12" s="38" t="s">
        <v>1002</v>
      </c>
      <c r="D12" s="38" t="s">
        <v>1006</v>
      </c>
      <c r="E12" s="38" t="s">
        <v>1007</v>
      </c>
      <c r="F12" s="38" t="s">
        <v>1008</v>
      </c>
      <c r="G12" s="38" t="s">
        <v>4</v>
      </c>
      <c r="H12" s="38"/>
      <c r="I12" s="38">
        <v>7.8559999999999999</v>
      </c>
      <c r="J12" s="38" t="s">
        <v>973</v>
      </c>
      <c r="K12" s="38" t="s">
        <v>193</v>
      </c>
      <c r="L12" s="38" t="s">
        <v>195</v>
      </c>
      <c r="M12" s="38" t="s">
        <v>196</v>
      </c>
      <c r="N12" s="38" t="s">
        <v>198</v>
      </c>
      <c r="O12" s="38" t="s">
        <v>275</v>
      </c>
      <c r="P12" s="38" t="s">
        <v>979</v>
      </c>
      <c r="Q12" s="38" t="s">
        <v>865</v>
      </c>
      <c r="R12" s="38" t="s">
        <v>1000</v>
      </c>
      <c r="S12" s="38" t="s">
        <v>1001</v>
      </c>
      <c r="T12" s="38"/>
      <c r="U12" s="38" t="s">
        <v>974</v>
      </c>
      <c r="V12" s="38">
        <v>16</v>
      </c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 t="s">
        <v>1009</v>
      </c>
      <c r="AH12" s="38">
        <v>2.54</v>
      </c>
      <c r="AI12" s="38"/>
      <c r="AJ12" s="38"/>
      <c r="AK12" s="38" t="s">
        <v>1010</v>
      </c>
      <c r="AL12" s="38" t="s">
        <v>1011</v>
      </c>
      <c r="AM12" s="38"/>
      <c r="AN12" s="38" t="s">
        <v>973</v>
      </c>
      <c r="AO12" s="38"/>
      <c r="AP12" s="38" t="s">
        <v>973</v>
      </c>
      <c r="AQ12" s="38" t="s">
        <v>973</v>
      </c>
      <c r="AR12" s="38" t="s">
        <v>973</v>
      </c>
      <c r="AS12" s="38"/>
      <c r="AT12" s="38">
        <v>394</v>
      </c>
      <c r="AU12" s="38"/>
      <c r="AV12" s="38" t="s">
        <v>973</v>
      </c>
      <c r="AW12" s="38" t="s">
        <v>973</v>
      </c>
      <c r="AX12" s="38" t="s">
        <v>973</v>
      </c>
      <c r="AY12" s="38" t="s">
        <v>973</v>
      </c>
      <c r="AZ12" s="38">
        <v>1</v>
      </c>
      <c r="BA12" s="38" t="s">
        <v>1027</v>
      </c>
      <c r="BB12" s="66"/>
      <c r="BC12" s="38" t="s">
        <v>4</v>
      </c>
      <c r="BD12" s="66" t="s">
        <v>980</v>
      </c>
      <c r="BE12" s="38" t="s">
        <v>16</v>
      </c>
      <c r="BF12" s="66" t="s">
        <v>1012</v>
      </c>
      <c r="BG12" s="38" t="s">
        <v>24</v>
      </c>
      <c r="BH12" s="38" t="s">
        <v>1013</v>
      </c>
      <c r="BI12" s="38"/>
      <c r="BJ12" s="38" t="s">
        <v>977</v>
      </c>
      <c r="BK12" s="38"/>
      <c r="BL12" s="38" t="s">
        <v>869</v>
      </c>
      <c r="BM12" s="38" t="s">
        <v>539</v>
      </c>
      <c r="BN12" s="38" t="s">
        <v>595</v>
      </c>
      <c r="BO12" s="38" t="s">
        <v>534</v>
      </c>
      <c r="BP12" s="38" t="s">
        <v>534</v>
      </c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hidden="1" x14ac:dyDescent="0.2">
      <c r="A13" s="38"/>
      <c r="B13" s="38" t="s">
        <v>978</v>
      </c>
      <c r="C13" s="38" t="s">
        <v>1014</v>
      </c>
      <c r="D13" s="38" t="s">
        <v>1015</v>
      </c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hidden="1" x14ac:dyDescent="0.2">
      <c r="A14" s="38" t="s">
        <v>996</v>
      </c>
      <c r="B14" s="38" t="s">
        <v>84</v>
      </c>
      <c r="C14" s="38" t="s">
        <v>1028</v>
      </c>
      <c r="D14" s="38" t="s">
        <v>1029</v>
      </c>
      <c r="E14" s="38"/>
      <c r="F14" s="38"/>
      <c r="G14" s="38" t="s">
        <v>4</v>
      </c>
      <c r="H14" s="38">
        <v>11805</v>
      </c>
      <c r="I14" s="38">
        <v>7.8559999999999999</v>
      </c>
      <c r="J14" s="38" t="s">
        <v>1030</v>
      </c>
      <c r="K14" s="38" t="s">
        <v>193</v>
      </c>
      <c r="L14" s="38" t="s">
        <v>195</v>
      </c>
      <c r="M14" s="38" t="s">
        <v>196</v>
      </c>
      <c r="N14" s="38" t="s">
        <v>198</v>
      </c>
      <c r="O14" s="38" t="s">
        <v>275</v>
      </c>
      <c r="P14" s="38" t="s">
        <v>979</v>
      </c>
      <c r="Q14" s="38" t="s">
        <v>865</v>
      </c>
      <c r="R14" s="38" t="s">
        <v>1000</v>
      </c>
      <c r="S14" s="38" t="s">
        <v>1001</v>
      </c>
      <c r="T14" s="38" t="s">
        <v>864</v>
      </c>
      <c r="U14" s="38" t="s">
        <v>974</v>
      </c>
      <c r="V14" s="38">
        <v>16</v>
      </c>
      <c r="W14" s="38" t="s">
        <v>716</v>
      </c>
      <c r="X14" s="38">
        <v>1</v>
      </c>
      <c r="Y14" s="38">
        <v>1</v>
      </c>
      <c r="Z14" s="38">
        <v>0</v>
      </c>
      <c r="AA14" s="38" t="s">
        <v>1002</v>
      </c>
      <c r="AB14" s="38" t="s">
        <v>973</v>
      </c>
      <c r="AC14" s="38" t="s">
        <v>1003</v>
      </c>
      <c r="AD14" s="38" t="s">
        <v>994</v>
      </c>
      <c r="AE14" s="38" t="s">
        <v>1004</v>
      </c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>
        <v>4</v>
      </c>
      <c r="BA14" s="38" t="s">
        <v>1031</v>
      </c>
      <c r="BB14" s="66"/>
      <c r="BC14" s="38" t="s">
        <v>4</v>
      </c>
      <c r="BD14" s="66" t="s">
        <v>980</v>
      </c>
      <c r="BE14" s="38" t="s">
        <v>5</v>
      </c>
      <c r="BF14" s="66" t="s">
        <v>975</v>
      </c>
      <c r="BG14" s="38" t="s">
        <v>6</v>
      </c>
      <c r="BH14" s="38" t="s">
        <v>976</v>
      </c>
      <c r="BI14" s="38"/>
      <c r="BJ14" s="38" t="s">
        <v>977</v>
      </c>
      <c r="BK14" s="38"/>
      <c r="BL14" s="38" t="s">
        <v>870</v>
      </c>
      <c r="BM14" s="38"/>
      <c r="BN14" s="38" t="s">
        <v>595</v>
      </c>
      <c r="BO14" s="38" t="s">
        <v>534</v>
      </c>
      <c r="BP14" s="38" t="s">
        <v>534</v>
      </c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hidden="1" x14ac:dyDescent="0.2">
      <c r="A15" s="38"/>
      <c r="B15" s="38" t="s">
        <v>84</v>
      </c>
      <c r="C15" s="38" t="s">
        <v>1002</v>
      </c>
      <c r="D15" s="38" t="s">
        <v>1006</v>
      </c>
      <c r="E15" s="38" t="s">
        <v>1007</v>
      </c>
      <c r="F15" s="38" t="s">
        <v>1008</v>
      </c>
      <c r="G15" s="38" t="s">
        <v>4</v>
      </c>
      <c r="H15" s="38"/>
      <c r="I15" s="38">
        <v>7.8559999999999999</v>
      </c>
      <c r="J15" s="38" t="s">
        <v>973</v>
      </c>
      <c r="K15" s="38" t="s">
        <v>193</v>
      </c>
      <c r="L15" s="38" t="s">
        <v>195</v>
      </c>
      <c r="M15" s="38" t="s">
        <v>196</v>
      </c>
      <c r="N15" s="38" t="s">
        <v>198</v>
      </c>
      <c r="O15" s="38" t="s">
        <v>275</v>
      </c>
      <c r="P15" s="38" t="s">
        <v>979</v>
      </c>
      <c r="Q15" s="38" t="s">
        <v>865</v>
      </c>
      <c r="R15" s="38" t="s">
        <v>1000</v>
      </c>
      <c r="S15" s="38" t="s">
        <v>1001</v>
      </c>
      <c r="T15" s="38"/>
      <c r="U15" s="38" t="s">
        <v>974</v>
      </c>
      <c r="V15" s="38">
        <v>16</v>
      </c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 t="s">
        <v>1009</v>
      </c>
      <c r="AH15" s="38">
        <v>2.54</v>
      </c>
      <c r="AI15" s="38"/>
      <c r="AJ15" s="38"/>
      <c r="AK15" s="38" t="s">
        <v>1010</v>
      </c>
      <c r="AL15" s="38" t="s">
        <v>1011</v>
      </c>
      <c r="AM15" s="38"/>
      <c r="AN15" s="38" t="s">
        <v>973</v>
      </c>
      <c r="AO15" s="38"/>
      <c r="AP15" s="38" t="s">
        <v>973</v>
      </c>
      <c r="AQ15" s="38" t="s">
        <v>973</v>
      </c>
      <c r="AR15" s="38" t="s">
        <v>973</v>
      </c>
      <c r="AS15" s="38"/>
      <c r="AT15" s="38">
        <v>394</v>
      </c>
      <c r="AU15" s="38"/>
      <c r="AV15" s="38" t="s">
        <v>973</v>
      </c>
      <c r="AW15" s="38" t="s">
        <v>973</v>
      </c>
      <c r="AX15" s="38" t="s">
        <v>973</v>
      </c>
      <c r="AY15" s="38" t="s">
        <v>973</v>
      </c>
      <c r="AZ15" s="38">
        <v>1</v>
      </c>
      <c r="BA15" s="38" t="s">
        <v>1031</v>
      </c>
      <c r="BB15" s="66"/>
      <c r="BC15" s="38" t="s">
        <v>4</v>
      </c>
      <c r="BD15" s="66" t="s">
        <v>980</v>
      </c>
      <c r="BE15" s="38" t="s">
        <v>16</v>
      </c>
      <c r="BF15" s="66" t="s">
        <v>1012</v>
      </c>
      <c r="BG15" s="38" t="s">
        <v>24</v>
      </c>
      <c r="BH15" s="38" t="s">
        <v>1013</v>
      </c>
      <c r="BI15" s="38"/>
      <c r="BJ15" s="38" t="s">
        <v>977</v>
      </c>
      <c r="BK15" s="38"/>
      <c r="BL15" s="38" t="s">
        <v>869</v>
      </c>
      <c r="BM15" s="38" t="s">
        <v>539</v>
      </c>
      <c r="BN15" s="38" t="s">
        <v>595</v>
      </c>
      <c r="BO15" s="38" t="s">
        <v>534</v>
      </c>
      <c r="BP15" s="38" t="s">
        <v>534</v>
      </c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A16" s="38"/>
      <c r="B16" s="38" t="s">
        <v>978</v>
      </c>
      <c r="C16" s="38" t="s">
        <v>1014</v>
      </c>
      <c r="D16" s="38" t="s">
        <v>1015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66"/>
      <c r="BC16" s="38"/>
      <c r="BD16" s="66"/>
      <c r="BE16" s="38"/>
      <c r="BF16" s="66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:133" hidden="1" x14ac:dyDescent="0.2">
      <c r="A17" s="38" t="s">
        <v>1032</v>
      </c>
      <c r="B17" s="38" t="s">
        <v>84</v>
      </c>
      <c r="C17" s="38" t="s">
        <v>1033</v>
      </c>
      <c r="D17" s="38" t="s">
        <v>1034</v>
      </c>
      <c r="E17" s="38"/>
      <c r="F17" s="38"/>
      <c r="G17" s="38" t="s">
        <v>4</v>
      </c>
      <c r="H17" s="38">
        <v>9547</v>
      </c>
      <c r="I17" s="38">
        <v>8.7620000000000005</v>
      </c>
      <c r="J17" s="38" t="s">
        <v>1035</v>
      </c>
      <c r="K17" s="38" t="s">
        <v>193</v>
      </c>
      <c r="L17" s="38" t="s">
        <v>195</v>
      </c>
      <c r="M17" s="38" t="s">
        <v>196</v>
      </c>
      <c r="N17" s="38" t="s">
        <v>198</v>
      </c>
      <c r="O17" s="38" t="s">
        <v>275</v>
      </c>
      <c r="P17" s="38" t="s">
        <v>979</v>
      </c>
      <c r="Q17" s="38" t="s">
        <v>865</v>
      </c>
      <c r="R17" s="38" t="s">
        <v>1000</v>
      </c>
      <c r="S17" s="38" t="s">
        <v>1001</v>
      </c>
      <c r="T17" s="38" t="s">
        <v>864</v>
      </c>
      <c r="U17" s="38" t="s">
        <v>974</v>
      </c>
      <c r="V17" s="38">
        <v>16</v>
      </c>
      <c r="W17" s="38" t="s">
        <v>716</v>
      </c>
      <c r="X17" s="38">
        <v>1</v>
      </c>
      <c r="Y17" s="38">
        <v>1</v>
      </c>
      <c r="Z17" s="38">
        <v>0</v>
      </c>
      <c r="AA17" s="38" t="s">
        <v>1036</v>
      </c>
      <c r="AB17" s="38" t="s">
        <v>973</v>
      </c>
      <c r="AC17" s="38" t="s">
        <v>1003</v>
      </c>
      <c r="AD17" s="38" t="s">
        <v>994</v>
      </c>
      <c r="AE17" s="38" t="s">
        <v>1004</v>
      </c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>
        <v>0</v>
      </c>
      <c r="BA17" s="38" t="s">
        <v>1037</v>
      </c>
      <c r="BB17" s="66"/>
      <c r="BC17" s="38" t="s">
        <v>4</v>
      </c>
      <c r="BD17" s="66" t="s">
        <v>980</v>
      </c>
      <c r="BE17" s="38" t="s">
        <v>5</v>
      </c>
      <c r="BF17" s="66" t="s">
        <v>975</v>
      </c>
      <c r="BG17" s="38" t="s">
        <v>6</v>
      </c>
      <c r="BH17" s="38" t="s">
        <v>976</v>
      </c>
      <c r="BI17" s="38"/>
      <c r="BJ17" s="38" t="s">
        <v>977</v>
      </c>
      <c r="BK17" s="38"/>
      <c r="BL17" s="38" t="s">
        <v>870</v>
      </c>
      <c r="BM17" s="38"/>
      <c r="BN17" s="38" t="s">
        <v>602</v>
      </c>
      <c r="BO17" s="38" t="s">
        <v>534</v>
      </c>
      <c r="BP17" s="38" t="s">
        <v>534</v>
      </c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:133" hidden="1" x14ac:dyDescent="0.2">
      <c r="A18" s="38"/>
      <c r="B18" s="38" t="s">
        <v>84</v>
      </c>
      <c r="C18" s="38" t="s">
        <v>1036</v>
      </c>
      <c r="D18" s="38" t="s">
        <v>1038</v>
      </c>
      <c r="E18" s="38" t="s">
        <v>1039</v>
      </c>
      <c r="F18" s="38" t="s">
        <v>1040</v>
      </c>
      <c r="G18" s="38" t="s">
        <v>4</v>
      </c>
      <c r="H18" s="38"/>
      <c r="I18" s="38">
        <v>8.7620000000000005</v>
      </c>
      <c r="J18" s="38" t="s">
        <v>973</v>
      </c>
      <c r="K18" s="38" t="s">
        <v>193</v>
      </c>
      <c r="L18" s="38" t="s">
        <v>195</v>
      </c>
      <c r="M18" s="38" t="s">
        <v>196</v>
      </c>
      <c r="N18" s="38" t="s">
        <v>198</v>
      </c>
      <c r="O18" s="38" t="s">
        <v>275</v>
      </c>
      <c r="P18" s="38" t="s">
        <v>979</v>
      </c>
      <c r="Q18" s="38" t="s">
        <v>865</v>
      </c>
      <c r="R18" s="38" t="s">
        <v>1000</v>
      </c>
      <c r="S18" s="38" t="s">
        <v>1001</v>
      </c>
      <c r="T18" s="38"/>
      <c r="U18" s="38" t="s">
        <v>974</v>
      </c>
      <c r="V18" s="38">
        <v>16</v>
      </c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 t="s">
        <v>1041</v>
      </c>
      <c r="AH18" s="38">
        <v>2.8400000000000003</v>
      </c>
      <c r="AI18" s="38"/>
      <c r="AJ18" s="38"/>
      <c r="AK18" s="38" t="s">
        <v>1042</v>
      </c>
      <c r="AL18" s="38" t="s">
        <v>1043</v>
      </c>
      <c r="AM18" s="38"/>
      <c r="AN18" s="38" t="s">
        <v>973</v>
      </c>
      <c r="AO18" s="38"/>
      <c r="AP18" s="38" t="s">
        <v>973</v>
      </c>
      <c r="AQ18" s="38" t="s">
        <v>973</v>
      </c>
      <c r="AR18" s="38" t="s">
        <v>973</v>
      </c>
      <c r="AS18" s="38"/>
      <c r="AT18" s="38">
        <v>393</v>
      </c>
      <c r="AU18" s="38"/>
      <c r="AV18" s="38" t="s">
        <v>973</v>
      </c>
      <c r="AW18" s="38" t="s">
        <v>973</v>
      </c>
      <c r="AX18" s="38" t="s">
        <v>973</v>
      </c>
      <c r="AY18" s="38" t="s">
        <v>973</v>
      </c>
      <c r="AZ18" s="38">
        <v>6</v>
      </c>
      <c r="BA18" s="38" t="s">
        <v>1037</v>
      </c>
      <c r="BB18" s="66"/>
      <c r="BC18" s="38" t="s">
        <v>4</v>
      </c>
      <c r="BD18" s="66" t="s">
        <v>980</v>
      </c>
      <c r="BE18" s="38" t="s">
        <v>16</v>
      </c>
      <c r="BF18" s="66" t="s">
        <v>1012</v>
      </c>
      <c r="BG18" s="38" t="s">
        <v>24</v>
      </c>
      <c r="BH18" s="38" t="s">
        <v>1013</v>
      </c>
      <c r="BI18" s="38"/>
      <c r="BJ18" s="38" t="s">
        <v>977</v>
      </c>
      <c r="BK18" s="38"/>
      <c r="BL18" s="38" t="s">
        <v>869</v>
      </c>
      <c r="BM18" s="38" t="s">
        <v>539</v>
      </c>
      <c r="BN18" s="38" t="s">
        <v>602</v>
      </c>
      <c r="BO18" s="38" t="s">
        <v>534</v>
      </c>
      <c r="BP18" s="38" t="s">
        <v>534</v>
      </c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:133" hidden="1" x14ac:dyDescent="0.2">
      <c r="A19" s="38"/>
      <c r="B19" s="38" t="s">
        <v>978</v>
      </c>
      <c r="C19" s="38" t="s">
        <v>1044</v>
      </c>
      <c r="D19" s="38" t="s">
        <v>1045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66"/>
      <c r="BC19" s="38"/>
      <c r="BD19" s="66"/>
      <c r="BE19" s="38"/>
      <c r="BF19" s="66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:133" hidden="1" x14ac:dyDescent="0.2">
      <c r="A20" s="38" t="s">
        <v>1032</v>
      </c>
      <c r="B20" s="38" t="s">
        <v>84</v>
      </c>
      <c r="C20" s="38" t="s">
        <v>1046</v>
      </c>
      <c r="D20" s="38" t="s">
        <v>1047</v>
      </c>
      <c r="E20" s="38"/>
      <c r="F20" s="38"/>
      <c r="G20" s="38" t="s">
        <v>4</v>
      </c>
      <c r="H20" s="38">
        <v>9606</v>
      </c>
      <c r="I20" s="38">
        <v>8.7620000000000005</v>
      </c>
      <c r="J20" s="38" t="s">
        <v>1048</v>
      </c>
      <c r="K20" s="38" t="s">
        <v>193</v>
      </c>
      <c r="L20" s="38" t="s">
        <v>195</v>
      </c>
      <c r="M20" s="38" t="s">
        <v>196</v>
      </c>
      <c r="N20" s="38" t="s">
        <v>198</v>
      </c>
      <c r="O20" s="38" t="s">
        <v>275</v>
      </c>
      <c r="P20" s="38" t="s">
        <v>979</v>
      </c>
      <c r="Q20" s="38" t="s">
        <v>865</v>
      </c>
      <c r="R20" s="38" t="s">
        <v>1000</v>
      </c>
      <c r="S20" s="38" t="s">
        <v>1001</v>
      </c>
      <c r="T20" s="38" t="s">
        <v>864</v>
      </c>
      <c r="U20" s="38" t="s">
        <v>974</v>
      </c>
      <c r="V20" s="38">
        <v>16</v>
      </c>
      <c r="W20" s="38" t="s">
        <v>716</v>
      </c>
      <c r="X20" s="38">
        <v>1</v>
      </c>
      <c r="Y20" s="38">
        <v>1</v>
      </c>
      <c r="Z20" s="38">
        <v>0</v>
      </c>
      <c r="AA20" s="38" t="s">
        <v>1036</v>
      </c>
      <c r="AB20" s="38" t="s">
        <v>973</v>
      </c>
      <c r="AC20" s="38" t="s">
        <v>1003</v>
      </c>
      <c r="AD20" s="38" t="s">
        <v>994</v>
      </c>
      <c r="AE20" s="38" t="s">
        <v>1004</v>
      </c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>
        <v>1</v>
      </c>
      <c r="BA20" s="38" t="s">
        <v>1049</v>
      </c>
      <c r="BB20" s="66"/>
      <c r="BC20" s="38" t="s">
        <v>4</v>
      </c>
      <c r="BD20" s="66" t="s">
        <v>980</v>
      </c>
      <c r="BE20" s="38" t="s">
        <v>5</v>
      </c>
      <c r="BF20" s="66" t="s">
        <v>975</v>
      </c>
      <c r="BG20" s="38" t="s">
        <v>6</v>
      </c>
      <c r="BH20" s="38" t="s">
        <v>976</v>
      </c>
      <c r="BI20" s="38"/>
      <c r="BJ20" s="38" t="s">
        <v>977</v>
      </c>
      <c r="BK20" s="38"/>
      <c r="BL20" s="38" t="s">
        <v>870</v>
      </c>
      <c r="BM20" s="38"/>
      <c r="BN20" s="38" t="s">
        <v>602</v>
      </c>
      <c r="BO20" s="38" t="s">
        <v>534</v>
      </c>
      <c r="BP20" s="38" t="s">
        <v>534</v>
      </c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:133" hidden="1" x14ac:dyDescent="0.2">
      <c r="A21" s="38"/>
      <c r="B21" s="38" t="s">
        <v>84</v>
      </c>
      <c r="C21" s="38" t="s">
        <v>1036</v>
      </c>
      <c r="D21" s="38" t="s">
        <v>1038</v>
      </c>
      <c r="E21" s="38" t="s">
        <v>1039</v>
      </c>
      <c r="F21" s="38" t="s">
        <v>1040</v>
      </c>
      <c r="G21" s="38" t="s">
        <v>4</v>
      </c>
      <c r="H21" s="38"/>
      <c r="I21" s="38">
        <v>8.7620000000000005</v>
      </c>
      <c r="J21" s="38" t="s">
        <v>973</v>
      </c>
      <c r="K21" s="38" t="s">
        <v>193</v>
      </c>
      <c r="L21" s="38" t="s">
        <v>195</v>
      </c>
      <c r="M21" s="38" t="s">
        <v>196</v>
      </c>
      <c r="N21" s="38" t="s">
        <v>198</v>
      </c>
      <c r="O21" s="38" t="s">
        <v>275</v>
      </c>
      <c r="P21" s="38" t="s">
        <v>979</v>
      </c>
      <c r="Q21" s="38" t="s">
        <v>865</v>
      </c>
      <c r="R21" s="38" t="s">
        <v>1000</v>
      </c>
      <c r="S21" s="38" t="s">
        <v>1001</v>
      </c>
      <c r="T21" s="38"/>
      <c r="U21" s="38" t="s">
        <v>974</v>
      </c>
      <c r="V21" s="38">
        <v>16</v>
      </c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 t="s">
        <v>1041</v>
      </c>
      <c r="AH21" s="38">
        <v>2.8400000000000003</v>
      </c>
      <c r="AI21" s="38"/>
      <c r="AJ21" s="38"/>
      <c r="AK21" s="38" t="s">
        <v>1042</v>
      </c>
      <c r="AL21" s="38" t="s">
        <v>1043</v>
      </c>
      <c r="AM21" s="38"/>
      <c r="AN21" s="38" t="s">
        <v>973</v>
      </c>
      <c r="AO21" s="38"/>
      <c r="AP21" s="38" t="s">
        <v>973</v>
      </c>
      <c r="AQ21" s="38" t="s">
        <v>973</v>
      </c>
      <c r="AR21" s="38" t="s">
        <v>973</v>
      </c>
      <c r="AS21" s="38"/>
      <c r="AT21" s="38">
        <v>393</v>
      </c>
      <c r="AU21" s="38"/>
      <c r="AV21" s="38" t="s">
        <v>973</v>
      </c>
      <c r="AW21" s="38" t="s">
        <v>973</v>
      </c>
      <c r="AX21" s="38" t="s">
        <v>973</v>
      </c>
      <c r="AY21" s="38" t="s">
        <v>973</v>
      </c>
      <c r="AZ21" s="38">
        <v>6</v>
      </c>
      <c r="BA21" s="38" t="s">
        <v>1049</v>
      </c>
      <c r="BB21" s="66"/>
      <c r="BC21" s="38" t="s">
        <v>4</v>
      </c>
      <c r="BD21" s="66" t="s">
        <v>980</v>
      </c>
      <c r="BE21" s="38" t="s">
        <v>16</v>
      </c>
      <c r="BF21" s="66" t="s">
        <v>1012</v>
      </c>
      <c r="BG21" s="38" t="s">
        <v>24</v>
      </c>
      <c r="BH21" s="38" t="s">
        <v>1013</v>
      </c>
      <c r="BI21" s="38"/>
      <c r="BJ21" s="38" t="s">
        <v>977</v>
      </c>
      <c r="BK21" s="38"/>
      <c r="BL21" s="38" t="s">
        <v>869</v>
      </c>
      <c r="BM21" s="38" t="s">
        <v>539</v>
      </c>
      <c r="BN21" s="38" t="s">
        <v>602</v>
      </c>
      <c r="BO21" s="38" t="s">
        <v>534</v>
      </c>
      <c r="BP21" s="38" t="s">
        <v>534</v>
      </c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:133" hidden="1" x14ac:dyDescent="0.2">
      <c r="A22" s="38"/>
      <c r="B22" s="38" t="s">
        <v>978</v>
      </c>
      <c r="C22" s="38" t="s">
        <v>1044</v>
      </c>
      <c r="D22" s="38" t="s">
        <v>1045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66"/>
      <c r="BC22" s="38"/>
      <c r="BD22" s="66"/>
      <c r="BE22" s="38"/>
      <c r="BF22" s="66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:133" hidden="1" x14ac:dyDescent="0.2">
      <c r="A23" s="38" t="s">
        <v>1032</v>
      </c>
      <c r="B23" s="38" t="s">
        <v>84</v>
      </c>
      <c r="C23" s="38" t="s">
        <v>1050</v>
      </c>
      <c r="D23" s="38" t="s">
        <v>1051</v>
      </c>
      <c r="E23" s="38"/>
      <c r="F23" s="38"/>
      <c r="G23" s="38" t="s">
        <v>4</v>
      </c>
      <c r="H23" s="38">
        <v>8462</v>
      </c>
      <c r="I23" s="38">
        <v>8.7620000000000005</v>
      </c>
      <c r="J23" s="38" t="s">
        <v>1052</v>
      </c>
      <c r="K23" s="38" t="s">
        <v>193</v>
      </c>
      <c r="L23" s="38" t="s">
        <v>195</v>
      </c>
      <c r="M23" s="38" t="s">
        <v>196</v>
      </c>
      <c r="N23" s="38" t="s">
        <v>198</v>
      </c>
      <c r="O23" s="38" t="s">
        <v>275</v>
      </c>
      <c r="P23" s="38" t="s">
        <v>979</v>
      </c>
      <c r="Q23" s="38" t="s">
        <v>865</v>
      </c>
      <c r="R23" s="38" t="s">
        <v>1000</v>
      </c>
      <c r="S23" s="38" t="s">
        <v>1001</v>
      </c>
      <c r="T23" s="38" t="s">
        <v>864</v>
      </c>
      <c r="U23" s="38" t="s">
        <v>974</v>
      </c>
      <c r="V23" s="38">
        <v>16</v>
      </c>
      <c r="W23" s="38" t="s">
        <v>716</v>
      </c>
      <c r="X23" s="38">
        <v>1</v>
      </c>
      <c r="Y23" s="38">
        <v>1</v>
      </c>
      <c r="Z23" s="38">
        <v>0</v>
      </c>
      <c r="AA23" s="38" t="s">
        <v>1036</v>
      </c>
      <c r="AB23" s="38" t="s">
        <v>973</v>
      </c>
      <c r="AC23" s="38" t="s">
        <v>1003</v>
      </c>
      <c r="AD23" s="38" t="s">
        <v>994</v>
      </c>
      <c r="AE23" s="38" t="s">
        <v>1004</v>
      </c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>
        <v>2</v>
      </c>
      <c r="BA23" s="38" t="s">
        <v>1053</v>
      </c>
      <c r="BB23" s="66"/>
      <c r="BC23" s="38" t="s">
        <v>4</v>
      </c>
      <c r="BD23" s="66" t="s">
        <v>980</v>
      </c>
      <c r="BE23" s="38" t="s">
        <v>5</v>
      </c>
      <c r="BF23" s="66" t="s">
        <v>975</v>
      </c>
      <c r="BG23" s="38" t="s">
        <v>6</v>
      </c>
      <c r="BH23" s="38" t="s">
        <v>976</v>
      </c>
      <c r="BI23" s="38"/>
      <c r="BJ23" s="38" t="s">
        <v>977</v>
      </c>
      <c r="BK23" s="38"/>
      <c r="BL23" s="38" t="s">
        <v>870</v>
      </c>
      <c r="BM23" s="38"/>
      <c r="BN23" s="38" t="s">
        <v>602</v>
      </c>
      <c r="BO23" s="38" t="s">
        <v>534</v>
      </c>
      <c r="BP23" s="38" t="s">
        <v>534</v>
      </c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:133" hidden="1" x14ac:dyDescent="0.2">
      <c r="A24" s="38"/>
      <c r="B24" s="38" t="s">
        <v>84</v>
      </c>
      <c r="C24" s="38" t="s">
        <v>1036</v>
      </c>
      <c r="D24" s="38" t="s">
        <v>1038</v>
      </c>
      <c r="E24" s="38" t="s">
        <v>1039</v>
      </c>
      <c r="F24" s="38" t="s">
        <v>1040</v>
      </c>
      <c r="G24" s="38" t="s">
        <v>4</v>
      </c>
      <c r="H24" s="38"/>
      <c r="I24" s="38">
        <v>8.7620000000000005</v>
      </c>
      <c r="J24" s="38" t="s">
        <v>973</v>
      </c>
      <c r="K24" s="38" t="s">
        <v>193</v>
      </c>
      <c r="L24" s="38" t="s">
        <v>195</v>
      </c>
      <c r="M24" s="38" t="s">
        <v>196</v>
      </c>
      <c r="N24" s="38" t="s">
        <v>198</v>
      </c>
      <c r="O24" s="38" t="s">
        <v>275</v>
      </c>
      <c r="P24" s="38" t="s">
        <v>979</v>
      </c>
      <c r="Q24" s="38" t="s">
        <v>865</v>
      </c>
      <c r="R24" s="38" t="s">
        <v>1000</v>
      </c>
      <c r="S24" s="38" t="s">
        <v>1001</v>
      </c>
      <c r="T24" s="38"/>
      <c r="U24" s="38" t="s">
        <v>974</v>
      </c>
      <c r="V24" s="38">
        <v>16</v>
      </c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 t="s">
        <v>1041</v>
      </c>
      <c r="AH24" s="38">
        <v>2.8400000000000003</v>
      </c>
      <c r="AI24" s="38"/>
      <c r="AJ24" s="38"/>
      <c r="AK24" s="38" t="s">
        <v>1042</v>
      </c>
      <c r="AL24" s="38" t="s">
        <v>1043</v>
      </c>
      <c r="AM24" s="38"/>
      <c r="AN24" s="38" t="s">
        <v>973</v>
      </c>
      <c r="AO24" s="38"/>
      <c r="AP24" s="38" t="s">
        <v>973</v>
      </c>
      <c r="AQ24" s="38" t="s">
        <v>973</v>
      </c>
      <c r="AR24" s="38" t="s">
        <v>973</v>
      </c>
      <c r="AS24" s="38"/>
      <c r="AT24" s="38">
        <v>393</v>
      </c>
      <c r="AU24" s="38"/>
      <c r="AV24" s="38" t="s">
        <v>973</v>
      </c>
      <c r="AW24" s="38" t="s">
        <v>973</v>
      </c>
      <c r="AX24" s="38" t="s">
        <v>973</v>
      </c>
      <c r="AY24" s="38" t="s">
        <v>973</v>
      </c>
      <c r="AZ24" s="38">
        <v>6</v>
      </c>
      <c r="BA24" s="38" t="s">
        <v>1053</v>
      </c>
      <c r="BB24" s="66"/>
      <c r="BC24" s="38" t="s">
        <v>4</v>
      </c>
      <c r="BD24" s="66" t="s">
        <v>980</v>
      </c>
      <c r="BE24" s="38" t="s">
        <v>16</v>
      </c>
      <c r="BF24" s="66" t="s">
        <v>1012</v>
      </c>
      <c r="BG24" s="38" t="s">
        <v>24</v>
      </c>
      <c r="BH24" s="38" t="s">
        <v>1013</v>
      </c>
      <c r="BI24" s="38"/>
      <c r="BJ24" s="38" t="s">
        <v>977</v>
      </c>
      <c r="BK24" s="38"/>
      <c r="BL24" s="38" t="s">
        <v>869</v>
      </c>
      <c r="BM24" s="38" t="s">
        <v>539</v>
      </c>
      <c r="BN24" s="38" t="s">
        <v>602</v>
      </c>
      <c r="BO24" s="38" t="s">
        <v>534</v>
      </c>
      <c r="BP24" s="38" t="s">
        <v>534</v>
      </c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:133" hidden="1" x14ac:dyDescent="0.2">
      <c r="A25" s="38"/>
      <c r="B25" s="38" t="s">
        <v>978</v>
      </c>
      <c r="C25" s="38" t="s">
        <v>1044</v>
      </c>
      <c r="D25" s="38" t="s">
        <v>1045</v>
      </c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66"/>
      <c r="BC25" s="38"/>
      <c r="BD25" s="66"/>
      <c r="BE25" s="38"/>
      <c r="BF25" s="66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:133" hidden="1" x14ac:dyDescent="0.2">
      <c r="A26" s="38" t="s">
        <v>1032</v>
      </c>
      <c r="B26" s="38" t="s">
        <v>84</v>
      </c>
      <c r="C26" s="38" t="s">
        <v>1054</v>
      </c>
      <c r="D26" s="38" t="s">
        <v>1055</v>
      </c>
      <c r="E26" s="38"/>
      <c r="F26" s="38"/>
      <c r="G26" s="38" t="s">
        <v>4</v>
      </c>
      <c r="H26" s="38">
        <v>3908</v>
      </c>
      <c r="I26" s="38">
        <v>8.7620000000000005</v>
      </c>
      <c r="J26" s="38" t="s">
        <v>1056</v>
      </c>
      <c r="K26" s="38" t="s">
        <v>193</v>
      </c>
      <c r="L26" s="38" t="s">
        <v>195</v>
      </c>
      <c r="M26" s="38" t="s">
        <v>196</v>
      </c>
      <c r="N26" s="38" t="s">
        <v>198</v>
      </c>
      <c r="O26" s="38" t="s">
        <v>275</v>
      </c>
      <c r="P26" s="38" t="s">
        <v>979</v>
      </c>
      <c r="Q26" s="38" t="s">
        <v>865</v>
      </c>
      <c r="R26" s="38" t="s">
        <v>1000</v>
      </c>
      <c r="S26" s="38" t="s">
        <v>1001</v>
      </c>
      <c r="T26" s="38" t="s">
        <v>864</v>
      </c>
      <c r="U26" s="38" t="s">
        <v>974</v>
      </c>
      <c r="V26" s="38">
        <v>16</v>
      </c>
      <c r="W26" s="38" t="s">
        <v>716</v>
      </c>
      <c r="X26" s="38">
        <v>1</v>
      </c>
      <c r="Y26" s="38">
        <v>1</v>
      </c>
      <c r="Z26" s="38">
        <v>0</v>
      </c>
      <c r="AA26" s="38" t="s">
        <v>1036</v>
      </c>
      <c r="AB26" s="38" t="s">
        <v>973</v>
      </c>
      <c r="AC26" s="38" t="s">
        <v>1003</v>
      </c>
      <c r="AD26" s="38" t="s">
        <v>994</v>
      </c>
      <c r="AE26" s="38" t="s">
        <v>1004</v>
      </c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>
        <v>3</v>
      </c>
      <c r="BA26" s="38" t="s">
        <v>1057</v>
      </c>
      <c r="BB26" s="66"/>
      <c r="BC26" s="38" t="s">
        <v>4</v>
      </c>
      <c r="BD26" s="66" t="s">
        <v>980</v>
      </c>
      <c r="BE26" s="38" t="s">
        <v>5</v>
      </c>
      <c r="BF26" s="66" t="s">
        <v>975</v>
      </c>
      <c r="BG26" s="38" t="s">
        <v>6</v>
      </c>
      <c r="BH26" s="38" t="s">
        <v>976</v>
      </c>
      <c r="BI26" s="38"/>
      <c r="BJ26" s="38" t="s">
        <v>977</v>
      </c>
      <c r="BK26" s="38"/>
      <c r="BL26" s="38" t="s">
        <v>870</v>
      </c>
      <c r="BM26" s="38"/>
      <c r="BN26" s="38" t="s">
        <v>602</v>
      </c>
      <c r="BO26" s="38" t="s">
        <v>534</v>
      </c>
      <c r="BP26" s="38" t="s">
        <v>534</v>
      </c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:133" hidden="1" x14ac:dyDescent="0.2">
      <c r="A27" s="38"/>
      <c r="B27" s="38" t="s">
        <v>84</v>
      </c>
      <c r="C27" s="38" t="s">
        <v>1036</v>
      </c>
      <c r="D27" s="38" t="s">
        <v>1038</v>
      </c>
      <c r="E27" s="38" t="s">
        <v>1039</v>
      </c>
      <c r="F27" s="38" t="s">
        <v>1040</v>
      </c>
      <c r="G27" s="38" t="s">
        <v>4</v>
      </c>
      <c r="H27" s="38"/>
      <c r="I27" s="38">
        <v>8.7620000000000005</v>
      </c>
      <c r="J27" s="38" t="s">
        <v>973</v>
      </c>
      <c r="K27" s="38" t="s">
        <v>193</v>
      </c>
      <c r="L27" s="38" t="s">
        <v>195</v>
      </c>
      <c r="M27" s="38" t="s">
        <v>196</v>
      </c>
      <c r="N27" s="38" t="s">
        <v>198</v>
      </c>
      <c r="O27" s="38" t="s">
        <v>275</v>
      </c>
      <c r="P27" s="38" t="s">
        <v>979</v>
      </c>
      <c r="Q27" s="38" t="s">
        <v>865</v>
      </c>
      <c r="R27" s="38" t="s">
        <v>1000</v>
      </c>
      <c r="S27" s="38" t="s">
        <v>1001</v>
      </c>
      <c r="T27" s="38"/>
      <c r="U27" s="38" t="s">
        <v>974</v>
      </c>
      <c r="V27" s="38">
        <v>16</v>
      </c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 t="s">
        <v>1041</v>
      </c>
      <c r="AH27" s="38">
        <v>2.8400000000000003</v>
      </c>
      <c r="AI27" s="38"/>
      <c r="AJ27" s="38"/>
      <c r="AK27" s="38" t="s">
        <v>1042</v>
      </c>
      <c r="AL27" s="38" t="s">
        <v>1043</v>
      </c>
      <c r="AM27" s="38"/>
      <c r="AN27" s="38" t="s">
        <v>973</v>
      </c>
      <c r="AO27" s="38"/>
      <c r="AP27" s="38" t="s">
        <v>973</v>
      </c>
      <c r="AQ27" s="38" t="s">
        <v>973</v>
      </c>
      <c r="AR27" s="38" t="s">
        <v>973</v>
      </c>
      <c r="AS27" s="38"/>
      <c r="AT27" s="38">
        <v>393</v>
      </c>
      <c r="AU27" s="38"/>
      <c r="AV27" s="38" t="s">
        <v>973</v>
      </c>
      <c r="AW27" s="38" t="s">
        <v>973</v>
      </c>
      <c r="AX27" s="38" t="s">
        <v>973</v>
      </c>
      <c r="AY27" s="38" t="s">
        <v>973</v>
      </c>
      <c r="AZ27" s="38">
        <v>6</v>
      </c>
      <c r="BA27" s="38" t="s">
        <v>1057</v>
      </c>
      <c r="BB27" s="66"/>
      <c r="BC27" s="38" t="s">
        <v>4</v>
      </c>
      <c r="BD27" s="66" t="s">
        <v>980</v>
      </c>
      <c r="BE27" s="38" t="s">
        <v>16</v>
      </c>
      <c r="BF27" s="66" t="s">
        <v>1012</v>
      </c>
      <c r="BG27" s="38" t="s">
        <v>24</v>
      </c>
      <c r="BH27" s="38" t="s">
        <v>1013</v>
      </c>
      <c r="BI27" s="38"/>
      <c r="BJ27" s="38" t="s">
        <v>977</v>
      </c>
      <c r="BK27" s="38"/>
      <c r="BL27" s="38" t="s">
        <v>869</v>
      </c>
      <c r="BM27" s="38" t="s">
        <v>539</v>
      </c>
      <c r="BN27" s="38" t="s">
        <v>602</v>
      </c>
      <c r="BO27" s="38" t="s">
        <v>534</v>
      </c>
      <c r="BP27" s="38" t="s">
        <v>534</v>
      </c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:133" hidden="1" x14ac:dyDescent="0.2">
      <c r="A28" s="38"/>
      <c r="B28" s="38" t="s">
        <v>978</v>
      </c>
      <c r="C28" s="38" t="s">
        <v>1044</v>
      </c>
      <c r="D28" s="38" t="s">
        <v>1045</v>
      </c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66"/>
      <c r="BC28" s="38"/>
      <c r="BD28" s="66"/>
      <c r="BE28" s="38"/>
      <c r="BF28" s="66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:133" hidden="1" x14ac:dyDescent="0.2">
      <c r="A29" s="38" t="s">
        <v>1032</v>
      </c>
      <c r="B29" s="38" t="s">
        <v>84</v>
      </c>
      <c r="C29" s="38" t="s">
        <v>1058</v>
      </c>
      <c r="D29" s="38" t="s">
        <v>1059</v>
      </c>
      <c r="E29" s="38"/>
      <c r="F29" s="38"/>
      <c r="G29" s="38" t="s">
        <v>4</v>
      </c>
      <c r="H29" s="38">
        <v>8495</v>
      </c>
      <c r="I29" s="38">
        <v>8.7620000000000005</v>
      </c>
      <c r="J29" s="38" t="s">
        <v>1060</v>
      </c>
      <c r="K29" s="38" t="s">
        <v>193</v>
      </c>
      <c r="L29" s="38" t="s">
        <v>195</v>
      </c>
      <c r="M29" s="38" t="s">
        <v>196</v>
      </c>
      <c r="N29" s="38" t="s">
        <v>198</v>
      </c>
      <c r="O29" s="38" t="s">
        <v>275</v>
      </c>
      <c r="P29" s="38" t="s">
        <v>979</v>
      </c>
      <c r="Q29" s="38" t="s">
        <v>865</v>
      </c>
      <c r="R29" s="38" t="s">
        <v>1000</v>
      </c>
      <c r="S29" s="38" t="s">
        <v>1001</v>
      </c>
      <c r="T29" s="38" t="s">
        <v>864</v>
      </c>
      <c r="U29" s="38" t="s">
        <v>974</v>
      </c>
      <c r="V29" s="38">
        <v>16</v>
      </c>
      <c r="W29" s="38" t="s">
        <v>716</v>
      </c>
      <c r="X29" s="38">
        <v>1</v>
      </c>
      <c r="Y29" s="38">
        <v>1</v>
      </c>
      <c r="Z29" s="38">
        <v>0</v>
      </c>
      <c r="AA29" s="38" t="s">
        <v>1036</v>
      </c>
      <c r="AB29" s="38" t="s">
        <v>973</v>
      </c>
      <c r="AC29" s="38" t="s">
        <v>1003</v>
      </c>
      <c r="AD29" s="38" t="s">
        <v>994</v>
      </c>
      <c r="AE29" s="38" t="s">
        <v>1004</v>
      </c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>
        <v>4</v>
      </c>
      <c r="BA29" s="38" t="s">
        <v>1061</v>
      </c>
      <c r="BB29" s="66"/>
      <c r="BC29" s="38" t="s">
        <v>4</v>
      </c>
      <c r="BD29" s="66" t="s">
        <v>980</v>
      </c>
      <c r="BE29" s="38" t="s">
        <v>5</v>
      </c>
      <c r="BF29" s="66" t="s">
        <v>975</v>
      </c>
      <c r="BG29" s="38" t="s">
        <v>6</v>
      </c>
      <c r="BH29" s="38" t="s">
        <v>976</v>
      </c>
      <c r="BI29" s="38"/>
      <c r="BJ29" s="38" t="s">
        <v>977</v>
      </c>
      <c r="BK29" s="38"/>
      <c r="BL29" s="38" t="s">
        <v>870</v>
      </c>
      <c r="BM29" s="38"/>
      <c r="BN29" s="38" t="s">
        <v>602</v>
      </c>
      <c r="BO29" s="38" t="s">
        <v>534</v>
      </c>
      <c r="BP29" s="38" t="s">
        <v>534</v>
      </c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:133" hidden="1" x14ac:dyDescent="0.2">
      <c r="A30" s="38"/>
      <c r="B30" s="38" t="s">
        <v>84</v>
      </c>
      <c r="C30" s="38" t="s">
        <v>1036</v>
      </c>
      <c r="D30" s="38" t="s">
        <v>1038</v>
      </c>
      <c r="E30" s="38" t="s">
        <v>1039</v>
      </c>
      <c r="F30" s="38" t="s">
        <v>1040</v>
      </c>
      <c r="G30" s="38" t="s">
        <v>4</v>
      </c>
      <c r="H30" s="38"/>
      <c r="I30" s="38">
        <v>8.7620000000000005</v>
      </c>
      <c r="J30" s="38" t="s">
        <v>973</v>
      </c>
      <c r="K30" s="38" t="s">
        <v>193</v>
      </c>
      <c r="L30" s="38" t="s">
        <v>195</v>
      </c>
      <c r="M30" s="38" t="s">
        <v>196</v>
      </c>
      <c r="N30" s="38" t="s">
        <v>198</v>
      </c>
      <c r="O30" s="38" t="s">
        <v>275</v>
      </c>
      <c r="P30" s="38" t="s">
        <v>979</v>
      </c>
      <c r="Q30" s="38" t="s">
        <v>865</v>
      </c>
      <c r="R30" s="38" t="s">
        <v>1000</v>
      </c>
      <c r="S30" s="38" t="s">
        <v>1001</v>
      </c>
      <c r="T30" s="38"/>
      <c r="U30" s="38" t="s">
        <v>974</v>
      </c>
      <c r="V30" s="38">
        <v>16</v>
      </c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 t="s">
        <v>1041</v>
      </c>
      <c r="AH30" s="38">
        <v>2.8400000000000003</v>
      </c>
      <c r="AI30" s="38"/>
      <c r="AJ30" s="38"/>
      <c r="AK30" s="38" t="s">
        <v>1042</v>
      </c>
      <c r="AL30" s="38" t="s">
        <v>1043</v>
      </c>
      <c r="AM30" s="38"/>
      <c r="AN30" s="38" t="s">
        <v>973</v>
      </c>
      <c r="AO30" s="38"/>
      <c r="AP30" s="38" t="s">
        <v>973</v>
      </c>
      <c r="AQ30" s="38" t="s">
        <v>973</v>
      </c>
      <c r="AR30" s="38" t="s">
        <v>973</v>
      </c>
      <c r="AS30" s="38"/>
      <c r="AT30" s="38">
        <v>393</v>
      </c>
      <c r="AU30" s="38"/>
      <c r="AV30" s="38" t="s">
        <v>973</v>
      </c>
      <c r="AW30" s="38" t="s">
        <v>973</v>
      </c>
      <c r="AX30" s="38" t="s">
        <v>973</v>
      </c>
      <c r="AY30" s="38" t="s">
        <v>973</v>
      </c>
      <c r="AZ30" s="38">
        <v>6</v>
      </c>
      <c r="BA30" s="38" t="s">
        <v>1061</v>
      </c>
      <c r="BB30" s="66"/>
      <c r="BC30" s="38" t="s">
        <v>4</v>
      </c>
      <c r="BD30" s="66" t="s">
        <v>980</v>
      </c>
      <c r="BE30" s="38" t="s">
        <v>16</v>
      </c>
      <c r="BF30" s="66" t="s">
        <v>1012</v>
      </c>
      <c r="BG30" s="38" t="s">
        <v>24</v>
      </c>
      <c r="BH30" s="38" t="s">
        <v>1013</v>
      </c>
      <c r="BI30" s="38"/>
      <c r="BJ30" s="38" t="s">
        <v>977</v>
      </c>
      <c r="BK30" s="38"/>
      <c r="BL30" s="38" t="s">
        <v>869</v>
      </c>
      <c r="BM30" s="38" t="s">
        <v>539</v>
      </c>
      <c r="BN30" s="38" t="s">
        <v>602</v>
      </c>
      <c r="BO30" s="38" t="s">
        <v>534</v>
      </c>
      <c r="BP30" s="38" t="s">
        <v>534</v>
      </c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:133" hidden="1" x14ac:dyDescent="0.2">
      <c r="A31" s="38"/>
      <c r="B31" s="38" t="s">
        <v>978</v>
      </c>
      <c r="C31" s="38" t="s">
        <v>1044</v>
      </c>
      <c r="D31" s="38" t="s">
        <v>1045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66"/>
      <c r="BC31" s="38"/>
      <c r="BD31" s="66"/>
      <c r="BE31" s="38"/>
      <c r="BF31" s="66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:133" hidden="1" x14ac:dyDescent="0.2">
      <c r="A32" s="38" t="s">
        <v>1032</v>
      </c>
      <c r="B32" s="38" t="s">
        <v>84</v>
      </c>
      <c r="C32" s="38" t="s">
        <v>1062</v>
      </c>
      <c r="D32" s="38" t="s">
        <v>1063</v>
      </c>
      <c r="E32" s="38"/>
      <c r="F32" s="38"/>
      <c r="G32" s="38" t="s">
        <v>4</v>
      </c>
      <c r="H32" s="38">
        <v>11350</v>
      </c>
      <c r="I32" s="38">
        <v>8.7620000000000005</v>
      </c>
      <c r="J32" s="38" t="s">
        <v>1064</v>
      </c>
      <c r="K32" s="38" t="s">
        <v>193</v>
      </c>
      <c r="L32" s="38" t="s">
        <v>195</v>
      </c>
      <c r="M32" s="38" t="s">
        <v>196</v>
      </c>
      <c r="N32" s="38" t="s">
        <v>198</v>
      </c>
      <c r="O32" s="38" t="s">
        <v>275</v>
      </c>
      <c r="P32" s="38" t="s">
        <v>979</v>
      </c>
      <c r="Q32" s="38" t="s">
        <v>865</v>
      </c>
      <c r="R32" s="38" t="s">
        <v>1000</v>
      </c>
      <c r="S32" s="38" t="s">
        <v>1001</v>
      </c>
      <c r="T32" s="38" t="s">
        <v>864</v>
      </c>
      <c r="U32" s="38" t="s">
        <v>974</v>
      </c>
      <c r="V32" s="38">
        <v>16</v>
      </c>
      <c r="W32" s="38" t="s">
        <v>716</v>
      </c>
      <c r="X32" s="38">
        <v>1</v>
      </c>
      <c r="Y32" s="38">
        <v>1</v>
      </c>
      <c r="Z32" s="38">
        <v>0</v>
      </c>
      <c r="AA32" s="38" t="s">
        <v>1036</v>
      </c>
      <c r="AB32" s="38" t="s">
        <v>973</v>
      </c>
      <c r="AC32" s="38" t="s">
        <v>1003</v>
      </c>
      <c r="AD32" s="38" t="s">
        <v>994</v>
      </c>
      <c r="AE32" s="38" t="s">
        <v>1004</v>
      </c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>
        <v>5</v>
      </c>
      <c r="BA32" s="38" t="s">
        <v>1065</v>
      </c>
      <c r="BB32" s="66"/>
      <c r="BC32" s="38" t="s">
        <v>4</v>
      </c>
      <c r="BD32" s="66" t="s">
        <v>980</v>
      </c>
      <c r="BE32" s="38" t="s">
        <v>5</v>
      </c>
      <c r="BF32" s="66" t="s">
        <v>975</v>
      </c>
      <c r="BG32" s="38" t="s">
        <v>6</v>
      </c>
      <c r="BH32" s="38" t="s">
        <v>976</v>
      </c>
      <c r="BI32" s="38"/>
      <c r="BJ32" s="38" t="s">
        <v>977</v>
      </c>
      <c r="BK32" s="38"/>
      <c r="BL32" s="38" t="s">
        <v>870</v>
      </c>
      <c r="BM32" s="38"/>
      <c r="BN32" s="38" t="s">
        <v>602</v>
      </c>
      <c r="BO32" s="38" t="s">
        <v>534</v>
      </c>
      <c r="BP32" s="38" t="s">
        <v>534</v>
      </c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DY32" s="38"/>
      <c r="DZ32" s="38"/>
      <c r="EA32" s="38"/>
      <c r="EB32" s="38"/>
      <c r="EC32" s="38"/>
    </row>
    <row r="33" spans="1:133" hidden="1" x14ac:dyDescent="0.2">
      <c r="A33" s="38"/>
      <c r="B33" s="38" t="s">
        <v>84</v>
      </c>
      <c r="C33" s="38" t="s">
        <v>1036</v>
      </c>
      <c r="D33" s="38" t="s">
        <v>1038</v>
      </c>
      <c r="E33" s="38" t="s">
        <v>1039</v>
      </c>
      <c r="F33" s="38" t="s">
        <v>1040</v>
      </c>
      <c r="G33" s="38" t="s">
        <v>4</v>
      </c>
      <c r="H33" s="38"/>
      <c r="I33" s="38">
        <v>8.7620000000000005</v>
      </c>
      <c r="J33" s="38" t="s">
        <v>973</v>
      </c>
      <c r="K33" s="38" t="s">
        <v>193</v>
      </c>
      <c r="L33" s="38" t="s">
        <v>195</v>
      </c>
      <c r="M33" s="38" t="s">
        <v>196</v>
      </c>
      <c r="N33" s="38" t="s">
        <v>198</v>
      </c>
      <c r="O33" s="38" t="s">
        <v>275</v>
      </c>
      <c r="P33" s="38" t="s">
        <v>979</v>
      </c>
      <c r="Q33" s="38" t="s">
        <v>865</v>
      </c>
      <c r="R33" s="38" t="s">
        <v>1000</v>
      </c>
      <c r="S33" s="38" t="s">
        <v>1001</v>
      </c>
      <c r="T33" s="38"/>
      <c r="U33" s="38" t="s">
        <v>974</v>
      </c>
      <c r="V33" s="38">
        <v>16</v>
      </c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 t="s">
        <v>1041</v>
      </c>
      <c r="AH33" s="38">
        <v>2.8400000000000003</v>
      </c>
      <c r="AI33" s="38"/>
      <c r="AJ33" s="38"/>
      <c r="AK33" s="38" t="s">
        <v>1042</v>
      </c>
      <c r="AL33" s="38" t="s">
        <v>1043</v>
      </c>
      <c r="AM33" s="38"/>
      <c r="AN33" s="38" t="s">
        <v>973</v>
      </c>
      <c r="AO33" s="38"/>
      <c r="AP33" s="38" t="s">
        <v>973</v>
      </c>
      <c r="AQ33" s="38" t="s">
        <v>973</v>
      </c>
      <c r="AR33" s="38" t="s">
        <v>973</v>
      </c>
      <c r="AS33" s="38"/>
      <c r="AT33" s="38">
        <v>393</v>
      </c>
      <c r="AU33" s="38"/>
      <c r="AV33" s="38" t="s">
        <v>973</v>
      </c>
      <c r="AW33" s="38" t="s">
        <v>973</v>
      </c>
      <c r="AX33" s="38" t="s">
        <v>973</v>
      </c>
      <c r="AY33" s="38" t="s">
        <v>973</v>
      </c>
      <c r="AZ33" s="38">
        <v>6</v>
      </c>
      <c r="BA33" s="38" t="s">
        <v>1065</v>
      </c>
      <c r="BB33" s="66"/>
      <c r="BC33" s="38" t="s">
        <v>4</v>
      </c>
      <c r="BD33" s="66" t="s">
        <v>980</v>
      </c>
      <c r="BE33" s="38" t="s">
        <v>16</v>
      </c>
      <c r="BF33" s="66" t="s">
        <v>1012</v>
      </c>
      <c r="BG33" s="38" t="s">
        <v>24</v>
      </c>
      <c r="BH33" s="38" t="s">
        <v>1013</v>
      </c>
      <c r="BI33" s="38"/>
      <c r="BJ33" s="38" t="s">
        <v>977</v>
      </c>
      <c r="BK33" s="38"/>
      <c r="BL33" s="38" t="s">
        <v>869</v>
      </c>
      <c r="BM33" s="38" t="s">
        <v>539</v>
      </c>
      <c r="BN33" s="38" t="s">
        <v>602</v>
      </c>
      <c r="BO33" s="38" t="s">
        <v>534</v>
      </c>
      <c r="BP33" s="38" t="s">
        <v>534</v>
      </c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DY33" s="38"/>
      <c r="DZ33" s="38"/>
      <c r="EA33" s="38"/>
      <c r="EB33" s="38"/>
      <c r="EC33" s="38"/>
    </row>
    <row r="34" spans="1:133" hidden="1" x14ac:dyDescent="0.2">
      <c r="A34" s="38"/>
      <c r="B34" s="38" t="s">
        <v>978</v>
      </c>
      <c r="C34" s="38" t="s">
        <v>1044</v>
      </c>
      <c r="D34" s="38" t="s">
        <v>1045</v>
      </c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66"/>
      <c r="BC34" s="38"/>
      <c r="BD34" s="66"/>
      <c r="BE34" s="38"/>
      <c r="BF34" s="66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DY34" s="38"/>
      <c r="DZ34" s="38"/>
      <c r="EA34" s="38"/>
      <c r="EB34" s="38"/>
      <c r="EC34" s="38"/>
    </row>
    <row r="35" spans="1:133" hidden="1" x14ac:dyDescent="0.2">
      <c r="A35" s="38" t="s">
        <v>1032</v>
      </c>
      <c r="B35" s="38" t="s">
        <v>84</v>
      </c>
      <c r="C35" s="38" t="s">
        <v>1066</v>
      </c>
      <c r="D35" s="38" t="s">
        <v>1067</v>
      </c>
      <c r="E35" s="38"/>
      <c r="F35" s="38"/>
      <c r="G35" s="38" t="s">
        <v>4</v>
      </c>
      <c r="H35" s="38">
        <v>11650</v>
      </c>
      <c r="I35" s="38">
        <v>8.7620000000000005</v>
      </c>
      <c r="J35" s="38" t="s">
        <v>1068</v>
      </c>
      <c r="K35" s="38" t="s">
        <v>193</v>
      </c>
      <c r="L35" s="38" t="s">
        <v>195</v>
      </c>
      <c r="M35" s="38" t="s">
        <v>196</v>
      </c>
      <c r="N35" s="38" t="s">
        <v>198</v>
      </c>
      <c r="O35" s="38" t="s">
        <v>275</v>
      </c>
      <c r="P35" s="38" t="s">
        <v>979</v>
      </c>
      <c r="Q35" s="38" t="s">
        <v>865</v>
      </c>
      <c r="R35" s="38" t="s">
        <v>1000</v>
      </c>
      <c r="S35" s="38" t="s">
        <v>1001</v>
      </c>
      <c r="T35" s="38" t="s">
        <v>864</v>
      </c>
      <c r="U35" s="38" t="s">
        <v>974</v>
      </c>
      <c r="V35" s="38">
        <v>16</v>
      </c>
      <c r="W35" s="38" t="s">
        <v>716</v>
      </c>
      <c r="X35" s="38">
        <v>1</v>
      </c>
      <c r="Y35" s="38">
        <v>1</v>
      </c>
      <c r="Z35" s="38">
        <v>0</v>
      </c>
      <c r="AA35" s="38" t="s">
        <v>1036</v>
      </c>
      <c r="AB35" s="38" t="s">
        <v>973</v>
      </c>
      <c r="AC35" s="38" t="s">
        <v>1003</v>
      </c>
      <c r="AD35" s="38" t="s">
        <v>994</v>
      </c>
      <c r="AE35" s="38" t="s">
        <v>1004</v>
      </c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>
        <v>6</v>
      </c>
      <c r="BA35" s="38" t="s">
        <v>1069</v>
      </c>
      <c r="BB35" s="66"/>
      <c r="BC35" s="38" t="s">
        <v>4</v>
      </c>
      <c r="BD35" s="66" t="s">
        <v>980</v>
      </c>
      <c r="BE35" s="38" t="s">
        <v>5</v>
      </c>
      <c r="BF35" s="66" t="s">
        <v>975</v>
      </c>
      <c r="BG35" s="38" t="s">
        <v>6</v>
      </c>
      <c r="BH35" s="38" t="s">
        <v>976</v>
      </c>
      <c r="BI35" s="38"/>
      <c r="BJ35" s="38" t="s">
        <v>977</v>
      </c>
      <c r="BK35" s="38"/>
      <c r="BL35" s="38" t="s">
        <v>870</v>
      </c>
      <c r="BM35" s="38"/>
      <c r="BN35" s="38" t="s">
        <v>602</v>
      </c>
      <c r="BO35" s="38" t="s">
        <v>534</v>
      </c>
      <c r="BP35" s="38" t="s">
        <v>534</v>
      </c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DY35" s="38"/>
      <c r="DZ35" s="38"/>
      <c r="EA35" s="38"/>
      <c r="EB35" s="38"/>
      <c r="EC35" s="38"/>
    </row>
    <row r="36" spans="1:133" hidden="1" x14ac:dyDescent="0.2">
      <c r="A36" s="38"/>
      <c r="B36" s="38" t="s">
        <v>84</v>
      </c>
      <c r="C36" s="38" t="s">
        <v>1036</v>
      </c>
      <c r="D36" s="38" t="s">
        <v>1038</v>
      </c>
      <c r="E36" s="38" t="s">
        <v>1039</v>
      </c>
      <c r="F36" s="38" t="s">
        <v>1040</v>
      </c>
      <c r="G36" s="38" t="s">
        <v>4</v>
      </c>
      <c r="H36" s="38"/>
      <c r="I36" s="38">
        <v>8.7620000000000005</v>
      </c>
      <c r="J36" s="38" t="s">
        <v>973</v>
      </c>
      <c r="K36" s="38" t="s">
        <v>193</v>
      </c>
      <c r="L36" s="38" t="s">
        <v>195</v>
      </c>
      <c r="M36" s="38" t="s">
        <v>196</v>
      </c>
      <c r="N36" s="38" t="s">
        <v>198</v>
      </c>
      <c r="O36" s="38" t="s">
        <v>275</v>
      </c>
      <c r="P36" s="38" t="s">
        <v>979</v>
      </c>
      <c r="Q36" s="38" t="s">
        <v>865</v>
      </c>
      <c r="R36" s="38" t="s">
        <v>1000</v>
      </c>
      <c r="S36" s="38" t="s">
        <v>1001</v>
      </c>
      <c r="T36" s="38"/>
      <c r="U36" s="38" t="s">
        <v>974</v>
      </c>
      <c r="V36" s="38">
        <v>16</v>
      </c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 t="s">
        <v>1041</v>
      </c>
      <c r="AH36" s="38">
        <v>2.8400000000000003</v>
      </c>
      <c r="AI36" s="38"/>
      <c r="AJ36" s="38"/>
      <c r="AK36" s="38" t="s">
        <v>1042</v>
      </c>
      <c r="AL36" s="38" t="s">
        <v>1043</v>
      </c>
      <c r="AM36" s="38"/>
      <c r="AN36" s="38" t="s">
        <v>973</v>
      </c>
      <c r="AO36" s="38"/>
      <c r="AP36" s="38" t="s">
        <v>973</v>
      </c>
      <c r="AQ36" s="38" t="s">
        <v>973</v>
      </c>
      <c r="AR36" s="38" t="s">
        <v>973</v>
      </c>
      <c r="AS36" s="38"/>
      <c r="AT36" s="38">
        <v>393</v>
      </c>
      <c r="AU36" s="38"/>
      <c r="AV36" s="38" t="s">
        <v>973</v>
      </c>
      <c r="AW36" s="38" t="s">
        <v>973</v>
      </c>
      <c r="AX36" s="38" t="s">
        <v>973</v>
      </c>
      <c r="AY36" s="38" t="s">
        <v>973</v>
      </c>
      <c r="AZ36" s="38">
        <v>6</v>
      </c>
      <c r="BA36" s="38" t="s">
        <v>1069</v>
      </c>
      <c r="BB36" s="66"/>
      <c r="BC36" s="38" t="s">
        <v>4</v>
      </c>
      <c r="BD36" s="66" t="s">
        <v>980</v>
      </c>
      <c r="BE36" s="38" t="s">
        <v>16</v>
      </c>
      <c r="BF36" s="66" t="s">
        <v>1012</v>
      </c>
      <c r="BG36" s="38" t="s">
        <v>24</v>
      </c>
      <c r="BH36" s="38" t="s">
        <v>1013</v>
      </c>
      <c r="BI36" s="38"/>
      <c r="BJ36" s="38" t="s">
        <v>977</v>
      </c>
      <c r="BK36" s="38"/>
      <c r="BL36" s="38" t="s">
        <v>869</v>
      </c>
      <c r="BM36" s="38" t="s">
        <v>539</v>
      </c>
      <c r="BN36" s="38" t="s">
        <v>602</v>
      </c>
      <c r="BO36" s="38" t="s">
        <v>534</v>
      </c>
      <c r="BP36" s="38" t="s">
        <v>534</v>
      </c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DY36" s="38"/>
      <c r="DZ36" s="38"/>
      <c r="EA36" s="38"/>
      <c r="EB36" s="38"/>
      <c r="EC36" s="38"/>
    </row>
    <row r="37" spans="1:133" hidden="1" x14ac:dyDescent="0.2">
      <c r="A37" s="38"/>
      <c r="B37" s="38" t="s">
        <v>978</v>
      </c>
      <c r="C37" s="38" t="s">
        <v>1044</v>
      </c>
      <c r="D37" s="38" t="s">
        <v>1045</v>
      </c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66"/>
      <c r="BC37" s="38"/>
      <c r="BD37" s="66"/>
      <c r="BE37" s="38"/>
      <c r="BF37" s="66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DY37" s="38"/>
      <c r="DZ37" s="38"/>
      <c r="EA37" s="38"/>
      <c r="EB37" s="38"/>
      <c r="EC37" s="38"/>
    </row>
    <row r="38" spans="1:133" hidden="1" x14ac:dyDescent="0.2">
      <c r="A38" s="38" t="s">
        <v>1032</v>
      </c>
      <c r="B38" s="38" t="s">
        <v>84</v>
      </c>
      <c r="C38" s="38" t="s">
        <v>1070</v>
      </c>
      <c r="D38" s="38" t="s">
        <v>1071</v>
      </c>
      <c r="E38" s="38"/>
      <c r="F38" s="38"/>
      <c r="G38" s="38" t="s">
        <v>4</v>
      </c>
      <c r="H38" s="38">
        <v>11011</v>
      </c>
      <c r="I38" s="38">
        <v>8.7620000000000005</v>
      </c>
      <c r="J38" s="38" t="s">
        <v>1072</v>
      </c>
      <c r="K38" s="38" t="s">
        <v>193</v>
      </c>
      <c r="L38" s="38" t="s">
        <v>195</v>
      </c>
      <c r="M38" s="38" t="s">
        <v>196</v>
      </c>
      <c r="N38" s="38" t="s">
        <v>198</v>
      </c>
      <c r="O38" s="38" t="s">
        <v>275</v>
      </c>
      <c r="P38" s="38" t="s">
        <v>979</v>
      </c>
      <c r="Q38" s="38" t="s">
        <v>865</v>
      </c>
      <c r="R38" s="38" t="s">
        <v>1000</v>
      </c>
      <c r="S38" s="38" t="s">
        <v>1001</v>
      </c>
      <c r="T38" s="38" t="s">
        <v>864</v>
      </c>
      <c r="U38" s="38" t="s">
        <v>974</v>
      </c>
      <c r="V38" s="38">
        <v>16</v>
      </c>
      <c r="W38" s="38" t="s">
        <v>716</v>
      </c>
      <c r="X38" s="38">
        <v>1</v>
      </c>
      <c r="Y38" s="38">
        <v>1</v>
      </c>
      <c r="Z38" s="38">
        <v>0</v>
      </c>
      <c r="AA38" s="38" t="s">
        <v>1036</v>
      </c>
      <c r="AB38" s="38" t="s">
        <v>973</v>
      </c>
      <c r="AC38" s="38" t="s">
        <v>1003</v>
      </c>
      <c r="AD38" s="38" t="s">
        <v>994</v>
      </c>
      <c r="AE38" s="38" t="s">
        <v>1004</v>
      </c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>
        <v>7</v>
      </c>
      <c r="BA38" s="38" t="s">
        <v>1073</v>
      </c>
      <c r="BB38" s="66"/>
      <c r="BC38" s="38" t="s">
        <v>4</v>
      </c>
      <c r="BD38" s="66" t="s">
        <v>980</v>
      </c>
      <c r="BE38" s="38" t="s">
        <v>5</v>
      </c>
      <c r="BF38" s="66" t="s">
        <v>975</v>
      </c>
      <c r="BG38" s="38" t="s">
        <v>6</v>
      </c>
      <c r="BH38" s="38" t="s">
        <v>976</v>
      </c>
      <c r="BI38" s="38"/>
      <c r="BJ38" s="38" t="s">
        <v>977</v>
      </c>
      <c r="BK38" s="38"/>
      <c r="BL38" s="38" t="s">
        <v>870</v>
      </c>
      <c r="BM38" s="38"/>
      <c r="BN38" s="38" t="s">
        <v>602</v>
      </c>
      <c r="BO38" s="38" t="s">
        <v>534</v>
      </c>
      <c r="BP38" s="38" t="s">
        <v>534</v>
      </c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</row>
    <row r="39" spans="1:133" hidden="1" x14ac:dyDescent="0.2">
      <c r="A39" s="38"/>
      <c r="B39" s="38" t="s">
        <v>84</v>
      </c>
      <c r="C39" s="38" t="s">
        <v>1036</v>
      </c>
      <c r="D39" s="38" t="s">
        <v>1038</v>
      </c>
      <c r="E39" s="38" t="s">
        <v>1039</v>
      </c>
      <c r="F39" s="38" t="s">
        <v>1040</v>
      </c>
      <c r="G39" s="38" t="s">
        <v>4</v>
      </c>
      <c r="H39" s="38"/>
      <c r="I39" s="38">
        <v>8.7620000000000005</v>
      </c>
      <c r="J39" s="38" t="s">
        <v>973</v>
      </c>
      <c r="K39" s="38" t="s">
        <v>193</v>
      </c>
      <c r="L39" s="38" t="s">
        <v>195</v>
      </c>
      <c r="M39" s="38" t="s">
        <v>196</v>
      </c>
      <c r="N39" s="38" t="s">
        <v>198</v>
      </c>
      <c r="O39" s="38" t="s">
        <v>275</v>
      </c>
      <c r="P39" s="38" t="s">
        <v>979</v>
      </c>
      <c r="Q39" s="38" t="s">
        <v>865</v>
      </c>
      <c r="R39" s="38" t="s">
        <v>1000</v>
      </c>
      <c r="S39" s="38" t="s">
        <v>1001</v>
      </c>
      <c r="T39" s="38"/>
      <c r="U39" s="38" t="s">
        <v>974</v>
      </c>
      <c r="V39" s="38">
        <v>16</v>
      </c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 t="s">
        <v>1041</v>
      </c>
      <c r="AH39" s="38">
        <v>2.8400000000000003</v>
      </c>
      <c r="AI39" s="38"/>
      <c r="AJ39" s="38"/>
      <c r="AK39" s="38" t="s">
        <v>1042</v>
      </c>
      <c r="AL39" s="38" t="s">
        <v>1043</v>
      </c>
      <c r="AM39" s="38"/>
      <c r="AN39" s="38" t="s">
        <v>973</v>
      </c>
      <c r="AO39" s="38"/>
      <c r="AP39" s="38" t="s">
        <v>973</v>
      </c>
      <c r="AQ39" s="38" t="s">
        <v>973</v>
      </c>
      <c r="AR39" s="38" t="s">
        <v>973</v>
      </c>
      <c r="AS39" s="38"/>
      <c r="AT39" s="38">
        <v>393</v>
      </c>
      <c r="AU39" s="38"/>
      <c r="AV39" s="38" t="s">
        <v>973</v>
      </c>
      <c r="AW39" s="38" t="s">
        <v>973</v>
      </c>
      <c r="AX39" s="38" t="s">
        <v>973</v>
      </c>
      <c r="AY39" s="38" t="s">
        <v>973</v>
      </c>
      <c r="AZ39" s="38">
        <v>6</v>
      </c>
      <c r="BA39" s="38" t="s">
        <v>1073</v>
      </c>
      <c r="BB39" s="66"/>
      <c r="BC39" s="38" t="s">
        <v>4</v>
      </c>
      <c r="BD39" s="66" t="s">
        <v>980</v>
      </c>
      <c r="BE39" s="38" t="s">
        <v>16</v>
      </c>
      <c r="BF39" s="66" t="s">
        <v>1012</v>
      </c>
      <c r="BG39" s="38" t="s">
        <v>24</v>
      </c>
      <c r="BH39" s="38" t="s">
        <v>1013</v>
      </c>
      <c r="BI39" s="38"/>
      <c r="BJ39" s="38" t="s">
        <v>977</v>
      </c>
      <c r="BK39" s="38"/>
      <c r="BL39" s="38" t="s">
        <v>869</v>
      </c>
      <c r="BM39" s="38" t="s">
        <v>539</v>
      </c>
      <c r="BN39" s="38" t="s">
        <v>602</v>
      </c>
      <c r="BO39" s="38" t="s">
        <v>534</v>
      </c>
      <c r="BP39" s="38" t="s">
        <v>534</v>
      </c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</row>
    <row r="40" spans="1:133" hidden="1" x14ac:dyDescent="0.2">
      <c r="A40" s="38"/>
      <c r="B40" s="38" t="s">
        <v>978</v>
      </c>
      <c r="C40" s="38" t="s">
        <v>1044</v>
      </c>
      <c r="D40" s="38" t="s">
        <v>1045</v>
      </c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66"/>
      <c r="BC40" s="38"/>
      <c r="BD40" s="66"/>
      <c r="BE40" s="38"/>
      <c r="BF40" s="66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</row>
    <row r="41" spans="1:133" hidden="1" x14ac:dyDescent="0.2">
      <c r="A41" s="38" t="s">
        <v>1032</v>
      </c>
      <c r="B41" s="38" t="s">
        <v>84</v>
      </c>
      <c r="C41" s="38" t="s">
        <v>1074</v>
      </c>
      <c r="D41" s="38" t="s">
        <v>1075</v>
      </c>
      <c r="E41" s="38"/>
      <c r="F41" s="38"/>
      <c r="G41" s="38" t="s">
        <v>4</v>
      </c>
      <c r="H41" s="38">
        <v>11350</v>
      </c>
      <c r="I41" s="38">
        <v>8.7620000000000005</v>
      </c>
      <c r="J41" s="38" t="s">
        <v>1064</v>
      </c>
      <c r="K41" s="38" t="s">
        <v>193</v>
      </c>
      <c r="L41" s="38" t="s">
        <v>195</v>
      </c>
      <c r="M41" s="38" t="s">
        <v>196</v>
      </c>
      <c r="N41" s="38" t="s">
        <v>198</v>
      </c>
      <c r="O41" s="38" t="s">
        <v>275</v>
      </c>
      <c r="P41" s="38" t="s">
        <v>979</v>
      </c>
      <c r="Q41" s="38" t="s">
        <v>865</v>
      </c>
      <c r="R41" s="38" t="s">
        <v>1000</v>
      </c>
      <c r="S41" s="38" t="s">
        <v>1001</v>
      </c>
      <c r="T41" s="38" t="s">
        <v>864</v>
      </c>
      <c r="U41" s="38" t="s">
        <v>974</v>
      </c>
      <c r="V41" s="38">
        <v>16</v>
      </c>
      <c r="W41" s="38" t="s">
        <v>716</v>
      </c>
      <c r="X41" s="38">
        <v>1</v>
      </c>
      <c r="Y41" s="38">
        <v>1</v>
      </c>
      <c r="Z41" s="38">
        <v>0</v>
      </c>
      <c r="AA41" s="38" t="s">
        <v>1036</v>
      </c>
      <c r="AB41" s="38" t="s">
        <v>973</v>
      </c>
      <c r="AC41" s="38" t="s">
        <v>1003</v>
      </c>
      <c r="AD41" s="38" t="s">
        <v>994</v>
      </c>
      <c r="AE41" s="38" t="s">
        <v>1004</v>
      </c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>
        <v>8</v>
      </c>
      <c r="BA41" s="38" t="s">
        <v>1076</v>
      </c>
      <c r="BB41" s="66"/>
      <c r="BC41" s="38" t="s">
        <v>4</v>
      </c>
      <c r="BD41" s="66" t="s">
        <v>980</v>
      </c>
      <c r="BE41" s="38" t="s">
        <v>5</v>
      </c>
      <c r="BF41" s="66" t="s">
        <v>975</v>
      </c>
      <c r="BG41" s="38" t="s">
        <v>6</v>
      </c>
      <c r="BH41" s="38" t="s">
        <v>976</v>
      </c>
      <c r="BI41" s="38"/>
      <c r="BJ41" s="38" t="s">
        <v>977</v>
      </c>
      <c r="BK41" s="38"/>
      <c r="BL41" s="38" t="s">
        <v>870</v>
      </c>
      <c r="BM41" s="38"/>
      <c r="BN41" s="38" t="s">
        <v>602</v>
      </c>
      <c r="BO41" s="38" t="s">
        <v>534</v>
      </c>
      <c r="BP41" s="38" t="s">
        <v>534</v>
      </c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</row>
    <row r="42" spans="1:133" hidden="1" x14ac:dyDescent="0.2">
      <c r="A42" s="38"/>
      <c r="B42" s="38" t="s">
        <v>84</v>
      </c>
      <c r="C42" s="38" t="s">
        <v>1036</v>
      </c>
      <c r="D42" s="38" t="s">
        <v>1038</v>
      </c>
      <c r="E42" s="38" t="s">
        <v>1039</v>
      </c>
      <c r="F42" s="38" t="s">
        <v>1040</v>
      </c>
      <c r="G42" s="38" t="s">
        <v>4</v>
      </c>
      <c r="H42" s="38"/>
      <c r="I42" s="38">
        <v>8.7620000000000005</v>
      </c>
      <c r="J42" s="38" t="s">
        <v>973</v>
      </c>
      <c r="K42" s="38" t="s">
        <v>193</v>
      </c>
      <c r="L42" s="38" t="s">
        <v>195</v>
      </c>
      <c r="M42" s="38" t="s">
        <v>196</v>
      </c>
      <c r="N42" s="38" t="s">
        <v>198</v>
      </c>
      <c r="O42" s="38" t="s">
        <v>275</v>
      </c>
      <c r="P42" s="38" t="s">
        <v>979</v>
      </c>
      <c r="Q42" s="38" t="s">
        <v>865</v>
      </c>
      <c r="R42" s="38" t="s">
        <v>1000</v>
      </c>
      <c r="S42" s="38" t="s">
        <v>1001</v>
      </c>
      <c r="T42" s="38"/>
      <c r="U42" s="38" t="s">
        <v>974</v>
      </c>
      <c r="V42" s="38">
        <v>16</v>
      </c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 t="s">
        <v>1041</v>
      </c>
      <c r="AH42" s="38">
        <v>2.8400000000000003</v>
      </c>
      <c r="AI42" s="38"/>
      <c r="AJ42" s="38"/>
      <c r="AK42" s="38" t="s">
        <v>1042</v>
      </c>
      <c r="AL42" s="38" t="s">
        <v>1043</v>
      </c>
      <c r="AM42" s="38"/>
      <c r="AN42" s="38" t="s">
        <v>973</v>
      </c>
      <c r="AO42" s="38"/>
      <c r="AP42" s="38" t="s">
        <v>973</v>
      </c>
      <c r="AQ42" s="38" t="s">
        <v>973</v>
      </c>
      <c r="AR42" s="38" t="s">
        <v>973</v>
      </c>
      <c r="AS42" s="38"/>
      <c r="AT42" s="38">
        <v>393</v>
      </c>
      <c r="AU42" s="38"/>
      <c r="AV42" s="38" t="s">
        <v>973</v>
      </c>
      <c r="AW42" s="38" t="s">
        <v>973</v>
      </c>
      <c r="AX42" s="38" t="s">
        <v>973</v>
      </c>
      <c r="AY42" s="38" t="s">
        <v>973</v>
      </c>
      <c r="AZ42" s="38">
        <v>6</v>
      </c>
      <c r="BA42" s="38" t="s">
        <v>1076</v>
      </c>
      <c r="BB42" s="66"/>
      <c r="BC42" s="38" t="s">
        <v>4</v>
      </c>
      <c r="BD42" s="66" t="s">
        <v>980</v>
      </c>
      <c r="BE42" s="38" t="s">
        <v>16</v>
      </c>
      <c r="BF42" s="66" t="s">
        <v>1012</v>
      </c>
      <c r="BG42" s="38" t="s">
        <v>24</v>
      </c>
      <c r="BH42" s="38" t="s">
        <v>1013</v>
      </c>
      <c r="BI42" s="38"/>
      <c r="BJ42" s="38" t="s">
        <v>977</v>
      </c>
      <c r="BK42" s="38"/>
      <c r="BL42" s="38" t="s">
        <v>869</v>
      </c>
      <c r="BM42" s="38" t="s">
        <v>539</v>
      </c>
      <c r="BN42" s="38" t="s">
        <v>602</v>
      </c>
      <c r="BO42" s="38" t="s">
        <v>534</v>
      </c>
      <c r="BP42" s="38" t="s">
        <v>534</v>
      </c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</row>
    <row r="43" spans="1:133" hidden="1" x14ac:dyDescent="0.2">
      <c r="A43" s="38"/>
      <c r="B43" s="38" t="s">
        <v>978</v>
      </c>
      <c r="C43" s="38" t="s">
        <v>1044</v>
      </c>
      <c r="D43" s="38" t="s">
        <v>1045</v>
      </c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66"/>
      <c r="BC43" s="38"/>
      <c r="BD43" s="66"/>
      <c r="BE43" s="38"/>
      <c r="BF43" s="66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</row>
    <row r="44" spans="1:133" hidden="1" x14ac:dyDescent="0.2">
      <c r="A44" s="38" t="s">
        <v>1032</v>
      </c>
      <c r="B44" s="38" t="s">
        <v>84</v>
      </c>
      <c r="C44" s="38" t="s">
        <v>1077</v>
      </c>
      <c r="D44" s="38" t="s">
        <v>1078</v>
      </c>
      <c r="E44" s="38"/>
      <c r="F44" s="38"/>
      <c r="G44" s="38" t="s">
        <v>4</v>
      </c>
      <c r="H44" s="38">
        <v>8462</v>
      </c>
      <c r="I44" s="38">
        <v>8.7620000000000005</v>
      </c>
      <c r="J44" s="38" t="s">
        <v>1052</v>
      </c>
      <c r="K44" s="38" t="s">
        <v>193</v>
      </c>
      <c r="L44" s="38" t="s">
        <v>195</v>
      </c>
      <c r="M44" s="38" t="s">
        <v>196</v>
      </c>
      <c r="N44" s="38" t="s">
        <v>198</v>
      </c>
      <c r="O44" s="38" t="s">
        <v>275</v>
      </c>
      <c r="P44" s="38" t="s">
        <v>979</v>
      </c>
      <c r="Q44" s="38" t="s">
        <v>865</v>
      </c>
      <c r="R44" s="38" t="s">
        <v>1000</v>
      </c>
      <c r="S44" s="38" t="s">
        <v>1001</v>
      </c>
      <c r="T44" s="38" t="s">
        <v>864</v>
      </c>
      <c r="U44" s="38" t="s">
        <v>974</v>
      </c>
      <c r="V44" s="38">
        <v>16</v>
      </c>
      <c r="W44" s="38" t="s">
        <v>716</v>
      </c>
      <c r="X44" s="38">
        <v>1</v>
      </c>
      <c r="Y44" s="38">
        <v>1</v>
      </c>
      <c r="Z44" s="38">
        <v>0</v>
      </c>
      <c r="AA44" s="38" t="s">
        <v>1036</v>
      </c>
      <c r="AB44" s="38" t="s">
        <v>973</v>
      </c>
      <c r="AC44" s="38" t="s">
        <v>1003</v>
      </c>
      <c r="AD44" s="38" t="s">
        <v>994</v>
      </c>
      <c r="AE44" s="38" t="s">
        <v>1004</v>
      </c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>
        <v>9</v>
      </c>
      <c r="BA44" s="38" t="s">
        <v>1079</v>
      </c>
      <c r="BB44" s="66"/>
      <c r="BC44" s="38" t="s">
        <v>4</v>
      </c>
      <c r="BD44" s="66" t="s">
        <v>980</v>
      </c>
      <c r="BE44" s="38" t="s">
        <v>5</v>
      </c>
      <c r="BF44" s="66" t="s">
        <v>975</v>
      </c>
      <c r="BG44" s="38" t="s">
        <v>6</v>
      </c>
      <c r="BH44" s="38" t="s">
        <v>976</v>
      </c>
      <c r="BI44" s="38"/>
      <c r="BJ44" s="38" t="s">
        <v>977</v>
      </c>
      <c r="BK44" s="38"/>
      <c r="BL44" s="38" t="s">
        <v>870</v>
      </c>
      <c r="BM44" s="38"/>
      <c r="BN44" s="38" t="s">
        <v>602</v>
      </c>
      <c r="BO44" s="38" t="s">
        <v>534</v>
      </c>
      <c r="BP44" s="38" t="s">
        <v>534</v>
      </c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</row>
    <row r="45" spans="1:133" hidden="1" x14ac:dyDescent="0.2">
      <c r="A45" s="38"/>
      <c r="B45" s="38" t="s">
        <v>84</v>
      </c>
      <c r="C45" s="38" t="s">
        <v>1036</v>
      </c>
      <c r="D45" s="38" t="s">
        <v>1038</v>
      </c>
      <c r="E45" s="38" t="s">
        <v>1039</v>
      </c>
      <c r="F45" s="38" t="s">
        <v>1040</v>
      </c>
      <c r="G45" s="38" t="s">
        <v>4</v>
      </c>
      <c r="H45" s="38"/>
      <c r="I45" s="38">
        <v>8.7620000000000005</v>
      </c>
      <c r="J45" s="38" t="s">
        <v>973</v>
      </c>
      <c r="K45" s="38" t="s">
        <v>193</v>
      </c>
      <c r="L45" s="38" t="s">
        <v>195</v>
      </c>
      <c r="M45" s="38" t="s">
        <v>196</v>
      </c>
      <c r="N45" s="38" t="s">
        <v>198</v>
      </c>
      <c r="O45" s="38" t="s">
        <v>275</v>
      </c>
      <c r="P45" s="38" t="s">
        <v>979</v>
      </c>
      <c r="Q45" s="38" t="s">
        <v>865</v>
      </c>
      <c r="R45" s="38" t="s">
        <v>1000</v>
      </c>
      <c r="S45" s="38" t="s">
        <v>1001</v>
      </c>
      <c r="T45" s="38"/>
      <c r="U45" s="38" t="s">
        <v>974</v>
      </c>
      <c r="V45" s="38">
        <v>16</v>
      </c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 t="s">
        <v>1041</v>
      </c>
      <c r="AH45" s="38">
        <v>2.8400000000000003</v>
      </c>
      <c r="AI45" s="38"/>
      <c r="AJ45" s="38"/>
      <c r="AK45" s="38" t="s">
        <v>1042</v>
      </c>
      <c r="AL45" s="38" t="s">
        <v>1043</v>
      </c>
      <c r="AM45" s="38"/>
      <c r="AN45" s="38" t="s">
        <v>973</v>
      </c>
      <c r="AO45" s="38"/>
      <c r="AP45" s="38" t="s">
        <v>973</v>
      </c>
      <c r="AQ45" s="38" t="s">
        <v>973</v>
      </c>
      <c r="AR45" s="38" t="s">
        <v>973</v>
      </c>
      <c r="AS45" s="38"/>
      <c r="AT45" s="38">
        <v>393</v>
      </c>
      <c r="AU45" s="38"/>
      <c r="AV45" s="38" t="s">
        <v>973</v>
      </c>
      <c r="AW45" s="38" t="s">
        <v>973</v>
      </c>
      <c r="AX45" s="38" t="s">
        <v>973</v>
      </c>
      <c r="AY45" s="38" t="s">
        <v>973</v>
      </c>
      <c r="AZ45" s="38">
        <v>6</v>
      </c>
      <c r="BA45" s="38" t="s">
        <v>1079</v>
      </c>
      <c r="BB45" s="66"/>
      <c r="BC45" s="38" t="s">
        <v>4</v>
      </c>
      <c r="BD45" s="66" t="s">
        <v>980</v>
      </c>
      <c r="BE45" s="38" t="s">
        <v>16</v>
      </c>
      <c r="BF45" s="66" t="s">
        <v>1012</v>
      </c>
      <c r="BG45" s="38" t="s">
        <v>24</v>
      </c>
      <c r="BH45" s="38" t="s">
        <v>1013</v>
      </c>
      <c r="BI45" s="38"/>
      <c r="BJ45" s="38" t="s">
        <v>977</v>
      </c>
      <c r="BK45" s="38"/>
      <c r="BL45" s="38" t="s">
        <v>869</v>
      </c>
      <c r="BM45" s="38" t="s">
        <v>539</v>
      </c>
      <c r="BN45" s="38" t="s">
        <v>602</v>
      </c>
      <c r="BO45" s="38" t="s">
        <v>534</v>
      </c>
      <c r="BP45" s="38" t="s">
        <v>534</v>
      </c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</row>
    <row r="46" spans="1:133" hidden="1" x14ac:dyDescent="0.2">
      <c r="A46" s="38"/>
      <c r="B46" s="38" t="s">
        <v>978</v>
      </c>
      <c r="C46" s="38" t="s">
        <v>1044</v>
      </c>
      <c r="D46" s="38" t="s">
        <v>1045</v>
      </c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66"/>
      <c r="BC46" s="38"/>
      <c r="BD46" s="66"/>
      <c r="BE46" s="38"/>
      <c r="BF46" s="66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</row>
    <row r="47" spans="1:133" hidden="1" x14ac:dyDescent="0.2">
      <c r="A47" s="38" t="s">
        <v>1032</v>
      </c>
      <c r="B47" s="38" t="s">
        <v>84</v>
      </c>
      <c r="C47" s="38" t="s">
        <v>1080</v>
      </c>
      <c r="D47" s="38" t="s">
        <v>1081</v>
      </c>
      <c r="E47" s="38"/>
      <c r="F47" s="38"/>
      <c r="G47" s="38" t="s">
        <v>4</v>
      </c>
      <c r="H47" s="38">
        <v>11650</v>
      </c>
      <c r="I47" s="38">
        <v>8.7620000000000005</v>
      </c>
      <c r="J47" s="38" t="s">
        <v>1068</v>
      </c>
      <c r="K47" s="38" t="s">
        <v>193</v>
      </c>
      <c r="L47" s="38" t="s">
        <v>195</v>
      </c>
      <c r="M47" s="38" t="s">
        <v>196</v>
      </c>
      <c r="N47" s="38" t="s">
        <v>198</v>
      </c>
      <c r="O47" s="38" t="s">
        <v>275</v>
      </c>
      <c r="P47" s="38" t="s">
        <v>979</v>
      </c>
      <c r="Q47" s="38" t="s">
        <v>865</v>
      </c>
      <c r="R47" s="38" t="s">
        <v>1000</v>
      </c>
      <c r="S47" s="38" t="s">
        <v>1001</v>
      </c>
      <c r="T47" s="38" t="s">
        <v>864</v>
      </c>
      <c r="U47" s="38" t="s">
        <v>974</v>
      </c>
      <c r="V47" s="38">
        <v>16</v>
      </c>
      <c r="W47" s="38" t="s">
        <v>716</v>
      </c>
      <c r="X47" s="38">
        <v>1</v>
      </c>
      <c r="Y47" s="38">
        <v>1</v>
      </c>
      <c r="Z47" s="38">
        <v>0</v>
      </c>
      <c r="AA47" s="38" t="s">
        <v>1036</v>
      </c>
      <c r="AB47" s="38" t="s">
        <v>973</v>
      </c>
      <c r="AC47" s="38" t="s">
        <v>1003</v>
      </c>
      <c r="AD47" s="38" t="s">
        <v>994</v>
      </c>
      <c r="AE47" s="38" t="s">
        <v>1004</v>
      </c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>
        <v>10</v>
      </c>
      <c r="BA47" s="38" t="s">
        <v>1082</v>
      </c>
      <c r="BB47" s="66"/>
      <c r="BC47" s="38" t="s">
        <v>4</v>
      </c>
      <c r="BD47" s="66" t="s">
        <v>980</v>
      </c>
      <c r="BE47" s="38" t="s">
        <v>5</v>
      </c>
      <c r="BF47" s="66" t="s">
        <v>975</v>
      </c>
      <c r="BG47" s="38" t="s">
        <v>6</v>
      </c>
      <c r="BH47" s="38" t="s">
        <v>976</v>
      </c>
      <c r="BI47" s="38"/>
      <c r="BJ47" s="38" t="s">
        <v>977</v>
      </c>
      <c r="BK47" s="38"/>
      <c r="BL47" s="38" t="s">
        <v>870</v>
      </c>
      <c r="BM47" s="38"/>
      <c r="BN47" s="38" t="s">
        <v>602</v>
      </c>
      <c r="BO47" s="38" t="s">
        <v>534</v>
      </c>
      <c r="BP47" s="38" t="s">
        <v>534</v>
      </c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</row>
    <row r="48" spans="1:133" hidden="1" x14ac:dyDescent="0.2">
      <c r="A48" s="38"/>
      <c r="B48" s="38" t="s">
        <v>84</v>
      </c>
      <c r="C48" s="38" t="s">
        <v>1036</v>
      </c>
      <c r="D48" s="38" t="s">
        <v>1038</v>
      </c>
      <c r="E48" s="38" t="s">
        <v>1039</v>
      </c>
      <c r="F48" s="38" t="s">
        <v>1040</v>
      </c>
      <c r="G48" s="38" t="s">
        <v>4</v>
      </c>
      <c r="H48" s="38"/>
      <c r="I48" s="38">
        <v>8.7620000000000005</v>
      </c>
      <c r="J48" s="38" t="s">
        <v>973</v>
      </c>
      <c r="K48" s="38" t="s">
        <v>193</v>
      </c>
      <c r="L48" s="38" t="s">
        <v>195</v>
      </c>
      <c r="M48" s="38" t="s">
        <v>196</v>
      </c>
      <c r="N48" s="38" t="s">
        <v>198</v>
      </c>
      <c r="O48" s="38" t="s">
        <v>275</v>
      </c>
      <c r="P48" s="38" t="s">
        <v>979</v>
      </c>
      <c r="Q48" s="38" t="s">
        <v>865</v>
      </c>
      <c r="R48" s="38" t="s">
        <v>1000</v>
      </c>
      <c r="S48" s="38" t="s">
        <v>1001</v>
      </c>
      <c r="T48" s="38"/>
      <c r="U48" s="38" t="s">
        <v>974</v>
      </c>
      <c r="V48" s="38">
        <v>16</v>
      </c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 t="s">
        <v>1041</v>
      </c>
      <c r="AH48" s="38">
        <v>2.8400000000000003</v>
      </c>
      <c r="AI48" s="38"/>
      <c r="AJ48" s="38"/>
      <c r="AK48" s="38" t="s">
        <v>1042</v>
      </c>
      <c r="AL48" s="38" t="s">
        <v>1043</v>
      </c>
      <c r="AM48" s="38"/>
      <c r="AN48" s="38" t="s">
        <v>973</v>
      </c>
      <c r="AO48" s="38"/>
      <c r="AP48" s="38" t="s">
        <v>973</v>
      </c>
      <c r="AQ48" s="38" t="s">
        <v>973</v>
      </c>
      <c r="AR48" s="38" t="s">
        <v>973</v>
      </c>
      <c r="AS48" s="38"/>
      <c r="AT48" s="38">
        <v>393</v>
      </c>
      <c r="AU48" s="38"/>
      <c r="AV48" s="38" t="s">
        <v>973</v>
      </c>
      <c r="AW48" s="38" t="s">
        <v>973</v>
      </c>
      <c r="AX48" s="38" t="s">
        <v>973</v>
      </c>
      <c r="AY48" s="38" t="s">
        <v>973</v>
      </c>
      <c r="AZ48" s="38">
        <v>6</v>
      </c>
      <c r="BA48" s="38" t="s">
        <v>1082</v>
      </c>
      <c r="BB48" s="66"/>
      <c r="BC48" s="38" t="s">
        <v>4</v>
      </c>
      <c r="BD48" s="66" t="s">
        <v>980</v>
      </c>
      <c r="BE48" s="38" t="s">
        <v>16</v>
      </c>
      <c r="BF48" s="66" t="s">
        <v>1012</v>
      </c>
      <c r="BG48" s="38" t="s">
        <v>24</v>
      </c>
      <c r="BH48" s="38" t="s">
        <v>1013</v>
      </c>
      <c r="BI48" s="38"/>
      <c r="BJ48" s="38" t="s">
        <v>977</v>
      </c>
      <c r="BK48" s="38"/>
      <c r="BL48" s="38" t="s">
        <v>869</v>
      </c>
      <c r="BM48" s="38" t="s">
        <v>539</v>
      </c>
      <c r="BN48" s="38" t="s">
        <v>602</v>
      </c>
      <c r="BO48" s="38" t="s">
        <v>534</v>
      </c>
      <c r="BP48" s="38" t="s">
        <v>534</v>
      </c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</row>
    <row r="49" spans="1:132" hidden="1" x14ac:dyDescent="0.2">
      <c r="A49" s="38"/>
      <c r="B49" s="38" t="s">
        <v>978</v>
      </c>
      <c r="C49" s="38" t="s">
        <v>1044</v>
      </c>
      <c r="D49" s="38" t="s">
        <v>1045</v>
      </c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66"/>
      <c r="BC49" s="38"/>
      <c r="BD49" s="66"/>
      <c r="BE49" s="38"/>
      <c r="BF49" s="66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</row>
    <row r="50" spans="1:132" hidden="1" x14ac:dyDescent="0.2">
      <c r="A50" s="38" t="s">
        <v>1032</v>
      </c>
      <c r="B50" s="38" t="s">
        <v>84</v>
      </c>
      <c r="C50" s="38" t="s">
        <v>1083</v>
      </c>
      <c r="D50" s="38" t="s">
        <v>1084</v>
      </c>
      <c r="E50" s="38"/>
      <c r="F50" s="38"/>
      <c r="G50" s="38" t="s">
        <v>4</v>
      </c>
      <c r="H50" s="38">
        <v>7444</v>
      </c>
      <c r="I50" s="38">
        <v>8.7620000000000005</v>
      </c>
      <c r="J50" s="38" t="s">
        <v>1085</v>
      </c>
      <c r="K50" s="38" t="s">
        <v>193</v>
      </c>
      <c r="L50" s="38" t="s">
        <v>195</v>
      </c>
      <c r="M50" s="38" t="s">
        <v>196</v>
      </c>
      <c r="N50" s="38" t="s">
        <v>198</v>
      </c>
      <c r="O50" s="38" t="s">
        <v>275</v>
      </c>
      <c r="P50" s="38" t="s">
        <v>979</v>
      </c>
      <c r="Q50" s="38" t="s">
        <v>865</v>
      </c>
      <c r="R50" s="38" t="s">
        <v>1000</v>
      </c>
      <c r="S50" s="38" t="s">
        <v>1001</v>
      </c>
      <c r="T50" s="38" t="s">
        <v>864</v>
      </c>
      <c r="U50" s="38" t="s">
        <v>974</v>
      </c>
      <c r="V50" s="38">
        <v>16</v>
      </c>
      <c r="W50" s="38" t="s">
        <v>716</v>
      </c>
      <c r="X50" s="38">
        <v>1</v>
      </c>
      <c r="Y50" s="38">
        <v>1</v>
      </c>
      <c r="Z50" s="38">
        <v>0</v>
      </c>
      <c r="AA50" s="38" t="s">
        <v>1036</v>
      </c>
      <c r="AB50" s="38" t="s">
        <v>973</v>
      </c>
      <c r="AC50" s="38" t="s">
        <v>1003</v>
      </c>
      <c r="AD50" s="38" t="s">
        <v>994</v>
      </c>
      <c r="AE50" s="38" t="s">
        <v>1004</v>
      </c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>
        <v>11</v>
      </c>
      <c r="BA50" s="38" t="s">
        <v>1086</v>
      </c>
      <c r="BB50" s="66"/>
      <c r="BC50" s="38" t="s">
        <v>4</v>
      </c>
      <c r="BD50" s="66" t="s">
        <v>980</v>
      </c>
      <c r="BE50" s="38" t="s">
        <v>5</v>
      </c>
      <c r="BF50" s="66" t="s">
        <v>975</v>
      </c>
      <c r="BG50" s="38" t="s">
        <v>6</v>
      </c>
      <c r="BH50" s="38" t="s">
        <v>976</v>
      </c>
      <c r="BI50" s="38"/>
      <c r="BJ50" s="38" t="s">
        <v>977</v>
      </c>
      <c r="BK50" s="38"/>
      <c r="BL50" s="38" t="s">
        <v>870</v>
      </c>
      <c r="BM50" s="38"/>
      <c r="BN50" s="38" t="s">
        <v>602</v>
      </c>
      <c r="BO50" s="38" t="s">
        <v>534</v>
      </c>
      <c r="BP50" s="38" t="s">
        <v>534</v>
      </c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</row>
    <row r="51" spans="1:132" hidden="1" x14ac:dyDescent="0.2">
      <c r="A51" s="38"/>
      <c r="B51" s="38" t="s">
        <v>84</v>
      </c>
      <c r="C51" s="38" t="s">
        <v>1036</v>
      </c>
      <c r="D51" s="38" t="s">
        <v>1038</v>
      </c>
      <c r="E51" s="38" t="s">
        <v>1039</v>
      </c>
      <c r="F51" s="38" t="s">
        <v>1040</v>
      </c>
      <c r="G51" s="38" t="s">
        <v>4</v>
      </c>
      <c r="H51" s="38"/>
      <c r="I51" s="38">
        <v>8.7620000000000005</v>
      </c>
      <c r="J51" s="38" t="s">
        <v>973</v>
      </c>
      <c r="K51" s="38" t="s">
        <v>193</v>
      </c>
      <c r="L51" s="38" t="s">
        <v>195</v>
      </c>
      <c r="M51" s="38" t="s">
        <v>196</v>
      </c>
      <c r="N51" s="38" t="s">
        <v>198</v>
      </c>
      <c r="O51" s="38" t="s">
        <v>275</v>
      </c>
      <c r="P51" s="38" t="s">
        <v>979</v>
      </c>
      <c r="Q51" s="38" t="s">
        <v>865</v>
      </c>
      <c r="R51" s="38" t="s">
        <v>1000</v>
      </c>
      <c r="S51" s="38" t="s">
        <v>1001</v>
      </c>
      <c r="T51" s="38"/>
      <c r="U51" s="38" t="s">
        <v>974</v>
      </c>
      <c r="V51" s="38">
        <v>16</v>
      </c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 t="s">
        <v>1041</v>
      </c>
      <c r="AH51" s="38">
        <v>2.8400000000000003</v>
      </c>
      <c r="AI51" s="38"/>
      <c r="AJ51" s="38"/>
      <c r="AK51" s="38" t="s">
        <v>1042</v>
      </c>
      <c r="AL51" s="38" t="s">
        <v>1043</v>
      </c>
      <c r="AM51" s="38"/>
      <c r="AN51" s="38" t="s">
        <v>973</v>
      </c>
      <c r="AO51" s="38"/>
      <c r="AP51" s="38" t="s">
        <v>973</v>
      </c>
      <c r="AQ51" s="38" t="s">
        <v>973</v>
      </c>
      <c r="AR51" s="38" t="s">
        <v>973</v>
      </c>
      <c r="AS51" s="38"/>
      <c r="AT51" s="38">
        <v>393</v>
      </c>
      <c r="AU51" s="38"/>
      <c r="AV51" s="38" t="s">
        <v>973</v>
      </c>
      <c r="AW51" s="38" t="s">
        <v>973</v>
      </c>
      <c r="AX51" s="38" t="s">
        <v>973</v>
      </c>
      <c r="AY51" s="38" t="s">
        <v>973</v>
      </c>
      <c r="AZ51" s="38">
        <v>6</v>
      </c>
      <c r="BA51" s="38" t="s">
        <v>1086</v>
      </c>
      <c r="BB51" s="66"/>
      <c r="BC51" s="38" t="s">
        <v>4</v>
      </c>
      <c r="BD51" s="66" t="s">
        <v>980</v>
      </c>
      <c r="BE51" s="38" t="s">
        <v>16</v>
      </c>
      <c r="BF51" s="66" t="s">
        <v>1012</v>
      </c>
      <c r="BG51" s="38" t="s">
        <v>24</v>
      </c>
      <c r="BH51" s="38" t="s">
        <v>1013</v>
      </c>
      <c r="BI51" s="38"/>
      <c r="BJ51" s="38" t="s">
        <v>977</v>
      </c>
      <c r="BK51" s="38"/>
      <c r="BL51" s="38" t="s">
        <v>869</v>
      </c>
      <c r="BM51" s="38" t="s">
        <v>539</v>
      </c>
      <c r="BN51" s="38" t="s">
        <v>602</v>
      </c>
      <c r="BO51" s="38" t="s">
        <v>534</v>
      </c>
      <c r="BP51" s="38" t="s">
        <v>534</v>
      </c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</row>
    <row r="52" spans="1:132" hidden="1" x14ac:dyDescent="0.2">
      <c r="A52" s="38"/>
      <c r="B52" s="38" t="s">
        <v>978</v>
      </c>
      <c r="C52" s="38" t="s">
        <v>1044</v>
      </c>
      <c r="D52" s="38" t="s">
        <v>1045</v>
      </c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66"/>
      <c r="BC52" s="38"/>
      <c r="BD52" s="66"/>
      <c r="BE52" s="38"/>
      <c r="BF52" s="66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</row>
    <row r="53" spans="1:132" hidden="1" x14ac:dyDescent="0.2">
      <c r="A53" s="38" t="s">
        <v>1032</v>
      </c>
      <c r="B53" s="38" t="s">
        <v>84</v>
      </c>
      <c r="C53" s="38" t="s">
        <v>1087</v>
      </c>
      <c r="D53" s="38" t="s">
        <v>1088</v>
      </c>
      <c r="E53" s="38"/>
      <c r="F53" s="38"/>
      <c r="G53" s="38" t="s">
        <v>4</v>
      </c>
      <c r="H53" s="38">
        <v>10541</v>
      </c>
      <c r="I53" s="38">
        <v>8.7620000000000005</v>
      </c>
      <c r="J53" s="38" t="s">
        <v>1089</v>
      </c>
      <c r="K53" s="38" t="s">
        <v>193</v>
      </c>
      <c r="L53" s="38" t="s">
        <v>195</v>
      </c>
      <c r="M53" s="38" t="s">
        <v>196</v>
      </c>
      <c r="N53" s="38" t="s">
        <v>198</v>
      </c>
      <c r="O53" s="38" t="s">
        <v>275</v>
      </c>
      <c r="P53" s="38" t="s">
        <v>979</v>
      </c>
      <c r="Q53" s="38" t="s">
        <v>865</v>
      </c>
      <c r="R53" s="38" t="s">
        <v>1000</v>
      </c>
      <c r="S53" s="38" t="s">
        <v>1001</v>
      </c>
      <c r="T53" s="38" t="s">
        <v>864</v>
      </c>
      <c r="U53" s="38" t="s">
        <v>974</v>
      </c>
      <c r="V53" s="38">
        <v>16</v>
      </c>
      <c r="W53" s="38" t="s">
        <v>716</v>
      </c>
      <c r="X53" s="38">
        <v>1</v>
      </c>
      <c r="Y53" s="38">
        <v>1</v>
      </c>
      <c r="Z53" s="38">
        <v>0</v>
      </c>
      <c r="AA53" s="38" t="s">
        <v>1036</v>
      </c>
      <c r="AB53" s="38" t="s">
        <v>973</v>
      </c>
      <c r="AC53" s="38" t="s">
        <v>1003</v>
      </c>
      <c r="AD53" s="38" t="s">
        <v>994</v>
      </c>
      <c r="AE53" s="38" t="s">
        <v>1004</v>
      </c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>
        <v>12</v>
      </c>
      <c r="BA53" s="38" t="s">
        <v>1090</v>
      </c>
      <c r="BB53" s="66"/>
      <c r="BC53" s="38" t="s">
        <v>4</v>
      </c>
      <c r="BD53" s="66" t="s">
        <v>980</v>
      </c>
      <c r="BE53" s="38" t="s">
        <v>5</v>
      </c>
      <c r="BF53" s="66" t="s">
        <v>975</v>
      </c>
      <c r="BG53" s="38" t="s">
        <v>6</v>
      </c>
      <c r="BH53" s="38" t="s">
        <v>976</v>
      </c>
      <c r="BI53" s="38"/>
      <c r="BJ53" s="38" t="s">
        <v>977</v>
      </c>
      <c r="BK53" s="38"/>
      <c r="BL53" s="38" t="s">
        <v>870</v>
      </c>
      <c r="BM53" s="38"/>
      <c r="BN53" s="38" t="s">
        <v>602</v>
      </c>
      <c r="BO53" s="38" t="s">
        <v>534</v>
      </c>
      <c r="BP53" s="38" t="s">
        <v>534</v>
      </c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EB53" t="e">
        <f>SUBTOTAL(103,#REF!)</f>
        <v>#REF!</v>
      </c>
    </row>
    <row r="54" spans="1:132" hidden="1" x14ac:dyDescent="0.2">
      <c r="A54" s="38"/>
      <c r="B54" s="38" t="s">
        <v>84</v>
      </c>
      <c r="C54" s="38" t="s">
        <v>1036</v>
      </c>
      <c r="D54" s="38" t="s">
        <v>1038</v>
      </c>
      <c r="E54" s="38" t="s">
        <v>1039</v>
      </c>
      <c r="F54" s="38" t="s">
        <v>1040</v>
      </c>
      <c r="G54" s="38" t="s">
        <v>4</v>
      </c>
      <c r="H54" s="38"/>
      <c r="I54" s="38">
        <v>8.7620000000000005</v>
      </c>
      <c r="J54" s="38" t="s">
        <v>973</v>
      </c>
      <c r="K54" s="38" t="s">
        <v>193</v>
      </c>
      <c r="L54" s="38" t="s">
        <v>195</v>
      </c>
      <c r="M54" s="38" t="s">
        <v>196</v>
      </c>
      <c r="N54" s="38" t="s">
        <v>198</v>
      </c>
      <c r="O54" s="38" t="s">
        <v>275</v>
      </c>
      <c r="P54" s="38" t="s">
        <v>979</v>
      </c>
      <c r="Q54" s="38" t="s">
        <v>865</v>
      </c>
      <c r="R54" s="38" t="s">
        <v>1000</v>
      </c>
      <c r="S54" s="38" t="s">
        <v>1001</v>
      </c>
      <c r="T54" s="38"/>
      <c r="U54" s="38" t="s">
        <v>974</v>
      </c>
      <c r="V54" s="38">
        <v>16</v>
      </c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 t="s">
        <v>1041</v>
      </c>
      <c r="AH54" s="38">
        <v>2.8400000000000003</v>
      </c>
      <c r="AI54" s="38"/>
      <c r="AJ54" s="38"/>
      <c r="AK54" s="38" t="s">
        <v>1042</v>
      </c>
      <c r="AL54" s="38" t="s">
        <v>1043</v>
      </c>
      <c r="AM54" s="38"/>
      <c r="AN54" s="38" t="s">
        <v>973</v>
      </c>
      <c r="AO54" s="38"/>
      <c r="AP54" s="38" t="s">
        <v>973</v>
      </c>
      <c r="AQ54" s="38" t="s">
        <v>973</v>
      </c>
      <c r="AR54" s="38" t="s">
        <v>973</v>
      </c>
      <c r="AS54" s="38"/>
      <c r="AT54" s="38">
        <v>393</v>
      </c>
      <c r="AU54" s="38"/>
      <c r="AV54" s="38" t="s">
        <v>973</v>
      </c>
      <c r="AW54" s="38" t="s">
        <v>973</v>
      </c>
      <c r="AX54" s="38" t="s">
        <v>973</v>
      </c>
      <c r="AY54" s="38" t="s">
        <v>973</v>
      </c>
      <c r="AZ54" s="38">
        <v>6</v>
      </c>
      <c r="BA54" s="38" t="s">
        <v>1090</v>
      </c>
      <c r="BB54" s="66"/>
      <c r="BC54" s="38" t="s">
        <v>4</v>
      </c>
      <c r="BD54" s="66" t="s">
        <v>980</v>
      </c>
      <c r="BE54" s="38" t="s">
        <v>16</v>
      </c>
      <c r="BF54" s="66" t="s">
        <v>1012</v>
      </c>
      <c r="BG54" s="38" t="s">
        <v>24</v>
      </c>
      <c r="BH54" s="38" t="s">
        <v>1013</v>
      </c>
      <c r="BI54" s="38"/>
      <c r="BJ54" s="38" t="s">
        <v>977</v>
      </c>
      <c r="BK54" s="38"/>
      <c r="BL54" s="38" t="s">
        <v>869</v>
      </c>
      <c r="BM54" s="38" t="s">
        <v>539</v>
      </c>
      <c r="BN54" s="38" t="s">
        <v>602</v>
      </c>
      <c r="BO54" s="38" t="s">
        <v>534</v>
      </c>
      <c r="BP54" s="38" t="s">
        <v>534</v>
      </c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</row>
    <row r="55" spans="1:132" hidden="1" x14ac:dyDescent="0.2">
      <c r="A55" s="38"/>
      <c r="B55" s="38" t="s">
        <v>978</v>
      </c>
      <c r="C55" s="38" t="s">
        <v>1044</v>
      </c>
      <c r="D55" s="38" t="s">
        <v>1045</v>
      </c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66"/>
      <c r="BC55" s="38"/>
      <c r="BD55" s="66"/>
      <c r="BE55" s="38"/>
      <c r="BF55" s="66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</row>
    <row r="56" spans="1:132" hidden="1" x14ac:dyDescent="0.2">
      <c r="A56" s="38" t="s">
        <v>1032</v>
      </c>
      <c r="B56" s="38" t="s">
        <v>84</v>
      </c>
      <c r="C56" s="38" t="s">
        <v>1091</v>
      </c>
      <c r="D56" s="38" t="s">
        <v>1092</v>
      </c>
      <c r="E56" s="38"/>
      <c r="F56" s="38"/>
      <c r="G56" s="38" t="s">
        <v>4</v>
      </c>
      <c r="H56" s="38">
        <v>3908</v>
      </c>
      <c r="I56" s="38">
        <v>8.7620000000000005</v>
      </c>
      <c r="J56" s="38" t="s">
        <v>1056</v>
      </c>
      <c r="K56" s="38" t="s">
        <v>193</v>
      </c>
      <c r="L56" s="38" t="s">
        <v>195</v>
      </c>
      <c r="M56" s="38" t="s">
        <v>196</v>
      </c>
      <c r="N56" s="38" t="s">
        <v>198</v>
      </c>
      <c r="O56" s="38" t="s">
        <v>275</v>
      </c>
      <c r="P56" s="38" t="s">
        <v>979</v>
      </c>
      <c r="Q56" s="38" t="s">
        <v>865</v>
      </c>
      <c r="R56" s="38" t="s">
        <v>1000</v>
      </c>
      <c r="S56" s="38" t="s">
        <v>1001</v>
      </c>
      <c r="T56" s="38" t="s">
        <v>864</v>
      </c>
      <c r="U56" s="38" t="s">
        <v>974</v>
      </c>
      <c r="V56" s="38">
        <v>16</v>
      </c>
      <c r="W56" s="38" t="s">
        <v>716</v>
      </c>
      <c r="X56" s="38">
        <v>1</v>
      </c>
      <c r="Y56" s="38">
        <v>1</v>
      </c>
      <c r="Z56" s="38">
        <v>0</v>
      </c>
      <c r="AA56" s="38" t="s">
        <v>1036</v>
      </c>
      <c r="AB56" s="38" t="s">
        <v>973</v>
      </c>
      <c r="AC56" s="38" t="s">
        <v>1003</v>
      </c>
      <c r="AD56" s="38" t="s">
        <v>994</v>
      </c>
      <c r="AE56" s="38" t="s">
        <v>1004</v>
      </c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>
        <v>13</v>
      </c>
      <c r="BA56" s="38" t="s">
        <v>1093</v>
      </c>
      <c r="BB56" s="66"/>
      <c r="BC56" s="38" t="s">
        <v>4</v>
      </c>
      <c r="BD56" s="66" t="s">
        <v>980</v>
      </c>
      <c r="BE56" s="38" t="s">
        <v>5</v>
      </c>
      <c r="BF56" s="66" t="s">
        <v>975</v>
      </c>
      <c r="BG56" s="38" t="s">
        <v>6</v>
      </c>
      <c r="BH56" s="38" t="s">
        <v>976</v>
      </c>
      <c r="BI56" s="38"/>
      <c r="BJ56" s="38" t="s">
        <v>977</v>
      </c>
      <c r="BK56" s="38"/>
      <c r="BL56" s="38" t="s">
        <v>870</v>
      </c>
      <c r="BM56" s="38"/>
      <c r="BN56" s="38" t="s">
        <v>602</v>
      </c>
      <c r="BO56" s="38" t="s">
        <v>534</v>
      </c>
      <c r="BP56" s="38" t="s">
        <v>534</v>
      </c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</row>
    <row r="57" spans="1:132" hidden="1" x14ac:dyDescent="0.2">
      <c r="A57" s="38"/>
      <c r="B57" s="38" t="s">
        <v>84</v>
      </c>
      <c r="C57" s="38" t="s">
        <v>1036</v>
      </c>
      <c r="D57" s="38" t="s">
        <v>1038</v>
      </c>
      <c r="E57" s="38" t="s">
        <v>1039</v>
      </c>
      <c r="F57" s="38" t="s">
        <v>1040</v>
      </c>
      <c r="G57" s="38" t="s">
        <v>4</v>
      </c>
      <c r="H57" s="38"/>
      <c r="I57" s="38">
        <v>8.7620000000000005</v>
      </c>
      <c r="J57" s="38" t="s">
        <v>973</v>
      </c>
      <c r="K57" s="38" t="s">
        <v>193</v>
      </c>
      <c r="L57" s="38" t="s">
        <v>195</v>
      </c>
      <c r="M57" s="38" t="s">
        <v>196</v>
      </c>
      <c r="N57" s="38" t="s">
        <v>198</v>
      </c>
      <c r="O57" s="38" t="s">
        <v>275</v>
      </c>
      <c r="P57" s="38" t="s">
        <v>979</v>
      </c>
      <c r="Q57" s="38" t="s">
        <v>865</v>
      </c>
      <c r="R57" s="38" t="s">
        <v>1000</v>
      </c>
      <c r="S57" s="38" t="s">
        <v>1001</v>
      </c>
      <c r="T57" s="38"/>
      <c r="U57" s="38" t="s">
        <v>974</v>
      </c>
      <c r="V57" s="38">
        <v>16</v>
      </c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 t="s">
        <v>1041</v>
      </c>
      <c r="AH57" s="38">
        <v>2.8400000000000003</v>
      </c>
      <c r="AI57" s="38"/>
      <c r="AJ57" s="38"/>
      <c r="AK57" s="38" t="s">
        <v>1042</v>
      </c>
      <c r="AL57" s="38" t="s">
        <v>1043</v>
      </c>
      <c r="AM57" s="38"/>
      <c r="AN57" s="38" t="s">
        <v>973</v>
      </c>
      <c r="AO57" s="38"/>
      <c r="AP57" s="38" t="s">
        <v>973</v>
      </c>
      <c r="AQ57" s="38" t="s">
        <v>973</v>
      </c>
      <c r="AR57" s="38" t="s">
        <v>973</v>
      </c>
      <c r="AS57" s="38"/>
      <c r="AT57" s="38">
        <v>393</v>
      </c>
      <c r="AU57" s="38"/>
      <c r="AV57" s="38" t="s">
        <v>973</v>
      </c>
      <c r="AW57" s="38" t="s">
        <v>973</v>
      </c>
      <c r="AX57" s="38" t="s">
        <v>973</v>
      </c>
      <c r="AY57" s="38" t="s">
        <v>973</v>
      </c>
      <c r="AZ57" s="38">
        <v>6</v>
      </c>
      <c r="BA57" s="38" t="s">
        <v>1093</v>
      </c>
      <c r="BB57" s="66"/>
      <c r="BC57" s="38" t="s">
        <v>4</v>
      </c>
      <c r="BD57" s="66" t="s">
        <v>980</v>
      </c>
      <c r="BE57" s="38" t="s">
        <v>16</v>
      </c>
      <c r="BF57" s="66" t="s">
        <v>1012</v>
      </c>
      <c r="BG57" s="38" t="s">
        <v>24</v>
      </c>
      <c r="BH57" s="38" t="s">
        <v>1013</v>
      </c>
      <c r="BI57" s="38"/>
      <c r="BJ57" s="38" t="s">
        <v>977</v>
      </c>
      <c r="BK57" s="38"/>
      <c r="BL57" s="38" t="s">
        <v>869</v>
      </c>
      <c r="BM57" s="38" t="s">
        <v>539</v>
      </c>
      <c r="BN57" s="38" t="s">
        <v>602</v>
      </c>
      <c r="BO57" s="38" t="s">
        <v>534</v>
      </c>
      <c r="BP57" s="38" t="s">
        <v>534</v>
      </c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</row>
    <row r="58" spans="1:132" hidden="1" x14ac:dyDescent="0.2">
      <c r="A58" s="38"/>
      <c r="B58" s="38" t="s">
        <v>978</v>
      </c>
      <c r="C58" s="38" t="s">
        <v>1044</v>
      </c>
      <c r="D58" s="38" t="s">
        <v>1045</v>
      </c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66"/>
      <c r="BC58" s="38"/>
      <c r="BD58" s="66"/>
      <c r="BE58" s="38"/>
      <c r="BF58" s="66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</row>
    <row r="59" spans="1:132" hidden="1" x14ac:dyDescent="0.2">
      <c r="A59" s="38" t="s">
        <v>1032</v>
      </c>
      <c r="B59" s="38" t="s">
        <v>84</v>
      </c>
      <c r="C59" s="38" t="s">
        <v>1094</v>
      </c>
      <c r="D59" s="38" t="s">
        <v>1095</v>
      </c>
      <c r="E59" s="38"/>
      <c r="F59" s="38"/>
      <c r="G59" s="38" t="s">
        <v>4</v>
      </c>
      <c r="H59" s="38">
        <v>11650</v>
      </c>
      <c r="I59" s="38">
        <v>8.7620000000000005</v>
      </c>
      <c r="J59" s="38" t="s">
        <v>1068</v>
      </c>
      <c r="K59" s="38" t="s">
        <v>193</v>
      </c>
      <c r="L59" s="38" t="s">
        <v>195</v>
      </c>
      <c r="M59" s="38" t="s">
        <v>196</v>
      </c>
      <c r="N59" s="38" t="s">
        <v>198</v>
      </c>
      <c r="O59" s="38" t="s">
        <v>275</v>
      </c>
      <c r="P59" s="38" t="s">
        <v>979</v>
      </c>
      <c r="Q59" s="38" t="s">
        <v>865</v>
      </c>
      <c r="R59" s="38" t="s">
        <v>1000</v>
      </c>
      <c r="S59" s="38" t="s">
        <v>1001</v>
      </c>
      <c r="T59" s="38" t="s">
        <v>864</v>
      </c>
      <c r="U59" s="38" t="s">
        <v>974</v>
      </c>
      <c r="V59" s="38">
        <v>16</v>
      </c>
      <c r="W59" s="38" t="s">
        <v>716</v>
      </c>
      <c r="X59" s="38">
        <v>1</v>
      </c>
      <c r="Y59" s="38">
        <v>1</v>
      </c>
      <c r="Z59" s="38">
        <v>0</v>
      </c>
      <c r="AA59" s="38" t="s">
        <v>1036</v>
      </c>
      <c r="AB59" s="38" t="s">
        <v>973</v>
      </c>
      <c r="AC59" s="38" t="s">
        <v>1003</v>
      </c>
      <c r="AD59" s="38" t="s">
        <v>994</v>
      </c>
      <c r="AE59" s="38" t="s">
        <v>1004</v>
      </c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>
        <v>14</v>
      </c>
      <c r="BA59" s="38" t="s">
        <v>1096</v>
      </c>
      <c r="BB59" s="66"/>
      <c r="BC59" s="38" t="s">
        <v>4</v>
      </c>
      <c r="BD59" s="66" t="s">
        <v>980</v>
      </c>
      <c r="BE59" s="38" t="s">
        <v>5</v>
      </c>
      <c r="BF59" s="66" t="s">
        <v>975</v>
      </c>
      <c r="BG59" s="38" t="s">
        <v>6</v>
      </c>
      <c r="BH59" s="38" t="s">
        <v>976</v>
      </c>
      <c r="BI59" s="38"/>
      <c r="BJ59" s="38" t="s">
        <v>977</v>
      </c>
      <c r="BK59" s="38"/>
      <c r="BL59" s="38" t="s">
        <v>870</v>
      </c>
      <c r="BM59" s="38"/>
      <c r="BN59" s="38" t="s">
        <v>602</v>
      </c>
      <c r="BO59" s="38" t="s">
        <v>534</v>
      </c>
      <c r="BP59" s="38" t="s">
        <v>534</v>
      </c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</row>
    <row r="60" spans="1:132" hidden="1" x14ac:dyDescent="0.2">
      <c r="A60" s="38"/>
      <c r="B60" s="38" t="s">
        <v>84</v>
      </c>
      <c r="C60" s="38" t="s">
        <v>1036</v>
      </c>
      <c r="D60" s="38" t="s">
        <v>1038</v>
      </c>
      <c r="E60" s="38" t="s">
        <v>1039</v>
      </c>
      <c r="F60" s="38" t="s">
        <v>1040</v>
      </c>
      <c r="G60" s="38" t="s">
        <v>4</v>
      </c>
      <c r="H60" s="38"/>
      <c r="I60" s="38">
        <v>8.7620000000000005</v>
      </c>
      <c r="J60" s="38" t="s">
        <v>973</v>
      </c>
      <c r="K60" s="38" t="s">
        <v>193</v>
      </c>
      <c r="L60" s="38" t="s">
        <v>195</v>
      </c>
      <c r="M60" s="38" t="s">
        <v>196</v>
      </c>
      <c r="N60" s="38" t="s">
        <v>198</v>
      </c>
      <c r="O60" s="38" t="s">
        <v>275</v>
      </c>
      <c r="P60" s="38" t="s">
        <v>979</v>
      </c>
      <c r="Q60" s="38" t="s">
        <v>865</v>
      </c>
      <c r="R60" s="38" t="s">
        <v>1000</v>
      </c>
      <c r="S60" s="38" t="s">
        <v>1001</v>
      </c>
      <c r="T60" s="38"/>
      <c r="U60" s="38" t="s">
        <v>974</v>
      </c>
      <c r="V60" s="38">
        <v>16</v>
      </c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 t="s">
        <v>1041</v>
      </c>
      <c r="AH60" s="38">
        <v>2.8400000000000003</v>
      </c>
      <c r="AI60" s="38"/>
      <c r="AJ60" s="38"/>
      <c r="AK60" s="38" t="s">
        <v>1042</v>
      </c>
      <c r="AL60" s="38" t="s">
        <v>1043</v>
      </c>
      <c r="AM60" s="38"/>
      <c r="AN60" s="38" t="s">
        <v>973</v>
      </c>
      <c r="AO60" s="38"/>
      <c r="AP60" s="38" t="s">
        <v>973</v>
      </c>
      <c r="AQ60" s="38" t="s">
        <v>973</v>
      </c>
      <c r="AR60" s="38" t="s">
        <v>973</v>
      </c>
      <c r="AS60" s="38"/>
      <c r="AT60" s="38">
        <v>393</v>
      </c>
      <c r="AU60" s="38"/>
      <c r="AV60" s="38" t="s">
        <v>973</v>
      </c>
      <c r="AW60" s="38" t="s">
        <v>973</v>
      </c>
      <c r="AX60" s="38" t="s">
        <v>973</v>
      </c>
      <c r="AY60" s="38" t="s">
        <v>973</v>
      </c>
      <c r="AZ60" s="38">
        <v>6</v>
      </c>
      <c r="BA60" s="38" t="s">
        <v>1096</v>
      </c>
      <c r="BB60" s="66"/>
      <c r="BC60" s="38" t="s">
        <v>4</v>
      </c>
      <c r="BD60" s="66" t="s">
        <v>980</v>
      </c>
      <c r="BE60" s="38" t="s">
        <v>16</v>
      </c>
      <c r="BF60" s="66" t="s">
        <v>1012</v>
      </c>
      <c r="BG60" s="38" t="s">
        <v>24</v>
      </c>
      <c r="BH60" s="38" t="s">
        <v>1013</v>
      </c>
      <c r="BI60" s="38"/>
      <c r="BJ60" s="38" t="s">
        <v>977</v>
      </c>
      <c r="BK60" s="38"/>
      <c r="BL60" s="38" t="s">
        <v>869</v>
      </c>
      <c r="BM60" s="38" t="s">
        <v>539</v>
      </c>
      <c r="BN60" s="38" t="s">
        <v>602</v>
      </c>
      <c r="BO60" s="38" t="s">
        <v>534</v>
      </c>
      <c r="BP60" s="38" t="s">
        <v>534</v>
      </c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</row>
    <row r="61" spans="1:132" hidden="1" x14ac:dyDescent="0.2">
      <c r="A61" s="38"/>
      <c r="B61" s="38" t="s">
        <v>978</v>
      </c>
      <c r="C61" s="38" t="s">
        <v>1044</v>
      </c>
      <c r="D61" s="38" t="s">
        <v>1045</v>
      </c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66"/>
      <c r="BC61" s="38"/>
      <c r="BD61" s="66"/>
      <c r="BE61" s="38"/>
      <c r="BF61" s="66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</row>
    <row r="62" spans="1:132" hidden="1" x14ac:dyDescent="0.2">
      <c r="A62" s="38" t="s">
        <v>1032</v>
      </c>
      <c r="B62" s="38" t="s">
        <v>84</v>
      </c>
      <c r="C62" s="38" t="s">
        <v>1097</v>
      </c>
      <c r="D62" s="38" t="s">
        <v>1098</v>
      </c>
      <c r="E62" s="38"/>
      <c r="F62" s="38"/>
      <c r="G62" s="38" t="s">
        <v>4</v>
      </c>
      <c r="H62" s="38">
        <v>8111</v>
      </c>
      <c r="I62" s="38">
        <v>8.7620000000000005</v>
      </c>
      <c r="J62" s="38" t="s">
        <v>1099</v>
      </c>
      <c r="K62" s="38" t="s">
        <v>193</v>
      </c>
      <c r="L62" s="38" t="s">
        <v>195</v>
      </c>
      <c r="M62" s="38" t="s">
        <v>196</v>
      </c>
      <c r="N62" s="38" t="s">
        <v>198</v>
      </c>
      <c r="O62" s="38" t="s">
        <v>275</v>
      </c>
      <c r="P62" s="38" t="s">
        <v>979</v>
      </c>
      <c r="Q62" s="38" t="s">
        <v>865</v>
      </c>
      <c r="R62" s="38" t="s">
        <v>1000</v>
      </c>
      <c r="S62" s="38" t="s">
        <v>1001</v>
      </c>
      <c r="T62" s="38" t="s">
        <v>864</v>
      </c>
      <c r="U62" s="38" t="s">
        <v>974</v>
      </c>
      <c r="V62" s="38">
        <v>16</v>
      </c>
      <c r="W62" s="38" t="s">
        <v>716</v>
      </c>
      <c r="X62" s="38">
        <v>1</v>
      </c>
      <c r="Y62" s="38">
        <v>1</v>
      </c>
      <c r="Z62" s="38">
        <v>0</v>
      </c>
      <c r="AA62" s="38" t="s">
        <v>1036</v>
      </c>
      <c r="AB62" s="38" t="s">
        <v>973</v>
      </c>
      <c r="AC62" s="38" t="s">
        <v>1003</v>
      </c>
      <c r="AD62" s="38" t="s">
        <v>994</v>
      </c>
      <c r="AE62" s="38" t="s">
        <v>1004</v>
      </c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>
        <v>15</v>
      </c>
      <c r="BA62" s="38" t="s">
        <v>1100</v>
      </c>
      <c r="BB62" s="66"/>
      <c r="BC62" s="38" t="s">
        <v>4</v>
      </c>
      <c r="BD62" s="66" t="s">
        <v>980</v>
      </c>
      <c r="BE62" s="38" t="s">
        <v>5</v>
      </c>
      <c r="BF62" s="66" t="s">
        <v>975</v>
      </c>
      <c r="BG62" s="38" t="s">
        <v>6</v>
      </c>
      <c r="BH62" s="38" t="s">
        <v>976</v>
      </c>
      <c r="BI62" s="38"/>
      <c r="BJ62" s="38" t="s">
        <v>977</v>
      </c>
      <c r="BK62" s="38"/>
      <c r="BL62" s="38" t="s">
        <v>870</v>
      </c>
      <c r="BM62" s="38"/>
      <c r="BN62" s="38" t="s">
        <v>602</v>
      </c>
      <c r="BO62" s="38" t="s">
        <v>534</v>
      </c>
      <c r="BP62" s="38" t="s">
        <v>534</v>
      </c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</row>
    <row r="63" spans="1:132" hidden="1" x14ac:dyDescent="0.2">
      <c r="A63" s="38"/>
      <c r="B63" s="38" t="s">
        <v>84</v>
      </c>
      <c r="C63" s="38" t="s">
        <v>1036</v>
      </c>
      <c r="D63" s="38" t="s">
        <v>1038</v>
      </c>
      <c r="E63" s="38" t="s">
        <v>1039</v>
      </c>
      <c r="F63" s="38" t="s">
        <v>1040</v>
      </c>
      <c r="G63" s="38" t="s">
        <v>4</v>
      </c>
      <c r="H63" s="38"/>
      <c r="I63" s="38">
        <v>8.7620000000000005</v>
      </c>
      <c r="J63" s="38" t="s">
        <v>973</v>
      </c>
      <c r="K63" s="38" t="s">
        <v>193</v>
      </c>
      <c r="L63" s="38" t="s">
        <v>195</v>
      </c>
      <c r="M63" s="38" t="s">
        <v>196</v>
      </c>
      <c r="N63" s="38" t="s">
        <v>198</v>
      </c>
      <c r="O63" s="38" t="s">
        <v>275</v>
      </c>
      <c r="P63" s="38" t="s">
        <v>979</v>
      </c>
      <c r="Q63" s="38" t="s">
        <v>865</v>
      </c>
      <c r="R63" s="38" t="s">
        <v>1000</v>
      </c>
      <c r="S63" s="38" t="s">
        <v>1001</v>
      </c>
      <c r="T63" s="38"/>
      <c r="U63" s="38" t="s">
        <v>974</v>
      </c>
      <c r="V63" s="38">
        <v>16</v>
      </c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 t="s">
        <v>1041</v>
      </c>
      <c r="AH63" s="38">
        <v>2.8400000000000003</v>
      </c>
      <c r="AI63" s="38"/>
      <c r="AJ63" s="38"/>
      <c r="AK63" s="38" t="s">
        <v>1042</v>
      </c>
      <c r="AL63" s="38" t="s">
        <v>1043</v>
      </c>
      <c r="AM63" s="38"/>
      <c r="AN63" s="38" t="s">
        <v>973</v>
      </c>
      <c r="AO63" s="38"/>
      <c r="AP63" s="38" t="s">
        <v>973</v>
      </c>
      <c r="AQ63" s="38" t="s">
        <v>973</v>
      </c>
      <c r="AR63" s="38" t="s">
        <v>973</v>
      </c>
      <c r="AS63" s="38"/>
      <c r="AT63" s="38">
        <v>393</v>
      </c>
      <c r="AU63" s="38"/>
      <c r="AV63" s="38" t="s">
        <v>973</v>
      </c>
      <c r="AW63" s="38" t="s">
        <v>973</v>
      </c>
      <c r="AX63" s="38" t="s">
        <v>973</v>
      </c>
      <c r="AY63" s="38" t="s">
        <v>973</v>
      </c>
      <c r="AZ63" s="38">
        <v>6</v>
      </c>
      <c r="BA63" s="38" t="s">
        <v>1100</v>
      </c>
      <c r="BB63" s="66"/>
      <c r="BC63" s="38" t="s">
        <v>4</v>
      </c>
      <c r="BD63" s="66" t="s">
        <v>980</v>
      </c>
      <c r="BE63" s="38" t="s">
        <v>16</v>
      </c>
      <c r="BF63" s="66" t="s">
        <v>1012</v>
      </c>
      <c r="BG63" s="38" t="s">
        <v>24</v>
      </c>
      <c r="BH63" s="38" t="s">
        <v>1013</v>
      </c>
      <c r="BI63" s="38"/>
      <c r="BJ63" s="38" t="s">
        <v>977</v>
      </c>
      <c r="BK63" s="38"/>
      <c r="BL63" s="38" t="s">
        <v>869</v>
      </c>
      <c r="BM63" s="38" t="s">
        <v>539</v>
      </c>
      <c r="BN63" s="38" t="s">
        <v>602</v>
      </c>
      <c r="BO63" s="38" t="s">
        <v>534</v>
      </c>
      <c r="BP63" s="38" t="s">
        <v>534</v>
      </c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</row>
    <row r="64" spans="1:132" hidden="1" x14ac:dyDescent="0.2">
      <c r="A64" s="38"/>
      <c r="B64" s="38" t="s">
        <v>978</v>
      </c>
      <c r="C64" s="38" t="s">
        <v>1044</v>
      </c>
      <c r="D64" s="38" t="s">
        <v>1045</v>
      </c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66"/>
      <c r="BC64" s="38"/>
      <c r="BD64" s="66"/>
      <c r="BE64" s="38"/>
      <c r="BF64" s="66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</row>
    <row r="65" spans="1:80" hidden="1" x14ac:dyDescent="0.2">
      <c r="A65" s="38" t="s">
        <v>1032</v>
      </c>
      <c r="B65" s="38" t="s">
        <v>84</v>
      </c>
      <c r="C65" s="38" t="s">
        <v>1101</v>
      </c>
      <c r="D65" s="38" t="s">
        <v>1102</v>
      </c>
      <c r="E65" s="38"/>
      <c r="F65" s="38"/>
      <c r="G65" s="38" t="s">
        <v>4</v>
      </c>
      <c r="H65" s="38">
        <v>3908</v>
      </c>
      <c r="I65" s="38">
        <v>8.7620000000000005</v>
      </c>
      <c r="J65" s="38" t="s">
        <v>1056</v>
      </c>
      <c r="K65" s="38" t="s">
        <v>193</v>
      </c>
      <c r="L65" s="38" t="s">
        <v>195</v>
      </c>
      <c r="M65" s="38" t="s">
        <v>196</v>
      </c>
      <c r="N65" s="38" t="s">
        <v>198</v>
      </c>
      <c r="O65" s="38" t="s">
        <v>275</v>
      </c>
      <c r="P65" s="38" t="s">
        <v>979</v>
      </c>
      <c r="Q65" s="38" t="s">
        <v>865</v>
      </c>
      <c r="R65" s="38" t="s">
        <v>1000</v>
      </c>
      <c r="S65" s="38" t="s">
        <v>1001</v>
      </c>
      <c r="T65" s="38" t="s">
        <v>864</v>
      </c>
      <c r="U65" s="38" t="s">
        <v>974</v>
      </c>
      <c r="V65" s="38">
        <v>16</v>
      </c>
      <c r="W65" s="38" t="s">
        <v>716</v>
      </c>
      <c r="X65" s="38">
        <v>1</v>
      </c>
      <c r="Y65" s="38">
        <v>1</v>
      </c>
      <c r="Z65" s="38">
        <v>0</v>
      </c>
      <c r="AA65" s="38" t="s">
        <v>1036</v>
      </c>
      <c r="AB65" s="38" t="s">
        <v>973</v>
      </c>
      <c r="AC65" s="38" t="s">
        <v>1003</v>
      </c>
      <c r="AD65" s="38" t="s">
        <v>994</v>
      </c>
      <c r="AE65" s="38" t="s">
        <v>1004</v>
      </c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>
        <v>16</v>
      </c>
      <c r="BA65" s="38" t="s">
        <v>1103</v>
      </c>
      <c r="BB65" s="66"/>
      <c r="BC65" s="38" t="s">
        <v>4</v>
      </c>
      <c r="BD65" s="66" t="s">
        <v>980</v>
      </c>
      <c r="BE65" s="38" t="s">
        <v>5</v>
      </c>
      <c r="BF65" s="66" t="s">
        <v>975</v>
      </c>
      <c r="BG65" s="38" t="s">
        <v>6</v>
      </c>
      <c r="BH65" s="38" t="s">
        <v>976</v>
      </c>
      <c r="BI65" s="38"/>
      <c r="BJ65" s="38" t="s">
        <v>977</v>
      </c>
      <c r="BK65" s="38"/>
      <c r="BL65" s="38" t="s">
        <v>870</v>
      </c>
      <c r="BM65" s="38"/>
      <c r="BN65" s="38" t="s">
        <v>602</v>
      </c>
      <c r="BO65" s="38" t="s">
        <v>534</v>
      </c>
      <c r="BP65" s="38" t="s">
        <v>534</v>
      </c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</row>
    <row r="66" spans="1:80" hidden="1" x14ac:dyDescent="0.2">
      <c r="A66" s="38"/>
      <c r="B66" s="38" t="s">
        <v>84</v>
      </c>
      <c r="C66" s="38" t="s">
        <v>1036</v>
      </c>
      <c r="D66" s="38" t="s">
        <v>1038</v>
      </c>
      <c r="E66" s="38" t="s">
        <v>1039</v>
      </c>
      <c r="F66" s="38" t="s">
        <v>1040</v>
      </c>
      <c r="G66" s="38" t="s">
        <v>4</v>
      </c>
      <c r="H66" s="38"/>
      <c r="I66" s="38">
        <v>8.7620000000000005</v>
      </c>
      <c r="J66" s="38" t="s">
        <v>973</v>
      </c>
      <c r="K66" s="38" t="s">
        <v>193</v>
      </c>
      <c r="L66" s="38" t="s">
        <v>195</v>
      </c>
      <c r="M66" s="38" t="s">
        <v>196</v>
      </c>
      <c r="N66" s="38" t="s">
        <v>198</v>
      </c>
      <c r="O66" s="38" t="s">
        <v>275</v>
      </c>
      <c r="P66" s="38" t="s">
        <v>979</v>
      </c>
      <c r="Q66" s="38" t="s">
        <v>865</v>
      </c>
      <c r="R66" s="38" t="s">
        <v>1000</v>
      </c>
      <c r="S66" s="38" t="s">
        <v>1001</v>
      </c>
      <c r="T66" s="38"/>
      <c r="U66" s="38" t="s">
        <v>974</v>
      </c>
      <c r="V66" s="38">
        <v>16</v>
      </c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 t="s">
        <v>1041</v>
      </c>
      <c r="AH66" s="38">
        <v>2.8400000000000003</v>
      </c>
      <c r="AI66" s="38"/>
      <c r="AJ66" s="38"/>
      <c r="AK66" s="38" t="s">
        <v>1042</v>
      </c>
      <c r="AL66" s="38" t="s">
        <v>1043</v>
      </c>
      <c r="AM66" s="38"/>
      <c r="AN66" s="38" t="s">
        <v>973</v>
      </c>
      <c r="AO66" s="38"/>
      <c r="AP66" s="38" t="s">
        <v>973</v>
      </c>
      <c r="AQ66" s="38" t="s">
        <v>973</v>
      </c>
      <c r="AR66" s="38" t="s">
        <v>973</v>
      </c>
      <c r="AS66" s="38"/>
      <c r="AT66" s="38">
        <v>393</v>
      </c>
      <c r="AU66" s="38"/>
      <c r="AV66" s="38" t="s">
        <v>973</v>
      </c>
      <c r="AW66" s="38" t="s">
        <v>973</v>
      </c>
      <c r="AX66" s="38" t="s">
        <v>973</v>
      </c>
      <c r="AY66" s="38" t="s">
        <v>973</v>
      </c>
      <c r="AZ66" s="38">
        <v>6</v>
      </c>
      <c r="BA66" s="38" t="s">
        <v>1103</v>
      </c>
      <c r="BB66" s="66"/>
      <c r="BC66" s="38" t="s">
        <v>4</v>
      </c>
      <c r="BD66" s="66" t="s">
        <v>980</v>
      </c>
      <c r="BE66" s="38" t="s">
        <v>16</v>
      </c>
      <c r="BF66" s="66" t="s">
        <v>1012</v>
      </c>
      <c r="BG66" s="38" t="s">
        <v>24</v>
      </c>
      <c r="BH66" s="38" t="s">
        <v>1013</v>
      </c>
      <c r="BI66" s="38"/>
      <c r="BJ66" s="38" t="s">
        <v>977</v>
      </c>
      <c r="BK66" s="38"/>
      <c r="BL66" s="38" t="s">
        <v>869</v>
      </c>
      <c r="BM66" s="38" t="s">
        <v>539</v>
      </c>
      <c r="BN66" s="38" t="s">
        <v>602</v>
      </c>
      <c r="BO66" s="38" t="s">
        <v>534</v>
      </c>
      <c r="BP66" s="38" t="s">
        <v>534</v>
      </c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</row>
    <row r="67" spans="1:80" hidden="1" x14ac:dyDescent="0.2">
      <c r="A67" s="38"/>
      <c r="B67" s="38" t="s">
        <v>978</v>
      </c>
      <c r="C67" s="38" t="s">
        <v>1044</v>
      </c>
      <c r="D67" s="38" t="s">
        <v>1045</v>
      </c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66"/>
      <c r="BC67" s="38"/>
      <c r="BD67" s="66"/>
      <c r="BE67" s="38"/>
      <c r="BF67" s="66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</row>
    <row r="68" spans="1:80" hidden="1" x14ac:dyDescent="0.2">
      <c r="A68" s="38" t="s">
        <v>1032</v>
      </c>
      <c r="B68" s="38" t="s">
        <v>84</v>
      </c>
      <c r="C68" s="38" t="s">
        <v>1104</v>
      </c>
      <c r="D68" s="38" t="s">
        <v>1105</v>
      </c>
      <c r="E68" s="38"/>
      <c r="F68" s="38"/>
      <c r="G68" s="38" t="s">
        <v>4</v>
      </c>
      <c r="H68" s="38">
        <v>11650</v>
      </c>
      <c r="I68" s="38">
        <v>8.7620000000000005</v>
      </c>
      <c r="J68" s="38" t="s">
        <v>1068</v>
      </c>
      <c r="K68" s="38" t="s">
        <v>193</v>
      </c>
      <c r="L68" s="38" t="s">
        <v>195</v>
      </c>
      <c r="M68" s="38" t="s">
        <v>196</v>
      </c>
      <c r="N68" s="38" t="s">
        <v>198</v>
      </c>
      <c r="O68" s="38" t="s">
        <v>275</v>
      </c>
      <c r="P68" s="38" t="s">
        <v>979</v>
      </c>
      <c r="Q68" s="38" t="s">
        <v>865</v>
      </c>
      <c r="R68" s="38" t="s">
        <v>1000</v>
      </c>
      <c r="S68" s="38" t="s">
        <v>1001</v>
      </c>
      <c r="T68" s="38" t="s">
        <v>864</v>
      </c>
      <c r="U68" s="38" t="s">
        <v>974</v>
      </c>
      <c r="V68" s="38">
        <v>16</v>
      </c>
      <c r="W68" s="38" t="s">
        <v>716</v>
      </c>
      <c r="X68" s="38">
        <v>1</v>
      </c>
      <c r="Y68" s="38">
        <v>1</v>
      </c>
      <c r="Z68" s="38">
        <v>0</v>
      </c>
      <c r="AA68" s="38" t="s">
        <v>1036</v>
      </c>
      <c r="AB68" s="38" t="s">
        <v>973</v>
      </c>
      <c r="AC68" s="38" t="s">
        <v>1003</v>
      </c>
      <c r="AD68" s="38" t="s">
        <v>994</v>
      </c>
      <c r="AE68" s="38" t="s">
        <v>1004</v>
      </c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>
        <v>17</v>
      </c>
      <c r="BA68" s="38" t="s">
        <v>1106</v>
      </c>
      <c r="BB68" s="66"/>
      <c r="BC68" s="38" t="s">
        <v>4</v>
      </c>
      <c r="BD68" s="66" t="s">
        <v>980</v>
      </c>
      <c r="BE68" s="38" t="s">
        <v>5</v>
      </c>
      <c r="BF68" s="66" t="s">
        <v>975</v>
      </c>
      <c r="BG68" s="38" t="s">
        <v>6</v>
      </c>
      <c r="BH68" s="38" t="s">
        <v>976</v>
      </c>
      <c r="BI68" s="38"/>
      <c r="BJ68" s="38" t="s">
        <v>977</v>
      </c>
      <c r="BK68" s="38"/>
      <c r="BL68" s="38" t="s">
        <v>870</v>
      </c>
      <c r="BM68" s="38"/>
      <c r="BN68" s="38" t="s">
        <v>602</v>
      </c>
      <c r="BO68" s="38" t="s">
        <v>534</v>
      </c>
      <c r="BP68" s="38" t="s">
        <v>534</v>
      </c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</row>
    <row r="69" spans="1:80" hidden="1" x14ac:dyDescent="0.2">
      <c r="A69" s="38"/>
      <c r="B69" s="38" t="s">
        <v>84</v>
      </c>
      <c r="C69" s="38" t="s">
        <v>1036</v>
      </c>
      <c r="D69" s="38" t="s">
        <v>1038</v>
      </c>
      <c r="E69" s="38" t="s">
        <v>1039</v>
      </c>
      <c r="F69" s="38" t="s">
        <v>1040</v>
      </c>
      <c r="G69" s="38" t="s">
        <v>4</v>
      </c>
      <c r="H69" s="38"/>
      <c r="I69" s="38">
        <v>8.7620000000000005</v>
      </c>
      <c r="J69" s="38" t="s">
        <v>973</v>
      </c>
      <c r="K69" s="38" t="s">
        <v>193</v>
      </c>
      <c r="L69" s="38" t="s">
        <v>195</v>
      </c>
      <c r="M69" s="38" t="s">
        <v>196</v>
      </c>
      <c r="N69" s="38" t="s">
        <v>198</v>
      </c>
      <c r="O69" s="38" t="s">
        <v>275</v>
      </c>
      <c r="P69" s="38" t="s">
        <v>979</v>
      </c>
      <c r="Q69" s="38" t="s">
        <v>865</v>
      </c>
      <c r="R69" s="38" t="s">
        <v>1000</v>
      </c>
      <c r="S69" s="38" t="s">
        <v>1001</v>
      </c>
      <c r="T69" s="38"/>
      <c r="U69" s="38" t="s">
        <v>974</v>
      </c>
      <c r="V69" s="38">
        <v>16</v>
      </c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 t="s">
        <v>1041</v>
      </c>
      <c r="AH69" s="38">
        <v>2.8400000000000003</v>
      </c>
      <c r="AI69" s="38"/>
      <c r="AJ69" s="38"/>
      <c r="AK69" s="38" t="s">
        <v>1042</v>
      </c>
      <c r="AL69" s="38" t="s">
        <v>1043</v>
      </c>
      <c r="AM69" s="38"/>
      <c r="AN69" s="38" t="s">
        <v>973</v>
      </c>
      <c r="AO69" s="38"/>
      <c r="AP69" s="38" t="s">
        <v>973</v>
      </c>
      <c r="AQ69" s="38" t="s">
        <v>973</v>
      </c>
      <c r="AR69" s="38" t="s">
        <v>973</v>
      </c>
      <c r="AS69" s="38"/>
      <c r="AT69" s="38">
        <v>393</v>
      </c>
      <c r="AU69" s="38"/>
      <c r="AV69" s="38" t="s">
        <v>973</v>
      </c>
      <c r="AW69" s="38" t="s">
        <v>973</v>
      </c>
      <c r="AX69" s="38" t="s">
        <v>973</v>
      </c>
      <c r="AY69" s="38" t="s">
        <v>973</v>
      </c>
      <c r="AZ69" s="38">
        <v>6</v>
      </c>
      <c r="BA69" s="38" t="s">
        <v>1106</v>
      </c>
      <c r="BB69" s="66"/>
      <c r="BC69" s="38" t="s">
        <v>4</v>
      </c>
      <c r="BD69" s="66" t="s">
        <v>980</v>
      </c>
      <c r="BE69" s="38" t="s">
        <v>16</v>
      </c>
      <c r="BF69" s="66" t="s">
        <v>1012</v>
      </c>
      <c r="BG69" s="38" t="s">
        <v>24</v>
      </c>
      <c r="BH69" s="38" t="s">
        <v>1013</v>
      </c>
      <c r="BI69" s="38"/>
      <c r="BJ69" s="38" t="s">
        <v>977</v>
      </c>
      <c r="BK69" s="38"/>
      <c r="BL69" s="38" t="s">
        <v>869</v>
      </c>
      <c r="BM69" s="38" t="s">
        <v>539</v>
      </c>
      <c r="BN69" s="38" t="s">
        <v>602</v>
      </c>
      <c r="BO69" s="38" t="s">
        <v>534</v>
      </c>
      <c r="BP69" s="38" t="s">
        <v>534</v>
      </c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</row>
    <row r="70" spans="1:80" hidden="1" x14ac:dyDescent="0.2">
      <c r="A70" s="38"/>
      <c r="B70" s="38" t="s">
        <v>978</v>
      </c>
      <c r="C70" s="38" t="s">
        <v>1044</v>
      </c>
      <c r="D70" s="38" t="s">
        <v>1045</v>
      </c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66"/>
      <c r="BC70" s="38"/>
      <c r="BD70" s="66"/>
      <c r="BE70" s="38"/>
      <c r="BF70" s="66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</row>
    <row r="71" spans="1:80" hidden="1" x14ac:dyDescent="0.2">
      <c r="A71" s="38" t="s">
        <v>1032</v>
      </c>
      <c r="B71" s="38" t="s">
        <v>84</v>
      </c>
      <c r="C71" s="38" t="s">
        <v>1107</v>
      </c>
      <c r="D71" s="38" t="s">
        <v>1108</v>
      </c>
      <c r="E71" s="38"/>
      <c r="F71" s="38"/>
      <c r="G71" s="38" t="s">
        <v>4</v>
      </c>
      <c r="H71" s="38">
        <v>11350</v>
      </c>
      <c r="I71" s="38">
        <v>8.7620000000000005</v>
      </c>
      <c r="J71" s="38" t="s">
        <v>1064</v>
      </c>
      <c r="K71" s="38" t="s">
        <v>193</v>
      </c>
      <c r="L71" s="38" t="s">
        <v>195</v>
      </c>
      <c r="M71" s="38" t="s">
        <v>196</v>
      </c>
      <c r="N71" s="38" t="s">
        <v>198</v>
      </c>
      <c r="O71" s="38" t="s">
        <v>275</v>
      </c>
      <c r="P71" s="38" t="s">
        <v>979</v>
      </c>
      <c r="Q71" s="38" t="s">
        <v>865</v>
      </c>
      <c r="R71" s="38" t="s">
        <v>1000</v>
      </c>
      <c r="S71" s="38" t="s">
        <v>1001</v>
      </c>
      <c r="T71" s="38" t="s">
        <v>864</v>
      </c>
      <c r="U71" s="38" t="s">
        <v>974</v>
      </c>
      <c r="V71" s="38">
        <v>16</v>
      </c>
      <c r="W71" s="38" t="s">
        <v>716</v>
      </c>
      <c r="X71" s="38">
        <v>1</v>
      </c>
      <c r="Y71" s="38">
        <v>1</v>
      </c>
      <c r="Z71" s="38">
        <v>0</v>
      </c>
      <c r="AA71" s="38" t="s">
        <v>1036</v>
      </c>
      <c r="AB71" s="38" t="s">
        <v>973</v>
      </c>
      <c r="AC71" s="38" t="s">
        <v>1003</v>
      </c>
      <c r="AD71" s="38" t="s">
        <v>994</v>
      </c>
      <c r="AE71" s="38" t="s">
        <v>1004</v>
      </c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>
        <v>18</v>
      </c>
      <c r="BA71" s="38" t="s">
        <v>1109</v>
      </c>
      <c r="BB71" s="66"/>
      <c r="BC71" s="38" t="s">
        <v>4</v>
      </c>
      <c r="BD71" s="66" t="s">
        <v>980</v>
      </c>
      <c r="BE71" s="38" t="s">
        <v>5</v>
      </c>
      <c r="BF71" s="66" t="s">
        <v>975</v>
      </c>
      <c r="BG71" s="38" t="s">
        <v>6</v>
      </c>
      <c r="BH71" s="38" t="s">
        <v>976</v>
      </c>
      <c r="BI71" s="38"/>
      <c r="BJ71" s="38" t="s">
        <v>977</v>
      </c>
      <c r="BK71" s="38"/>
      <c r="BL71" s="38" t="s">
        <v>870</v>
      </c>
      <c r="BM71" s="38"/>
      <c r="BN71" s="38" t="s">
        <v>602</v>
      </c>
      <c r="BO71" s="38" t="s">
        <v>534</v>
      </c>
      <c r="BP71" s="38" t="s">
        <v>534</v>
      </c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</row>
    <row r="72" spans="1:80" hidden="1" x14ac:dyDescent="0.2">
      <c r="A72" s="38"/>
      <c r="B72" s="38" t="s">
        <v>84</v>
      </c>
      <c r="C72" s="38" t="s">
        <v>1036</v>
      </c>
      <c r="D72" s="38" t="s">
        <v>1038</v>
      </c>
      <c r="E72" s="38" t="s">
        <v>1039</v>
      </c>
      <c r="F72" s="38" t="s">
        <v>1040</v>
      </c>
      <c r="G72" s="38" t="s">
        <v>4</v>
      </c>
      <c r="H72" s="38"/>
      <c r="I72" s="38">
        <v>8.7620000000000005</v>
      </c>
      <c r="J72" s="38" t="s">
        <v>973</v>
      </c>
      <c r="K72" s="38" t="s">
        <v>193</v>
      </c>
      <c r="L72" s="38" t="s">
        <v>195</v>
      </c>
      <c r="M72" s="38" t="s">
        <v>196</v>
      </c>
      <c r="N72" s="38" t="s">
        <v>198</v>
      </c>
      <c r="O72" s="38" t="s">
        <v>275</v>
      </c>
      <c r="P72" s="38" t="s">
        <v>979</v>
      </c>
      <c r="Q72" s="38" t="s">
        <v>865</v>
      </c>
      <c r="R72" s="38" t="s">
        <v>1000</v>
      </c>
      <c r="S72" s="38" t="s">
        <v>1001</v>
      </c>
      <c r="T72" s="38"/>
      <c r="U72" s="38" t="s">
        <v>974</v>
      </c>
      <c r="V72" s="38">
        <v>16</v>
      </c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 t="s">
        <v>1041</v>
      </c>
      <c r="AH72" s="38">
        <v>2.8400000000000003</v>
      </c>
      <c r="AI72" s="38"/>
      <c r="AJ72" s="38"/>
      <c r="AK72" s="38" t="s">
        <v>1042</v>
      </c>
      <c r="AL72" s="38" t="s">
        <v>1043</v>
      </c>
      <c r="AM72" s="38"/>
      <c r="AN72" s="38" t="s">
        <v>973</v>
      </c>
      <c r="AO72" s="38"/>
      <c r="AP72" s="38" t="s">
        <v>973</v>
      </c>
      <c r="AQ72" s="38" t="s">
        <v>973</v>
      </c>
      <c r="AR72" s="38" t="s">
        <v>973</v>
      </c>
      <c r="AS72" s="38"/>
      <c r="AT72" s="38">
        <v>393</v>
      </c>
      <c r="AU72" s="38"/>
      <c r="AV72" s="38" t="s">
        <v>973</v>
      </c>
      <c r="AW72" s="38" t="s">
        <v>973</v>
      </c>
      <c r="AX72" s="38" t="s">
        <v>973</v>
      </c>
      <c r="AY72" s="38" t="s">
        <v>973</v>
      </c>
      <c r="AZ72" s="38">
        <v>6</v>
      </c>
      <c r="BA72" s="38" t="s">
        <v>1109</v>
      </c>
      <c r="BB72" s="66"/>
      <c r="BC72" s="38" t="s">
        <v>4</v>
      </c>
      <c r="BD72" s="66" t="s">
        <v>980</v>
      </c>
      <c r="BE72" s="38" t="s">
        <v>16</v>
      </c>
      <c r="BF72" s="66" t="s">
        <v>1012</v>
      </c>
      <c r="BG72" s="38" t="s">
        <v>24</v>
      </c>
      <c r="BH72" s="38" t="s">
        <v>1013</v>
      </c>
      <c r="BI72" s="38"/>
      <c r="BJ72" s="38" t="s">
        <v>977</v>
      </c>
      <c r="BK72" s="38"/>
      <c r="BL72" s="38" t="s">
        <v>869</v>
      </c>
      <c r="BM72" s="38" t="s">
        <v>539</v>
      </c>
      <c r="BN72" s="38" t="s">
        <v>602</v>
      </c>
      <c r="BO72" s="38" t="s">
        <v>534</v>
      </c>
      <c r="BP72" s="38" t="s">
        <v>534</v>
      </c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</row>
    <row r="73" spans="1:80" hidden="1" x14ac:dyDescent="0.2">
      <c r="A73" s="38"/>
      <c r="B73" s="38" t="s">
        <v>978</v>
      </c>
      <c r="C73" s="38" t="s">
        <v>1044</v>
      </c>
      <c r="D73" s="38" t="s">
        <v>1045</v>
      </c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66"/>
      <c r="BC73" s="38"/>
      <c r="BD73" s="66"/>
      <c r="BE73" s="38"/>
      <c r="BF73" s="66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</row>
    <row r="74" spans="1:80" hidden="1" x14ac:dyDescent="0.2">
      <c r="A74" s="38" t="s">
        <v>1032</v>
      </c>
      <c r="B74" s="38" t="s">
        <v>84</v>
      </c>
      <c r="C74" s="38" t="s">
        <v>1110</v>
      </c>
      <c r="D74" s="38" t="s">
        <v>1111</v>
      </c>
      <c r="E74" s="38"/>
      <c r="F74" s="38"/>
      <c r="G74" s="38" t="s">
        <v>4</v>
      </c>
      <c r="H74" s="38">
        <v>11200</v>
      </c>
      <c r="I74" s="38">
        <v>8.7620000000000005</v>
      </c>
      <c r="J74" s="38" t="s">
        <v>1112</v>
      </c>
      <c r="K74" s="38" t="s">
        <v>193</v>
      </c>
      <c r="L74" s="38" t="s">
        <v>195</v>
      </c>
      <c r="M74" s="38" t="s">
        <v>196</v>
      </c>
      <c r="N74" s="38" t="s">
        <v>198</v>
      </c>
      <c r="O74" s="38" t="s">
        <v>275</v>
      </c>
      <c r="P74" s="38" t="s">
        <v>979</v>
      </c>
      <c r="Q74" s="38" t="s">
        <v>865</v>
      </c>
      <c r="R74" s="38" t="s">
        <v>1000</v>
      </c>
      <c r="S74" s="38" t="s">
        <v>1001</v>
      </c>
      <c r="T74" s="38" t="s">
        <v>864</v>
      </c>
      <c r="U74" s="38" t="s">
        <v>974</v>
      </c>
      <c r="V74" s="38">
        <v>16</v>
      </c>
      <c r="W74" s="38" t="s">
        <v>716</v>
      </c>
      <c r="X74" s="38">
        <v>1</v>
      </c>
      <c r="Y74" s="38">
        <v>1</v>
      </c>
      <c r="Z74" s="38">
        <v>0</v>
      </c>
      <c r="AA74" s="38" t="s">
        <v>1036</v>
      </c>
      <c r="AB74" s="38" t="s">
        <v>973</v>
      </c>
      <c r="AC74" s="38" t="s">
        <v>1003</v>
      </c>
      <c r="AD74" s="38" t="s">
        <v>994</v>
      </c>
      <c r="AE74" s="38" t="s">
        <v>1004</v>
      </c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>
        <v>19</v>
      </c>
      <c r="BA74" s="38" t="s">
        <v>1113</v>
      </c>
      <c r="BB74" s="66"/>
      <c r="BC74" s="38" t="s">
        <v>4</v>
      </c>
      <c r="BD74" s="66" t="s">
        <v>980</v>
      </c>
      <c r="BE74" s="38" t="s">
        <v>5</v>
      </c>
      <c r="BF74" s="66" t="s">
        <v>975</v>
      </c>
      <c r="BG74" s="38" t="s">
        <v>6</v>
      </c>
      <c r="BH74" s="38" t="s">
        <v>976</v>
      </c>
      <c r="BI74" s="38"/>
      <c r="BJ74" s="38" t="s">
        <v>977</v>
      </c>
      <c r="BK74" s="38"/>
      <c r="BL74" s="38" t="s">
        <v>870</v>
      </c>
      <c r="BM74" s="38"/>
      <c r="BN74" s="38" t="s">
        <v>602</v>
      </c>
      <c r="BO74" s="38" t="s">
        <v>534</v>
      </c>
      <c r="BP74" s="38" t="s">
        <v>534</v>
      </c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</row>
    <row r="75" spans="1:80" hidden="1" x14ac:dyDescent="0.2">
      <c r="A75" s="38"/>
      <c r="B75" s="38" t="s">
        <v>84</v>
      </c>
      <c r="C75" s="38" t="s">
        <v>1036</v>
      </c>
      <c r="D75" s="38" t="s">
        <v>1038</v>
      </c>
      <c r="E75" s="38" t="s">
        <v>1039</v>
      </c>
      <c r="F75" s="38" t="s">
        <v>1040</v>
      </c>
      <c r="G75" s="38" t="s">
        <v>4</v>
      </c>
      <c r="H75" s="38"/>
      <c r="I75" s="38">
        <v>8.7620000000000005</v>
      </c>
      <c r="J75" s="38" t="s">
        <v>973</v>
      </c>
      <c r="K75" s="38" t="s">
        <v>193</v>
      </c>
      <c r="L75" s="38" t="s">
        <v>195</v>
      </c>
      <c r="M75" s="38" t="s">
        <v>196</v>
      </c>
      <c r="N75" s="38" t="s">
        <v>198</v>
      </c>
      <c r="O75" s="38" t="s">
        <v>275</v>
      </c>
      <c r="P75" s="38" t="s">
        <v>979</v>
      </c>
      <c r="Q75" s="38" t="s">
        <v>865</v>
      </c>
      <c r="R75" s="38" t="s">
        <v>1000</v>
      </c>
      <c r="S75" s="38" t="s">
        <v>1001</v>
      </c>
      <c r="T75" s="38"/>
      <c r="U75" s="38" t="s">
        <v>974</v>
      </c>
      <c r="V75" s="38">
        <v>16</v>
      </c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 t="s">
        <v>1041</v>
      </c>
      <c r="AH75" s="38">
        <v>2.8400000000000003</v>
      </c>
      <c r="AI75" s="38"/>
      <c r="AJ75" s="38"/>
      <c r="AK75" s="38" t="s">
        <v>1042</v>
      </c>
      <c r="AL75" s="38" t="s">
        <v>1043</v>
      </c>
      <c r="AM75" s="38"/>
      <c r="AN75" s="38" t="s">
        <v>973</v>
      </c>
      <c r="AO75" s="38"/>
      <c r="AP75" s="38" t="s">
        <v>973</v>
      </c>
      <c r="AQ75" s="38" t="s">
        <v>973</v>
      </c>
      <c r="AR75" s="38" t="s">
        <v>973</v>
      </c>
      <c r="AS75" s="38"/>
      <c r="AT75" s="38">
        <v>393</v>
      </c>
      <c r="AU75" s="38"/>
      <c r="AV75" s="38" t="s">
        <v>973</v>
      </c>
      <c r="AW75" s="38" t="s">
        <v>973</v>
      </c>
      <c r="AX75" s="38" t="s">
        <v>973</v>
      </c>
      <c r="AY75" s="38" t="s">
        <v>973</v>
      </c>
      <c r="AZ75" s="38">
        <v>6</v>
      </c>
      <c r="BA75" s="38" t="s">
        <v>1113</v>
      </c>
      <c r="BB75" s="66"/>
      <c r="BC75" s="38" t="s">
        <v>4</v>
      </c>
      <c r="BD75" s="66" t="s">
        <v>980</v>
      </c>
      <c r="BE75" s="38" t="s">
        <v>16</v>
      </c>
      <c r="BF75" s="66" t="s">
        <v>1012</v>
      </c>
      <c r="BG75" s="38" t="s">
        <v>24</v>
      </c>
      <c r="BH75" s="38" t="s">
        <v>1013</v>
      </c>
      <c r="BI75" s="38"/>
      <c r="BJ75" s="38" t="s">
        <v>977</v>
      </c>
      <c r="BK75" s="38"/>
      <c r="BL75" s="38" t="s">
        <v>869</v>
      </c>
      <c r="BM75" s="38" t="s">
        <v>539</v>
      </c>
      <c r="BN75" s="38" t="s">
        <v>602</v>
      </c>
      <c r="BO75" s="38" t="s">
        <v>534</v>
      </c>
      <c r="BP75" s="38" t="s">
        <v>534</v>
      </c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</row>
    <row r="76" spans="1:80" hidden="1" x14ac:dyDescent="0.2">
      <c r="A76" s="38"/>
      <c r="B76" s="38" t="s">
        <v>978</v>
      </c>
      <c r="C76" s="38" t="s">
        <v>1044</v>
      </c>
      <c r="D76" s="38" t="s">
        <v>1045</v>
      </c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66"/>
      <c r="BC76" s="38"/>
      <c r="BD76" s="66"/>
      <c r="BE76" s="38"/>
      <c r="BF76" s="66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</row>
    <row r="77" spans="1:80" hidden="1" x14ac:dyDescent="0.2">
      <c r="A77" s="38" t="s">
        <v>1032</v>
      </c>
      <c r="B77" s="38" t="s">
        <v>84</v>
      </c>
      <c r="C77" s="38" t="s">
        <v>1114</v>
      </c>
      <c r="D77" s="38" t="s">
        <v>1115</v>
      </c>
      <c r="E77" s="38"/>
      <c r="F77" s="38"/>
      <c r="G77" s="38" t="s">
        <v>4</v>
      </c>
      <c r="H77" s="38">
        <v>10921</v>
      </c>
      <c r="I77" s="38">
        <v>8.7620000000000005</v>
      </c>
      <c r="J77" s="38" t="s">
        <v>1116</v>
      </c>
      <c r="K77" s="38" t="s">
        <v>193</v>
      </c>
      <c r="L77" s="38" t="s">
        <v>195</v>
      </c>
      <c r="M77" s="38" t="s">
        <v>196</v>
      </c>
      <c r="N77" s="38" t="s">
        <v>198</v>
      </c>
      <c r="O77" s="38" t="s">
        <v>275</v>
      </c>
      <c r="P77" s="38" t="s">
        <v>979</v>
      </c>
      <c r="Q77" s="38" t="s">
        <v>865</v>
      </c>
      <c r="R77" s="38" t="s">
        <v>1000</v>
      </c>
      <c r="S77" s="38" t="s">
        <v>1001</v>
      </c>
      <c r="T77" s="38" t="s">
        <v>864</v>
      </c>
      <c r="U77" s="38" t="s">
        <v>974</v>
      </c>
      <c r="V77" s="38">
        <v>16</v>
      </c>
      <c r="W77" s="38" t="s">
        <v>716</v>
      </c>
      <c r="X77" s="38">
        <v>1</v>
      </c>
      <c r="Y77" s="38">
        <v>1</v>
      </c>
      <c r="Z77" s="38">
        <v>0</v>
      </c>
      <c r="AA77" s="38" t="s">
        <v>1036</v>
      </c>
      <c r="AB77" s="38" t="s">
        <v>973</v>
      </c>
      <c r="AC77" s="38" t="s">
        <v>1003</v>
      </c>
      <c r="AD77" s="38" t="s">
        <v>994</v>
      </c>
      <c r="AE77" s="38" t="s">
        <v>1004</v>
      </c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>
        <v>20</v>
      </c>
      <c r="BA77" s="38" t="s">
        <v>1117</v>
      </c>
      <c r="BB77" s="66"/>
      <c r="BC77" s="38" t="s">
        <v>4</v>
      </c>
      <c r="BD77" s="66" t="s">
        <v>980</v>
      </c>
      <c r="BE77" s="38" t="s">
        <v>5</v>
      </c>
      <c r="BF77" s="66" t="s">
        <v>975</v>
      </c>
      <c r="BG77" s="38" t="s">
        <v>6</v>
      </c>
      <c r="BH77" s="38" t="s">
        <v>976</v>
      </c>
      <c r="BI77" s="38"/>
      <c r="BJ77" s="38" t="s">
        <v>977</v>
      </c>
      <c r="BK77" s="38"/>
      <c r="BL77" s="38" t="s">
        <v>870</v>
      </c>
      <c r="BM77" s="38"/>
      <c r="BN77" s="38" t="s">
        <v>602</v>
      </c>
      <c r="BO77" s="38" t="s">
        <v>534</v>
      </c>
      <c r="BP77" s="38" t="s">
        <v>534</v>
      </c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</row>
    <row r="78" spans="1:80" hidden="1" x14ac:dyDescent="0.2">
      <c r="A78" s="38"/>
      <c r="B78" s="38" t="s">
        <v>84</v>
      </c>
      <c r="C78" s="38" t="s">
        <v>1036</v>
      </c>
      <c r="D78" s="38" t="s">
        <v>1038</v>
      </c>
      <c r="E78" s="38" t="s">
        <v>1039</v>
      </c>
      <c r="F78" s="38" t="s">
        <v>1040</v>
      </c>
      <c r="G78" s="38" t="s">
        <v>4</v>
      </c>
      <c r="H78" s="38"/>
      <c r="I78" s="38">
        <v>8.7620000000000005</v>
      </c>
      <c r="J78" s="38" t="s">
        <v>973</v>
      </c>
      <c r="K78" s="38" t="s">
        <v>193</v>
      </c>
      <c r="L78" s="38" t="s">
        <v>195</v>
      </c>
      <c r="M78" s="38" t="s">
        <v>196</v>
      </c>
      <c r="N78" s="38" t="s">
        <v>198</v>
      </c>
      <c r="O78" s="38" t="s">
        <v>275</v>
      </c>
      <c r="P78" s="38" t="s">
        <v>979</v>
      </c>
      <c r="Q78" s="38" t="s">
        <v>865</v>
      </c>
      <c r="R78" s="38" t="s">
        <v>1000</v>
      </c>
      <c r="S78" s="38" t="s">
        <v>1001</v>
      </c>
      <c r="T78" s="38"/>
      <c r="U78" s="38" t="s">
        <v>974</v>
      </c>
      <c r="V78" s="38">
        <v>16</v>
      </c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 t="s">
        <v>1041</v>
      </c>
      <c r="AH78" s="38">
        <v>2.8400000000000003</v>
      </c>
      <c r="AI78" s="38"/>
      <c r="AJ78" s="38"/>
      <c r="AK78" s="38" t="s">
        <v>1042</v>
      </c>
      <c r="AL78" s="38" t="s">
        <v>1043</v>
      </c>
      <c r="AM78" s="38"/>
      <c r="AN78" s="38" t="s">
        <v>973</v>
      </c>
      <c r="AO78" s="38"/>
      <c r="AP78" s="38" t="s">
        <v>973</v>
      </c>
      <c r="AQ78" s="38" t="s">
        <v>973</v>
      </c>
      <c r="AR78" s="38" t="s">
        <v>973</v>
      </c>
      <c r="AS78" s="38"/>
      <c r="AT78" s="38">
        <v>393</v>
      </c>
      <c r="AU78" s="38"/>
      <c r="AV78" s="38" t="s">
        <v>973</v>
      </c>
      <c r="AW78" s="38" t="s">
        <v>973</v>
      </c>
      <c r="AX78" s="38" t="s">
        <v>973</v>
      </c>
      <c r="AY78" s="38" t="s">
        <v>973</v>
      </c>
      <c r="AZ78" s="38">
        <v>6</v>
      </c>
      <c r="BA78" s="38" t="s">
        <v>1117</v>
      </c>
      <c r="BB78" s="66"/>
      <c r="BC78" s="38" t="s">
        <v>4</v>
      </c>
      <c r="BD78" s="66" t="s">
        <v>980</v>
      </c>
      <c r="BE78" s="38" t="s">
        <v>16</v>
      </c>
      <c r="BF78" s="66" t="s">
        <v>1012</v>
      </c>
      <c r="BG78" s="38" t="s">
        <v>24</v>
      </c>
      <c r="BH78" s="38" t="s">
        <v>1013</v>
      </c>
      <c r="BI78" s="38"/>
      <c r="BJ78" s="38" t="s">
        <v>977</v>
      </c>
      <c r="BK78" s="38"/>
      <c r="BL78" s="38" t="s">
        <v>869</v>
      </c>
      <c r="BM78" s="38" t="s">
        <v>539</v>
      </c>
      <c r="BN78" s="38" t="s">
        <v>602</v>
      </c>
      <c r="BO78" s="38" t="s">
        <v>534</v>
      </c>
      <c r="BP78" s="38" t="s">
        <v>534</v>
      </c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</row>
    <row r="79" spans="1:80" hidden="1" x14ac:dyDescent="0.2">
      <c r="A79" s="38"/>
      <c r="B79" s="38" t="s">
        <v>978</v>
      </c>
      <c r="C79" s="38" t="s">
        <v>1044</v>
      </c>
      <c r="D79" s="38" t="s">
        <v>1045</v>
      </c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66"/>
      <c r="BC79" s="38"/>
      <c r="BD79" s="66"/>
      <c r="BE79" s="38"/>
      <c r="BF79" s="66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</row>
    <row r="80" spans="1:80" hidden="1" x14ac:dyDescent="0.2">
      <c r="A80" s="38" t="s">
        <v>1032</v>
      </c>
      <c r="B80" s="38" t="s">
        <v>84</v>
      </c>
      <c r="C80" s="38" t="s">
        <v>1118</v>
      </c>
      <c r="D80" s="38" t="s">
        <v>1119</v>
      </c>
      <c r="E80" s="38"/>
      <c r="F80" s="38"/>
      <c r="G80" s="38" t="s">
        <v>4</v>
      </c>
      <c r="H80" s="38">
        <v>3908</v>
      </c>
      <c r="I80" s="38">
        <v>8.7620000000000005</v>
      </c>
      <c r="J80" s="38" t="s">
        <v>1056</v>
      </c>
      <c r="K80" s="38" t="s">
        <v>193</v>
      </c>
      <c r="L80" s="38" t="s">
        <v>195</v>
      </c>
      <c r="M80" s="38" t="s">
        <v>196</v>
      </c>
      <c r="N80" s="38" t="s">
        <v>198</v>
      </c>
      <c r="O80" s="38" t="s">
        <v>275</v>
      </c>
      <c r="P80" s="38" t="s">
        <v>979</v>
      </c>
      <c r="Q80" s="38" t="s">
        <v>865</v>
      </c>
      <c r="R80" s="38" t="s">
        <v>1000</v>
      </c>
      <c r="S80" s="38" t="s">
        <v>1001</v>
      </c>
      <c r="T80" s="38" t="s">
        <v>864</v>
      </c>
      <c r="U80" s="38" t="s">
        <v>974</v>
      </c>
      <c r="V80" s="38">
        <v>16</v>
      </c>
      <c r="W80" s="38" t="s">
        <v>716</v>
      </c>
      <c r="X80" s="38">
        <v>1</v>
      </c>
      <c r="Y80" s="38">
        <v>1</v>
      </c>
      <c r="Z80" s="38">
        <v>0</v>
      </c>
      <c r="AA80" s="38" t="s">
        <v>1036</v>
      </c>
      <c r="AB80" s="38" t="s">
        <v>973</v>
      </c>
      <c r="AC80" s="38" t="s">
        <v>1003</v>
      </c>
      <c r="AD80" s="38" t="s">
        <v>994</v>
      </c>
      <c r="AE80" s="38" t="s">
        <v>1004</v>
      </c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>
        <v>21</v>
      </c>
      <c r="BA80" s="38" t="s">
        <v>1120</v>
      </c>
      <c r="BB80" s="66"/>
      <c r="BC80" s="38" t="s">
        <v>4</v>
      </c>
      <c r="BD80" s="66" t="s">
        <v>980</v>
      </c>
      <c r="BE80" s="38" t="s">
        <v>5</v>
      </c>
      <c r="BF80" s="66" t="s">
        <v>975</v>
      </c>
      <c r="BG80" s="38" t="s">
        <v>6</v>
      </c>
      <c r="BH80" s="38" t="s">
        <v>976</v>
      </c>
      <c r="BI80" s="38"/>
      <c r="BJ80" s="38" t="s">
        <v>977</v>
      </c>
      <c r="BK80" s="38"/>
      <c r="BL80" s="38" t="s">
        <v>870</v>
      </c>
      <c r="BM80" s="38"/>
      <c r="BN80" s="38" t="s">
        <v>602</v>
      </c>
      <c r="BO80" s="38" t="s">
        <v>534</v>
      </c>
      <c r="BP80" s="38" t="s">
        <v>534</v>
      </c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</row>
    <row r="81" spans="1:80" hidden="1" x14ac:dyDescent="0.2">
      <c r="A81" s="38"/>
      <c r="B81" s="38" t="s">
        <v>84</v>
      </c>
      <c r="C81" s="38" t="s">
        <v>1036</v>
      </c>
      <c r="D81" s="38" t="s">
        <v>1038</v>
      </c>
      <c r="E81" s="38" t="s">
        <v>1039</v>
      </c>
      <c r="F81" s="38" t="s">
        <v>1040</v>
      </c>
      <c r="G81" s="38" t="s">
        <v>4</v>
      </c>
      <c r="H81" s="38"/>
      <c r="I81" s="38">
        <v>8.7620000000000005</v>
      </c>
      <c r="J81" s="38" t="s">
        <v>973</v>
      </c>
      <c r="K81" s="38" t="s">
        <v>193</v>
      </c>
      <c r="L81" s="38" t="s">
        <v>195</v>
      </c>
      <c r="M81" s="38" t="s">
        <v>196</v>
      </c>
      <c r="N81" s="38" t="s">
        <v>198</v>
      </c>
      <c r="O81" s="38" t="s">
        <v>275</v>
      </c>
      <c r="P81" s="38" t="s">
        <v>979</v>
      </c>
      <c r="Q81" s="38" t="s">
        <v>865</v>
      </c>
      <c r="R81" s="38" t="s">
        <v>1000</v>
      </c>
      <c r="S81" s="38" t="s">
        <v>1001</v>
      </c>
      <c r="T81" s="38"/>
      <c r="U81" s="38" t="s">
        <v>974</v>
      </c>
      <c r="V81" s="38">
        <v>16</v>
      </c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 t="s">
        <v>1041</v>
      </c>
      <c r="AH81" s="38">
        <v>2.8400000000000003</v>
      </c>
      <c r="AI81" s="38"/>
      <c r="AJ81" s="38"/>
      <c r="AK81" s="38" t="s">
        <v>1042</v>
      </c>
      <c r="AL81" s="38" t="s">
        <v>1043</v>
      </c>
      <c r="AM81" s="38"/>
      <c r="AN81" s="38" t="s">
        <v>973</v>
      </c>
      <c r="AO81" s="38"/>
      <c r="AP81" s="38" t="s">
        <v>973</v>
      </c>
      <c r="AQ81" s="38" t="s">
        <v>973</v>
      </c>
      <c r="AR81" s="38" t="s">
        <v>973</v>
      </c>
      <c r="AS81" s="38"/>
      <c r="AT81" s="38">
        <v>393</v>
      </c>
      <c r="AU81" s="38"/>
      <c r="AV81" s="38" t="s">
        <v>973</v>
      </c>
      <c r="AW81" s="38" t="s">
        <v>973</v>
      </c>
      <c r="AX81" s="38" t="s">
        <v>973</v>
      </c>
      <c r="AY81" s="38" t="s">
        <v>973</v>
      </c>
      <c r="AZ81" s="38">
        <v>6</v>
      </c>
      <c r="BA81" s="38" t="s">
        <v>1120</v>
      </c>
      <c r="BB81" s="66"/>
      <c r="BC81" s="38" t="s">
        <v>4</v>
      </c>
      <c r="BD81" s="66" t="s">
        <v>980</v>
      </c>
      <c r="BE81" s="38" t="s">
        <v>16</v>
      </c>
      <c r="BF81" s="66" t="s">
        <v>1012</v>
      </c>
      <c r="BG81" s="38" t="s">
        <v>24</v>
      </c>
      <c r="BH81" s="38" t="s">
        <v>1013</v>
      </c>
      <c r="BI81" s="38"/>
      <c r="BJ81" s="38" t="s">
        <v>977</v>
      </c>
      <c r="BK81" s="38"/>
      <c r="BL81" s="38" t="s">
        <v>869</v>
      </c>
      <c r="BM81" s="38" t="s">
        <v>539</v>
      </c>
      <c r="BN81" s="38" t="s">
        <v>602</v>
      </c>
      <c r="BO81" s="38" t="s">
        <v>534</v>
      </c>
      <c r="BP81" s="38" t="s">
        <v>534</v>
      </c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</row>
    <row r="82" spans="1:80" hidden="1" x14ac:dyDescent="0.2">
      <c r="A82" s="38"/>
      <c r="B82" s="38" t="s">
        <v>978</v>
      </c>
      <c r="C82" s="38" t="s">
        <v>1044</v>
      </c>
      <c r="D82" s="38" t="s">
        <v>1045</v>
      </c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66"/>
      <c r="BC82" s="38"/>
      <c r="BD82" s="66"/>
      <c r="BE82" s="38"/>
      <c r="BF82" s="66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</row>
    <row r="83" spans="1:80" hidden="1" x14ac:dyDescent="0.2">
      <c r="A83" s="38" t="s">
        <v>1032</v>
      </c>
      <c r="B83" s="38" t="s">
        <v>84</v>
      </c>
      <c r="C83" s="38" t="s">
        <v>1121</v>
      </c>
      <c r="D83" s="38" t="s">
        <v>1122</v>
      </c>
      <c r="E83" s="38"/>
      <c r="F83" s="38"/>
      <c r="G83" s="38" t="s">
        <v>4</v>
      </c>
      <c r="H83" s="38">
        <v>3908</v>
      </c>
      <c r="I83" s="38">
        <v>8.7620000000000005</v>
      </c>
      <c r="J83" s="38" t="s">
        <v>1056</v>
      </c>
      <c r="K83" s="38" t="s">
        <v>193</v>
      </c>
      <c r="L83" s="38" t="s">
        <v>195</v>
      </c>
      <c r="M83" s="38" t="s">
        <v>196</v>
      </c>
      <c r="N83" s="38" t="s">
        <v>198</v>
      </c>
      <c r="O83" s="38" t="s">
        <v>275</v>
      </c>
      <c r="P83" s="38" t="s">
        <v>979</v>
      </c>
      <c r="Q83" s="38" t="s">
        <v>865</v>
      </c>
      <c r="R83" s="38" t="s">
        <v>1000</v>
      </c>
      <c r="S83" s="38" t="s">
        <v>1001</v>
      </c>
      <c r="T83" s="38" t="s">
        <v>864</v>
      </c>
      <c r="U83" s="38" t="s">
        <v>974</v>
      </c>
      <c r="V83" s="38">
        <v>16</v>
      </c>
      <c r="W83" s="38" t="s">
        <v>716</v>
      </c>
      <c r="X83" s="38">
        <v>1</v>
      </c>
      <c r="Y83" s="38">
        <v>1</v>
      </c>
      <c r="Z83" s="38">
        <v>0</v>
      </c>
      <c r="AA83" s="38" t="s">
        <v>1036</v>
      </c>
      <c r="AB83" s="38" t="s">
        <v>973</v>
      </c>
      <c r="AC83" s="38" t="s">
        <v>1003</v>
      </c>
      <c r="AD83" s="38" t="s">
        <v>994</v>
      </c>
      <c r="AE83" s="38" t="s">
        <v>1004</v>
      </c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>
        <v>22</v>
      </c>
      <c r="BA83" s="38" t="s">
        <v>1123</v>
      </c>
      <c r="BB83" s="66"/>
      <c r="BC83" s="38" t="s">
        <v>4</v>
      </c>
      <c r="BD83" s="66" t="s">
        <v>980</v>
      </c>
      <c r="BE83" s="38" t="s">
        <v>5</v>
      </c>
      <c r="BF83" s="66" t="s">
        <v>975</v>
      </c>
      <c r="BG83" s="38" t="s">
        <v>6</v>
      </c>
      <c r="BH83" s="38" t="s">
        <v>976</v>
      </c>
      <c r="BI83" s="38"/>
      <c r="BJ83" s="38" t="s">
        <v>977</v>
      </c>
      <c r="BK83" s="38"/>
      <c r="BL83" s="38" t="s">
        <v>870</v>
      </c>
      <c r="BM83" s="38"/>
      <c r="BN83" s="38" t="s">
        <v>602</v>
      </c>
      <c r="BO83" s="38" t="s">
        <v>534</v>
      </c>
      <c r="BP83" s="38" t="s">
        <v>534</v>
      </c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</row>
    <row r="84" spans="1:80" hidden="1" x14ac:dyDescent="0.2">
      <c r="A84" s="38"/>
      <c r="B84" s="38" t="s">
        <v>84</v>
      </c>
      <c r="C84" s="38" t="s">
        <v>1036</v>
      </c>
      <c r="D84" s="38" t="s">
        <v>1038</v>
      </c>
      <c r="E84" s="38" t="s">
        <v>1039</v>
      </c>
      <c r="F84" s="38" t="s">
        <v>1040</v>
      </c>
      <c r="G84" s="38" t="s">
        <v>4</v>
      </c>
      <c r="H84" s="38"/>
      <c r="I84" s="38">
        <v>8.7620000000000005</v>
      </c>
      <c r="J84" s="38" t="s">
        <v>973</v>
      </c>
      <c r="K84" s="38" t="s">
        <v>193</v>
      </c>
      <c r="L84" s="38" t="s">
        <v>195</v>
      </c>
      <c r="M84" s="38" t="s">
        <v>196</v>
      </c>
      <c r="N84" s="38" t="s">
        <v>198</v>
      </c>
      <c r="O84" s="38" t="s">
        <v>275</v>
      </c>
      <c r="P84" s="38" t="s">
        <v>979</v>
      </c>
      <c r="Q84" s="38" t="s">
        <v>865</v>
      </c>
      <c r="R84" s="38" t="s">
        <v>1000</v>
      </c>
      <c r="S84" s="38" t="s">
        <v>1001</v>
      </c>
      <c r="T84" s="38"/>
      <c r="U84" s="38" t="s">
        <v>974</v>
      </c>
      <c r="V84" s="38">
        <v>16</v>
      </c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 t="s">
        <v>1041</v>
      </c>
      <c r="AH84" s="38">
        <v>2.8400000000000003</v>
      </c>
      <c r="AI84" s="38"/>
      <c r="AJ84" s="38"/>
      <c r="AK84" s="38" t="s">
        <v>1042</v>
      </c>
      <c r="AL84" s="38" t="s">
        <v>1043</v>
      </c>
      <c r="AM84" s="38"/>
      <c r="AN84" s="38" t="s">
        <v>973</v>
      </c>
      <c r="AO84" s="38"/>
      <c r="AP84" s="38" t="s">
        <v>973</v>
      </c>
      <c r="AQ84" s="38" t="s">
        <v>973</v>
      </c>
      <c r="AR84" s="38" t="s">
        <v>973</v>
      </c>
      <c r="AS84" s="38"/>
      <c r="AT84" s="38">
        <v>393</v>
      </c>
      <c r="AU84" s="38"/>
      <c r="AV84" s="38" t="s">
        <v>973</v>
      </c>
      <c r="AW84" s="38" t="s">
        <v>973</v>
      </c>
      <c r="AX84" s="38" t="s">
        <v>973</v>
      </c>
      <c r="AY84" s="38" t="s">
        <v>973</v>
      </c>
      <c r="AZ84" s="38">
        <v>6</v>
      </c>
      <c r="BA84" s="38" t="s">
        <v>1123</v>
      </c>
      <c r="BB84" s="66"/>
      <c r="BC84" s="38" t="s">
        <v>4</v>
      </c>
      <c r="BD84" s="66" t="s">
        <v>980</v>
      </c>
      <c r="BE84" s="38" t="s">
        <v>16</v>
      </c>
      <c r="BF84" s="66" t="s">
        <v>1012</v>
      </c>
      <c r="BG84" s="38" t="s">
        <v>24</v>
      </c>
      <c r="BH84" s="38" t="s">
        <v>1013</v>
      </c>
      <c r="BI84" s="38"/>
      <c r="BJ84" s="38" t="s">
        <v>977</v>
      </c>
      <c r="BK84" s="38"/>
      <c r="BL84" s="38" t="s">
        <v>869</v>
      </c>
      <c r="BM84" s="38" t="s">
        <v>539</v>
      </c>
      <c r="BN84" s="38" t="s">
        <v>602</v>
      </c>
      <c r="BO84" s="38" t="s">
        <v>534</v>
      </c>
      <c r="BP84" s="38" t="s">
        <v>534</v>
      </c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</row>
    <row r="85" spans="1:80" hidden="1" x14ac:dyDescent="0.2">
      <c r="A85" s="38"/>
      <c r="B85" s="38" t="s">
        <v>978</v>
      </c>
      <c r="C85" s="38" t="s">
        <v>1044</v>
      </c>
      <c r="D85" s="38" t="s">
        <v>1045</v>
      </c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66"/>
      <c r="BC85" s="38"/>
      <c r="BD85" s="66"/>
      <c r="BE85" s="38"/>
      <c r="BF85" s="66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</row>
    <row r="86" spans="1:80" hidden="1" x14ac:dyDescent="0.2">
      <c r="A86" s="38" t="s">
        <v>1032</v>
      </c>
      <c r="B86" s="38" t="s">
        <v>84</v>
      </c>
      <c r="C86" s="38" t="s">
        <v>1124</v>
      </c>
      <c r="D86" s="38" t="s">
        <v>1125</v>
      </c>
      <c r="E86" s="38"/>
      <c r="F86" s="38"/>
      <c r="G86" s="38" t="s">
        <v>4</v>
      </c>
      <c r="H86" s="38">
        <v>11350</v>
      </c>
      <c r="I86" s="38">
        <v>8.7620000000000005</v>
      </c>
      <c r="J86" s="38" t="s">
        <v>1064</v>
      </c>
      <c r="K86" s="38" t="s">
        <v>193</v>
      </c>
      <c r="L86" s="38" t="s">
        <v>195</v>
      </c>
      <c r="M86" s="38" t="s">
        <v>196</v>
      </c>
      <c r="N86" s="38" t="s">
        <v>198</v>
      </c>
      <c r="O86" s="38" t="s">
        <v>275</v>
      </c>
      <c r="P86" s="38" t="s">
        <v>979</v>
      </c>
      <c r="Q86" s="38" t="s">
        <v>865</v>
      </c>
      <c r="R86" s="38" t="s">
        <v>1000</v>
      </c>
      <c r="S86" s="38" t="s">
        <v>1001</v>
      </c>
      <c r="T86" s="38" t="s">
        <v>864</v>
      </c>
      <c r="U86" s="38" t="s">
        <v>974</v>
      </c>
      <c r="V86" s="38">
        <v>16</v>
      </c>
      <c r="W86" s="38" t="s">
        <v>716</v>
      </c>
      <c r="X86" s="38">
        <v>1</v>
      </c>
      <c r="Y86" s="38">
        <v>1</v>
      </c>
      <c r="Z86" s="38">
        <v>0</v>
      </c>
      <c r="AA86" s="38" t="s">
        <v>1036</v>
      </c>
      <c r="AB86" s="38" t="s">
        <v>973</v>
      </c>
      <c r="AC86" s="38" t="s">
        <v>1003</v>
      </c>
      <c r="AD86" s="38" t="s">
        <v>994</v>
      </c>
      <c r="AE86" s="38" t="s">
        <v>1004</v>
      </c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>
        <v>23</v>
      </c>
      <c r="BA86" s="38" t="s">
        <v>1126</v>
      </c>
      <c r="BB86" s="66"/>
      <c r="BC86" s="38" t="s">
        <v>4</v>
      </c>
      <c r="BD86" s="66" t="s">
        <v>980</v>
      </c>
      <c r="BE86" s="38" t="s">
        <v>5</v>
      </c>
      <c r="BF86" s="66" t="s">
        <v>975</v>
      </c>
      <c r="BG86" s="38" t="s">
        <v>6</v>
      </c>
      <c r="BH86" s="38" t="s">
        <v>976</v>
      </c>
      <c r="BI86" s="38"/>
      <c r="BJ86" s="38" t="s">
        <v>977</v>
      </c>
      <c r="BK86" s="38"/>
      <c r="BL86" s="38" t="s">
        <v>870</v>
      </c>
      <c r="BM86" s="38"/>
      <c r="BN86" s="38" t="s">
        <v>602</v>
      </c>
      <c r="BO86" s="38" t="s">
        <v>534</v>
      </c>
      <c r="BP86" s="38" t="s">
        <v>534</v>
      </c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</row>
    <row r="87" spans="1:80" hidden="1" x14ac:dyDescent="0.2">
      <c r="A87" s="38"/>
      <c r="B87" s="38" t="s">
        <v>84</v>
      </c>
      <c r="C87" s="38" t="s">
        <v>1036</v>
      </c>
      <c r="D87" s="38" t="s">
        <v>1038</v>
      </c>
      <c r="E87" s="38" t="s">
        <v>1039</v>
      </c>
      <c r="F87" s="38" t="s">
        <v>1040</v>
      </c>
      <c r="G87" s="38" t="s">
        <v>4</v>
      </c>
      <c r="H87" s="38"/>
      <c r="I87" s="38">
        <v>8.7620000000000005</v>
      </c>
      <c r="J87" s="38" t="s">
        <v>973</v>
      </c>
      <c r="K87" s="38" t="s">
        <v>193</v>
      </c>
      <c r="L87" s="38" t="s">
        <v>195</v>
      </c>
      <c r="M87" s="38" t="s">
        <v>196</v>
      </c>
      <c r="N87" s="38" t="s">
        <v>198</v>
      </c>
      <c r="O87" s="38" t="s">
        <v>275</v>
      </c>
      <c r="P87" s="38" t="s">
        <v>979</v>
      </c>
      <c r="Q87" s="38" t="s">
        <v>865</v>
      </c>
      <c r="R87" s="38" t="s">
        <v>1000</v>
      </c>
      <c r="S87" s="38" t="s">
        <v>1001</v>
      </c>
      <c r="T87" s="38"/>
      <c r="U87" s="38" t="s">
        <v>974</v>
      </c>
      <c r="V87" s="38">
        <v>16</v>
      </c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 t="s">
        <v>1041</v>
      </c>
      <c r="AH87" s="38">
        <v>2.8400000000000003</v>
      </c>
      <c r="AI87" s="38"/>
      <c r="AJ87" s="38"/>
      <c r="AK87" s="38" t="s">
        <v>1042</v>
      </c>
      <c r="AL87" s="38" t="s">
        <v>1043</v>
      </c>
      <c r="AM87" s="38"/>
      <c r="AN87" s="38" t="s">
        <v>973</v>
      </c>
      <c r="AO87" s="38"/>
      <c r="AP87" s="38" t="s">
        <v>973</v>
      </c>
      <c r="AQ87" s="38" t="s">
        <v>973</v>
      </c>
      <c r="AR87" s="38" t="s">
        <v>973</v>
      </c>
      <c r="AS87" s="38"/>
      <c r="AT87" s="38">
        <v>393</v>
      </c>
      <c r="AU87" s="38"/>
      <c r="AV87" s="38" t="s">
        <v>973</v>
      </c>
      <c r="AW87" s="38" t="s">
        <v>973</v>
      </c>
      <c r="AX87" s="38" t="s">
        <v>973</v>
      </c>
      <c r="AY87" s="38" t="s">
        <v>973</v>
      </c>
      <c r="AZ87" s="38">
        <v>6</v>
      </c>
      <c r="BA87" s="38" t="s">
        <v>1126</v>
      </c>
      <c r="BB87" s="66"/>
      <c r="BC87" s="38" t="s">
        <v>4</v>
      </c>
      <c r="BD87" s="66" t="s">
        <v>980</v>
      </c>
      <c r="BE87" s="38" t="s">
        <v>16</v>
      </c>
      <c r="BF87" s="66" t="s">
        <v>1012</v>
      </c>
      <c r="BG87" s="38" t="s">
        <v>24</v>
      </c>
      <c r="BH87" s="38" t="s">
        <v>1013</v>
      </c>
      <c r="BI87" s="38"/>
      <c r="BJ87" s="38" t="s">
        <v>977</v>
      </c>
      <c r="BK87" s="38"/>
      <c r="BL87" s="38" t="s">
        <v>869</v>
      </c>
      <c r="BM87" s="38" t="s">
        <v>539</v>
      </c>
      <c r="BN87" s="38" t="s">
        <v>602</v>
      </c>
      <c r="BO87" s="38" t="s">
        <v>534</v>
      </c>
      <c r="BP87" s="38" t="s">
        <v>534</v>
      </c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</row>
    <row r="88" spans="1:80" hidden="1" x14ac:dyDescent="0.2">
      <c r="A88" s="38"/>
      <c r="B88" s="38" t="s">
        <v>978</v>
      </c>
      <c r="C88" s="38" t="s">
        <v>1044</v>
      </c>
      <c r="D88" s="38" t="s">
        <v>1045</v>
      </c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66"/>
      <c r="BC88" s="38"/>
      <c r="BD88" s="66"/>
      <c r="BE88" s="38"/>
      <c r="BF88" s="66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</row>
    <row r="89" spans="1:80" hidden="1" x14ac:dyDescent="0.2">
      <c r="A89" s="38" t="s">
        <v>1032</v>
      </c>
      <c r="B89" s="38" t="s">
        <v>84</v>
      </c>
      <c r="C89" s="38" t="s">
        <v>1127</v>
      </c>
      <c r="D89" s="38" t="s">
        <v>1128</v>
      </c>
      <c r="E89" s="38"/>
      <c r="F89" s="38"/>
      <c r="G89" s="38" t="s">
        <v>4</v>
      </c>
      <c r="H89" s="38">
        <v>11650</v>
      </c>
      <c r="I89" s="38">
        <v>8.7620000000000005</v>
      </c>
      <c r="J89" s="38" t="s">
        <v>1068</v>
      </c>
      <c r="K89" s="38" t="s">
        <v>193</v>
      </c>
      <c r="L89" s="38" t="s">
        <v>195</v>
      </c>
      <c r="M89" s="38" t="s">
        <v>196</v>
      </c>
      <c r="N89" s="38" t="s">
        <v>198</v>
      </c>
      <c r="O89" s="38" t="s">
        <v>275</v>
      </c>
      <c r="P89" s="38" t="s">
        <v>979</v>
      </c>
      <c r="Q89" s="38" t="s">
        <v>865</v>
      </c>
      <c r="R89" s="38" t="s">
        <v>1000</v>
      </c>
      <c r="S89" s="38" t="s">
        <v>1001</v>
      </c>
      <c r="T89" s="38" t="s">
        <v>864</v>
      </c>
      <c r="U89" s="38" t="s">
        <v>974</v>
      </c>
      <c r="V89" s="38">
        <v>16</v>
      </c>
      <c r="W89" s="38" t="s">
        <v>716</v>
      </c>
      <c r="X89" s="38">
        <v>1</v>
      </c>
      <c r="Y89" s="38">
        <v>1</v>
      </c>
      <c r="Z89" s="38">
        <v>0</v>
      </c>
      <c r="AA89" s="38" t="s">
        <v>1036</v>
      </c>
      <c r="AB89" s="38" t="s">
        <v>973</v>
      </c>
      <c r="AC89" s="38" t="s">
        <v>1003</v>
      </c>
      <c r="AD89" s="38" t="s">
        <v>994</v>
      </c>
      <c r="AE89" s="38" t="s">
        <v>1004</v>
      </c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>
        <v>24</v>
      </c>
      <c r="BA89" s="38" t="s">
        <v>1129</v>
      </c>
      <c r="BB89" s="66"/>
      <c r="BC89" s="38" t="s">
        <v>4</v>
      </c>
      <c r="BD89" s="66" t="s">
        <v>980</v>
      </c>
      <c r="BE89" s="38" t="s">
        <v>5</v>
      </c>
      <c r="BF89" s="66" t="s">
        <v>975</v>
      </c>
      <c r="BG89" s="38" t="s">
        <v>6</v>
      </c>
      <c r="BH89" s="38" t="s">
        <v>976</v>
      </c>
      <c r="BI89" s="38"/>
      <c r="BJ89" s="38" t="s">
        <v>977</v>
      </c>
      <c r="BK89" s="38"/>
      <c r="BL89" s="38" t="s">
        <v>870</v>
      </c>
      <c r="BM89" s="38"/>
      <c r="BN89" s="38" t="s">
        <v>602</v>
      </c>
      <c r="BO89" s="38" t="s">
        <v>534</v>
      </c>
      <c r="BP89" s="38" t="s">
        <v>534</v>
      </c>
      <c r="BQ89" s="38"/>
      <c r="BR89" s="38"/>
      <c r="BS89" s="38"/>
      <c r="BT89" s="38"/>
      <c r="BU89" s="38"/>
      <c r="BV89" s="38"/>
      <c r="BW89" s="38"/>
      <c r="BX89" s="38"/>
      <c r="BY89" s="38"/>
      <c r="BZ89" s="38"/>
      <c r="CA89" s="38"/>
      <c r="CB89" s="38"/>
    </row>
    <row r="90" spans="1:80" hidden="1" x14ac:dyDescent="0.2">
      <c r="A90" s="38"/>
      <c r="B90" s="38" t="s">
        <v>84</v>
      </c>
      <c r="C90" s="38" t="s">
        <v>1036</v>
      </c>
      <c r="D90" s="38" t="s">
        <v>1038</v>
      </c>
      <c r="E90" s="38" t="s">
        <v>1039</v>
      </c>
      <c r="F90" s="38" t="s">
        <v>1040</v>
      </c>
      <c r="G90" s="38" t="s">
        <v>4</v>
      </c>
      <c r="H90" s="38"/>
      <c r="I90" s="38">
        <v>8.7620000000000005</v>
      </c>
      <c r="J90" s="38" t="s">
        <v>973</v>
      </c>
      <c r="K90" s="38" t="s">
        <v>193</v>
      </c>
      <c r="L90" s="38" t="s">
        <v>195</v>
      </c>
      <c r="M90" s="38" t="s">
        <v>196</v>
      </c>
      <c r="N90" s="38" t="s">
        <v>198</v>
      </c>
      <c r="O90" s="38" t="s">
        <v>275</v>
      </c>
      <c r="P90" s="38" t="s">
        <v>979</v>
      </c>
      <c r="Q90" s="38" t="s">
        <v>865</v>
      </c>
      <c r="R90" s="38" t="s">
        <v>1000</v>
      </c>
      <c r="S90" s="38" t="s">
        <v>1001</v>
      </c>
      <c r="T90" s="38"/>
      <c r="U90" s="38" t="s">
        <v>974</v>
      </c>
      <c r="V90" s="38">
        <v>16</v>
      </c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 t="s">
        <v>1041</v>
      </c>
      <c r="AH90" s="38">
        <v>2.8400000000000003</v>
      </c>
      <c r="AI90" s="38"/>
      <c r="AJ90" s="38"/>
      <c r="AK90" s="38" t="s">
        <v>1042</v>
      </c>
      <c r="AL90" s="38" t="s">
        <v>1043</v>
      </c>
      <c r="AM90" s="38"/>
      <c r="AN90" s="38" t="s">
        <v>973</v>
      </c>
      <c r="AO90" s="38"/>
      <c r="AP90" s="38" t="s">
        <v>973</v>
      </c>
      <c r="AQ90" s="38" t="s">
        <v>973</v>
      </c>
      <c r="AR90" s="38" t="s">
        <v>973</v>
      </c>
      <c r="AS90" s="38"/>
      <c r="AT90" s="38">
        <v>393</v>
      </c>
      <c r="AU90" s="38"/>
      <c r="AV90" s="38" t="s">
        <v>973</v>
      </c>
      <c r="AW90" s="38" t="s">
        <v>973</v>
      </c>
      <c r="AX90" s="38" t="s">
        <v>973</v>
      </c>
      <c r="AY90" s="38" t="s">
        <v>973</v>
      </c>
      <c r="AZ90" s="38">
        <v>6</v>
      </c>
      <c r="BA90" s="38" t="s">
        <v>1129</v>
      </c>
      <c r="BB90" s="66"/>
      <c r="BC90" s="38" t="s">
        <v>4</v>
      </c>
      <c r="BD90" s="66" t="s">
        <v>980</v>
      </c>
      <c r="BE90" s="38" t="s">
        <v>16</v>
      </c>
      <c r="BF90" s="66" t="s">
        <v>1012</v>
      </c>
      <c r="BG90" s="38" t="s">
        <v>24</v>
      </c>
      <c r="BH90" s="38" t="s">
        <v>1013</v>
      </c>
      <c r="BI90" s="38"/>
      <c r="BJ90" s="38" t="s">
        <v>977</v>
      </c>
      <c r="BK90" s="38"/>
      <c r="BL90" s="38" t="s">
        <v>869</v>
      </c>
      <c r="BM90" s="38" t="s">
        <v>539</v>
      </c>
      <c r="BN90" s="38" t="s">
        <v>602</v>
      </c>
      <c r="BO90" s="38" t="s">
        <v>534</v>
      </c>
      <c r="BP90" s="38" t="s">
        <v>534</v>
      </c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</row>
    <row r="91" spans="1:80" hidden="1" x14ac:dyDescent="0.2">
      <c r="A91" s="38"/>
      <c r="B91" s="38" t="s">
        <v>978</v>
      </c>
      <c r="C91" s="38" t="s">
        <v>1044</v>
      </c>
      <c r="D91" s="38" t="s">
        <v>1045</v>
      </c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66"/>
      <c r="BC91" s="38"/>
      <c r="BD91" s="66"/>
      <c r="BE91" s="38"/>
      <c r="BF91" s="66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  <c r="BZ91" s="38"/>
      <c r="CA91" s="38"/>
      <c r="CB91" s="38"/>
    </row>
    <row r="92" spans="1:80" hidden="1" x14ac:dyDescent="0.2">
      <c r="A92" s="38" t="s">
        <v>1032</v>
      </c>
      <c r="B92" s="38" t="s">
        <v>84</v>
      </c>
      <c r="C92" s="38" t="s">
        <v>1130</v>
      </c>
      <c r="D92" s="38" t="s">
        <v>1131</v>
      </c>
      <c r="E92" s="38"/>
      <c r="F92" s="38"/>
      <c r="G92" s="38" t="s">
        <v>4</v>
      </c>
      <c r="H92" s="38">
        <v>11350</v>
      </c>
      <c r="I92" s="38">
        <v>8.7620000000000005</v>
      </c>
      <c r="J92" s="38" t="s">
        <v>1064</v>
      </c>
      <c r="K92" s="38" t="s">
        <v>193</v>
      </c>
      <c r="L92" s="38" t="s">
        <v>195</v>
      </c>
      <c r="M92" s="38" t="s">
        <v>196</v>
      </c>
      <c r="N92" s="38" t="s">
        <v>198</v>
      </c>
      <c r="O92" s="38" t="s">
        <v>275</v>
      </c>
      <c r="P92" s="38" t="s">
        <v>979</v>
      </c>
      <c r="Q92" s="38" t="s">
        <v>865</v>
      </c>
      <c r="R92" s="38" t="s">
        <v>1000</v>
      </c>
      <c r="S92" s="38" t="s">
        <v>1001</v>
      </c>
      <c r="T92" s="38" t="s">
        <v>864</v>
      </c>
      <c r="U92" s="38" t="s">
        <v>974</v>
      </c>
      <c r="V92" s="38">
        <v>16</v>
      </c>
      <c r="W92" s="38" t="s">
        <v>716</v>
      </c>
      <c r="X92" s="38">
        <v>1</v>
      </c>
      <c r="Y92" s="38">
        <v>1</v>
      </c>
      <c r="Z92" s="38">
        <v>0</v>
      </c>
      <c r="AA92" s="38" t="s">
        <v>1036</v>
      </c>
      <c r="AB92" s="38" t="s">
        <v>973</v>
      </c>
      <c r="AC92" s="38" t="s">
        <v>1003</v>
      </c>
      <c r="AD92" s="38" t="s">
        <v>994</v>
      </c>
      <c r="AE92" s="38" t="s">
        <v>1004</v>
      </c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>
        <v>25</v>
      </c>
      <c r="BA92" s="38" t="s">
        <v>1132</v>
      </c>
      <c r="BB92" s="66"/>
      <c r="BC92" s="38" t="s">
        <v>4</v>
      </c>
      <c r="BD92" s="66" t="s">
        <v>980</v>
      </c>
      <c r="BE92" s="38" t="s">
        <v>5</v>
      </c>
      <c r="BF92" s="66" t="s">
        <v>975</v>
      </c>
      <c r="BG92" s="38" t="s">
        <v>6</v>
      </c>
      <c r="BH92" s="38" t="s">
        <v>976</v>
      </c>
      <c r="BI92" s="38"/>
      <c r="BJ92" s="38" t="s">
        <v>977</v>
      </c>
      <c r="BK92" s="38"/>
      <c r="BL92" s="38" t="s">
        <v>870</v>
      </c>
      <c r="BM92" s="38"/>
      <c r="BN92" s="38" t="s">
        <v>602</v>
      </c>
      <c r="BO92" s="38" t="s">
        <v>534</v>
      </c>
      <c r="BP92" s="38" t="s">
        <v>534</v>
      </c>
      <c r="BQ92" s="38"/>
      <c r="BR92" s="38"/>
      <c r="BS92" s="38"/>
      <c r="BT92" s="38"/>
      <c r="BU92" s="38"/>
      <c r="BV92" s="38"/>
      <c r="BW92" s="38"/>
      <c r="BX92" s="38"/>
      <c r="BY92" s="38"/>
      <c r="BZ92" s="38"/>
      <c r="CA92" s="38"/>
      <c r="CB92" s="38"/>
    </row>
    <row r="93" spans="1:80" hidden="1" x14ac:dyDescent="0.2">
      <c r="A93" s="38"/>
      <c r="B93" s="38" t="s">
        <v>84</v>
      </c>
      <c r="C93" s="38" t="s">
        <v>1036</v>
      </c>
      <c r="D93" s="38" t="s">
        <v>1038</v>
      </c>
      <c r="E93" s="38" t="s">
        <v>1039</v>
      </c>
      <c r="F93" s="38" t="s">
        <v>1040</v>
      </c>
      <c r="G93" s="38" t="s">
        <v>4</v>
      </c>
      <c r="H93" s="38"/>
      <c r="I93" s="38">
        <v>8.7620000000000005</v>
      </c>
      <c r="J93" s="38" t="s">
        <v>973</v>
      </c>
      <c r="K93" s="38" t="s">
        <v>193</v>
      </c>
      <c r="L93" s="38" t="s">
        <v>195</v>
      </c>
      <c r="M93" s="38" t="s">
        <v>196</v>
      </c>
      <c r="N93" s="38" t="s">
        <v>198</v>
      </c>
      <c r="O93" s="38" t="s">
        <v>275</v>
      </c>
      <c r="P93" s="38" t="s">
        <v>979</v>
      </c>
      <c r="Q93" s="38" t="s">
        <v>865</v>
      </c>
      <c r="R93" s="38" t="s">
        <v>1000</v>
      </c>
      <c r="S93" s="38" t="s">
        <v>1001</v>
      </c>
      <c r="T93" s="38"/>
      <c r="U93" s="38" t="s">
        <v>974</v>
      </c>
      <c r="V93" s="38">
        <v>16</v>
      </c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 t="s">
        <v>1041</v>
      </c>
      <c r="AH93" s="38">
        <v>2.8400000000000003</v>
      </c>
      <c r="AI93" s="38"/>
      <c r="AJ93" s="38"/>
      <c r="AK93" s="38" t="s">
        <v>1042</v>
      </c>
      <c r="AL93" s="38" t="s">
        <v>1043</v>
      </c>
      <c r="AM93" s="38"/>
      <c r="AN93" s="38" t="s">
        <v>973</v>
      </c>
      <c r="AO93" s="38"/>
      <c r="AP93" s="38" t="s">
        <v>973</v>
      </c>
      <c r="AQ93" s="38" t="s">
        <v>973</v>
      </c>
      <c r="AR93" s="38" t="s">
        <v>973</v>
      </c>
      <c r="AS93" s="38"/>
      <c r="AT93" s="38">
        <v>393</v>
      </c>
      <c r="AU93" s="38"/>
      <c r="AV93" s="38" t="s">
        <v>973</v>
      </c>
      <c r="AW93" s="38" t="s">
        <v>973</v>
      </c>
      <c r="AX93" s="38" t="s">
        <v>973</v>
      </c>
      <c r="AY93" s="38" t="s">
        <v>973</v>
      </c>
      <c r="AZ93" s="38">
        <v>6</v>
      </c>
      <c r="BA93" s="38" t="s">
        <v>1132</v>
      </c>
      <c r="BB93" s="66"/>
      <c r="BC93" s="38" t="s">
        <v>4</v>
      </c>
      <c r="BD93" s="66" t="s">
        <v>980</v>
      </c>
      <c r="BE93" s="38" t="s">
        <v>16</v>
      </c>
      <c r="BF93" s="66" t="s">
        <v>1012</v>
      </c>
      <c r="BG93" s="38" t="s">
        <v>24</v>
      </c>
      <c r="BH93" s="38" t="s">
        <v>1013</v>
      </c>
      <c r="BI93" s="38"/>
      <c r="BJ93" s="38" t="s">
        <v>977</v>
      </c>
      <c r="BK93" s="38"/>
      <c r="BL93" s="38" t="s">
        <v>869</v>
      </c>
      <c r="BM93" s="38" t="s">
        <v>539</v>
      </c>
      <c r="BN93" s="38" t="s">
        <v>602</v>
      </c>
      <c r="BO93" s="38" t="s">
        <v>534</v>
      </c>
      <c r="BP93" s="38" t="s">
        <v>534</v>
      </c>
      <c r="BQ93" s="38"/>
      <c r="BR93" s="38"/>
      <c r="BS93" s="38"/>
      <c r="BT93" s="38"/>
      <c r="BU93" s="38"/>
      <c r="BV93" s="38"/>
      <c r="BW93" s="38"/>
      <c r="BX93" s="38"/>
      <c r="BY93" s="38"/>
      <c r="BZ93" s="38"/>
      <c r="CA93" s="38"/>
      <c r="CB93" s="38"/>
    </row>
    <row r="94" spans="1:80" hidden="1" x14ac:dyDescent="0.2">
      <c r="A94" s="38"/>
      <c r="B94" s="38" t="s">
        <v>978</v>
      </c>
      <c r="C94" s="38" t="s">
        <v>1044</v>
      </c>
      <c r="D94" s="38" t="s">
        <v>1045</v>
      </c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66"/>
      <c r="BC94" s="38"/>
      <c r="BD94" s="66"/>
      <c r="BE94" s="38"/>
      <c r="BF94" s="66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  <c r="BZ94" s="38"/>
      <c r="CA94" s="38"/>
      <c r="CB94" s="38"/>
    </row>
    <row r="95" spans="1:80" hidden="1" x14ac:dyDescent="0.2">
      <c r="A95" s="38" t="s">
        <v>1032</v>
      </c>
      <c r="B95" s="38" t="s">
        <v>84</v>
      </c>
      <c r="C95" s="38" t="s">
        <v>1133</v>
      </c>
      <c r="D95" s="38" t="s">
        <v>1134</v>
      </c>
      <c r="E95" s="38"/>
      <c r="F95" s="38"/>
      <c r="G95" s="38" t="s">
        <v>4</v>
      </c>
      <c r="H95" s="38">
        <v>11650</v>
      </c>
      <c r="I95" s="38">
        <v>8.7620000000000005</v>
      </c>
      <c r="J95" s="38" t="s">
        <v>1068</v>
      </c>
      <c r="K95" s="38" t="s">
        <v>193</v>
      </c>
      <c r="L95" s="38" t="s">
        <v>195</v>
      </c>
      <c r="M95" s="38" t="s">
        <v>196</v>
      </c>
      <c r="N95" s="38" t="s">
        <v>198</v>
      </c>
      <c r="O95" s="38" t="s">
        <v>275</v>
      </c>
      <c r="P95" s="38" t="s">
        <v>979</v>
      </c>
      <c r="Q95" s="38" t="s">
        <v>865</v>
      </c>
      <c r="R95" s="38" t="s">
        <v>1000</v>
      </c>
      <c r="S95" s="38" t="s">
        <v>1001</v>
      </c>
      <c r="T95" s="38" t="s">
        <v>864</v>
      </c>
      <c r="U95" s="38" t="s">
        <v>974</v>
      </c>
      <c r="V95" s="38">
        <v>16</v>
      </c>
      <c r="W95" s="38" t="s">
        <v>716</v>
      </c>
      <c r="X95" s="38">
        <v>1</v>
      </c>
      <c r="Y95" s="38">
        <v>1</v>
      </c>
      <c r="Z95" s="38">
        <v>0</v>
      </c>
      <c r="AA95" s="38" t="s">
        <v>1036</v>
      </c>
      <c r="AB95" s="38" t="s">
        <v>973</v>
      </c>
      <c r="AC95" s="38" t="s">
        <v>1003</v>
      </c>
      <c r="AD95" s="38" t="s">
        <v>994</v>
      </c>
      <c r="AE95" s="38" t="s">
        <v>1004</v>
      </c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>
        <v>26</v>
      </c>
      <c r="BA95" s="38" t="s">
        <v>1135</v>
      </c>
      <c r="BB95" s="66"/>
      <c r="BC95" s="38" t="s">
        <v>4</v>
      </c>
      <c r="BD95" s="66" t="s">
        <v>980</v>
      </c>
      <c r="BE95" s="38" t="s">
        <v>5</v>
      </c>
      <c r="BF95" s="66" t="s">
        <v>975</v>
      </c>
      <c r="BG95" s="38" t="s">
        <v>6</v>
      </c>
      <c r="BH95" s="38" t="s">
        <v>976</v>
      </c>
      <c r="BI95" s="38"/>
      <c r="BJ95" s="38" t="s">
        <v>977</v>
      </c>
      <c r="BK95" s="38"/>
      <c r="BL95" s="38" t="s">
        <v>870</v>
      </c>
      <c r="BM95" s="38"/>
      <c r="BN95" s="38" t="s">
        <v>602</v>
      </c>
      <c r="BO95" s="38" t="s">
        <v>534</v>
      </c>
      <c r="BP95" s="38" t="s">
        <v>534</v>
      </c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</row>
    <row r="96" spans="1:80" hidden="1" x14ac:dyDescent="0.2">
      <c r="A96" s="38"/>
      <c r="B96" s="38" t="s">
        <v>84</v>
      </c>
      <c r="C96" s="38" t="s">
        <v>1036</v>
      </c>
      <c r="D96" s="38" t="s">
        <v>1038</v>
      </c>
      <c r="E96" s="38" t="s">
        <v>1039</v>
      </c>
      <c r="F96" s="38" t="s">
        <v>1040</v>
      </c>
      <c r="G96" s="38" t="s">
        <v>4</v>
      </c>
      <c r="H96" s="38"/>
      <c r="I96" s="38">
        <v>8.7620000000000005</v>
      </c>
      <c r="J96" s="38" t="s">
        <v>973</v>
      </c>
      <c r="K96" s="38" t="s">
        <v>193</v>
      </c>
      <c r="L96" s="38" t="s">
        <v>195</v>
      </c>
      <c r="M96" s="38" t="s">
        <v>196</v>
      </c>
      <c r="N96" s="38" t="s">
        <v>198</v>
      </c>
      <c r="O96" s="38" t="s">
        <v>275</v>
      </c>
      <c r="P96" s="38" t="s">
        <v>979</v>
      </c>
      <c r="Q96" s="38" t="s">
        <v>865</v>
      </c>
      <c r="R96" s="38" t="s">
        <v>1000</v>
      </c>
      <c r="S96" s="38" t="s">
        <v>1001</v>
      </c>
      <c r="T96" s="38"/>
      <c r="U96" s="38" t="s">
        <v>974</v>
      </c>
      <c r="V96" s="38">
        <v>16</v>
      </c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 t="s">
        <v>1041</v>
      </c>
      <c r="AH96" s="38">
        <v>2.8400000000000003</v>
      </c>
      <c r="AI96" s="38"/>
      <c r="AJ96" s="38"/>
      <c r="AK96" s="38" t="s">
        <v>1042</v>
      </c>
      <c r="AL96" s="38" t="s">
        <v>1043</v>
      </c>
      <c r="AM96" s="38"/>
      <c r="AN96" s="38" t="s">
        <v>973</v>
      </c>
      <c r="AO96" s="38"/>
      <c r="AP96" s="38" t="s">
        <v>973</v>
      </c>
      <c r="AQ96" s="38" t="s">
        <v>973</v>
      </c>
      <c r="AR96" s="38" t="s">
        <v>973</v>
      </c>
      <c r="AS96" s="38"/>
      <c r="AT96" s="38">
        <v>393</v>
      </c>
      <c r="AU96" s="38"/>
      <c r="AV96" s="38" t="s">
        <v>973</v>
      </c>
      <c r="AW96" s="38" t="s">
        <v>973</v>
      </c>
      <c r="AX96" s="38" t="s">
        <v>973</v>
      </c>
      <c r="AY96" s="38" t="s">
        <v>973</v>
      </c>
      <c r="AZ96" s="38">
        <v>6</v>
      </c>
      <c r="BA96" s="38" t="s">
        <v>1135</v>
      </c>
      <c r="BB96" s="66"/>
      <c r="BC96" s="38" t="s">
        <v>4</v>
      </c>
      <c r="BD96" s="66" t="s">
        <v>980</v>
      </c>
      <c r="BE96" s="38" t="s">
        <v>16</v>
      </c>
      <c r="BF96" s="66" t="s">
        <v>1012</v>
      </c>
      <c r="BG96" s="38" t="s">
        <v>24</v>
      </c>
      <c r="BH96" s="38" t="s">
        <v>1013</v>
      </c>
      <c r="BI96" s="38"/>
      <c r="BJ96" s="38" t="s">
        <v>977</v>
      </c>
      <c r="BK96" s="38"/>
      <c r="BL96" s="38" t="s">
        <v>869</v>
      </c>
      <c r="BM96" s="38" t="s">
        <v>539</v>
      </c>
      <c r="BN96" s="38" t="s">
        <v>602</v>
      </c>
      <c r="BO96" s="38" t="s">
        <v>534</v>
      </c>
      <c r="BP96" s="38" t="s">
        <v>534</v>
      </c>
      <c r="BQ96" s="38"/>
      <c r="BR96" s="38"/>
      <c r="BS96" s="38"/>
      <c r="BT96" s="38"/>
      <c r="BU96" s="38"/>
      <c r="BV96" s="38"/>
      <c r="BW96" s="38"/>
      <c r="BX96" s="38"/>
      <c r="BY96" s="38"/>
      <c r="BZ96" s="38"/>
      <c r="CA96" s="38"/>
      <c r="CB96" s="38"/>
    </row>
    <row r="97" spans="1:80" hidden="1" x14ac:dyDescent="0.2">
      <c r="A97" s="38"/>
      <c r="B97" s="38" t="s">
        <v>978</v>
      </c>
      <c r="C97" s="38" t="s">
        <v>1044</v>
      </c>
      <c r="D97" s="38" t="s">
        <v>1045</v>
      </c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66"/>
      <c r="BC97" s="38"/>
      <c r="BD97" s="66"/>
      <c r="BE97" s="38"/>
      <c r="BF97" s="66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  <c r="BZ97" s="38"/>
      <c r="CA97" s="38"/>
      <c r="CB97" s="38"/>
    </row>
    <row r="98" spans="1:80" hidden="1" x14ac:dyDescent="0.2">
      <c r="A98" s="38" t="s">
        <v>1032</v>
      </c>
      <c r="B98" s="38" t="s">
        <v>84</v>
      </c>
      <c r="C98" s="38" t="s">
        <v>1136</v>
      </c>
      <c r="D98" s="38" t="s">
        <v>1137</v>
      </c>
      <c r="E98" s="38"/>
      <c r="F98" s="38"/>
      <c r="G98" s="38" t="s">
        <v>4</v>
      </c>
      <c r="H98" s="38">
        <v>8900</v>
      </c>
      <c r="I98" s="38">
        <v>8.7620000000000005</v>
      </c>
      <c r="J98" s="38" t="s">
        <v>1138</v>
      </c>
      <c r="K98" s="38" t="s">
        <v>193</v>
      </c>
      <c r="L98" s="38" t="s">
        <v>195</v>
      </c>
      <c r="M98" s="38" t="s">
        <v>196</v>
      </c>
      <c r="N98" s="38" t="s">
        <v>198</v>
      </c>
      <c r="O98" s="38" t="s">
        <v>275</v>
      </c>
      <c r="P98" s="38" t="s">
        <v>979</v>
      </c>
      <c r="Q98" s="38" t="s">
        <v>865</v>
      </c>
      <c r="R98" s="38" t="s">
        <v>1000</v>
      </c>
      <c r="S98" s="38" t="s">
        <v>1001</v>
      </c>
      <c r="T98" s="38" t="s">
        <v>864</v>
      </c>
      <c r="U98" s="38" t="s">
        <v>974</v>
      </c>
      <c r="V98" s="38">
        <v>16</v>
      </c>
      <c r="W98" s="38" t="s">
        <v>716</v>
      </c>
      <c r="X98" s="38">
        <v>1</v>
      </c>
      <c r="Y98" s="38">
        <v>1</v>
      </c>
      <c r="Z98" s="38">
        <v>0</v>
      </c>
      <c r="AA98" s="38" t="s">
        <v>1036</v>
      </c>
      <c r="AB98" s="38" t="s">
        <v>973</v>
      </c>
      <c r="AC98" s="38" t="s">
        <v>1003</v>
      </c>
      <c r="AD98" s="38" t="s">
        <v>994</v>
      </c>
      <c r="AE98" s="38" t="s">
        <v>1004</v>
      </c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>
        <v>27</v>
      </c>
      <c r="BA98" s="38" t="s">
        <v>1139</v>
      </c>
      <c r="BB98" s="66"/>
      <c r="BC98" s="38" t="s">
        <v>4</v>
      </c>
      <c r="BD98" s="66" t="s">
        <v>980</v>
      </c>
      <c r="BE98" s="38" t="s">
        <v>5</v>
      </c>
      <c r="BF98" s="66" t="s">
        <v>975</v>
      </c>
      <c r="BG98" s="38" t="s">
        <v>6</v>
      </c>
      <c r="BH98" s="38" t="s">
        <v>976</v>
      </c>
      <c r="BI98" s="38"/>
      <c r="BJ98" s="38" t="s">
        <v>977</v>
      </c>
      <c r="BK98" s="38"/>
      <c r="BL98" s="38" t="s">
        <v>870</v>
      </c>
      <c r="BM98" s="38"/>
      <c r="BN98" s="38" t="s">
        <v>602</v>
      </c>
      <c r="BO98" s="38" t="s">
        <v>534</v>
      </c>
      <c r="BP98" s="38" t="s">
        <v>534</v>
      </c>
      <c r="BQ98" s="38"/>
      <c r="BR98" s="38"/>
      <c r="BS98" s="38"/>
      <c r="BT98" s="38"/>
      <c r="BU98" s="38"/>
      <c r="BV98" s="38"/>
      <c r="BW98" s="38"/>
      <c r="BX98" s="38"/>
      <c r="BY98" s="38"/>
      <c r="BZ98" s="38"/>
      <c r="CA98" s="38"/>
      <c r="CB98" s="38"/>
    </row>
    <row r="99" spans="1:80" hidden="1" x14ac:dyDescent="0.2">
      <c r="A99" s="38"/>
      <c r="B99" s="38" t="s">
        <v>84</v>
      </c>
      <c r="C99" s="38" t="s">
        <v>1036</v>
      </c>
      <c r="D99" s="38" t="s">
        <v>1038</v>
      </c>
      <c r="E99" s="38" t="s">
        <v>1039</v>
      </c>
      <c r="F99" s="38" t="s">
        <v>1040</v>
      </c>
      <c r="G99" s="38" t="s">
        <v>4</v>
      </c>
      <c r="H99" s="38"/>
      <c r="I99" s="38">
        <v>8.7620000000000005</v>
      </c>
      <c r="J99" s="38" t="s">
        <v>973</v>
      </c>
      <c r="K99" s="38" t="s">
        <v>193</v>
      </c>
      <c r="L99" s="38" t="s">
        <v>195</v>
      </c>
      <c r="M99" s="38" t="s">
        <v>196</v>
      </c>
      <c r="N99" s="38" t="s">
        <v>198</v>
      </c>
      <c r="O99" s="38" t="s">
        <v>275</v>
      </c>
      <c r="P99" s="38" t="s">
        <v>979</v>
      </c>
      <c r="Q99" s="38" t="s">
        <v>865</v>
      </c>
      <c r="R99" s="38" t="s">
        <v>1000</v>
      </c>
      <c r="S99" s="38" t="s">
        <v>1001</v>
      </c>
      <c r="T99" s="38"/>
      <c r="U99" s="38" t="s">
        <v>974</v>
      </c>
      <c r="V99" s="38">
        <v>16</v>
      </c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 t="s">
        <v>1041</v>
      </c>
      <c r="AH99" s="38">
        <v>2.8400000000000003</v>
      </c>
      <c r="AI99" s="38"/>
      <c r="AJ99" s="38"/>
      <c r="AK99" s="38" t="s">
        <v>1042</v>
      </c>
      <c r="AL99" s="38" t="s">
        <v>1043</v>
      </c>
      <c r="AM99" s="38"/>
      <c r="AN99" s="38" t="s">
        <v>973</v>
      </c>
      <c r="AO99" s="38"/>
      <c r="AP99" s="38" t="s">
        <v>973</v>
      </c>
      <c r="AQ99" s="38" t="s">
        <v>973</v>
      </c>
      <c r="AR99" s="38" t="s">
        <v>973</v>
      </c>
      <c r="AS99" s="38"/>
      <c r="AT99" s="38">
        <v>393</v>
      </c>
      <c r="AU99" s="38"/>
      <c r="AV99" s="38" t="s">
        <v>973</v>
      </c>
      <c r="AW99" s="38" t="s">
        <v>973</v>
      </c>
      <c r="AX99" s="38" t="s">
        <v>973</v>
      </c>
      <c r="AY99" s="38" t="s">
        <v>973</v>
      </c>
      <c r="AZ99" s="38">
        <v>6</v>
      </c>
      <c r="BA99" s="38" t="s">
        <v>1139</v>
      </c>
      <c r="BB99" s="66"/>
      <c r="BC99" s="38" t="s">
        <v>4</v>
      </c>
      <c r="BD99" s="66" t="s">
        <v>980</v>
      </c>
      <c r="BE99" s="38" t="s">
        <v>16</v>
      </c>
      <c r="BF99" s="66" t="s">
        <v>1012</v>
      </c>
      <c r="BG99" s="38" t="s">
        <v>24</v>
      </c>
      <c r="BH99" s="38" t="s">
        <v>1013</v>
      </c>
      <c r="BI99" s="38"/>
      <c r="BJ99" s="38" t="s">
        <v>977</v>
      </c>
      <c r="BK99" s="38"/>
      <c r="BL99" s="38" t="s">
        <v>869</v>
      </c>
      <c r="BM99" s="38" t="s">
        <v>539</v>
      </c>
      <c r="BN99" s="38" t="s">
        <v>602</v>
      </c>
      <c r="BO99" s="38" t="s">
        <v>534</v>
      </c>
      <c r="BP99" s="38" t="s">
        <v>534</v>
      </c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</row>
    <row r="100" spans="1:80" hidden="1" x14ac:dyDescent="0.2">
      <c r="A100" s="38"/>
      <c r="B100" s="38" t="s">
        <v>978</v>
      </c>
      <c r="C100" s="38" t="s">
        <v>1044</v>
      </c>
      <c r="D100" s="38" t="s">
        <v>1045</v>
      </c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66"/>
      <c r="BC100" s="38"/>
      <c r="BD100" s="66"/>
      <c r="BE100" s="38"/>
      <c r="BF100" s="66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  <c r="BZ100" s="38"/>
      <c r="CA100" s="38"/>
      <c r="CB100" s="38"/>
    </row>
    <row r="101" spans="1:80" hidden="1" x14ac:dyDescent="0.2">
      <c r="A101" s="38" t="s">
        <v>1032</v>
      </c>
      <c r="B101" s="38" t="s">
        <v>84</v>
      </c>
      <c r="C101" s="38" t="s">
        <v>1140</v>
      </c>
      <c r="D101" s="38" t="s">
        <v>1141</v>
      </c>
      <c r="E101" s="38"/>
      <c r="F101" s="38"/>
      <c r="G101" s="38" t="s">
        <v>4</v>
      </c>
      <c r="H101" s="38">
        <v>5668</v>
      </c>
      <c r="I101" s="38">
        <v>8.7620000000000005</v>
      </c>
      <c r="J101" s="38" t="s">
        <v>1142</v>
      </c>
      <c r="K101" s="38" t="s">
        <v>193</v>
      </c>
      <c r="L101" s="38" t="s">
        <v>195</v>
      </c>
      <c r="M101" s="38" t="s">
        <v>196</v>
      </c>
      <c r="N101" s="38" t="s">
        <v>198</v>
      </c>
      <c r="O101" s="38" t="s">
        <v>275</v>
      </c>
      <c r="P101" s="38" t="s">
        <v>979</v>
      </c>
      <c r="Q101" s="38" t="s">
        <v>865</v>
      </c>
      <c r="R101" s="38" t="s">
        <v>1000</v>
      </c>
      <c r="S101" s="38" t="s">
        <v>1001</v>
      </c>
      <c r="T101" s="38" t="s">
        <v>864</v>
      </c>
      <c r="U101" s="38" t="s">
        <v>974</v>
      </c>
      <c r="V101" s="38">
        <v>16</v>
      </c>
      <c r="W101" s="38" t="s">
        <v>716</v>
      </c>
      <c r="X101" s="38">
        <v>1</v>
      </c>
      <c r="Y101" s="38">
        <v>1</v>
      </c>
      <c r="Z101" s="38">
        <v>0</v>
      </c>
      <c r="AA101" s="38" t="s">
        <v>1036</v>
      </c>
      <c r="AB101" s="38" t="s">
        <v>973</v>
      </c>
      <c r="AC101" s="38" t="s">
        <v>1003</v>
      </c>
      <c r="AD101" s="38" t="s">
        <v>994</v>
      </c>
      <c r="AE101" s="38" t="s">
        <v>1004</v>
      </c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>
        <v>28</v>
      </c>
      <c r="BA101" s="38" t="s">
        <v>1143</v>
      </c>
      <c r="BB101" s="66"/>
      <c r="BC101" s="38" t="s">
        <v>4</v>
      </c>
      <c r="BD101" s="66" t="s">
        <v>980</v>
      </c>
      <c r="BE101" s="38" t="s">
        <v>5</v>
      </c>
      <c r="BF101" s="66" t="s">
        <v>975</v>
      </c>
      <c r="BG101" s="38" t="s">
        <v>6</v>
      </c>
      <c r="BH101" s="38" t="s">
        <v>976</v>
      </c>
      <c r="BI101" s="38"/>
      <c r="BJ101" s="38" t="s">
        <v>977</v>
      </c>
      <c r="BK101" s="38"/>
      <c r="BL101" s="38" t="s">
        <v>870</v>
      </c>
      <c r="BM101" s="38"/>
      <c r="BN101" s="38" t="s">
        <v>602</v>
      </c>
      <c r="BO101" s="38" t="s">
        <v>534</v>
      </c>
      <c r="BP101" s="38" t="s">
        <v>534</v>
      </c>
      <c r="BQ101" s="38"/>
      <c r="BR101" s="38"/>
      <c r="BS101" s="38"/>
      <c r="BT101" s="38"/>
      <c r="BU101" s="38"/>
      <c r="BV101" s="38"/>
      <c r="BW101" s="38"/>
      <c r="BX101" s="38"/>
      <c r="BY101" s="38"/>
      <c r="BZ101" s="38"/>
      <c r="CA101" s="38"/>
      <c r="CB101" s="38"/>
    </row>
    <row r="102" spans="1:80" hidden="1" x14ac:dyDescent="0.2">
      <c r="A102" s="38"/>
      <c r="B102" s="38" t="s">
        <v>84</v>
      </c>
      <c r="C102" s="38" t="s">
        <v>1036</v>
      </c>
      <c r="D102" s="38" t="s">
        <v>1038</v>
      </c>
      <c r="E102" s="38" t="s">
        <v>1039</v>
      </c>
      <c r="F102" s="38" t="s">
        <v>1040</v>
      </c>
      <c r="G102" s="38" t="s">
        <v>4</v>
      </c>
      <c r="H102" s="38"/>
      <c r="I102" s="38">
        <v>8.7620000000000005</v>
      </c>
      <c r="J102" s="38" t="s">
        <v>973</v>
      </c>
      <c r="K102" s="38" t="s">
        <v>193</v>
      </c>
      <c r="L102" s="38" t="s">
        <v>195</v>
      </c>
      <c r="M102" s="38" t="s">
        <v>196</v>
      </c>
      <c r="N102" s="38" t="s">
        <v>198</v>
      </c>
      <c r="O102" s="38" t="s">
        <v>275</v>
      </c>
      <c r="P102" s="38" t="s">
        <v>979</v>
      </c>
      <c r="Q102" s="38" t="s">
        <v>865</v>
      </c>
      <c r="R102" s="38" t="s">
        <v>1000</v>
      </c>
      <c r="S102" s="38" t="s">
        <v>1001</v>
      </c>
      <c r="T102" s="38"/>
      <c r="U102" s="38" t="s">
        <v>974</v>
      </c>
      <c r="V102" s="38">
        <v>16</v>
      </c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 t="s">
        <v>1041</v>
      </c>
      <c r="AH102" s="38">
        <v>2.8400000000000003</v>
      </c>
      <c r="AI102" s="38"/>
      <c r="AJ102" s="38"/>
      <c r="AK102" s="38" t="s">
        <v>1042</v>
      </c>
      <c r="AL102" s="38" t="s">
        <v>1043</v>
      </c>
      <c r="AM102" s="38"/>
      <c r="AN102" s="38" t="s">
        <v>973</v>
      </c>
      <c r="AO102" s="38"/>
      <c r="AP102" s="38" t="s">
        <v>973</v>
      </c>
      <c r="AQ102" s="38" t="s">
        <v>973</v>
      </c>
      <c r="AR102" s="38" t="s">
        <v>973</v>
      </c>
      <c r="AS102" s="38"/>
      <c r="AT102" s="38">
        <v>393</v>
      </c>
      <c r="AU102" s="38"/>
      <c r="AV102" s="38" t="s">
        <v>973</v>
      </c>
      <c r="AW102" s="38" t="s">
        <v>973</v>
      </c>
      <c r="AX102" s="38" t="s">
        <v>973</v>
      </c>
      <c r="AY102" s="38" t="s">
        <v>973</v>
      </c>
      <c r="AZ102" s="38">
        <v>6</v>
      </c>
      <c r="BA102" s="38" t="s">
        <v>1143</v>
      </c>
      <c r="BB102" s="66"/>
      <c r="BC102" s="38" t="s">
        <v>4</v>
      </c>
      <c r="BD102" s="66" t="s">
        <v>980</v>
      </c>
      <c r="BE102" s="38" t="s">
        <v>16</v>
      </c>
      <c r="BF102" s="66" t="s">
        <v>1012</v>
      </c>
      <c r="BG102" s="38" t="s">
        <v>24</v>
      </c>
      <c r="BH102" s="38" t="s">
        <v>1013</v>
      </c>
      <c r="BI102" s="38"/>
      <c r="BJ102" s="38" t="s">
        <v>977</v>
      </c>
      <c r="BK102" s="38"/>
      <c r="BL102" s="38" t="s">
        <v>869</v>
      </c>
      <c r="BM102" s="38" t="s">
        <v>539</v>
      </c>
      <c r="BN102" s="38" t="s">
        <v>602</v>
      </c>
      <c r="BO102" s="38" t="s">
        <v>534</v>
      </c>
      <c r="BP102" s="38" t="s">
        <v>534</v>
      </c>
      <c r="BQ102" s="38"/>
      <c r="BR102" s="38"/>
      <c r="BS102" s="38"/>
      <c r="BT102" s="38"/>
      <c r="BU102" s="38"/>
      <c r="BV102" s="38"/>
      <c r="BW102" s="38"/>
      <c r="BX102" s="38"/>
      <c r="BY102" s="38"/>
      <c r="BZ102" s="38"/>
      <c r="CA102" s="38"/>
      <c r="CB102" s="38"/>
    </row>
    <row r="103" spans="1:80" hidden="1" x14ac:dyDescent="0.2">
      <c r="A103" s="38"/>
      <c r="B103" s="38" t="s">
        <v>978</v>
      </c>
      <c r="C103" s="38" t="s">
        <v>1044</v>
      </c>
      <c r="D103" s="38" t="s">
        <v>1045</v>
      </c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66"/>
      <c r="BC103" s="38"/>
      <c r="BD103" s="66"/>
      <c r="BE103" s="38"/>
      <c r="BF103" s="66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  <c r="BZ103" s="38"/>
      <c r="CA103" s="38"/>
      <c r="CB103" s="38"/>
    </row>
    <row r="104" spans="1:80" hidden="1" x14ac:dyDescent="0.2">
      <c r="A104" s="38" t="s">
        <v>1032</v>
      </c>
      <c r="B104" s="38" t="s">
        <v>84</v>
      </c>
      <c r="C104" s="38" t="s">
        <v>1144</v>
      </c>
      <c r="D104" s="38" t="s">
        <v>1145</v>
      </c>
      <c r="E104" s="38"/>
      <c r="F104" s="38"/>
      <c r="G104" s="38" t="s">
        <v>4</v>
      </c>
      <c r="H104" s="38">
        <v>10296</v>
      </c>
      <c r="I104" s="38">
        <v>8.7620000000000005</v>
      </c>
      <c r="J104" s="38" t="s">
        <v>1146</v>
      </c>
      <c r="K104" s="38" t="s">
        <v>193</v>
      </c>
      <c r="L104" s="38" t="s">
        <v>195</v>
      </c>
      <c r="M104" s="38" t="s">
        <v>196</v>
      </c>
      <c r="N104" s="38" t="s">
        <v>198</v>
      </c>
      <c r="O104" s="38" t="s">
        <v>275</v>
      </c>
      <c r="P104" s="38" t="s">
        <v>979</v>
      </c>
      <c r="Q104" s="38" t="s">
        <v>865</v>
      </c>
      <c r="R104" s="38" t="s">
        <v>1000</v>
      </c>
      <c r="S104" s="38" t="s">
        <v>1001</v>
      </c>
      <c r="T104" s="38" t="s">
        <v>864</v>
      </c>
      <c r="U104" s="38" t="s">
        <v>974</v>
      </c>
      <c r="V104" s="38">
        <v>16</v>
      </c>
      <c r="W104" s="38" t="s">
        <v>716</v>
      </c>
      <c r="X104" s="38">
        <v>1</v>
      </c>
      <c r="Y104" s="38">
        <v>1</v>
      </c>
      <c r="Z104" s="38">
        <v>0</v>
      </c>
      <c r="AA104" s="38" t="s">
        <v>1036</v>
      </c>
      <c r="AB104" s="38" t="s">
        <v>973</v>
      </c>
      <c r="AC104" s="38" t="s">
        <v>1003</v>
      </c>
      <c r="AD104" s="38" t="s">
        <v>994</v>
      </c>
      <c r="AE104" s="38" t="s">
        <v>1004</v>
      </c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>
        <v>29</v>
      </c>
      <c r="BA104" s="38" t="s">
        <v>1147</v>
      </c>
      <c r="BB104" s="66"/>
      <c r="BC104" s="38" t="s">
        <v>4</v>
      </c>
      <c r="BD104" s="66" t="s">
        <v>980</v>
      </c>
      <c r="BE104" s="38" t="s">
        <v>5</v>
      </c>
      <c r="BF104" s="66" t="s">
        <v>975</v>
      </c>
      <c r="BG104" s="38" t="s">
        <v>6</v>
      </c>
      <c r="BH104" s="38" t="s">
        <v>976</v>
      </c>
      <c r="BI104" s="38"/>
      <c r="BJ104" s="38" t="s">
        <v>977</v>
      </c>
      <c r="BK104" s="38"/>
      <c r="BL104" s="38" t="s">
        <v>870</v>
      </c>
      <c r="BM104" s="38"/>
      <c r="BN104" s="38" t="s">
        <v>602</v>
      </c>
      <c r="BO104" s="38" t="s">
        <v>534</v>
      </c>
      <c r="BP104" s="38" t="s">
        <v>534</v>
      </c>
      <c r="BQ104" s="38"/>
      <c r="BR104" s="38"/>
      <c r="BS104" s="38"/>
      <c r="BT104" s="38"/>
      <c r="BU104" s="38"/>
      <c r="BV104" s="38"/>
      <c r="BW104" s="38"/>
      <c r="BX104" s="38"/>
      <c r="BY104" s="38"/>
      <c r="BZ104" s="38"/>
      <c r="CA104" s="38"/>
      <c r="CB104" s="38"/>
    </row>
    <row r="105" spans="1:80" hidden="1" x14ac:dyDescent="0.2">
      <c r="A105" s="38"/>
      <c r="B105" s="38" t="s">
        <v>84</v>
      </c>
      <c r="C105" s="38" t="s">
        <v>1036</v>
      </c>
      <c r="D105" s="38" t="s">
        <v>1038</v>
      </c>
      <c r="E105" s="38" t="s">
        <v>1039</v>
      </c>
      <c r="F105" s="38" t="s">
        <v>1040</v>
      </c>
      <c r="G105" s="38" t="s">
        <v>4</v>
      </c>
      <c r="H105" s="38"/>
      <c r="I105" s="38">
        <v>8.7620000000000005</v>
      </c>
      <c r="J105" s="38" t="s">
        <v>973</v>
      </c>
      <c r="K105" s="38" t="s">
        <v>193</v>
      </c>
      <c r="L105" s="38" t="s">
        <v>195</v>
      </c>
      <c r="M105" s="38" t="s">
        <v>196</v>
      </c>
      <c r="N105" s="38" t="s">
        <v>198</v>
      </c>
      <c r="O105" s="38" t="s">
        <v>275</v>
      </c>
      <c r="P105" s="38" t="s">
        <v>979</v>
      </c>
      <c r="Q105" s="38" t="s">
        <v>865</v>
      </c>
      <c r="R105" s="38" t="s">
        <v>1000</v>
      </c>
      <c r="S105" s="38" t="s">
        <v>1001</v>
      </c>
      <c r="T105" s="38"/>
      <c r="U105" s="38" t="s">
        <v>974</v>
      </c>
      <c r="V105" s="38">
        <v>16</v>
      </c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 t="s">
        <v>1041</v>
      </c>
      <c r="AH105" s="38">
        <v>2.8400000000000003</v>
      </c>
      <c r="AI105" s="38"/>
      <c r="AJ105" s="38"/>
      <c r="AK105" s="38" t="s">
        <v>1042</v>
      </c>
      <c r="AL105" s="38" t="s">
        <v>1043</v>
      </c>
      <c r="AM105" s="38"/>
      <c r="AN105" s="38" t="s">
        <v>973</v>
      </c>
      <c r="AO105" s="38"/>
      <c r="AP105" s="38" t="s">
        <v>973</v>
      </c>
      <c r="AQ105" s="38" t="s">
        <v>973</v>
      </c>
      <c r="AR105" s="38" t="s">
        <v>973</v>
      </c>
      <c r="AS105" s="38"/>
      <c r="AT105" s="38">
        <v>393</v>
      </c>
      <c r="AU105" s="38"/>
      <c r="AV105" s="38" t="s">
        <v>973</v>
      </c>
      <c r="AW105" s="38" t="s">
        <v>973</v>
      </c>
      <c r="AX105" s="38" t="s">
        <v>973</v>
      </c>
      <c r="AY105" s="38" t="s">
        <v>973</v>
      </c>
      <c r="AZ105" s="38">
        <v>6</v>
      </c>
      <c r="BA105" s="38" t="s">
        <v>1147</v>
      </c>
      <c r="BB105" s="66"/>
      <c r="BC105" s="38" t="s">
        <v>4</v>
      </c>
      <c r="BD105" s="66" t="s">
        <v>980</v>
      </c>
      <c r="BE105" s="38" t="s">
        <v>16</v>
      </c>
      <c r="BF105" s="66" t="s">
        <v>1012</v>
      </c>
      <c r="BG105" s="38" t="s">
        <v>24</v>
      </c>
      <c r="BH105" s="38" t="s">
        <v>1013</v>
      </c>
      <c r="BI105" s="38"/>
      <c r="BJ105" s="38" t="s">
        <v>977</v>
      </c>
      <c r="BK105" s="38"/>
      <c r="BL105" s="38" t="s">
        <v>869</v>
      </c>
      <c r="BM105" s="38" t="s">
        <v>539</v>
      </c>
      <c r="BN105" s="38" t="s">
        <v>602</v>
      </c>
      <c r="BO105" s="38" t="s">
        <v>534</v>
      </c>
      <c r="BP105" s="38" t="s">
        <v>534</v>
      </c>
      <c r="BQ105" s="38"/>
      <c r="BR105" s="38"/>
      <c r="BS105" s="38"/>
      <c r="BT105" s="38"/>
      <c r="BU105" s="38"/>
      <c r="BV105" s="38"/>
      <c r="BW105" s="38"/>
      <c r="BX105" s="38"/>
      <c r="BY105" s="38"/>
      <c r="BZ105" s="38"/>
      <c r="CA105" s="38"/>
      <c r="CB105" s="38"/>
    </row>
    <row r="106" spans="1:80" hidden="1" x14ac:dyDescent="0.2">
      <c r="A106" s="38"/>
      <c r="B106" s="38" t="s">
        <v>978</v>
      </c>
      <c r="C106" s="38" t="s">
        <v>1044</v>
      </c>
      <c r="D106" s="38" t="s">
        <v>1045</v>
      </c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66"/>
      <c r="BC106" s="38"/>
      <c r="BD106" s="66"/>
      <c r="BE106" s="38"/>
      <c r="BF106" s="66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  <c r="BZ106" s="38"/>
      <c r="CA106" s="38"/>
      <c r="CB106" s="38"/>
    </row>
    <row r="107" spans="1:80" hidden="1" x14ac:dyDescent="0.2">
      <c r="A107" s="38" t="s">
        <v>1032</v>
      </c>
      <c r="B107" s="38" t="s">
        <v>84</v>
      </c>
      <c r="C107" s="38" t="s">
        <v>1148</v>
      </c>
      <c r="D107" s="38" t="s">
        <v>1149</v>
      </c>
      <c r="E107" s="38"/>
      <c r="F107" s="38"/>
      <c r="G107" s="38" t="s">
        <v>4</v>
      </c>
      <c r="H107" s="38">
        <v>8100</v>
      </c>
      <c r="I107" s="38">
        <v>8.7620000000000005</v>
      </c>
      <c r="J107" s="38" t="s">
        <v>1150</v>
      </c>
      <c r="K107" s="38" t="s">
        <v>193</v>
      </c>
      <c r="L107" s="38" t="s">
        <v>195</v>
      </c>
      <c r="M107" s="38" t="s">
        <v>196</v>
      </c>
      <c r="N107" s="38" t="s">
        <v>198</v>
      </c>
      <c r="O107" s="38" t="s">
        <v>275</v>
      </c>
      <c r="P107" s="38" t="s">
        <v>979</v>
      </c>
      <c r="Q107" s="38" t="s">
        <v>865</v>
      </c>
      <c r="R107" s="38" t="s">
        <v>1000</v>
      </c>
      <c r="S107" s="38" t="s">
        <v>1001</v>
      </c>
      <c r="T107" s="38" t="s">
        <v>864</v>
      </c>
      <c r="U107" s="38" t="s">
        <v>974</v>
      </c>
      <c r="V107" s="38">
        <v>16</v>
      </c>
      <c r="W107" s="38" t="s">
        <v>716</v>
      </c>
      <c r="X107" s="38">
        <v>1</v>
      </c>
      <c r="Y107" s="38">
        <v>1</v>
      </c>
      <c r="Z107" s="38">
        <v>0</v>
      </c>
      <c r="AA107" s="38" t="s">
        <v>1036</v>
      </c>
      <c r="AB107" s="38" t="s">
        <v>973</v>
      </c>
      <c r="AC107" s="38" t="s">
        <v>1003</v>
      </c>
      <c r="AD107" s="38" t="s">
        <v>994</v>
      </c>
      <c r="AE107" s="38" t="s">
        <v>1004</v>
      </c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>
        <v>30</v>
      </c>
      <c r="BA107" s="38" t="s">
        <v>1023</v>
      </c>
      <c r="BB107" s="66"/>
      <c r="BC107" s="38" t="s">
        <v>4</v>
      </c>
      <c r="BD107" s="66" t="s">
        <v>980</v>
      </c>
      <c r="BE107" s="38" t="s">
        <v>5</v>
      </c>
      <c r="BF107" s="66" t="s">
        <v>975</v>
      </c>
      <c r="BG107" s="38" t="s">
        <v>6</v>
      </c>
      <c r="BH107" s="38" t="s">
        <v>976</v>
      </c>
      <c r="BI107" s="38"/>
      <c r="BJ107" s="38" t="s">
        <v>977</v>
      </c>
      <c r="BK107" s="38"/>
      <c r="BL107" s="38" t="s">
        <v>870</v>
      </c>
      <c r="BM107" s="38"/>
      <c r="BN107" s="38" t="s">
        <v>602</v>
      </c>
      <c r="BO107" s="38" t="s">
        <v>534</v>
      </c>
      <c r="BP107" s="38" t="s">
        <v>534</v>
      </c>
      <c r="BQ107" s="38"/>
      <c r="BR107" s="38"/>
      <c r="BS107" s="38"/>
      <c r="BT107" s="38"/>
      <c r="BU107" s="38"/>
      <c r="BV107" s="38"/>
      <c r="BW107" s="38"/>
      <c r="BX107" s="38"/>
      <c r="BY107" s="38"/>
      <c r="BZ107" s="38"/>
      <c r="CA107" s="38"/>
      <c r="CB107" s="38"/>
    </row>
    <row r="108" spans="1:80" hidden="1" x14ac:dyDescent="0.2">
      <c r="A108" s="38"/>
      <c r="B108" s="38" t="s">
        <v>84</v>
      </c>
      <c r="C108" s="38" t="s">
        <v>1036</v>
      </c>
      <c r="D108" s="38" t="s">
        <v>1038</v>
      </c>
      <c r="E108" s="38" t="s">
        <v>1039</v>
      </c>
      <c r="F108" s="38" t="s">
        <v>1040</v>
      </c>
      <c r="G108" s="38" t="s">
        <v>4</v>
      </c>
      <c r="H108" s="38"/>
      <c r="I108" s="38">
        <v>8.7620000000000005</v>
      </c>
      <c r="J108" s="38" t="s">
        <v>973</v>
      </c>
      <c r="K108" s="38" t="s">
        <v>193</v>
      </c>
      <c r="L108" s="38" t="s">
        <v>195</v>
      </c>
      <c r="M108" s="38" t="s">
        <v>196</v>
      </c>
      <c r="N108" s="38" t="s">
        <v>198</v>
      </c>
      <c r="O108" s="38" t="s">
        <v>275</v>
      </c>
      <c r="P108" s="38" t="s">
        <v>979</v>
      </c>
      <c r="Q108" s="38" t="s">
        <v>865</v>
      </c>
      <c r="R108" s="38" t="s">
        <v>1000</v>
      </c>
      <c r="S108" s="38" t="s">
        <v>1001</v>
      </c>
      <c r="T108" s="38"/>
      <c r="U108" s="38" t="s">
        <v>974</v>
      </c>
      <c r="V108" s="38">
        <v>16</v>
      </c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 t="s">
        <v>1041</v>
      </c>
      <c r="AH108" s="38">
        <v>2.8400000000000003</v>
      </c>
      <c r="AI108" s="38"/>
      <c r="AJ108" s="38"/>
      <c r="AK108" s="38" t="s">
        <v>1042</v>
      </c>
      <c r="AL108" s="38" t="s">
        <v>1043</v>
      </c>
      <c r="AM108" s="38"/>
      <c r="AN108" s="38" t="s">
        <v>973</v>
      </c>
      <c r="AO108" s="38"/>
      <c r="AP108" s="38" t="s">
        <v>973</v>
      </c>
      <c r="AQ108" s="38" t="s">
        <v>973</v>
      </c>
      <c r="AR108" s="38" t="s">
        <v>973</v>
      </c>
      <c r="AS108" s="38"/>
      <c r="AT108" s="38">
        <v>393</v>
      </c>
      <c r="AU108" s="38"/>
      <c r="AV108" s="38" t="s">
        <v>973</v>
      </c>
      <c r="AW108" s="38" t="s">
        <v>973</v>
      </c>
      <c r="AX108" s="38" t="s">
        <v>973</v>
      </c>
      <c r="AY108" s="38" t="s">
        <v>973</v>
      </c>
      <c r="AZ108" s="38">
        <v>6</v>
      </c>
      <c r="BA108" s="38" t="s">
        <v>1023</v>
      </c>
      <c r="BB108" s="66"/>
      <c r="BC108" s="38" t="s">
        <v>4</v>
      </c>
      <c r="BD108" s="66" t="s">
        <v>980</v>
      </c>
      <c r="BE108" s="38" t="s">
        <v>16</v>
      </c>
      <c r="BF108" s="66" t="s">
        <v>1012</v>
      </c>
      <c r="BG108" s="38" t="s">
        <v>24</v>
      </c>
      <c r="BH108" s="38" t="s">
        <v>1013</v>
      </c>
      <c r="BI108" s="38"/>
      <c r="BJ108" s="38" t="s">
        <v>977</v>
      </c>
      <c r="BK108" s="38"/>
      <c r="BL108" s="38" t="s">
        <v>869</v>
      </c>
      <c r="BM108" s="38" t="s">
        <v>539</v>
      </c>
      <c r="BN108" s="38" t="s">
        <v>602</v>
      </c>
      <c r="BO108" s="38" t="s">
        <v>534</v>
      </c>
      <c r="BP108" s="38" t="s">
        <v>534</v>
      </c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</row>
    <row r="109" spans="1:80" hidden="1" x14ac:dyDescent="0.2">
      <c r="A109" s="38"/>
      <c r="B109" s="38" t="s">
        <v>978</v>
      </c>
      <c r="C109" s="38" t="s">
        <v>1044</v>
      </c>
      <c r="D109" s="38" t="s">
        <v>1045</v>
      </c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66"/>
      <c r="BC109" s="38"/>
      <c r="BD109" s="66"/>
      <c r="BE109" s="38"/>
      <c r="BF109" s="66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</row>
    <row r="110" spans="1:80" hidden="1" x14ac:dyDescent="0.2">
      <c r="A110" s="38" t="s">
        <v>1032</v>
      </c>
      <c r="B110" s="38" t="s">
        <v>84</v>
      </c>
      <c r="C110" s="38" t="s">
        <v>1151</v>
      </c>
      <c r="D110" s="38" t="s">
        <v>1152</v>
      </c>
      <c r="E110" s="38"/>
      <c r="F110" s="38"/>
      <c r="G110" s="38" t="s">
        <v>4</v>
      </c>
      <c r="H110" s="38">
        <v>7750</v>
      </c>
      <c r="I110" s="38">
        <v>8.7620000000000005</v>
      </c>
      <c r="J110" s="38" t="s">
        <v>1153</v>
      </c>
      <c r="K110" s="38" t="s">
        <v>193</v>
      </c>
      <c r="L110" s="38" t="s">
        <v>195</v>
      </c>
      <c r="M110" s="38" t="s">
        <v>196</v>
      </c>
      <c r="N110" s="38" t="s">
        <v>198</v>
      </c>
      <c r="O110" s="38" t="s">
        <v>275</v>
      </c>
      <c r="P110" s="38" t="s">
        <v>979</v>
      </c>
      <c r="Q110" s="38" t="s">
        <v>865</v>
      </c>
      <c r="R110" s="38" t="s">
        <v>1000</v>
      </c>
      <c r="S110" s="38" t="s">
        <v>1001</v>
      </c>
      <c r="T110" s="38" t="s">
        <v>864</v>
      </c>
      <c r="U110" s="38" t="s">
        <v>974</v>
      </c>
      <c r="V110" s="38">
        <v>16</v>
      </c>
      <c r="W110" s="38" t="s">
        <v>716</v>
      </c>
      <c r="X110" s="38">
        <v>1</v>
      </c>
      <c r="Y110" s="38">
        <v>1</v>
      </c>
      <c r="Z110" s="38">
        <v>0</v>
      </c>
      <c r="AA110" s="38" t="s">
        <v>1036</v>
      </c>
      <c r="AB110" s="38" t="s">
        <v>973</v>
      </c>
      <c r="AC110" s="38" t="s">
        <v>1003</v>
      </c>
      <c r="AD110" s="38" t="s">
        <v>994</v>
      </c>
      <c r="AE110" s="38" t="s">
        <v>1004</v>
      </c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>
        <v>31</v>
      </c>
      <c r="BA110" s="38" t="s">
        <v>1154</v>
      </c>
      <c r="BB110" s="66"/>
      <c r="BC110" s="38" t="s">
        <v>4</v>
      </c>
      <c r="BD110" s="66" t="s">
        <v>980</v>
      </c>
      <c r="BE110" s="38" t="s">
        <v>5</v>
      </c>
      <c r="BF110" s="66" t="s">
        <v>975</v>
      </c>
      <c r="BG110" s="38" t="s">
        <v>6</v>
      </c>
      <c r="BH110" s="38" t="s">
        <v>976</v>
      </c>
      <c r="BI110" s="38"/>
      <c r="BJ110" s="38" t="s">
        <v>977</v>
      </c>
      <c r="BK110" s="38"/>
      <c r="BL110" s="38" t="s">
        <v>870</v>
      </c>
      <c r="BM110" s="38"/>
      <c r="BN110" s="38" t="s">
        <v>602</v>
      </c>
      <c r="BO110" s="38" t="s">
        <v>534</v>
      </c>
      <c r="BP110" s="38" t="s">
        <v>534</v>
      </c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</row>
    <row r="111" spans="1:80" hidden="1" x14ac:dyDescent="0.2">
      <c r="A111" s="38"/>
      <c r="B111" s="38" t="s">
        <v>84</v>
      </c>
      <c r="C111" s="38" t="s">
        <v>1036</v>
      </c>
      <c r="D111" s="38" t="s">
        <v>1038</v>
      </c>
      <c r="E111" s="38" t="s">
        <v>1039</v>
      </c>
      <c r="F111" s="38" t="s">
        <v>1040</v>
      </c>
      <c r="G111" s="38" t="s">
        <v>4</v>
      </c>
      <c r="H111" s="38"/>
      <c r="I111" s="38">
        <v>8.7620000000000005</v>
      </c>
      <c r="J111" s="38" t="s">
        <v>973</v>
      </c>
      <c r="K111" s="38" t="s">
        <v>193</v>
      </c>
      <c r="L111" s="38" t="s">
        <v>195</v>
      </c>
      <c r="M111" s="38" t="s">
        <v>196</v>
      </c>
      <c r="N111" s="38" t="s">
        <v>198</v>
      </c>
      <c r="O111" s="38" t="s">
        <v>275</v>
      </c>
      <c r="P111" s="38" t="s">
        <v>979</v>
      </c>
      <c r="Q111" s="38" t="s">
        <v>865</v>
      </c>
      <c r="R111" s="38" t="s">
        <v>1000</v>
      </c>
      <c r="S111" s="38" t="s">
        <v>1001</v>
      </c>
      <c r="T111" s="38"/>
      <c r="U111" s="38" t="s">
        <v>974</v>
      </c>
      <c r="V111" s="38">
        <v>16</v>
      </c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 t="s">
        <v>1041</v>
      </c>
      <c r="AH111" s="38">
        <v>2.8400000000000003</v>
      </c>
      <c r="AI111" s="38"/>
      <c r="AJ111" s="38"/>
      <c r="AK111" s="38" t="s">
        <v>1042</v>
      </c>
      <c r="AL111" s="38" t="s">
        <v>1043</v>
      </c>
      <c r="AM111" s="38"/>
      <c r="AN111" s="38" t="s">
        <v>973</v>
      </c>
      <c r="AO111" s="38"/>
      <c r="AP111" s="38" t="s">
        <v>973</v>
      </c>
      <c r="AQ111" s="38" t="s">
        <v>973</v>
      </c>
      <c r="AR111" s="38" t="s">
        <v>973</v>
      </c>
      <c r="AS111" s="38"/>
      <c r="AT111" s="38">
        <v>393</v>
      </c>
      <c r="AU111" s="38"/>
      <c r="AV111" s="38" t="s">
        <v>973</v>
      </c>
      <c r="AW111" s="38" t="s">
        <v>973</v>
      </c>
      <c r="AX111" s="38" t="s">
        <v>973</v>
      </c>
      <c r="AY111" s="38" t="s">
        <v>973</v>
      </c>
      <c r="AZ111" s="38">
        <v>6</v>
      </c>
      <c r="BA111" s="38" t="s">
        <v>1154</v>
      </c>
      <c r="BB111" s="66"/>
      <c r="BC111" s="38" t="s">
        <v>4</v>
      </c>
      <c r="BD111" s="66" t="s">
        <v>980</v>
      </c>
      <c r="BE111" s="38" t="s">
        <v>16</v>
      </c>
      <c r="BF111" s="66" t="s">
        <v>1012</v>
      </c>
      <c r="BG111" s="38" t="s">
        <v>24</v>
      </c>
      <c r="BH111" s="38" t="s">
        <v>1013</v>
      </c>
      <c r="BI111" s="38"/>
      <c r="BJ111" s="38" t="s">
        <v>977</v>
      </c>
      <c r="BK111" s="38"/>
      <c r="BL111" s="38" t="s">
        <v>869</v>
      </c>
      <c r="BM111" s="38" t="s">
        <v>539</v>
      </c>
      <c r="BN111" s="38" t="s">
        <v>602</v>
      </c>
      <c r="BO111" s="38" t="s">
        <v>534</v>
      </c>
      <c r="BP111" s="38" t="s">
        <v>534</v>
      </c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</row>
    <row r="112" spans="1:80" hidden="1" x14ac:dyDescent="0.2">
      <c r="A112" s="38"/>
      <c r="B112" s="38" t="s">
        <v>978</v>
      </c>
      <c r="C112" s="38" t="s">
        <v>1044</v>
      </c>
      <c r="D112" s="38" t="s">
        <v>1045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66"/>
      <c r="BC112" s="38"/>
      <c r="BD112" s="66"/>
      <c r="BE112" s="38"/>
      <c r="BF112" s="66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</row>
    <row r="113" spans="1:80" hidden="1" x14ac:dyDescent="0.2">
      <c r="A113" s="38" t="s">
        <v>1032</v>
      </c>
      <c r="B113" s="38" t="s">
        <v>84</v>
      </c>
      <c r="C113" s="38" t="s">
        <v>1155</v>
      </c>
      <c r="D113" s="38" t="s">
        <v>1156</v>
      </c>
      <c r="E113" s="38"/>
      <c r="F113" s="38"/>
      <c r="G113" s="38" t="s">
        <v>4</v>
      </c>
      <c r="H113" s="38">
        <v>8474</v>
      </c>
      <c r="I113" s="38">
        <v>8.7620000000000005</v>
      </c>
      <c r="J113" s="38" t="s">
        <v>1157</v>
      </c>
      <c r="K113" s="38" t="s">
        <v>193</v>
      </c>
      <c r="L113" s="38" t="s">
        <v>195</v>
      </c>
      <c r="M113" s="38" t="s">
        <v>196</v>
      </c>
      <c r="N113" s="38" t="s">
        <v>198</v>
      </c>
      <c r="O113" s="38" t="s">
        <v>275</v>
      </c>
      <c r="P113" s="38" t="s">
        <v>979</v>
      </c>
      <c r="Q113" s="38" t="s">
        <v>865</v>
      </c>
      <c r="R113" s="38" t="s">
        <v>1000</v>
      </c>
      <c r="S113" s="38" t="s">
        <v>1001</v>
      </c>
      <c r="T113" s="38" t="s">
        <v>864</v>
      </c>
      <c r="U113" s="38" t="s">
        <v>974</v>
      </c>
      <c r="V113" s="38">
        <v>16</v>
      </c>
      <c r="W113" s="38" t="s">
        <v>716</v>
      </c>
      <c r="X113" s="38">
        <v>1</v>
      </c>
      <c r="Y113" s="38">
        <v>1</v>
      </c>
      <c r="Z113" s="38">
        <v>0</v>
      </c>
      <c r="AA113" s="38" t="s">
        <v>1036</v>
      </c>
      <c r="AB113" s="38" t="s">
        <v>973</v>
      </c>
      <c r="AC113" s="38" t="s">
        <v>1003</v>
      </c>
      <c r="AD113" s="38" t="s">
        <v>994</v>
      </c>
      <c r="AE113" s="38" t="s">
        <v>1004</v>
      </c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>
        <v>32</v>
      </c>
      <c r="BA113" s="38" t="s">
        <v>1158</v>
      </c>
      <c r="BB113" s="66"/>
      <c r="BC113" s="38" t="s">
        <v>4</v>
      </c>
      <c r="BD113" s="66" t="s">
        <v>980</v>
      </c>
      <c r="BE113" s="38" t="s">
        <v>5</v>
      </c>
      <c r="BF113" s="66" t="s">
        <v>975</v>
      </c>
      <c r="BG113" s="38" t="s">
        <v>6</v>
      </c>
      <c r="BH113" s="38" t="s">
        <v>976</v>
      </c>
      <c r="BI113" s="38"/>
      <c r="BJ113" s="38" t="s">
        <v>977</v>
      </c>
      <c r="BK113" s="38"/>
      <c r="BL113" s="38" t="s">
        <v>870</v>
      </c>
      <c r="BM113" s="38"/>
      <c r="BN113" s="38" t="s">
        <v>602</v>
      </c>
      <c r="BO113" s="38" t="s">
        <v>534</v>
      </c>
      <c r="BP113" s="38" t="s">
        <v>534</v>
      </c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</row>
    <row r="114" spans="1:80" hidden="1" x14ac:dyDescent="0.2">
      <c r="A114" s="38"/>
      <c r="B114" s="38" t="s">
        <v>84</v>
      </c>
      <c r="C114" s="38" t="s">
        <v>1036</v>
      </c>
      <c r="D114" s="38" t="s">
        <v>1038</v>
      </c>
      <c r="E114" s="38" t="s">
        <v>1039</v>
      </c>
      <c r="F114" s="38" t="s">
        <v>1040</v>
      </c>
      <c r="G114" s="38" t="s">
        <v>4</v>
      </c>
      <c r="H114" s="38"/>
      <c r="I114" s="38">
        <v>8.7620000000000005</v>
      </c>
      <c r="J114" s="38" t="s">
        <v>973</v>
      </c>
      <c r="K114" s="38" t="s">
        <v>193</v>
      </c>
      <c r="L114" s="38" t="s">
        <v>195</v>
      </c>
      <c r="M114" s="38" t="s">
        <v>196</v>
      </c>
      <c r="N114" s="38" t="s">
        <v>198</v>
      </c>
      <c r="O114" s="38" t="s">
        <v>275</v>
      </c>
      <c r="P114" s="38" t="s">
        <v>979</v>
      </c>
      <c r="Q114" s="38" t="s">
        <v>865</v>
      </c>
      <c r="R114" s="38" t="s">
        <v>1000</v>
      </c>
      <c r="S114" s="38" t="s">
        <v>1001</v>
      </c>
      <c r="T114" s="38"/>
      <c r="U114" s="38" t="s">
        <v>974</v>
      </c>
      <c r="V114" s="38">
        <v>16</v>
      </c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 t="s">
        <v>1041</v>
      </c>
      <c r="AH114" s="38">
        <v>2.8400000000000003</v>
      </c>
      <c r="AI114" s="38"/>
      <c r="AJ114" s="38"/>
      <c r="AK114" s="38" t="s">
        <v>1042</v>
      </c>
      <c r="AL114" s="38" t="s">
        <v>1043</v>
      </c>
      <c r="AM114" s="38"/>
      <c r="AN114" s="38" t="s">
        <v>973</v>
      </c>
      <c r="AO114" s="38"/>
      <c r="AP114" s="38" t="s">
        <v>973</v>
      </c>
      <c r="AQ114" s="38" t="s">
        <v>973</v>
      </c>
      <c r="AR114" s="38" t="s">
        <v>973</v>
      </c>
      <c r="AS114" s="38"/>
      <c r="AT114" s="38">
        <v>393</v>
      </c>
      <c r="AU114" s="38"/>
      <c r="AV114" s="38" t="s">
        <v>973</v>
      </c>
      <c r="AW114" s="38" t="s">
        <v>973</v>
      </c>
      <c r="AX114" s="38" t="s">
        <v>973</v>
      </c>
      <c r="AY114" s="38" t="s">
        <v>973</v>
      </c>
      <c r="AZ114" s="38">
        <v>6</v>
      </c>
      <c r="BA114" s="38" t="s">
        <v>1158</v>
      </c>
      <c r="BB114" s="66"/>
      <c r="BC114" s="38" t="s">
        <v>4</v>
      </c>
      <c r="BD114" s="66" t="s">
        <v>980</v>
      </c>
      <c r="BE114" s="38" t="s">
        <v>16</v>
      </c>
      <c r="BF114" s="66" t="s">
        <v>1012</v>
      </c>
      <c r="BG114" s="38" t="s">
        <v>24</v>
      </c>
      <c r="BH114" s="38" t="s">
        <v>1013</v>
      </c>
      <c r="BI114" s="38"/>
      <c r="BJ114" s="38" t="s">
        <v>977</v>
      </c>
      <c r="BK114" s="38"/>
      <c r="BL114" s="38" t="s">
        <v>869</v>
      </c>
      <c r="BM114" s="38" t="s">
        <v>539</v>
      </c>
      <c r="BN114" s="38" t="s">
        <v>602</v>
      </c>
      <c r="BO114" s="38" t="s">
        <v>534</v>
      </c>
      <c r="BP114" s="38" t="s">
        <v>534</v>
      </c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</row>
    <row r="115" spans="1:80" hidden="1" x14ac:dyDescent="0.2">
      <c r="A115" s="38"/>
      <c r="B115" s="38" t="s">
        <v>978</v>
      </c>
      <c r="C115" s="38" t="s">
        <v>1044</v>
      </c>
      <c r="D115" s="38" t="s">
        <v>1045</v>
      </c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66"/>
      <c r="BC115" s="38"/>
      <c r="BD115" s="66"/>
      <c r="BE115" s="38"/>
      <c r="BF115" s="66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</row>
    <row r="116" spans="1:80" hidden="1" x14ac:dyDescent="0.2">
      <c r="A116" s="38" t="s">
        <v>1032</v>
      </c>
      <c r="B116" s="38" t="s">
        <v>84</v>
      </c>
      <c r="C116" s="38" t="s">
        <v>1159</v>
      </c>
      <c r="D116" s="38" t="s">
        <v>1160</v>
      </c>
      <c r="E116" s="38"/>
      <c r="F116" s="38"/>
      <c r="G116" s="38" t="s">
        <v>4</v>
      </c>
      <c r="H116" s="38">
        <v>7161</v>
      </c>
      <c r="I116" s="38">
        <v>8.7620000000000005</v>
      </c>
      <c r="J116" s="38" t="s">
        <v>1161</v>
      </c>
      <c r="K116" s="38" t="s">
        <v>193</v>
      </c>
      <c r="L116" s="38" t="s">
        <v>195</v>
      </c>
      <c r="M116" s="38" t="s">
        <v>196</v>
      </c>
      <c r="N116" s="38" t="s">
        <v>198</v>
      </c>
      <c r="O116" s="38" t="s">
        <v>275</v>
      </c>
      <c r="P116" s="38" t="s">
        <v>979</v>
      </c>
      <c r="Q116" s="38" t="s">
        <v>865</v>
      </c>
      <c r="R116" s="38" t="s">
        <v>1000</v>
      </c>
      <c r="S116" s="38" t="s">
        <v>1001</v>
      </c>
      <c r="T116" s="38" t="s">
        <v>864</v>
      </c>
      <c r="U116" s="38" t="s">
        <v>974</v>
      </c>
      <c r="V116" s="38">
        <v>16</v>
      </c>
      <c r="W116" s="38" t="s">
        <v>716</v>
      </c>
      <c r="X116" s="38">
        <v>1</v>
      </c>
      <c r="Y116" s="38">
        <v>1</v>
      </c>
      <c r="Z116" s="38">
        <v>0</v>
      </c>
      <c r="AA116" s="38" t="s">
        <v>1036</v>
      </c>
      <c r="AB116" s="38" t="s">
        <v>973</v>
      </c>
      <c r="AC116" s="38" t="s">
        <v>1003</v>
      </c>
      <c r="AD116" s="38" t="s">
        <v>994</v>
      </c>
      <c r="AE116" s="38" t="s">
        <v>1004</v>
      </c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>
        <v>33</v>
      </c>
      <c r="BA116" s="38" t="s">
        <v>1162</v>
      </c>
      <c r="BB116" s="66"/>
      <c r="BC116" s="38" t="s">
        <v>4</v>
      </c>
      <c r="BD116" s="66" t="s">
        <v>980</v>
      </c>
      <c r="BE116" s="38" t="s">
        <v>5</v>
      </c>
      <c r="BF116" s="66" t="s">
        <v>975</v>
      </c>
      <c r="BG116" s="38" t="s">
        <v>6</v>
      </c>
      <c r="BH116" s="38" t="s">
        <v>976</v>
      </c>
      <c r="BI116" s="38"/>
      <c r="BJ116" s="38" t="s">
        <v>977</v>
      </c>
      <c r="BK116" s="38"/>
      <c r="BL116" s="38" t="s">
        <v>870</v>
      </c>
      <c r="BM116" s="38"/>
      <c r="BN116" s="38" t="s">
        <v>602</v>
      </c>
      <c r="BO116" s="38" t="s">
        <v>534</v>
      </c>
      <c r="BP116" s="38" t="s">
        <v>534</v>
      </c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</row>
    <row r="117" spans="1:80" hidden="1" x14ac:dyDescent="0.2">
      <c r="A117" s="38"/>
      <c r="B117" s="38" t="s">
        <v>84</v>
      </c>
      <c r="C117" s="38" t="s">
        <v>1036</v>
      </c>
      <c r="D117" s="38" t="s">
        <v>1038</v>
      </c>
      <c r="E117" s="38" t="s">
        <v>1039</v>
      </c>
      <c r="F117" s="38" t="s">
        <v>1040</v>
      </c>
      <c r="G117" s="38" t="s">
        <v>4</v>
      </c>
      <c r="H117" s="38"/>
      <c r="I117" s="38">
        <v>8.7620000000000005</v>
      </c>
      <c r="J117" s="38" t="s">
        <v>973</v>
      </c>
      <c r="K117" s="38" t="s">
        <v>193</v>
      </c>
      <c r="L117" s="38" t="s">
        <v>195</v>
      </c>
      <c r="M117" s="38" t="s">
        <v>196</v>
      </c>
      <c r="N117" s="38" t="s">
        <v>198</v>
      </c>
      <c r="O117" s="38" t="s">
        <v>275</v>
      </c>
      <c r="P117" s="38" t="s">
        <v>979</v>
      </c>
      <c r="Q117" s="38" t="s">
        <v>865</v>
      </c>
      <c r="R117" s="38" t="s">
        <v>1000</v>
      </c>
      <c r="S117" s="38" t="s">
        <v>1001</v>
      </c>
      <c r="T117" s="38"/>
      <c r="U117" s="38" t="s">
        <v>974</v>
      </c>
      <c r="V117" s="38">
        <v>16</v>
      </c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 t="s">
        <v>1041</v>
      </c>
      <c r="AH117" s="38">
        <v>2.8400000000000003</v>
      </c>
      <c r="AI117" s="38"/>
      <c r="AJ117" s="38"/>
      <c r="AK117" s="38" t="s">
        <v>1042</v>
      </c>
      <c r="AL117" s="38" t="s">
        <v>1043</v>
      </c>
      <c r="AM117" s="38"/>
      <c r="AN117" s="38" t="s">
        <v>973</v>
      </c>
      <c r="AO117" s="38"/>
      <c r="AP117" s="38" t="s">
        <v>973</v>
      </c>
      <c r="AQ117" s="38" t="s">
        <v>973</v>
      </c>
      <c r="AR117" s="38" t="s">
        <v>973</v>
      </c>
      <c r="AS117" s="38"/>
      <c r="AT117" s="38">
        <v>393</v>
      </c>
      <c r="AU117" s="38"/>
      <c r="AV117" s="38" t="s">
        <v>973</v>
      </c>
      <c r="AW117" s="38" t="s">
        <v>973</v>
      </c>
      <c r="AX117" s="38" t="s">
        <v>973</v>
      </c>
      <c r="AY117" s="38" t="s">
        <v>973</v>
      </c>
      <c r="AZ117" s="38">
        <v>6</v>
      </c>
      <c r="BA117" s="38" t="s">
        <v>1162</v>
      </c>
      <c r="BB117" s="66"/>
      <c r="BC117" s="38" t="s">
        <v>4</v>
      </c>
      <c r="BD117" s="66" t="s">
        <v>980</v>
      </c>
      <c r="BE117" s="38" t="s">
        <v>16</v>
      </c>
      <c r="BF117" s="66" t="s">
        <v>1012</v>
      </c>
      <c r="BG117" s="38" t="s">
        <v>24</v>
      </c>
      <c r="BH117" s="38" t="s">
        <v>1013</v>
      </c>
      <c r="BI117" s="38"/>
      <c r="BJ117" s="38" t="s">
        <v>977</v>
      </c>
      <c r="BK117" s="38"/>
      <c r="BL117" s="38" t="s">
        <v>869</v>
      </c>
      <c r="BM117" s="38" t="s">
        <v>539</v>
      </c>
      <c r="BN117" s="38" t="s">
        <v>602</v>
      </c>
      <c r="BO117" s="38" t="s">
        <v>534</v>
      </c>
      <c r="BP117" s="38" t="s">
        <v>534</v>
      </c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</row>
    <row r="118" spans="1:80" hidden="1" x14ac:dyDescent="0.2">
      <c r="A118" s="38"/>
      <c r="B118" s="38" t="s">
        <v>978</v>
      </c>
      <c r="C118" s="38" t="s">
        <v>1044</v>
      </c>
      <c r="D118" s="38" t="s">
        <v>1045</v>
      </c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66"/>
      <c r="BC118" s="38"/>
      <c r="BD118" s="66"/>
      <c r="BE118" s="38"/>
      <c r="BF118" s="66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  <c r="BZ118" s="38"/>
      <c r="CA118" s="38"/>
      <c r="CB118" s="38"/>
    </row>
    <row r="119" spans="1:80" hidden="1" x14ac:dyDescent="0.2">
      <c r="A119" s="38" t="s">
        <v>1032</v>
      </c>
      <c r="B119" s="38" t="s">
        <v>84</v>
      </c>
      <c r="C119" s="38" t="s">
        <v>1163</v>
      </c>
      <c r="D119" s="38" t="s">
        <v>1164</v>
      </c>
      <c r="E119" s="38"/>
      <c r="F119" s="38"/>
      <c r="G119" s="38" t="s">
        <v>4</v>
      </c>
      <c r="H119" s="38">
        <v>11650</v>
      </c>
      <c r="I119" s="38">
        <v>8.7620000000000005</v>
      </c>
      <c r="J119" s="38" t="s">
        <v>1068</v>
      </c>
      <c r="K119" s="38" t="s">
        <v>193</v>
      </c>
      <c r="L119" s="38" t="s">
        <v>195</v>
      </c>
      <c r="M119" s="38" t="s">
        <v>196</v>
      </c>
      <c r="N119" s="38" t="s">
        <v>198</v>
      </c>
      <c r="O119" s="38" t="s">
        <v>275</v>
      </c>
      <c r="P119" s="38" t="s">
        <v>979</v>
      </c>
      <c r="Q119" s="38" t="s">
        <v>865</v>
      </c>
      <c r="R119" s="38" t="s">
        <v>1000</v>
      </c>
      <c r="S119" s="38" t="s">
        <v>1001</v>
      </c>
      <c r="T119" s="38" t="s">
        <v>864</v>
      </c>
      <c r="U119" s="38" t="s">
        <v>974</v>
      </c>
      <c r="V119" s="38">
        <v>16</v>
      </c>
      <c r="W119" s="38" t="s">
        <v>716</v>
      </c>
      <c r="X119" s="38">
        <v>1</v>
      </c>
      <c r="Y119" s="38">
        <v>1</v>
      </c>
      <c r="Z119" s="38">
        <v>0</v>
      </c>
      <c r="AA119" s="38" t="s">
        <v>1036</v>
      </c>
      <c r="AB119" s="38" t="s">
        <v>973</v>
      </c>
      <c r="AC119" s="38" t="s">
        <v>1003</v>
      </c>
      <c r="AD119" s="38" t="s">
        <v>994</v>
      </c>
      <c r="AE119" s="38" t="s">
        <v>1004</v>
      </c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>
        <v>34</v>
      </c>
      <c r="BA119" s="38" t="s">
        <v>1165</v>
      </c>
      <c r="BB119" s="66"/>
      <c r="BC119" s="38" t="s">
        <v>4</v>
      </c>
      <c r="BD119" s="66" t="s">
        <v>980</v>
      </c>
      <c r="BE119" s="38" t="s">
        <v>5</v>
      </c>
      <c r="BF119" s="66" t="s">
        <v>975</v>
      </c>
      <c r="BG119" s="38" t="s">
        <v>6</v>
      </c>
      <c r="BH119" s="38" t="s">
        <v>976</v>
      </c>
      <c r="BI119" s="38"/>
      <c r="BJ119" s="38" t="s">
        <v>977</v>
      </c>
      <c r="BK119" s="38"/>
      <c r="BL119" s="38" t="s">
        <v>870</v>
      </c>
      <c r="BM119" s="38"/>
      <c r="BN119" s="38" t="s">
        <v>602</v>
      </c>
      <c r="BO119" s="38" t="s">
        <v>534</v>
      </c>
      <c r="BP119" s="38" t="s">
        <v>534</v>
      </c>
      <c r="BQ119" s="38"/>
      <c r="BR119" s="38"/>
      <c r="BS119" s="38"/>
      <c r="BT119" s="38"/>
      <c r="BU119" s="38"/>
      <c r="BV119" s="38"/>
      <c r="BW119" s="38"/>
      <c r="BX119" s="38"/>
      <c r="BY119" s="38"/>
      <c r="BZ119" s="38"/>
      <c r="CA119" s="38"/>
      <c r="CB119" s="38"/>
    </row>
    <row r="120" spans="1:80" hidden="1" x14ac:dyDescent="0.2">
      <c r="A120" s="38"/>
      <c r="B120" s="38" t="s">
        <v>84</v>
      </c>
      <c r="C120" s="38" t="s">
        <v>1036</v>
      </c>
      <c r="D120" s="38" t="s">
        <v>1038</v>
      </c>
      <c r="E120" s="38" t="s">
        <v>1039</v>
      </c>
      <c r="F120" s="38" t="s">
        <v>1040</v>
      </c>
      <c r="G120" s="38" t="s">
        <v>4</v>
      </c>
      <c r="H120" s="38"/>
      <c r="I120" s="38">
        <v>8.7620000000000005</v>
      </c>
      <c r="J120" s="38" t="s">
        <v>973</v>
      </c>
      <c r="K120" s="38" t="s">
        <v>193</v>
      </c>
      <c r="L120" s="38" t="s">
        <v>195</v>
      </c>
      <c r="M120" s="38" t="s">
        <v>196</v>
      </c>
      <c r="N120" s="38" t="s">
        <v>198</v>
      </c>
      <c r="O120" s="38" t="s">
        <v>275</v>
      </c>
      <c r="P120" s="38" t="s">
        <v>979</v>
      </c>
      <c r="Q120" s="38" t="s">
        <v>865</v>
      </c>
      <c r="R120" s="38" t="s">
        <v>1000</v>
      </c>
      <c r="S120" s="38" t="s">
        <v>1001</v>
      </c>
      <c r="T120" s="38"/>
      <c r="U120" s="38" t="s">
        <v>974</v>
      </c>
      <c r="V120" s="38">
        <v>16</v>
      </c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 t="s">
        <v>1041</v>
      </c>
      <c r="AH120" s="38">
        <v>2.8400000000000003</v>
      </c>
      <c r="AI120" s="38"/>
      <c r="AJ120" s="38"/>
      <c r="AK120" s="38" t="s">
        <v>1042</v>
      </c>
      <c r="AL120" s="38" t="s">
        <v>1043</v>
      </c>
      <c r="AM120" s="38"/>
      <c r="AN120" s="38" t="s">
        <v>973</v>
      </c>
      <c r="AO120" s="38"/>
      <c r="AP120" s="38" t="s">
        <v>973</v>
      </c>
      <c r="AQ120" s="38" t="s">
        <v>973</v>
      </c>
      <c r="AR120" s="38" t="s">
        <v>973</v>
      </c>
      <c r="AS120" s="38"/>
      <c r="AT120" s="38">
        <v>393</v>
      </c>
      <c r="AU120" s="38"/>
      <c r="AV120" s="38" t="s">
        <v>973</v>
      </c>
      <c r="AW120" s="38" t="s">
        <v>973</v>
      </c>
      <c r="AX120" s="38" t="s">
        <v>973</v>
      </c>
      <c r="AY120" s="38" t="s">
        <v>973</v>
      </c>
      <c r="AZ120" s="38">
        <v>6</v>
      </c>
      <c r="BA120" s="38" t="s">
        <v>1165</v>
      </c>
      <c r="BB120" s="66"/>
      <c r="BC120" s="38" t="s">
        <v>4</v>
      </c>
      <c r="BD120" s="66" t="s">
        <v>980</v>
      </c>
      <c r="BE120" s="38" t="s">
        <v>16</v>
      </c>
      <c r="BF120" s="66" t="s">
        <v>1012</v>
      </c>
      <c r="BG120" s="38" t="s">
        <v>24</v>
      </c>
      <c r="BH120" s="38" t="s">
        <v>1013</v>
      </c>
      <c r="BI120" s="38"/>
      <c r="BJ120" s="38" t="s">
        <v>977</v>
      </c>
      <c r="BK120" s="38"/>
      <c r="BL120" s="38" t="s">
        <v>869</v>
      </c>
      <c r="BM120" s="38" t="s">
        <v>539</v>
      </c>
      <c r="BN120" s="38" t="s">
        <v>602</v>
      </c>
      <c r="BO120" s="38" t="s">
        <v>534</v>
      </c>
      <c r="BP120" s="38" t="s">
        <v>534</v>
      </c>
      <c r="BQ120" s="38"/>
      <c r="BR120" s="38"/>
      <c r="BS120" s="38"/>
      <c r="BT120" s="38"/>
      <c r="BU120" s="38"/>
      <c r="BV120" s="38"/>
      <c r="BW120" s="38"/>
      <c r="BX120" s="38"/>
      <c r="BY120" s="38"/>
      <c r="BZ120" s="38"/>
      <c r="CA120" s="38"/>
      <c r="CB120" s="38"/>
    </row>
    <row r="121" spans="1:80" hidden="1" x14ac:dyDescent="0.2">
      <c r="A121" s="38"/>
      <c r="B121" s="38" t="s">
        <v>978</v>
      </c>
      <c r="C121" s="38" t="s">
        <v>1044</v>
      </c>
      <c r="D121" s="38" t="s">
        <v>1045</v>
      </c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66"/>
      <c r="BC121" s="38"/>
      <c r="BD121" s="66"/>
      <c r="BE121" s="38"/>
      <c r="BF121" s="66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</row>
    <row r="122" spans="1:80" hidden="1" x14ac:dyDescent="0.2">
      <c r="A122" s="38" t="s">
        <v>1032</v>
      </c>
      <c r="B122" s="38" t="s">
        <v>84</v>
      </c>
      <c r="C122" s="38" t="s">
        <v>1166</v>
      </c>
      <c r="D122" s="38" t="s">
        <v>1167</v>
      </c>
      <c r="E122" s="38"/>
      <c r="F122" s="38"/>
      <c r="G122" s="38" t="s">
        <v>4</v>
      </c>
      <c r="H122" s="38">
        <v>11350</v>
      </c>
      <c r="I122" s="38">
        <v>8.7620000000000005</v>
      </c>
      <c r="J122" s="38" t="s">
        <v>1064</v>
      </c>
      <c r="K122" s="38" t="s">
        <v>193</v>
      </c>
      <c r="L122" s="38" t="s">
        <v>195</v>
      </c>
      <c r="M122" s="38" t="s">
        <v>196</v>
      </c>
      <c r="N122" s="38" t="s">
        <v>198</v>
      </c>
      <c r="O122" s="38" t="s">
        <v>275</v>
      </c>
      <c r="P122" s="38" t="s">
        <v>979</v>
      </c>
      <c r="Q122" s="38" t="s">
        <v>865</v>
      </c>
      <c r="R122" s="38" t="s">
        <v>1000</v>
      </c>
      <c r="S122" s="38" t="s">
        <v>1001</v>
      </c>
      <c r="T122" s="38" t="s">
        <v>864</v>
      </c>
      <c r="U122" s="38" t="s">
        <v>974</v>
      </c>
      <c r="V122" s="38">
        <v>16</v>
      </c>
      <c r="W122" s="38" t="s">
        <v>716</v>
      </c>
      <c r="X122" s="38">
        <v>1</v>
      </c>
      <c r="Y122" s="38">
        <v>1</v>
      </c>
      <c r="Z122" s="38">
        <v>0</v>
      </c>
      <c r="AA122" s="38" t="s">
        <v>1036</v>
      </c>
      <c r="AB122" s="38" t="s">
        <v>973</v>
      </c>
      <c r="AC122" s="38" t="s">
        <v>1003</v>
      </c>
      <c r="AD122" s="38" t="s">
        <v>994</v>
      </c>
      <c r="AE122" s="38" t="s">
        <v>1004</v>
      </c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>
        <v>35</v>
      </c>
      <c r="BA122" s="38" t="s">
        <v>1168</v>
      </c>
      <c r="BB122" s="66"/>
      <c r="BC122" s="38" t="s">
        <v>4</v>
      </c>
      <c r="BD122" s="66" t="s">
        <v>980</v>
      </c>
      <c r="BE122" s="38" t="s">
        <v>5</v>
      </c>
      <c r="BF122" s="66" t="s">
        <v>975</v>
      </c>
      <c r="BG122" s="38" t="s">
        <v>6</v>
      </c>
      <c r="BH122" s="38" t="s">
        <v>976</v>
      </c>
      <c r="BI122" s="38"/>
      <c r="BJ122" s="38" t="s">
        <v>977</v>
      </c>
      <c r="BK122" s="38"/>
      <c r="BL122" s="38" t="s">
        <v>870</v>
      </c>
      <c r="BM122" s="38"/>
      <c r="BN122" s="38" t="s">
        <v>602</v>
      </c>
      <c r="BO122" s="38" t="s">
        <v>534</v>
      </c>
      <c r="BP122" s="38" t="s">
        <v>534</v>
      </c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</row>
    <row r="123" spans="1:80" hidden="1" x14ac:dyDescent="0.2">
      <c r="A123" s="38"/>
      <c r="B123" s="38" t="s">
        <v>84</v>
      </c>
      <c r="C123" s="38" t="s">
        <v>1036</v>
      </c>
      <c r="D123" s="38" t="s">
        <v>1038</v>
      </c>
      <c r="E123" s="38" t="s">
        <v>1039</v>
      </c>
      <c r="F123" s="38" t="s">
        <v>1040</v>
      </c>
      <c r="G123" s="38" t="s">
        <v>4</v>
      </c>
      <c r="H123" s="38"/>
      <c r="I123" s="38">
        <v>8.7620000000000005</v>
      </c>
      <c r="J123" s="38" t="s">
        <v>973</v>
      </c>
      <c r="K123" s="38" t="s">
        <v>193</v>
      </c>
      <c r="L123" s="38" t="s">
        <v>195</v>
      </c>
      <c r="M123" s="38" t="s">
        <v>196</v>
      </c>
      <c r="N123" s="38" t="s">
        <v>198</v>
      </c>
      <c r="O123" s="38" t="s">
        <v>275</v>
      </c>
      <c r="P123" s="38" t="s">
        <v>979</v>
      </c>
      <c r="Q123" s="38" t="s">
        <v>865</v>
      </c>
      <c r="R123" s="38" t="s">
        <v>1000</v>
      </c>
      <c r="S123" s="38" t="s">
        <v>1001</v>
      </c>
      <c r="T123" s="38"/>
      <c r="U123" s="38" t="s">
        <v>974</v>
      </c>
      <c r="V123" s="38">
        <v>16</v>
      </c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 t="s">
        <v>1041</v>
      </c>
      <c r="AH123" s="38">
        <v>2.8400000000000003</v>
      </c>
      <c r="AI123" s="38"/>
      <c r="AJ123" s="38"/>
      <c r="AK123" s="38" t="s">
        <v>1042</v>
      </c>
      <c r="AL123" s="38" t="s">
        <v>1043</v>
      </c>
      <c r="AM123" s="38"/>
      <c r="AN123" s="38" t="s">
        <v>973</v>
      </c>
      <c r="AO123" s="38"/>
      <c r="AP123" s="38" t="s">
        <v>973</v>
      </c>
      <c r="AQ123" s="38" t="s">
        <v>973</v>
      </c>
      <c r="AR123" s="38" t="s">
        <v>973</v>
      </c>
      <c r="AS123" s="38"/>
      <c r="AT123" s="38">
        <v>393</v>
      </c>
      <c r="AU123" s="38"/>
      <c r="AV123" s="38" t="s">
        <v>973</v>
      </c>
      <c r="AW123" s="38" t="s">
        <v>973</v>
      </c>
      <c r="AX123" s="38" t="s">
        <v>973</v>
      </c>
      <c r="AY123" s="38" t="s">
        <v>973</v>
      </c>
      <c r="AZ123" s="38">
        <v>6</v>
      </c>
      <c r="BA123" s="38" t="s">
        <v>1168</v>
      </c>
      <c r="BB123" s="66"/>
      <c r="BC123" s="38" t="s">
        <v>4</v>
      </c>
      <c r="BD123" s="66" t="s">
        <v>980</v>
      </c>
      <c r="BE123" s="38" t="s">
        <v>16</v>
      </c>
      <c r="BF123" s="66" t="s">
        <v>1012</v>
      </c>
      <c r="BG123" s="38" t="s">
        <v>24</v>
      </c>
      <c r="BH123" s="38" t="s">
        <v>1013</v>
      </c>
      <c r="BI123" s="38"/>
      <c r="BJ123" s="38" t="s">
        <v>977</v>
      </c>
      <c r="BK123" s="38"/>
      <c r="BL123" s="38" t="s">
        <v>869</v>
      </c>
      <c r="BM123" s="38" t="s">
        <v>539</v>
      </c>
      <c r="BN123" s="38" t="s">
        <v>602</v>
      </c>
      <c r="BO123" s="38" t="s">
        <v>534</v>
      </c>
      <c r="BP123" s="38" t="s">
        <v>534</v>
      </c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</row>
    <row r="124" spans="1:80" hidden="1" x14ac:dyDescent="0.2">
      <c r="A124" s="38"/>
      <c r="B124" s="38" t="s">
        <v>978</v>
      </c>
      <c r="C124" s="38" t="s">
        <v>1044</v>
      </c>
      <c r="D124" s="38" t="s">
        <v>1045</v>
      </c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66"/>
      <c r="BC124" s="38"/>
      <c r="BD124" s="66"/>
      <c r="BE124" s="38"/>
      <c r="BF124" s="66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</row>
    <row r="125" spans="1:80" hidden="1" x14ac:dyDescent="0.2">
      <c r="A125" s="38" t="s">
        <v>1032</v>
      </c>
      <c r="B125" s="38" t="s">
        <v>84</v>
      </c>
      <c r="C125" s="38" t="s">
        <v>1169</v>
      </c>
      <c r="D125" s="38" t="s">
        <v>1170</v>
      </c>
      <c r="E125" s="38"/>
      <c r="F125" s="38"/>
      <c r="G125" s="38" t="s">
        <v>4</v>
      </c>
      <c r="H125" s="38">
        <v>10037</v>
      </c>
      <c r="I125" s="38">
        <v>8.7620000000000005</v>
      </c>
      <c r="J125" s="38" t="s">
        <v>1171</v>
      </c>
      <c r="K125" s="38" t="s">
        <v>193</v>
      </c>
      <c r="L125" s="38" t="s">
        <v>195</v>
      </c>
      <c r="M125" s="38" t="s">
        <v>196</v>
      </c>
      <c r="N125" s="38" t="s">
        <v>198</v>
      </c>
      <c r="O125" s="38" t="s">
        <v>275</v>
      </c>
      <c r="P125" s="38" t="s">
        <v>979</v>
      </c>
      <c r="Q125" s="38" t="s">
        <v>865</v>
      </c>
      <c r="R125" s="38" t="s">
        <v>1000</v>
      </c>
      <c r="S125" s="38" t="s">
        <v>1001</v>
      </c>
      <c r="T125" s="38" t="s">
        <v>864</v>
      </c>
      <c r="U125" s="38" t="s">
        <v>974</v>
      </c>
      <c r="V125" s="38">
        <v>16</v>
      </c>
      <c r="W125" s="38" t="s">
        <v>716</v>
      </c>
      <c r="X125" s="38">
        <v>1</v>
      </c>
      <c r="Y125" s="38">
        <v>1</v>
      </c>
      <c r="Z125" s="38">
        <v>0</v>
      </c>
      <c r="AA125" s="38" t="s">
        <v>1036</v>
      </c>
      <c r="AB125" s="38" t="s">
        <v>973</v>
      </c>
      <c r="AC125" s="38" t="s">
        <v>1003</v>
      </c>
      <c r="AD125" s="38" t="s">
        <v>994</v>
      </c>
      <c r="AE125" s="38" t="s">
        <v>1004</v>
      </c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>
        <v>36</v>
      </c>
      <c r="BA125" s="38" t="s">
        <v>1172</v>
      </c>
      <c r="BB125" s="66"/>
      <c r="BC125" s="38" t="s">
        <v>4</v>
      </c>
      <c r="BD125" s="66" t="s">
        <v>980</v>
      </c>
      <c r="BE125" s="38" t="s">
        <v>5</v>
      </c>
      <c r="BF125" s="66" t="s">
        <v>975</v>
      </c>
      <c r="BG125" s="38" t="s">
        <v>6</v>
      </c>
      <c r="BH125" s="38" t="s">
        <v>976</v>
      </c>
      <c r="BI125" s="38"/>
      <c r="BJ125" s="38" t="s">
        <v>977</v>
      </c>
      <c r="BK125" s="38"/>
      <c r="BL125" s="38" t="s">
        <v>870</v>
      </c>
      <c r="BM125" s="38"/>
      <c r="BN125" s="38" t="s">
        <v>602</v>
      </c>
      <c r="BO125" s="38" t="s">
        <v>534</v>
      </c>
      <c r="BP125" s="38" t="s">
        <v>534</v>
      </c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</row>
    <row r="126" spans="1:80" hidden="1" x14ac:dyDescent="0.2">
      <c r="A126" s="38"/>
      <c r="B126" s="38" t="s">
        <v>84</v>
      </c>
      <c r="C126" s="38" t="s">
        <v>1036</v>
      </c>
      <c r="D126" s="38" t="s">
        <v>1038</v>
      </c>
      <c r="E126" s="38" t="s">
        <v>1039</v>
      </c>
      <c r="F126" s="38" t="s">
        <v>1040</v>
      </c>
      <c r="G126" s="38" t="s">
        <v>4</v>
      </c>
      <c r="H126" s="38"/>
      <c r="I126" s="38">
        <v>8.7620000000000005</v>
      </c>
      <c r="J126" s="38" t="s">
        <v>973</v>
      </c>
      <c r="K126" s="38" t="s">
        <v>193</v>
      </c>
      <c r="L126" s="38" t="s">
        <v>195</v>
      </c>
      <c r="M126" s="38" t="s">
        <v>196</v>
      </c>
      <c r="N126" s="38" t="s">
        <v>198</v>
      </c>
      <c r="O126" s="38" t="s">
        <v>275</v>
      </c>
      <c r="P126" s="38" t="s">
        <v>979</v>
      </c>
      <c r="Q126" s="38" t="s">
        <v>865</v>
      </c>
      <c r="R126" s="38" t="s">
        <v>1000</v>
      </c>
      <c r="S126" s="38" t="s">
        <v>1001</v>
      </c>
      <c r="T126" s="38"/>
      <c r="U126" s="38" t="s">
        <v>974</v>
      </c>
      <c r="V126" s="38">
        <v>16</v>
      </c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 t="s">
        <v>1041</v>
      </c>
      <c r="AH126" s="38">
        <v>2.8400000000000003</v>
      </c>
      <c r="AI126" s="38"/>
      <c r="AJ126" s="38"/>
      <c r="AK126" s="38" t="s">
        <v>1042</v>
      </c>
      <c r="AL126" s="38" t="s">
        <v>1043</v>
      </c>
      <c r="AM126" s="38"/>
      <c r="AN126" s="38" t="s">
        <v>973</v>
      </c>
      <c r="AO126" s="38"/>
      <c r="AP126" s="38" t="s">
        <v>973</v>
      </c>
      <c r="AQ126" s="38" t="s">
        <v>973</v>
      </c>
      <c r="AR126" s="38" t="s">
        <v>973</v>
      </c>
      <c r="AS126" s="38"/>
      <c r="AT126" s="38">
        <v>393</v>
      </c>
      <c r="AU126" s="38"/>
      <c r="AV126" s="38" t="s">
        <v>973</v>
      </c>
      <c r="AW126" s="38" t="s">
        <v>973</v>
      </c>
      <c r="AX126" s="38" t="s">
        <v>973</v>
      </c>
      <c r="AY126" s="38" t="s">
        <v>973</v>
      </c>
      <c r="AZ126" s="38">
        <v>6</v>
      </c>
      <c r="BA126" s="38" t="s">
        <v>1172</v>
      </c>
      <c r="BB126" s="66"/>
      <c r="BC126" s="38" t="s">
        <v>4</v>
      </c>
      <c r="BD126" s="66" t="s">
        <v>980</v>
      </c>
      <c r="BE126" s="38" t="s">
        <v>16</v>
      </c>
      <c r="BF126" s="66" t="s">
        <v>1012</v>
      </c>
      <c r="BG126" s="38" t="s">
        <v>24</v>
      </c>
      <c r="BH126" s="38" t="s">
        <v>1013</v>
      </c>
      <c r="BI126" s="38"/>
      <c r="BJ126" s="38" t="s">
        <v>977</v>
      </c>
      <c r="BK126" s="38"/>
      <c r="BL126" s="38" t="s">
        <v>869</v>
      </c>
      <c r="BM126" s="38" t="s">
        <v>539</v>
      </c>
      <c r="BN126" s="38" t="s">
        <v>602</v>
      </c>
      <c r="BO126" s="38" t="s">
        <v>534</v>
      </c>
      <c r="BP126" s="38" t="s">
        <v>534</v>
      </c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</row>
    <row r="127" spans="1:80" hidden="1" x14ac:dyDescent="0.2">
      <c r="A127" s="38"/>
      <c r="B127" s="38" t="s">
        <v>978</v>
      </c>
      <c r="C127" s="38" t="s">
        <v>1044</v>
      </c>
      <c r="D127" s="38" t="s">
        <v>1045</v>
      </c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66"/>
      <c r="BC127" s="38"/>
      <c r="BD127" s="66"/>
      <c r="BE127" s="38"/>
      <c r="BF127" s="66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</row>
    <row r="128" spans="1:80" hidden="1" x14ac:dyDescent="0.2">
      <c r="A128" s="38" t="s">
        <v>1032</v>
      </c>
      <c r="B128" s="38" t="s">
        <v>84</v>
      </c>
      <c r="C128" s="38" t="s">
        <v>1173</v>
      </c>
      <c r="D128" s="38" t="s">
        <v>1174</v>
      </c>
      <c r="E128" s="38"/>
      <c r="F128" s="38"/>
      <c r="G128" s="38" t="s">
        <v>4</v>
      </c>
      <c r="H128" s="38">
        <v>9257</v>
      </c>
      <c r="I128" s="38">
        <v>8.7620000000000005</v>
      </c>
      <c r="J128" s="38" t="s">
        <v>1175</v>
      </c>
      <c r="K128" s="38" t="s">
        <v>193</v>
      </c>
      <c r="L128" s="38" t="s">
        <v>195</v>
      </c>
      <c r="M128" s="38" t="s">
        <v>196</v>
      </c>
      <c r="N128" s="38" t="s">
        <v>198</v>
      </c>
      <c r="O128" s="38" t="s">
        <v>275</v>
      </c>
      <c r="P128" s="38" t="s">
        <v>979</v>
      </c>
      <c r="Q128" s="38" t="s">
        <v>865</v>
      </c>
      <c r="R128" s="38" t="s">
        <v>1000</v>
      </c>
      <c r="S128" s="38" t="s">
        <v>1001</v>
      </c>
      <c r="T128" s="38" t="s">
        <v>864</v>
      </c>
      <c r="U128" s="38" t="s">
        <v>974</v>
      </c>
      <c r="V128" s="38">
        <v>16</v>
      </c>
      <c r="W128" s="38" t="s">
        <v>716</v>
      </c>
      <c r="X128" s="38">
        <v>1</v>
      </c>
      <c r="Y128" s="38">
        <v>1</v>
      </c>
      <c r="Z128" s="38">
        <v>0</v>
      </c>
      <c r="AA128" s="38" t="s">
        <v>1036</v>
      </c>
      <c r="AB128" s="38" t="s">
        <v>973</v>
      </c>
      <c r="AC128" s="38" t="s">
        <v>1003</v>
      </c>
      <c r="AD128" s="38" t="s">
        <v>994</v>
      </c>
      <c r="AE128" s="38" t="s">
        <v>1004</v>
      </c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>
        <v>37</v>
      </c>
      <c r="BA128" s="38" t="s">
        <v>1176</v>
      </c>
      <c r="BB128" s="66"/>
      <c r="BC128" s="38" t="s">
        <v>4</v>
      </c>
      <c r="BD128" s="66" t="s">
        <v>980</v>
      </c>
      <c r="BE128" s="38" t="s">
        <v>5</v>
      </c>
      <c r="BF128" s="66" t="s">
        <v>975</v>
      </c>
      <c r="BG128" s="38" t="s">
        <v>6</v>
      </c>
      <c r="BH128" s="38" t="s">
        <v>976</v>
      </c>
      <c r="BI128" s="38"/>
      <c r="BJ128" s="38" t="s">
        <v>977</v>
      </c>
      <c r="BK128" s="38"/>
      <c r="BL128" s="38" t="s">
        <v>870</v>
      </c>
      <c r="BM128" s="38"/>
      <c r="BN128" s="38" t="s">
        <v>602</v>
      </c>
      <c r="BO128" s="38" t="s">
        <v>534</v>
      </c>
      <c r="BP128" s="38" t="s">
        <v>534</v>
      </c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</row>
    <row r="129" spans="1:80" hidden="1" x14ac:dyDescent="0.2">
      <c r="A129" s="38"/>
      <c r="B129" s="38" t="s">
        <v>84</v>
      </c>
      <c r="C129" s="38" t="s">
        <v>1036</v>
      </c>
      <c r="D129" s="38" t="s">
        <v>1038</v>
      </c>
      <c r="E129" s="38" t="s">
        <v>1039</v>
      </c>
      <c r="F129" s="38" t="s">
        <v>1040</v>
      </c>
      <c r="G129" s="38" t="s">
        <v>4</v>
      </c>
      <c r="H129" s="38"/>
      <c r="I129" s="38">
        <v>8.7620000000000005</v>
      </c>
      <c r="J129" s="38" t="s">
        <v>973</v>
      </c>
      <c r="K129" s="38" t="s">
        <v>193</v>
      </c>
      <c r="L129" s="38" t="s">
        <v>195</v>
      </c>
      <c r="M129" s="38" t="s">
        <v>196</v>
      </c>
      <c r="N129" s="38" t="s">
        <v>198</v>
      </c>
      <c r="O129" s="38" t="s">
        <v>275</v>
      </c>
      <c r="P129" s="38" t="s">
        <v>979</v>
      </c>
      <c r="Q129" s="38" t="s">
        <v>865</v>
      </c>
      <c r="R129" s="38" t="s">
        <v>1000</v>
      </c>
      <c r="S129" s="38" t="s">
        <v>1001</v>
      </c>
      <c r="T129" s="38"/>
      <c r="U129" s="38" t="s">
        <v>974</v>
      </c>
      <c r="V129" s="38">
        <v>16</v>
      </c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 t="s">
        <v>1041</v>
      </c>
      <c r="AH129" s="38">
        <v>2.8400000000000003</v>
      </c>
      <c r="AI129" s="38"/>
      <c r="AJ129" s="38"/>
      <c r="AK129" s="38" t="s">
        <v>1042</v>
      </c>
      <c r="AL129" s="38" t="s">
        <v>1043</v>
      </c>
      <c r="AM129" s="38"/>
      <c r="AN129" s="38" t="s">
        <v>973</v>
      </c>
      <c r="AO129" s="38"/>
      <c r="AP129" s="38" t="s">
        <v>973</v>
      </c>
      <c r="AQ129" s="38" t="s">
        <v>973</v>
      </c>
      <c r="AR129" s="38" t="s">
        <v>973</v>
      </c>
      <c r="AS129" s="38"/>
      <c r="AT129" s="38">
        <v>393</v>
      </c>
      <c r="AU129" s="38"/>
      <c r="AV129" s="38" t="s">
        <v>973</v>
      </c>
      <c r="AW129" s="38" t="s">
        <v>973</v>
      </c>
      <c r="AX129" s="38" t="s">
        <v>973</v>
      </c>
      <c r="AY129" s="38" t="s">
        <v>973</v>
      </c>
      <c r="AZ129" s="38">
        <v>6</v>
      </c>
      <c r="BA129" s="38" t="s">
        <v>1176</v>
      </c>
      <c r="BB129" s="66"/>
      <c r="BC129" s="38" t="s">
        <v>4</v>
      </c>
      <c r="BD129" s="66" t="s">
        <v>980</v>
      </c>
      <c r="BE129" s="38" t="s">
        <v>16</v>
      </c>
      <c r="BF129" s="66" t="s">
        <v>1012</v>
      </c>
      <c r="BG129" s="38" t="s">
        <v>24</v>
      </c>
      <c r="BH129" s="38" t="s">
        <v>1013</v>
      </c>
      <c r="BI129" s="38"/>
      <c r="BJ129" s="38" t="s">
        <v>977</v>
      </c>
      <c r="BK129" s="38"/>
      <c r="BL129" s="38" t="s">
        <v>869</v>
      </c>
      <c r="BM129" s="38" t="s">
        <v>539</v>
      </c>
      <c r="BN129" s="38" t="s">
        <v>602</v>
      </c>
      <c r="BO129" s="38" t="s">
        <v>534</v>
      </c>
      <c r="BP129" s="38" t="s">
        <v>534</v>
      </c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</row>
    <row r="130" spans="1:80" hidden="1" x14ac:dyDescent="0.2">
      <c r="A130" s="38"/>
      <c r="B130" s="38" t="s">
        <v>978</v>
      </c>
      <c r="C130" s="38" t="s">
        <v>1044</v>
      </c>
      <c r="D130" s="38" t="s">
        <v>1045</v>
      </c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66"/>
      <c r="BC130" s="38"/>
      <c r="BD130" s="66"/>
      <c r="BE130" s="38"/>
      <c r="BF130" s="66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</row>
    <row r="131" spans="1:80" hidden="1" x14ac:dyDescent="0.2">
      <c r="A131" s="38" t="s">
        <v>1032</v>
      </c>
      <c r="B131" s="38" t="s">
        <v>84</v>
      </c>
      <c r="C131" s="38" t="s">
        <v>1177</v>
      </c>
      <c r="D131" s="38" t="s">
        <v>1178</v>
      </c>
      <c r="E131" s="38"/>
      <c r="F131" s="38"/>
      <c r="G131" s="38" t="s">
        <v>4</v>
      </c>
      <c r="H131" s="38">
        <v>11500</v>
      </c>
      <c r="I131" s="38">
        <v>8.7620000000000005</v>
      </c>
      <c r="J131" s="38" t="s">
        <v>1179</v>
      </c>
      <c r="K131" s="38" t="s">
        <v>193</v>
      </c>
      <c r="L131" s="38" t="s">
        <v>195</v>
      </c>
      <c r="M131" s="38" t="s">
        <v>196</v>
      </c>
      <c r="N131" s="38" t="s">
        <v>198</v>
      </c>
      <c r="O131" s="38" t="s">
        <v>275</v>
      </c>
      <c r="P131" s="38" t="s">
        <v>979</v>
      </c>
      <c r="Q131" s="38" t="s">
        <v>865</v>
      </c>
      <c r="R131" s="38" t="s">
        <v>1000</v>
      </c>
      <c r="S131" s="38" t="s">
        <v>1001</v>
      </c>
      <c r="T131" s="38" t="s">
        <v>864</v>
      </c>
      <c r="U131" s="38" t="s">
        <v>974</v>
      </c>
      <c r="V131" s="38">
        <v>16</v>
      </c>
      <c r="W131" s="38" t="s">
        <v>716</v>
      </c>
      <c r="X131" s="38">
        <v>1</v>
      </c>
      <c r="Y131" s="38">
        <v>1</v>
      </c>
      <c r="Z131" s="38">
        <v>0</v>
      </c>
      <c r="AA131" s="38" t="s">
        <v>1036</v>
      </c>
      <c r="AB131" s="38" t="s">
        <v>973</v>
      </c>
      <c r="AC131" s="38" t="s">
        <v>1003</v>
      </c>
      <c r="AD131" s="38" t="s">
        <v>994</v>
      </c>
      <c r="AE131" s="38" t="s">
        <v>1004</v>
      </c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>
        <v>38</v>
      </c>
      <c r="BA131" s="38" t="s">
        <v>1027</v>
      </c>
      <c r="BB131" s="66"/>
      <c r="BC131" s="38" t="s">
        <v>4</v>
      </c>
      <c r="BD131" s="66" t="s">
        <v>980</v>
      </c>
      <c r="BE131" s="38" t="s">
        <v>5</v>
      </c>
      <c r="BF131" s="66" t="s">
        <v>975</v>
      </c>
      <c r="BG131" s="38" t="s">
        <v>6</v>
      </c>
      <c r="BH131" s="38" t="s">
        <v>976</v>
      </c>
      <c r="BI131" s="38"/>
      <c r="BJ131" s="38" t="s">
        <v>977</v>
      </c>
      <c r="BK131" s="38"/>
      <c r="BL131" s="38" t="s">
        <v>870</v>
      </c>
      <c r="BM131" s="38"/>
      <c r="BN131" s="38" t="s">
        <v>602</v>
      </c>
      <c r="BO131" s="38" t="s">
        <v>534</v>
      </c>
      <c r="BP131" s="38" t="s">
        <v>534</v>
      </c>
      <c r="BQ131" s="38"/>
      <c r="BR131" s="38"/>
      <c r="BS131" s="38"/>
      <c r="BT131" s="38"/>
      <c r="BU131" s="38"/>
      <c r="BV131" s="38"/>
      <c r="BW131" s="38"/>
      <c r="BX131" s="38"/>
      <c r="BY131" s="38"/>
      <c r="BZ131" s="38"/>
      <c r="CA131" s="38"/>
      <c r="CB131" s="38"/>
    </row>
    <row r="132" spans="1:80" hidden="1" x14ac:dyDescent="0.2">
      <c r="A132" s="38"/>
      <c r="B132" s="38" t="s">
        <v>84</v>
      </c>
      <c r="C132" s="38" t="s">
        <v>1036</v>
      </c>
      <c r="D132" s="38" t="s">
        <v>1038</v>
      </c>
      <c r="E132" s="38" t="s">
        <v>1039</v>
      </c>
      <c r="F132" s="38" t="s">
        <v>1040</v>
      </c>
      <c r="G132" s="38" t="s">
        <v>4</v>
      </c>
      <c r="H132" s="38"/>
      <c r="I132" s="38">
        <v>8.7620000000000005</v>
      </c>
      <c r="J132" s="38" t="s">
        <v>973</v>
      </c>
      <c r="K132" s="38" t="s">
        <v>193</v>
      </c>
      <c r="L132" s="38" t="s">
        <v>195</v>
      </c>
      <c r="M132" s="38" t="s">
        <v>196</v>
      </c>
      <c r="N132" s="38" t="s">
        <v>198</v>
      </c>
      <c r="O132" s="38" t="s">
        <v>275</v>
      </c>
      <c r="P132" s="38" t="s">
        <v>979</v>
      </c>
      <c r="Q132" s="38" t="s">
        <v>865</v>
      </c>
      <c r="R132" s="38" t="s">
        <v>1000</v>
      </c>
      <c r="S132" s="38" t="s">
        <v>1001</v>
      </c>
      <c r="T132" s="38"/>
      <c r="U132" s="38" t="s">
        <v>974</v>
      </c>
      <c r="V132" s="38">
        <v>16</v>
      </c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 t="s">
        <v>1041</v>
      </c>
      <c r="AH132" s="38">
        <v>2.8400000000000003</v>
      </c>
      <c r="AI132" s="38"/>
      <c r="AJ132" s="38"/>
      <c r="AK132" s="38" t="s">
        <v>1042</v>
      </c>
      <c r="AL132" s="38" t="s">
        <v>1043</v>
      </c>
      <c r="AM132" s="38"/>
      <c r="AN132" s="38" t="s">
        <v>973</v>
      </c>
      <c r="AO132" s="38"/>
      <c r="AP132" s="38" t="s">
        <v>973</v>
      </c>
      <c r="AQ132" s="38" t="s">
        <v>973</v>
      </c>
      <c r="AR132" s="38" t="s">
        <v>973</v>
      </c>
      <c r="AS132" s="38"/>
      <c r="AT132" s="38">
        <v>393</v>
      </c>
      <c r="AU132" s="38"/>
      <c r="AV132" s="38" t="s">
        <v>973</v>
      </c>
      <c r="AW132" s="38" t="s">
        <v>973</v>
      </c>
      <c r="AX132" s="38" t="s">
        <v>973</v>
      </c>
      <c r="AY132" s="38" t="s">
        <v>973</v>
      </c>
      <c r="AZ132" s="38">
        <v>6</v>
      </c>
      <c r="BA132" s="38" t="s">
        <v>1027</v>
      </c>
      <c r="BB132" s="66"/>
      <c r="BC132" s="38" t="s">
        <v>4</v>
      </c>
      <c r="BD132" s="66" t="s">
        <v>980</v>
      </c>
      <c r="BE132" s="38" t="s">
        <v>16</v>
      </c>
      <c r="BF132" s="66" t="s">
        <v>1012</v>
      </c>
      <c r="BG132" s="38" t="s">
        <v>24</v>
      </c>
      <c r="BH132" s="38" t="s">
        <v>1013</v>
      </c>
      <c r="BI132" s="38"/>
      <c r="BJ132" s="38" t="s">
        <v>977</v>
      </c>
      <c r="BK132" s="38"/>
      <c r="BL132" s="38" t="s">
        <v>869</v>
      </c>
      <c r="BM132" s="38" t="s">
        <v>539</v>
      </c>
      <c r="BN132" s="38" t="s">
        <v>602</v>
      </c>
      <c r="BO132" s="38" t="s">
        <v>534</v>
      </c>
      <c r="BP132" s="38" t="s">
        <v>534</v>
      </c>
      <c r="BQ132" s="38"/>
      <c r="BR132" s="38"/>
      <c r="BS132" s="38"/>
      <c r="BT132" s="38"/>
      <c r="BU132" s="38"/>
      <c r="BV132" s="38"/>
      <c r="BW132" s="38"/>
      <c r="BX132" s="38"/>
      <c r="BY132" s="38"/>
      <c r="BZ132" s="38"/>
      <c r="CA132" s="38"/>
      <c r="CB132" s="38"/>
    </row>
    <row r="133" spans="1:80" hidden="1" x14ac:dyDescent="0.2">
      <c r="A133" s="38"/>
      <c r="B133" s="38" t="s">
        <v>978</v>
      </c>
      <c r="C133" s="38" t="s">
        <v>1044</v>
      </c>
      <c r="D133" s="38" t="s">
        <v>1045</v>
      </c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66"/>
      <c r="BC133" s="38"/>
      <c r="BD133" s="66"/>
      <c r="BE133" s="38"/>
      <c r="BF133" s="66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</row>
    <row r="134" spans="1:80" hidden="1" x14ac:dyDescent="0.2">
      <c r="A134" s="38" t="s">
        <v>1032</v>
      </c>
      <c r="B134" s="38" t="s">
        <v>84</v>
      </c>
      <c r="C134" s="38" t="s">
        <v>1180</v>
      </c>
      <c r="D134" s="38" t="s">
        <v>1181</v>
      </c>
      <c r="E134" s="38"/>
      <c r="F134" s="38"/>
      <c r="G134" s="38" t="s">
        <v>4</v>
      </c>
      <c r="H134" s="38">
        <v>11805</v>
      </c>
      <c r="I134" s="38">
        <v>8.7620000000000005</v>
      </c>
      <c r="J134" s="38" t="s">
        <v>1182</v>
      </c>
      <c r="K134" s="38" t="s">
        <v>193</v>
      </c>
      <c r="L134" s="38" t="s">
        <v>195</v>
      </c>
      <c r="M134" s="38" t="s">
        <v>196</v>
      </c>
      <c r="N134" s="38" t="s">
        <v>198</v>
      </c>
      <c r="O134" s="38" t="s">
        <v>275</v>
      </c>
      <c r="P134" s="38" t="s">
        <v>979</v>
      </c>
      <c r="Q134" s="38" t="s">
        <v>865</v>
      </c>
      <c r="R134" s="38" t="s">
        <v>1000</v>
      </c>
      <c r="S134" s="38" t="s">
        <v>1001</v>
      </c>
      <c r="T134" s="38" t="s">
        <v>864</v>
      </c>
      <c r="U134" s="38" t="s">
        <v>974</v>
      </c>
      <c r="V134" s="38">
        <v>16</v>
      </c>
      <c r="W134" s="38" t="s">
        <v>716</v>
      </c>
      <c r="X134" s="38">
        <v>1</v>
      </c>
      <c r="Y134" s="38">
        <v>1</v>
      </c>
      <c r="Z134" s="38">
        <v>0</v>
      </c>
      <c r="AA134" s="38" t="s">
        <v>1036</v>
      </c>
      <c r="AB134" s="38" t="s">
        <v>973</v>
      </c>
      <c r="AC134" s="38" t="s">
        <v>1003</v>
      </c>
      <c r="AD134" s="38" t="s">
        <v>994</v>
      </c>
      <c r="AE134" s="38" t="s">
        <v>1004</v>
      </c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>
        <v>39</v>
      </c>
      <c r="BA134" s="38" t="s">
        <v>1031</v>
      </c>
      <c r="BB134" s="66"/>
      <c r="BC134" s="38" t="s">
        <v>4</v>
      </c>
      <c r="BD134" s="66" t="s">
        <v>980</v>
      </c>
      <c r="BE134" s="38" t="s">
        <v>5</v>
      </c>
      <c r="BF134" s="66" t="s">
        <v>975</v>
      </c>
      <c r="BG134" s="38" t="s">
        <v>6</v>
      </c>
      <c r="BH134" s="38" t="s">
        <v>976</v>
      </c>
      <c r="BI134" s="38"/>
      <c r="BJ134" s="38" t="s">
        <v>977</v>
      </c>
      <c r="BK134" s="38"/>
      <c r="BL134" s="38" t="s">
        <v>870</v>
      </c>
      <c r="BM134" s="38"/>
      <c r="BN134" s="38" t="s">
        <v>602</v>
      </c>
      <c r="BO134" s="38" t="s">
        <v>534</v>
      </c>
      <c r="BP134" s="38" t="s">
        <v>534</v>
      </c>
      <c r="BQ134" s="38"/>
      <c r="BR134" s="38"/>
      <c r="BS134" s="38"/>
      <c r="BT134" s="38"/>
      <c r="BU134" s="38"/>
      <c r="BV134" s="38"/>
      <c r="BW134" s="38"/>
      <c r="BX134" s="38"/>
      <c r="BY134" s="38"/>
      <c r="BZ134" s="38"/>
      <c r="CA134" s="38"/>
      <c r="CB134" s="38"/>
    </row>
    <row r="135" spans="1:80" hidden="1" x14ac:dyDescent="0.2">
      <c r="A135" s="38"/>
      <c r="B135" s="38" t="s">
        <v>84</v>
      </c>
      <c r="C135" s="38" t="s">
        <v>1036</v>
      </c>
      <c r="D135" s="38" t="s">
        <v>1038</v>
      </c>
      <c r="E135" s="38" t="s">
        <v>1039</v>
      </c>
      <c r="F135" s="38" t="s">
        <v>1040</v>
      </c>
      <c r="G135" s="38" t="s">
        <v>4</v>
      </c>
      <c r="H135" s="38"/>
      <c r="I135" s="38">
        <v>8.7620000000000005</v>
      </c>
      <c r="J135" s="38" t="s">
        <v>973</v>
      </c>
      <c r="K135" s="38" t="s">
        <v>193</v>
      </c>
      <c r="L135" s="38" t="s">
        <v>195</v>
      </c>
      <c r="M135" s="38" t="s">
        <v>196</v>
      </c>
      <c r="N135" s="38" t="s">
        <v>198</v>
      </c>
      <c r="O135" s="38" t="s">
        <v>275</v>
      </c>
      <c r="P135" s="38" t="s">
        <v>979</v>
      </c>
      <c r="Q135" s="38" t="s">
        <v>865</v>
      </c>
      <c r="R135" s="38" t="s">
        <v>1000</v>
      </c>
      <c r="S135" s="38" t="s">
        <v>1001</v>
      </c>
      <c r="T135" s="38"/>
      <c r="U135" s="38" t="s">
        <v>974</v>
      </c>
      <c r="V135" s="38">
        <v>16</v>
      </c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 t="s">
        <v>1041</v>
      </c>
      <c r="AH135" s="38">
        <v>2.8400000000000003</v>
      </c>
      <c r="AI135" s="38"/>
      <c r="AJ135" s="38"/>
      <c r="AK135" s="38" t="s">
        <v>1042</v>
      </c>
      <c r="AL135" s="38" t="s">
        <v>1043</v>
      </c>
      <c r="AM135" s="38"/>
      <c r="AN135" s="38" t="s">
        <v>973</v>
      </c>
      <c r="AO135" s="38"/>
      <c r="AP135" s="38" t="s">
        <v>973</v>
      </c>
      <c r="AQ135" s="38" t="s">
        <v>973</v>
      </c>
      <c r="AR135" s="38" t="s">
        <v>973</v>
      </c>
      <c r="AS135" s="38"/>
      <c r="AT135" s="38">
        <v>393</v>
      </c>
      <c r="AU135" s="38"/>
      <c r="AV135" s="38" t="s">
        <v>973</v>
      </c>
      <c r="AW135" s="38" t="s">
        <v>973</v>
      </c>
      <c r="AX135" s="38" t="s">
        <v>973</v>
      </c>
      <c r="AY135" s="38" t="s">
        <v>973</v>
      </c>
      <c r="AZ135" s="38">
        <v>6</v>
      </c>
      <c r="BA135" s="38" t="s">
        <v>1031</v>
      </c>
      <c r="BB135" s="66"/>
      <c r="BC135" s="38" t="s">
        <v>4</v>
      </c>
      <c r="BD135" s="66" t="s">
        <v>980</v>
      </c>
      <c r="BE135" s="38" t="s">
        <v>16</v>
      </c>
      <c r="BF135" s="66" t="s">
        <v>1012</v>
      </c>
      <c r="BG135" s="38" t="s">
        <v>24</v>
      </c>
      <c r="BH135" s="38" t="s">
        <v>1013</v>
      </c>
      <c r="BI135" s="38"/>
      <c r="BJ135" s="38" t="s">
        <v>977</v>
      </c>
      <c r="BK135" s="38"/>
      <c r="BL135" s="38" t="s">
        <v>869</v>
      </c>
      <c r="BM135" s="38" t="s">
        <v>539</v>
      </c>
      <c r="BN135" s="38" t="s">
        <v>602</v>
      </c>
      <c r="BO135" s="38" t="s">
        <v>534</v>
      </c>
      <c r="BP135" s="38" t="s">
        <v>534</v>
      </c>
      <c r="BQ135" s="38"/>
      <c r="BR135" s="38"/>
      <c r="BS135" s="38"/>
      <c r="BT135" s="38"/>
      <c r="BU135" s="38"/>
      <c r="BV135" s="38"/>
      <c r="BW135" s="38"/>
      <c r="BX135" s="38"/>
      <c r="BY135" s="38"/>
      <c r="BZ135" s="38"/>
      <c r="CA135" s="38"/>
      <c r="CB135" s="38"/>
    </row>
    <row r="136" spans="1:80" hidden="1" x14ac:dyDescent="0.2">
      <c r="A136" s="38"/>
      <c r="B136" s="38" t="s">
        <v>978</v>
      </c>
      <c r="C136" s="38" t="s">
        <v>1044</v>
      </c>
      <c r="D136" s="38" t="s">
        <v>1045</v>
      </c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66"/>
      <c r="BC136" s="38"/>
      <c r="BD136" s="66"/>
      <c r="BE136" s="38"/>
      <c r="BF136" s="66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  <c r="BZ136" s="38"/>
      <c r="CA136" s="38"/>
      <c r="CB136" s="38"/>
    </row>
    <row r="137" spans="1:80" hidden="1" x14ac:dyDescent="0.2">
      <c r="A137" s="38" t="s">
        <v>1183</v>
      </c>
      <c r="B137" s="38" t="s">
        <v>84</v>
      </c>
      <c r="C137" s="38" t="s">
        <v>1184</v>
      </c>
      <c r="D137" s="38" t="s">
        <v>1185</v>
      </c>
      <c r="E137" s="38"/>
      <c r="F137" s="38"/>
      <c r="G137" s="38" t="s">
        <v>4</v>
      </c>
      <c r="H137" s="38">
        <v>8200</v>
      </c>
      <c r="I137" s="38">
        <v>11.047000000000001</v>
      </c>
      <c r="J137" s="38" t="s">
        <v>1186</v>
      </c>
      <c r="K137" s="38" t="s">
        <v>193</v>
      </c>
      <c r="L137" s="38" t="s">
        <v>195</v>
      </c>
      <c r="M137" s="38" t="s">
        <v>196</v>
      </c>
      <c r="N137" s="38" t="s">
        <v>198</v>
      </c>
      <c r="O137" s="38" t="s">
        <v>275</v>
      </c>
      <c r="P137" s="38" t="s">
        <v>979</v>
      </c>
      <c r="Q137" s="38" t="s">
        <v>865</v>
      </c>
      <c r="R137" s="38" t="s">
        <v>1000</v>
      </c>
      <c r="S137" s="38" t="s">
        <v>1001</v>
      </c>
      <c r="T137" s="38" t="s">
        <v>864</v>
      </c>
      <c r="U137" s="38" t="s">
        <v>974</v>
      </c>
      <c r="V137" s="38">
        <v>16</v>
      </c>
      <c r="W137" s="38" t="s">
        <v>716</v>
      </c>
      <c r="X137" s="38">
        <v>1</v>
      </c>
      <c r="Y137" s="38">
        <v>1</v>
      </c>
      <c r="Z137" s="38">
        <v>0</v>
      </c>
      <c r="AA137" s="38" t="s">
        <v>1187</v>
      </c>
      <c r="AB137" s="38" t="s">
        <v>973</v>
      </c>
      <c r="AC137" s="38" t="s">
        <v>1003</v>
      </c>
      <c r="AD137" s="38" t="s">
        <v>994</v>
      </c>
      <c r="AE137" s="38" t="s">
        <v>1004</v>
      </c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>
        <v>0</v>
      </c>
      <c r="BA137" s="38" t="s">
        <v>1188</v>
      </c>
      <c r="BB137" s="66"/>
      <c r="BC137" s="38" t="s">
        <v>4</v>
      </c>
      <c r="BD137" s="66" t="s">
        <v>980</v>
      </c>
      <c r="BE137" s="38" t="s">
        <v>5</v>
      </c>
      <c r="BF137" s="66" t="s">
        <v>975</v>
      </c>
      <c r="BG137" s="38" t="s">
        <v>6</v>
      </c>
      <c r="BH137" s="38" t="s">
        <v>976</v>
      </c>
      <c r="BI137" s="38"/>
      <c r="BJ137" s="38" t="s">
        <v>977</v>
      </c>
      <c r="BK137" s="38"/>
      <c r="BL137" s="38" t="s">
        <v>870</v>
      </c>
      <c r="BM137" s="38"/>
      <c r="BN137" s="38" t="s">
        <v>610</v>
      </c>
      <c r="BO137" s="38" t="s">
        <v>534</v>
      </c>
      <c r="BP137" s="38" t="s">
        <v>534</v>
      </c>
      <c r="BQ137" s="38"/>
      <c r="BR137" s="38"/>
      <c r="BS137" s="38"/>
      <c r="BT137" s="38"/>
      <c r="BU137" s="38"/>
      <c r="BV137" s="38"/>
      <c r="BW137" s="38"/>
      <c r="BX137" s="38"/>
      <c r="BY137" s="38"/>
      <c r="BZ137" s="38"/>
      <c r="CA137" s="38"/>
      <c r="CB137" s="38"/>
    </row>
    <row r="138" spans="1:80" hidden="1" x14ac:dyDescent="0.2">
      <c r="A138" s="38"/>
      <c r="B138" s="38" t="s">
        <v>84</v>
      </c>
      <c r="C138" s="38" t="s">
        <v>1187</v>
      </c>
      <c r="D138" s="38" t="s">
        <v>1189</v>
      </c>
      <c r="E138" s="38" t="s">
        <v>1190</v>
      </c>
      <c r="F138" s="38" t="s">
        <v>1191</v>
      </c>
      <c r="G138" s="38" t="s">
        <v>4</v>
      </c>
      <c r="H138" s="38"/>
      <c r="I138" s="38">
        <v>11.047000000000001</v>
      </c>
      <c r="J138" s="38" t="s">
        <v>973</v>
      </c>
      <c r="K138" s="38" t="s">
        <v>193</v>
      </c>
      <c r="L138" s="38" t="s">
        <v>195</v>
      </c>
      <c r="M138" s="38" t="s">
        <v>196</v>
      </c>
      <c r="N138" s="38" t="s">
        <v>198</v>
      </c>
      <c r="O138" s="38" t="s">
        <v>275</v>
      </c>
      <c r="P138" s="38" t="s">
        <v>979</v>
      </c>
      <c r="Q138" s="38" t="s">
        <v>865</v>
      </c>
      <c r="R138" s="38" t="s">
        <v>1000</v>
      </c>
      <c r="S138" s="38" t="s">
        <v>1001</v>
      </c>
      <c r="T138" s="38"/>
      <c r="U138" s="38" t="s">
        <v>974</v>
      </c>
      <c r="V138" s="38">
        <v>16</v>
      </c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 t="s">
        <v>1192</v>
      </c>
      <c r="AH138" s="38">
        <v>3.5900000000000003</v>
      </c>
      <c r="AI138" s="38"/>
      <c r="AJ138" s="38"/>
      <c r="AK138" s="38" t="s">
        <v>1193</v>
      </c>
      <c r="AL138" s="38" t="s">
        <v>1194</v>
      </c>
      <c r="AM138" s="38"/>
      <c r="AN138" s="38" t="s">
        <v>973</v>
      </c>
      <c r="AO138" s="38"/>
      <c r="AP138" s="38" t="s">
        <v>973</v>
      </c>
      <c r="AQ138" s="38" t="s">
        <v>973</v>
      </c>
      <c r="AR138" s="38" t="s">
        <v>973</v>
      </c>
      <c r="AS138" s="38"/>
      <c r="AT138" s="38">
        <v>392</v>
      </c>
      <c r="AU138" s="38"/>
      <c r="AV138" s="38" t="s">
        <v>973</v>
      </c>
      <c r="AW138" s="38" t="s">
        <v>973</v>
      </c>
      <c r="AX138" s="38" t="s">
        <v>973</v>
      </c>
      <c r="AY138" s="38" t="s">
        <v>973</v>
      </c>
      <c r="AZ138" s="38">
        <v>46</v>
      </c>
      <c r="BA138" s="38" t="s">
        <v>1188</v>
      </c>
      <c r="BB138" s="66"/>
      <c r="BC138" s="38" t="s">
        <v>4</v>
      </c>
      <c r="BD138" s="66" t="s">
        <v>980</v>
      </c>
      <c r="BE138" s="38" t="s">
        <v>16</v>
      </c>
      <c r="BF138" s="66" t="s">
        <v>1012</v>
      </c>
      <c r="BG138" s="38" t="s">
        <v>24</v>
      </c>
      <c r="BH138" s="38" t="s">
        <v>1013</v>
      </c>
      <c r="BI138" s="38"/>
      <c r="BJ138" s="38" t="s">
        <v>977</v>
      </c>
      <c r="BK138" s="38"/>
      <c r="BL138" s="38" t="s">
        <v>869</v>
      </c>
      <c r="BM138" s="38" t="s">
        <v>539</v>
      </c>
      <c r="BN138" s="38" t="s">
        <v>610</v>
      </c>
      <c r="BO138" s="38" t="s">
        <v>534</v>
      </c>
      <c r="BP138" s="38" t="s">
        <v>534</v>
      </c>
      <c r="BQ138" s="38"/>
      <c r="BR138" s="38"/>
      <c r="BS138" s="38"/>
      <c r="BT138" s="38"/>
      <c r="BU138" s="38"/>
      <c r="BV138" s="38"/>
      <c r="BW138" s="38"/>
      <c r="BX138" s="38"/>
      <c r="BY138" s="38"/>
      <c r="BZ138" s="38"/>
      <c r="CA138" s="38"/>
      <c r="CB138" s="38"/>
    </row>
    <row r="139" spans="1:80" hidden="1" x14ac:dyDescent="0.2">
      <c r="A139" s="38"/>
      <c r="B139" s="38" t="s">
        <v>978</v>
      </c>
      <c r="C139" s="38" t="s">
        <v>1195</v>
      </c>
      <c r="D139" s="38" t="s">
        <v>1196</v>
      </c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66"/>
      <c r="BC139" s="38"/>
      <c r="BD139" s="66"/>
      <c r="BE139" s="38"/>
      <c r="BF139" s="66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</row>
    <row r="140" spans="1:80" hidden="1" x14ac:dyDescent="0.2">
      <c r="A140" s="38" t="s">
        <v>1183</v>
      </c>
      <c r="B140" s="38" t="s">
        <v>84</v>
      </c>
      <c r="C140" s="38" t="s">
        <v>1197</v>
      </c>
      <c r="D140" s="38" t="s">
        <v>1198</v>
      </c>
      <c r="E140" s="38"/>
      <c r="F140" s="38"/>
      <c r="G140" s="38" t="s">
        <v>4</v>
      </c>
      <c r="H140" s="38">
        <v>11600</v>
      </c>
      <c r="I140" s="38">
        <v>11.047000000000001</v>
      </c>
      <c r="J140" s="38" t="s">
        <v>1199</v>
      </c>
      <c r="K140" s="38" t="s">
        <v>193</v>
      </c>
      <c r="L140" s="38" t="s">
        <v>195</v>
      </c>
      <c r="M140" s="38" t="s">
        <v>196</v>
      </c>
      <c r="N140" s="38" t="s">
        <v>198</v>
      </c>
      <c r="O140" s="38" t="s">
        <v>275</v>
      </c>
      <c r="P140" s="38" t="s">
        <v>979</v>
      </c>
      <c r="Q140" s="38" t="s">
        <v>865</v>
      </c>
      <c r="R140" s="38" t="s">
        <v>1000</v>
      </c>
      <c r="S140" s="38" t="s">
        <v>1001</v>
      </c>
      <c r="T140" s="38" t="s">
        <v>864</v>
      </c>
      <c r="U140" s="38" t="s">
        <v>974</v>
      </c>
      <c r="V140" s="38">
        <v>16</v>
      </c>
      <c r="W140" s="38" t="s">
        <v>716</v>
      </c>
      <c r="X140" s="38">
        <v>1</v>
      </c>
      <c r="Y140" s="38">
        <v>1</v>
      </c>
      <c r="Z140" s="38">
        <v>0</v>
      </c>
      <c r="AA140" s="38" t="s">
        <v>1187</v>
      </c>
      <c r="AB140" s="38" t="s">
        <v>973</v>
      </c>
      <c r="AC140" s="38" t="s">
        <v>1003</v>
      </c>
      <c r="AD140" s="38" t="s">
        <v>994</v>
      </c>
      <c r="AE140" s="38" t="s">
        <v>1004</v>
      </c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>
        <v>1</v>
      </c>
      <c r="BA140" s="38" t="s">
        <v>1200</v>
      </c>
      <c r="BB140" s="66"/>
      <c r="BC140" s="38" t="s">
        <v>4</v>
      </c>
      <c r="BD140" s="66" t="s">
        <v>980</v>
      </c>
      <c r="BE140" s="38" t="s">
        <v>5</v>
      </c>
      <c r="BF140" s="66" t="s">
        <v>975</v>
      </c>
      <c r="BG140" s="38" t="s">
        <v>6</v>
      </c>
      <c r="BH140" s="38" t="s">
        <v>976</v>
      </c>
      <c r="BI140" s="38"/>
      <c r="BJ140" s="38" t="s">
        <v>977</v>
      </c>
      <c r="BK140" s="38"/>
      <c r="BL140" s="38" t="s">
        <v>870</v>
      </c>
      <c r="BM140" s="38"/>
      <c r="BN140" s="38" t="s">
        <v>610</v>
      </c>
      <c r="BO140" s="38" t="s">
        <v>534</v>
      </c>
      <c r="BP140" s="38" t="s">
        <v>534</v>
      </c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</row>
    <row r="141" spans="1:80" hidden="1" x14ac:dyDescent="0.2">
      <c r="A141" s="38"/>
      <c r="B141" s="38" t="s">
        <v>84</v>
      </c>
      <c r="C141" s="38" t="s">
        <v>1187</v>
      </c>
      <c r="D141" s="38" t="s">
        <v>1189</v>
      </c>
      <c r="E141" s="38" t="s">
        <v>1190</v>
      </c>
      <c r="F141" s="38" t="s">
        <v>1191</v>
      </c>
      <c r="G141" s="38" t="s">
        <v>4</v>
      </c>
      <c r="H141" s="38"/>
      <c r="I141" s="38">
        <v>11.047000000000001</v>
      </c>
      <c r="J141" s="38" t="s">
        <v>973</v>
      </c>
      <c r="K141" s="38" t="s">
        <v>193</v>
      </c>
      <c r="L141" s="38" t="s">
        <v>195</v>
      </c>
      <c r="M141" s="38" t="s">
        <v>196</v>
      </c>
      <c r="N141" s="38" t="s">
        <v>198</v>
      </c>
      <c r="O141" s="38" t="s">
        <v>275</v>
      </c>
      <c r="P141" s="38" t="s">
        <v>979</v>
      </c>
      <c r="Q141" s="38" t="s">
        <v>865</v>
      </c>
      <c r="R141" s="38" t="s">
        <v>1000</v>
      </c>
      <c r="S141" s="38" t="s">
        <v>1001</v>
      </c>
      <c r="T141" s="38"/>
      <c r="U141" s="38" t="s">
        <v>974</v>
      </c>
      <c r="V141" s="38">
        <v>16</v>
      </c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 t="s">
        <v>1192</v>
      </c>
      <c r="AH141" s="38">
        <v>3.5900000000000003</v>
      </c>
      <c r="AI141" s="38"/>
      <c r="AJ141" s="38"/>
      <c r="AK141" s="38" t="s">
        <v>1193</v>
      </c>
      <c r="AL141" s="38" t="s">
        <v>1194</v>
      </c>
      <c r="AM141" s="38"/>
      <c r="AN141" s="38" t="s">
        <v>973</v>
      </c>
      <c r="AO141" s="38"/>
      <c r="AP141" s="38" t="s">
        <v>973</v>
      </c>
      <c r="AQ141" s="38" t="s">
        <v>973</v>
      </c>
      <c r="AR141" s="38" t="s">
        <v>973</v>
      </c>
      <c r="AS141" s="38"/>
      <c r="AT141" s="38">
        <v>392</v>
      </c>
      <c r="AU141" s="38"/>
      <c r="AV141" s="38" t="s">
        <v>973</v>
      </c>
      <c r="AW141" s="38" t="s">
        <v>973</v>
      </c>
      <c r="AX141" s="38" t="s">
        <v>973</v>
      </c>
      <c r="AY141" s="38" t="s">
        <v>973</v>
      </c>
      <c r="AZ141" s="38">
        <v>46</v>
      </c>
      <c r="BA141" s="38" t="s">
        <v>1200</v>
      </c>
      <c r="BB141" s="66"/>
      <c r="BC141" s="38" t="s">
        <v>4</v>
      </c>
      <c r="BD141" s="66" t="s">
        <v>980</v>
      </c>
      <c r="BE141" s="38" t="s">
        <v>16</v>
      </c>
      <c r="BF141" s="66" t="s">
        <v>1012</v>
      </c>
      <c r="BG141" s="38" t="s">
        <v>24</v>
      </c>
      <c r="BH141" s="38" t="s">
        <v>1013</v>
      </c>
      <c r="BI141" s="38"/>
      <c r="BJ141" s="38" t="s">
        <v>977</v>
      </c>
      <c r="BK141" s="38"/>
      <c r="BL141" s="38" t="s">
        <v>869</v>
      </c>
      <c r="BM141" s="38" t="s">
        <v>539</v>
      </c>
      <c r="BN141" s="38" t="s">
        <v>610</v>
      </c>
      <c r="BO141" s="38" t="s">
        <v>534</v>
      </c>
      <c r="BP141" s="38" t="s">
        <v>534</v>
      </c>
      <c r="BQ141" s="38"/>
      <c r="BR141" s="38"/>
      <c r="BS141" s="38"/>
      <c r="BT141" s="38"/>
      <c r="BU141" s="38"/>
      <c r="BV141" s="38"/>
      <c r="BW141" s="38"/>
      <c r="BX141" s="38"/>
      <c r="BY141" s="38"/>
      <c r="BZ141" s="38"/>
      <c r="CA141" s="38"/>
      <c r="CB141" s="38"/>
    </row>
    <row r="142" spans="1:80" hidden="1" x14ac:dyDescent="0.2">
      <c r="A142" s="38"/>
      <c r="B142" s="38" t="s">
        <v>978</v>
      </c>
      <c r="C142" s="38" t="s">
        <v>1195</v>
      </c>
      <c r="D142" s="38" t="s">
        <v>1196</v>
      </c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66"/>
      <c r="BC142" s="38"/>
      <c r="BD142" s="66"/>
      <c r="BE142" s="38"/>
      <c r="BF142" s="66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</row>
    <row r="143" spans="1:80" hidden="1" x14ac:dyDescent="0.2">
      <c r="A143" s="38" t="s">
        <v>1183</v>
      </c>
      <c r="B143" s="38" t="s">
        <v>84</v>
      </c>
      <c r="C143" s="38" t="s">
        <v>1201</v>
      </c>
      <c r="D143" s="38" t="s">
        <v>1202</v>
      </c>
      <c r="E143" s="38"/>
      <c r="F143" s="38"/>
      <c r="G143" s="38" t="s">
        <v>4</v>
      </c>
      <c r="H143" s="38">
        <v>11999</v>
      </c>
      <c r="I143" s="38">
        <v>11.047000000000001</v>
      </c>
      <c r="J143" s="38" t="s">
        <v>1203</v>
      </c>
      <c r="K143" s="38" t="s">
        <v>193</v>
      </c>
      <c r="L143" s="38" t="s">
        <v>195</v>
      </c>
      <c r="M143" s="38" t="s">
        <v>196</v>
      </c>
      <c r="N143" s="38" t="s">
        <v>198</v>
      </c>
      <c r="O143" s="38" t="s">
        <v>275</v>
      </c>
      <c r="P143" s="38" t="s">
        <v>979</v>
      </c>
      <c r="Q143" s="38" t="s">
        <v>865</v>
      </c>
      <c r="R143" s="38" t="s">
        <v>1000</v>
      </c>
      <c r="S143" s="38" t="s">
        <v>1001</v>
      </c>
      <c r="T143" s="38" t="s">
        <v>864</v>
      </c>
      <c r="U143" s="38" t="s">
        <v>974</v>
      </c>
      <c r="V143" s="38">
        <v>16</v>
      </c>
      <c r="W143" s="38" t="s">
        <v>716</v>
      </c>
      <c r="X143" s="38">
        <v>1</v>
      </c>
      <c r="Y143" s="38">
        <v>1</v>
      </c>
      <c r="Z143" s="38">
        <v>0</v>
      </c>
      <c r="AA143" s="38" t="s">
        <v>1187</v>
      </c>
      <c r="AB143" s="38" t="s">
        <v>973</v>
      </c>
      <c r="AC143" s="38" t="s">
        <v>1003</v>
      </c>
      <c r="AD143" s="38" t="s">
        <v>994</v>
      </c>
      <c r="AE143" s="38" t="s">
        <v>1004</v>
      </c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>
        <v>2</v>
      </c>
      <c r="BA143" s="38" t="s">
        <v>1204</v>
      </c>
      <c r="BB143" s="66"/>
      <c r="BC143" s="38" t="s">
        <v>4</v>
      </c>
      <c r="BD143" s="66" t="s">
        <v>980</v>
      </c>
      <c r="BE143" s="38" t="s">
        <v>5</v>
      </c>
      <c r="BF143" s="66" t="s">
        <v>975</v>
      </c>
      <c r="BG143" s="38" t="s">
        <v>6</v>
      </c>
      <c r="BH143" s="38" t="s">
        <v>976</v>
      </c>
      <c r="BI143" s="38"/>
      <c r="BJ143" s="38" t="s">
        <v>977</v>
      </c>
      <c r="BK143" s="38"/>
      <c r="BL143" s="38" t="s">
        <v>870</v>
      </c>
      <c r="BM143" s="38"/>
      <c r="BN143" s="38" t="s">
        <v>610</v>
      </c>
      <c r="BO143" s="38" t="s">
        <v>534</v>
      </c>
      <c r="BP143" s="38" t="s">
        <v>534</v>
      </c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</row>
    <row r="144" spans="1:80" hidden="1" x14ac:dyDescent="0.2">
      <c r="A144" s="38"/>
      <c r="B144" s="38" t="s">
        <v>84</v>
      </c>
      <c r="C144" s="38" t="s">
        <v>1187</v>
      </c>
      <c r="D144" s="38" t="s">
        <v>1189</v>
      </c>
      <c r="E144" s="38" t="s">
        <v>1190</v>
      </c>
      <c r="F144" s="38" t="s">
        <v>1191</v>
      </c>
      <c r="G144" s="38" t="s">
        <v>4</v>
      </c>
      <c r="H144" s="38"/>
      <c r="I144" s="38">
        <v>11.047000000000001</v>
      </c>
      <c r="J144" s="38" t="s">
        <v>973</v>
      </c>
      <c r="K144" s="38" t="s">
        <v>193</v>
      </c>
      <c r="L144" s="38" t="s">
        <v>195</v>
      </c>
      <c r="M144" s="38" t="s">
        <v>196</v>
      </c>
      <c r="N144" s="38" t="s">
        <v>198</v>
      </c>
      <c r="O144" s="38" t="s">
        <v>275</v>
      </c>
      <c r="P144" s="38" t="s">
        <v>979</v>
      </c>
      <c r="Q144" s="38" t="s">
        <v>865</v>
      </c>
      <c r="R144" s="38" t="s">
        <v>1000</v>
      </c>
      <c r="S144" s="38" t="s">
        <v>1001</v>
      </c>
      <c r="T144" s="38"/>
      <c r="U144" s="38" t="s">
        <v>974</v>
      </c>
      <c r="V144" s="38">
        <v>16</v>
      </c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 t="s">
        <v>1192</v>
      </c>
      <c r="AH144" s="38">
        <v>3.5900000000000003</v>
      </c>
      <c r="AI144" s="38"/>
      <c r="AJ144" s="38"/>
      <c r="AK144" s="38" t="s">
        <v>1193</v>
      </c>
      <c r="AL144" s="38" t="s">
        <v>1194</v>
      </c>
      <c r="AM144" s="38"/>
      <c r="AN144" s="38" t="s">
        <v>973</v>
      </c>
      <c r="AO144" s="38"/>
      <c r="AP144" s="38" t="s">
        <v>973</v>
      </c>
      <c r="AQ144" s="38" t="s">
        <v>973</v>
      </c>
      <c r="AR144" s="38" t="s">
        <v>973</v>
      </c>
      <c r="AS144" s="38"/>
      <c r="AT144" s="38">
        <v>392</v>
      </c>
      <c r="AU144" s="38"/>
      <c r="AV144" s="38" t="s">
        <v>973</v>
      </c>
      <c r="AW144" s="38" t="s">
        <v>973</v>
      </c>
      <c r="AX144" s="38" t="s">
        <v>973</v>
      </c>
      <c r="AY144" s="38" t="s">
        <v>973</v>
      </c>
      <c r="AZ144" s="38">
        <v>46</v>
      </c>
      <c r="BA144" s="38" t="s">
        <v>1204</v>
      </c>
      <c r="BB144" s="66"/>
      <c r="BC144" s="38" t="s">
        <v>4</v>
      </c>
      <c r="BD144" s="66" t="s">
        <v>980</v>
      </c>
      <c r="BE144" s="38" t="s">
        <v>16</v>
      </c>
      <c r="BF144" s="66" t="s">
        <v>1012</v>
      </c>
      <c r="BG144" s="38" t="s">
        <v>24</v>
      </c>
      <c r="BH144" s="38" t="s">
        <v>1013</v>
      </c>
      <c r="BI144" s="38"/>
      <c r="BJ144" s="38" t="s">
        <v>977</v>
      </c>
      <c r="BK144" s="38"/>
      <c r="BL144" s="38" t="s">
        <v>869</v>
      </c>
      <c r="BM144" s="38" t="s">
        <v>539</v>
      </c>
      <c r="BN144" s="38" t="s">
        <v>610</v>
      </c>
      <c r="BO144" s="38" t="s">
        <v>534</v>
      </c>
      <c r="BP144" s="38" t="s">
        <v>534</v>
      </c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</row>
    <row r="145" spans="1:91" hidden="1" x14ac:dyDescent="0.2">
      <c r="A145" s="38"/>
      <c r="B145" s="38" t="s">
        <v>978</v>
      </c>
      <c r="C145" s="38" t="s">
        <v>1195</v>
      </c>
      <c r="D145" s="38" t="s">
        <v>1196</v>
      </c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66"/>
      <c r="BC145" s="38"/>
      <c r="BD145" s="66"/>
      <c r="BE145" s="38"/>
      <c r="BF145" s="66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</row>
    <row r="146" spans="1:91" hidden="1" x14ac:dyDescent="0.2">
      <c r="A146" s="38"/>
      <c r="B146" s="38"/>
      <c r="C146" s="38"/>
      <c r="D146" s="38" t="s">
        <v>1205</v>
      </c>
      <c r="E146" s="38"/>
      <c r="F146" s="38"/>
      <c r="G146" s="38"/>
      <c r="H146" s="38"/>
      <c r="I146" s="38"/>
      <c r="J146" s="38" t="s">
        <v>973</v>
      </c>
      <c r="K146" s="38"/>
      <c r="L146" s="38"/>
      <c r="M146" s="38"/>
      <c r="N146" s="38"/>
      <c r="O146" s="38"/>
      <c r="P146" s="38" t="s">
        <v>973</v>
      </c>
      <c r="Q146" s="38"/>
      <c r="R146" s="38"/>
      <c r="S146" s="38" t="s">
        <v>973</v>
      </c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 t="s">
        <v>973</v>
      </c>
      <c r="AL146" s="38" t="s">
        <v>973</v>
      </c>
      <c r="AM146" s="38"/>
      <c r="AN146" s="38" t="s">
        <v>973</v>
      </c>
      <c r="AO146" s="38"/>
      <c r="AP146" s="38" t="s">
        <v>973</v>
      </c>
      <c r="AQ146" s="38" t="s">
        <v>973</v>
      </c>
      <c r="AR146" s="38" t="s">
        <v>973</v>
      </c>
      <c r="AS146" s="38"/>
      <c r="AT146" s="38"/>
      <c r="AU146" s="38"/>
      <c r="AV146" s="38" t="s">
        <v>973</v>
      </c>
      <c r="AW146" s="38" t="s">
        <v>973</v>
      </c>
      <c r="AX146" s="38" t="s">
        <v>973</v>
      </c>
      <c r="AY146" s="38" t="s">
        <v>973</v>
      </c>
      <c r="AZ146" s="38"/>
      <c r="BA146" s="38"/>
      <c r="BB146" s="66"/>
      <c r="BC146" s="38" t="s">
        <v>973</v>
      </c>
      <c r="BD146" s="66" t="s">
        <v>973</v>
      </c>
      <c r="BE146" s="38"/>
      <c r="BF146" s="66" t="s">
        <v>973</v>
      </c>
      <c r="BG146" s="38"/>
      <c r="BH146" s="38" t="s">
        <v>973</v>
      </c>
      <c r="BI146" s="38"/>
      <c r="BJ146" s="38" t="s">
        <v>977</v>
      </c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</row>
    <row r="147" spans="1:91" hidden="1" x14ac:dyDescent="0.2">
      <c r="A147" s="38"/>
      <c r="B147" s="38"/>
      <c r="C147" s="38"/>
      <c r="D147" s="38" t="s">
        <v>1206</v>
      </c>
      <c r="E147" s="38"/>
      <c r="F147" s="38"/>
      <c r="G147" s="38"/>
      <c r="H147" s="38"/>
      <c r="I147" s="38"/>
      <c r="J147" s="38" t="s">
        <v>973</v>
      </c>
      <c r="K147" s="38"/>
      <c r="L147" s="38"/>
      <c r="M147" s="38"/>
      <c r="N147" s="38"/>
      <c r="O147" s="38"/>
      <c r="P147" s="38" t="s">
        <v>973</v>
      </c>
      <c r="Q147" s="38"/>
      <c r="R147" s="38"/>
      <c r="S147" s="38" t="s">
        <v>973</v>
      </c>
      <c r="T147" s="38"/>
      <c r="U147" s="38"/>
      <c r="V147" s="38"/>
      <c r="W147" s="38"/>
      <c r="X147" s="38"/>
      <c r="Y147" s="38"/>
      <c r="Z147" s="38"/>
      <c r="AA147" s="38" t="s">
        <v>973</v>
      </c>
      <c r="AB147" s="38" t="s">
        <v>973</v>
      </c>
      <c r="AC147" s="38" t="s">
        <v>994</v>
      </c>
      <c r="AD147" s="38" t="s">
        <v>994</v>
      </c>
      <c r="AE147" s="38" t="s">
        <v>973</v>
      </c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66"/>
      <c r="BC147" s="38" t="s">
        <v>973</v>
      </c>
      <c r="BD147" s="66" t="s">
        <v>973</v>
      </c>
      <c r="BE147" s="38"/>
      <c r="BF147" s="66" t="s">
        <v>973</v>
      </c>
      <c r="BG147" s="38"/>
      <c r="BH147" s="38" t="s">
        <v>973</v>
      </c>
      <c r="BI147" s="38"/>
      <c r="BJ147" s="38" t="s">
        <v>977</v>
      </c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</row>
    <row r="148" spans="1:91" hidden="1" x14ac:dyDescent="0.2">
      <c r="A148" s="38"/>
      <c r="B148" s="38"/>
      <c r="C148" s="38"/>
      <c r="D148" s="38" t="s">
        <v>1207</v>
      </c>
      <c r="E148" s="38"/>
      <c r="F148" s="38"/>
      <c r="G148" s="38"/>
      <c r="H148" s="38"/>
      <c r="I148" s="38"/>
      <c r="J148" s="38" t="s">
        <v>973</v>
      </c>
      <c r="K148" s="38"/>
      <c r="L148" s="38"/>
      <c r="M148" s="38"/>
      <c r="N148" s="38"/>
      <c r="O148" s="38"/>
      <c r="P148" s="38" t="s">
        <v>973</v>
      </c>
      <c r="Q148" s="38"/>
      <c r="R148" s="38"/>
      <c r="S148" s="38" t="s">
        <v>973</v>
      </c>
      <c r="T148" s="38"/>
      <c r="U148" s="38"/>
      <c r="V148" s="38"/>
      <c r="W148" s="38"/>
      <c r="X148" s="38"/>
      <c r="Y148" s="38"/>
      <c r="Z148" s="38"/>
      <c r="AA148" s="38"/>
      <c r="AB148" s="38" t="s">
        <v>973</v>
      </c>
      <c r="AC148" s="38" t="s">
        <v>994</v>
      </c>
      <c r="AD148" s="38" t="s">
        <v>994</v>
      </c>
      <c r="AE148" s="38" t="s">
        <v>973</v>
      </c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66"/>
      <c r="BC148" s="38" t="s">
        <v>973</v>
      </c>
      <c r="BD148" s="66" t="s">
        <v>973</v>
      </c>
      <c r="BE148" s="38"/>
      <c r="BF148" s="66" t="s">
        <v>973</v>
      </c>
      <c r="BG148" s="38"/>
      <c r="BH148" s="38" t="s">
        <v>973</v>
      </c>
      <c r="BI148" s="38"/>
      <c r="BJ148" s="38" t="s">
        <v>977</v>
      </c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</row>
    <row r="149" spans="1:91" hidden="1" x14ac:dyDescent="0.2">
      <c r="A149" s="38"/>
      <c r="B149" s="38"/>
      <c r="C149" s="38"/>
      <c r="D149" s="38" t="s">
        <v>1208</v>
      </c>
      <c r="E149" s="38"/>
      <c r="F149" s="38"/>
      <c r="G149" s="38"/>
      <c r="H149" s="38"/>
      <c r="I149" s="38"/>
      <c r="J149" s="38" t="s">
        <v>973</v>
      </c>
      <c r="K149" s="38"/>
      <c r="L149" s="38"/>
      <c r="M149" s="38"/>
      <c r="N149" s="38"/>
      <c r="O149" s="38"/>
      <c r="P149" s="38" t="s">
        <v>973</v>
      </c>
      <c r="Q149" s="38"/>
      <c r="R149" s="38"/>
      <c r="S149" s="38" t="s">
        <v>973</v>
      </c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 t="s">
        <v>973</v>
      </c>
      <c r="AL149" s="38" t="s">
        <v>973</v>
      </c>
      <c r="AM149" s="38"/>
      <c r="AN149" s="38" t="s">
        <v>973</v>
      </c>
      <c r="AO149" s="38"/>
      <c r="AP149" s="38" t="s">
        <v>973</v>
      </c>
      <c r="AQ149" s="38" t="s">
        <v>973</v>
      </c>
      <c r="AR149" s="38" t="s">
        <v>973</v>
      </c>
      <c r="AS149" s="38"/>
      <c r="AT149" s="38"/>
      <c r="AU149" s="38"/>
      <c r="AV149" s="38" t="s">
        <v>973</v>
      </c>
      <c r="AW149" s="38" t="s">
        <v>973</v>
      </c>
      <c r="AX149" s="38" t="s">
        <v>973</v>
      </c>
      <c r="AY149" s="38" t="s">
        <v>973</v>
      </c>
      <c r="AZ149" s="38"/>
      <c r="BA149" s="38"/>
      <c r="BB149" s="66"/>
      <c r="BC149" s="38" t="s">
        <v>973</v>
      </c>
      <c r="BD149" s="66" t="s">
        <v>973</v>
      </c>
      <c r="BE149" s="38"/>
      <c r="BF149" s="66" t="s">
        <v>973</v>
      </c>
      <c r="BG149" s="38"/>
      <c r="BH149" s="38" t="s">
        <v>973</v>
      </c>
      <c r="BI149" s="38"/>
      <c r="BJ149" s="38" t="s">
        <v>977</v>
      </c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</row>
    <row r="150" spans="1:91" hidden="1" x14ac:dyDescent="0.2">
      <c r="A150" s="38"/>
      <c r="B150" s="38"/>
      <c r="C150" s="38"/>
      <c r="D150" s="38" t="s">
        <v>422</v>
      </c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66"/>
      <c r="BC150" s="38"/>
      <c r="BD150" s="66"/>
      <c r="BE150" s="38"/>
      <c r="BF150" s="66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</row>
    <row r="151" spans="1:91" hidden="1" x14ac:dyDescent="0.2">
      <c r="A151" s="38"/>
      <c r="B151" s="38"/>
      <c r="C151" s="38"/>
      <c r="D151" s="38" t="s">
        <v>1209</v>
      </c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66"/>
      <c r="BC151" s="38" t="s">
        <v>973</v>
      </c>
      <c r="BD151" s="66" t="s">
        <v>973</v>
      </c>
      <c r="BE151" s="38"/>
      <c r="BF151" s="66" t="s">
        <v>973</v>
      </c>
      <c r="BG151" s="38"/>
      <c r="BH151" s="38" t="s">
        <v>973</v>
      </c>
      <c r="BI151" s="38"/>
      <c r="BJ151" s="38" t="s">
        <v>977</v>
      </c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</row>
    <row r="152" spans="1:91" hidden="1" x14ac:dyDescent="0.2">
      <c r="A152" s="38" t="s">
        <v>862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66"/>
      <c r="BC152" s="38"/>
      <c r="BD152" s="66"/>
      <c r="BE152" s="38"/>
      <c r="BF152" s="66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M152">
        <f>SUBTOTAL(103,Estrutura_P01[Coluna11])</f>
        <v>0</v>
      </c>
    </row>
    <row r="153" spans="1:91" hidden="1" x14ac:dyDescent="0.2">
      <c r="A153" t="s">
        <v>534</v>
      </c>
    </row>
    <row r="154" spans="1:91" hidden="1" x14ac:dyDescent="0.2"/>
    <row r="155" spans="1:91" hidden="1" x14ac:dyDescent="0.2"/>
    <row r="156" spans="1:91" hidden="1" x14ac:dyDescent="0.2"/>
    <row r="157" spans="1:91" hidden="1" x14ac:dyDescent="0.2"/>
    <row r="158" spans="1:91" hidden="1" x14ac:dyDescent="0.2"/>
    <row r="159" spans="1:91" hidden="1" x14ac:dyDescent="0.2"/>
    <row r="160" spans="1:91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04665A-8561-4F2E-BDBF-FB403879CA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2022-05-17T12:10:29Z</dcterms:modified>
</cp:coreProperties>
</file>