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562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Consulta!$A$1:$CM$12</definedName>
  </definedNames>
  <calcPr calcId="162913"/>
</workbook>
</file>

<file path=xl/calcChain.xml><?xml version="1.0" encoding="utf-8"?>
<calcChain xmlns="http://schemas.openxmlformats.org/spreadsheetml/2006/main">
  <c r="CM13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BH131" i="6" s="1"/>
  <c r="BF131" i="6" s="1"/>
  <c r="BG131" i="6" s="1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I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B126" i="6"/>
  <c r="BD126" i="6" s="1"/>
  <c r="BA126" i="6"/>
  <c r="AW126" i="6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BH124" i="6" s="1"/>
  <c r="BF124" i="6" s="1"/>
  <c r="BG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K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D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D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I111" i="6"/>
  <c r="G111" i="6"/>
  <c r="K111" i="6" s="1"/>
  <c r="E111" i="6"/>
  <c r="DB111" i="6" s="1"/>
  <c r="D111" i="6"/>
  <c r="BH111" i="6" s="1"/>
  <c r="BF111" i="6" s="1"/>
  <c r="BG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O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BH110" i="6" s="1"/>
  <c r="BF110" i="6" s="1"/>
  <c r="BG110" i="6" s="1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Y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Y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BH105" i="6" s="1"/>
  <c r="BF105" i="6" s="1"/>
  <c r="BG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BH104" i="6" s="1"/>
  <c r="BF104" i="6" s="1"/>
  <c r="BG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S99" i="6"/>
  <c r="AR99" i="6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K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B93" i="6"/>
  <c r="DA93" i="6"/>
  <c r="CW93" i="6"/>
  <c r="CV93" i="6"/>
  <c r="CU93" i="6"/>
  <c r="CT93" i="6"/>
  <c r="CJ93" i="6"/>
  <c r="CI93" i="6"/>
  <c r="CC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K93" i="6"/>
  <c r="G93" i="6"/>
  <c r="CR93" i="6" s="1"/>
  <c r="E93" i="6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I92" i="6"/>
  <c r="G92" i="6"/>
  <c r="CC92" i="6" s="1"/>
  <c r="E92" i="6"/>
  <c r="DB92" i="6" s="1"/>
  <c r="D92" i="6"/>
  <c r="BH92" i="6" s="1"/>
  <c r="BF92" i="6" s="1"/>
  <c r="BG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R90" i="6"/>
  <c r="CJ90" i="6"/>
  <c r="CI90" i="6"/>
  <c r="CC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I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S88" i="6"/>
  <c r="AR88" i="6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K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X85" i="6" s="1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I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S82" i="6"/>
  <c r="AR82" i="6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BH80" i="6" s="1"/>
  <c r="BF80" i="6" s="1"/>
  <c r="BG80" i="6" s="1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R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R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S74" i="6"/>
  <c r="AR74" i="6"/>
  <c r="AP74" i="6"/>
  <c r="I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Z71" i="6"/>
  <c r="CW71" i="6"/>
  <c r="CV71" i="6"/>
  <c r="CU71" i="6"/>
  <c r="CT71" i="6"/>
  <c r="CR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I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B66" i="6"/>
  <c r="BD66" i="6" s="1"/>
  <c r="BA66" i="6"/>
  <c r="AW66" i="6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Z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F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B62" i="6"/>
  <c r="BD62" i="6" s="1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F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X55" i="6" s="1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X136" i="6" l="1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BC138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BD144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BC142" i="6"/>
  <c r="I143" i="6"/>
  <c r="CR143" i="6"/>
  <c r="BC148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D99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BH9" i="6" s="1"/>
  <c r="BF9" i="6" s="1"/>
  <c r="BG9" i="6" s="1"/>
  <c r="E9" i="6"/>
  <c r="D10" i="6"/>
  <c r="BH10" i="6" s="1"/>
  <c r="BF10" i="6" s="1"/>
  <c r="BG10" i="6" s="1"/>
  <c r="E10" i="6"/>
  <c r="D11" i="6"/>
  <c r="BH11" i="6" s="1"/>
  <c r="BF11" i="6" s="1"/>
  <c r="BG11" i="6" s="1"/>
  <c r="E11" i="6"/>
  <c r="D12" i="6"/>
  <c r="BH12" i="6" s="1"/>
  <c r="BF12" i="6" s="1"/>
  <c r="BG12" i="6" s="1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BH23" i="6" s="1"/>
  <c r="BF23" i="6" s="1"/>
  <c r="BG23" i="6" s="1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BH35" i="6" s="1"/>
  <c r="BF35" i="6" s="1"/>
  <c r="BG35" i="6" s="1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AP5" i="6"/>
  <c r="AR5" i="6"/>
  <c r="AS5" i="6" s="1"/>
  <c r="AP6" i="6"/>
  <c r="AR6" i="6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P14" i="6"/>
  <c r="AR14" i="6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P26" i="6"/>
  <c r="AR26" i="6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P42" i="6"/>
  <c r="AR42" i="6"/>
  <c r="AP43" i="6"/>
  <c r="AR43" i="6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6" i="6"/>
  <c r="AS11" i="6"/>
  <c r="AS13" i="6"/>
  <c r="AS14" i="6"/>
  <c r="AS15" i="6"/>
  <c r="AS18" i="6"/>
  <c r="AS19" i="6"/>
  <c r="AS24" i="6"/>
  <c r="AS25" i="6"/>
  <c r="AS26" i="6"/>
  <c r="AS30" i="6"/>
  <c r="AS31" i="6"/>
  <c r="AS36" i="6"/>
  <c r="AS37" i="6"/>
  <c r="AS41" i="6"/>
  <c r="AS42" i="6"/>
  <c r="AS43" i="6"/>
  <c r="AS49" i="6"/>
  <c r="AS54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H15" i="6"/>
  <c r="BF15" i="6" s="1"/>
  <c r="BG15" i="6" s="1"/>
  <c r="BI15" i="6"/>
  <c r="BE16" i="6"/>
  <c r="BI16" i="6"/>
  <c r="BE17" i="6"/>
  <c r="BH17" i="6"/>
  <c r="BF17" i="6" s="1"/>
  <c r="BG17" i="6" s="1"/>
  <c r="BI17" i="6"/>
  <c r="BE18" i="6"/>
  <c r="BH18" i="6"/>
  <c r="BF18" i="6" s="1"/>
  <c r="BG18" i="6" s="1"/>
  <c r="BI18" i="6"/>
  <c r="BE19" i="6"/>
  <c r="BI19" i="6"/>
  <c r="BE20" i="6"/>
  <c r="BI20" i="6"/>
  <c r="BE21" i="6"/>
  <c r="BH21" i="6"/>
  <c r="BF21" i="6" s="1"/>
  <c r="BG21" i="6" s="1"/>
  <c r="BI21" i="6"/>
  <c r="BE22" i="6"/>
  <c r="BH22" i="6"/>
  <c r="BF22" i="6" s="1"/>
  <c r="BG22" i="6" s="1"/>
  <c r="BI22" i="6"/>
  <c r="BE23" i="6"/>
  <c r="BI23" i="6"/>
  <c r="BE24" i="6"/>
  <c r="BI24" i="6"/>
  <c r="BE25" i="6"/>
  <c r="BI25" i="6"/>
  <c r="BE26" i="6"/>
  <c r="BI26" i="6"/>
  <c r="BE27" i="6"/>
  <c r="BI27" i="6"/>
  <c r="BE28" i="6"/>
  <c r="BH28" i="6"/>
  <c r="BF28" i="6" s="1"/>
  <c r="BG28" i="6" s="1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H33" i="6"/>
  <c r="BF33" i="6" s="1"/>
  <c r="BG33" i="6" s="1"/>
  <c r="BI33" i="6"/>
  <c r="BE34" i="6"/>
  <c r="BI34" i="6"/>
  <c r="BE35" i="6"/>
  <c r="BI35" i="6"/>
  <c r="BE36" i="6"/>
  <c r="BH36" i="6"/>
  <c r="BF36" i="6" s="1"/>
  <c r="BG36" i="6" s="1"/>
  <c r="BI36" i="6"/>
  <c r="BE37" i="6"/>
  <c r="BI37" i="6"/>
  <c r="BE38" i="6"/>
  <c r="BI38" i="6"/>
  <c r="BE39" i="6"/>
  <c r="BI39" i="6"/>
  <c r="BE40" i="6"/>
  <c r="BH40" i="6"/>
  <c r="BF40" i="6" s="1"/>
  <c r="BG40" i="6" s="1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B45" i="6"/>
  <c r="BD45" i="6" s="1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H51" i="6"/>
  <c r="BF51" i="6" s="1"/>
  <c r="BG51" i="6" s="1"/>
  <c r="BI51" i="6"/>
  <c r="BE52" i="6"/>
  <c r="BH52" i="6"/>
  <c r="BF52" i="6" s="1"/>
  <c r="BG52" i="6" s="1"/>
  <c r="BI52" i="6"/>
  <c r="BE53" i="6"/>
  <c r="BH53" i="6"/>
  <c r="BF53" i="6" s="1"/>
  <c r="BG53" i="6" s="1"/>
  <c r="BI53" i="6"/>
  <c r="BE54" i="6"/>
  <c r="BH54" i="6"/>
  <c r="BF54" i="6" s="1"/>
  <c r="BG54" i="6" s="1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H6" i="6" l="1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BC42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45" i="6"/>
  <c r="BC27" i="6"/>
  <c r="BD52" i="6"/>
  <c r="BD46" i="6"/>
  <c r="BD40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8" i="6" l="1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<sst xmlns="http://schemas.openxmlformats.org/spreadsheetml/2006/main" count="8046" uniqueCount="1038">
  <si>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</si>
  <si>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</si>
  <si>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</si>
  <si>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</si>
  <si>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</si>
  <si>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</si>
  <si>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</si>
  <si>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</si>
  <si>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</si>
  <si>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</si>
  <si>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</si>
  <si>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</si>
  <si>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</si>
  <si>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</si>
  <si>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</si>
  <si>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</si>
  <si>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</si>
  <si>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</si>
  <si>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</si>
  <si>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</si>
  <si>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</si>
  <si>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</si>
  <si>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</si>
  <si>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</si>
  <si>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</si>
  <si>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</si>
  <si>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</si>
  <si>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</si>
  <si>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</si>
  <si>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</si>
  <si>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</si>
  <si>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</si>
  <si>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</si>
  <si>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</si>
  <si>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</si>
  <si>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</si>
  <si>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</si>
  <si>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</si>
  <si>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</si>
  <si>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</si>
  <si>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</si>
  <si>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</si>
  <si>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</si>
  <si>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</si>
  <si>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</si>
  <si>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</si>
  <si>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</si>
  <si>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</si>
  <si>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</si>
  <si>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</si>
  <si>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</si>
  <si>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</si>
  <si>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</si>
  <si>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</si>
  <si>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</si>
  <si>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</si>
  <si>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</si>
  <si>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</si>
  <si>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</si>
  <si>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</si>
  <si>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</si>
  <si>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</si>
  <si>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</si>
  <si>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</si>
  <si>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</si>
  <si>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</si>
  <si>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</si>
  <si>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</si>
  <si>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</si>
  <si>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</si>
  <si>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</si>
  <si>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</si>
  <si>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</si>
  <si>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</si>
  <si>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</si>
  <si>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</si>
  <si>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</si>
  <si>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</si>
  <si>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</si>
  <si>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</si>
  <si>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</si>
  <si>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</si>
  <si>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</si>
  <si>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</si>
  <si>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</si>
  <si>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</si>
  <si>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</si>
  <si>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</si>
  <si>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</si>
  <si>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</si>
  <si>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</si>
  <si>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</si>
  <si>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</si>
  <si>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</si>
  <si>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</si>
  <si>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</si>
  <si>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</si>
  <si>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</si>
  <si>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</si>
  <si>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</si>
  <si>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</si>
  <si>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</si>
  <si>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</si>
  <si>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</si>
  <si>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</si>
  <si>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</si>
  <si>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</si>
  <si>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</si>
  <si>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</si>
  <si>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</si>
  <si>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</si>
  <si>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</si>
  <si>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</si>
  <si>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</si>
  <si>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</si>
  <si>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</si>
  <si>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</si>
  <si>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</si>
  <si>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</si>
  <si>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</si>
  <si>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</si>
  <si>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</si>
  <si>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</si>
  <si>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</si>
  <si>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</si>
  <si>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</si>
  <si>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</si>
  <si>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</si>
  <si>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</si>
  <si>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</si>
  <si>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</si>
  <si>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</si>
  <si>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</si>
  <si>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</si>
  <si>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</si>
  <si>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</si>
  <si>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</si>
  <si>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</si>
  <si>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</si>
  <si>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</si>
  <si>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</si>
  <si>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</si>
  <si>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</si>
  <si>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</si>
  <si>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</si>
  <si>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</si>
  <si>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</si>
  <si>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</si>
  <si>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</si>
  <si>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</si>
  <si>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</si>
  <si>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</si>
  <si>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</si>
  <si>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</si>
  <si>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</si>
  <si>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</si>
  <si>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</si>
  <si>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</si>
  <si>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</si>
  <si>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</si>
  <si>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</si>
  <si>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</si>
  <si>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</si>
  <si>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</si>
  <si>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</si>
  <si>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</si>
  <si>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</si>
  <si>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</si>
  <si>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</si>
  <si>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</si>
  <si>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</si>
  <si>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</si>
  <si>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</si>
  <si>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</si>
  <si>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</si>
  <si>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</si>
  <si>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</si>
  <si>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</si>
  <si>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</si>
  <si>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</si>
  <si>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</si>
  <si>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</si>
  <si>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</si>
  <si>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</si>
  <si>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</si>
  <si>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</si>
  <si>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</si>
  <si>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</si>
  <si>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</si>
  <si>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</si>
  <si>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</si>
  <si>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</si>
  <si>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</si>
  <si>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</si>
  <si>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</si>
  <si>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</si>
  <si>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</si>
  <si>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</si>
  <si>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</si>
  <si>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</si>
  <si>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</si>
  <si>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</si>
  <si>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</si>
  <si>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</si>
  <si>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</si>
  <si>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</si>
  <si>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</si>
  <si>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</si>
  <si>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</si>
  <si>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</si>
  <si>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</si>
  <si>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</si>
  <si>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</si>
  <si>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</si>
  <si>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</si>
  <si>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</si>
  <si>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</si>
  <si>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</si>
  <si>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</si>
  <si>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</si>
  <si>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</si>
  <si>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</si>
  <si>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</si>
  <si>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</si>
  <si>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</si>
  <si>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</si>
  <si>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</si>
  <si>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</si>
  <si>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</si>
  <si>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</si>
  <si>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</si>
  <si>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</si>
  <si>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</si>
  <si>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</si>
  <si>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</si>
  <si>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</si>
  <si>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</si>
  <si>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</si>
  <si>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</si>
  <si>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</si>
  <si>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</si>
  <si>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</si>
  <si>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</si>
  <si>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</si>
  <si>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</si>
  <si>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</si>
  <si>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</si>
  <si>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</si>
  <si>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</si>
  <si>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</si>
  <si>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</si>
  <si>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</si>
  <si>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</si>
  <si>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</si>
  <si>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</si>
  <si>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</si>
  <si>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</si>
  <si>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</si>
  <si>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</si>
  <si>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</si>
  <si>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</si>
  <si>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</si>
  <si>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</si>
  <si>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</si>
  <si>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</si>
  <si>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</si>
  <si>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</si>
  <si>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</si>
  <si>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</si>
  <si>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</si>
  <si>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</si>
  <si>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</si>
  <si>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</si>
  <si>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</si>
  <si>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</si>
  <si>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</si>
  <si>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</si>
  <si>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</si>
  <si>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</si>
  <si>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</si>
  <si>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</si>
  <si>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</si>
  <si>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</si>
  <si>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</si>
  <si>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</si>
  <si>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</si>
  <si>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</si>
  <si>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</si>
  <si>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</si>
  <si>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</si>
  <si>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</si>
  <si>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</si>
  <si>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</si>
  <si>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</si>
  <si>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</si>
  <si>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</si>
  <si>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</si>
  <si>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</si>
  <si>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</si>
  <si>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</si>
  <si>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</si>
  <si>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</si>
  <si>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</si>
  <si>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</si>
  <si>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</si>
  <si>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</si>
  <si>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</si>
  <si>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</si>
  <si>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</si>
  <si>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</si>
  <si>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</si>
  <si>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</si>
  <si>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</si>
  <si>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</si>
  <si>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</si>
  <si>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</si>
  <si>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</si>
  <si>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</si>
  <si>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</si>
  <si>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</si>
  <si>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</si>
  <si>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</si>
  <si>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</si>
  <si>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</si>
  <si>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</si>
  <si>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</si>
  <si>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</si>
  <si>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</si>
  <si>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</si>
  <si>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</si>
  <si>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</si>
  <si>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</si>
  <si>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</si>
  <si>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</si>
  <si>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</si>
  <si>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</si>
  <si>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</si>
  <si>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</si>
  <si>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</si>
  <si>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</si>
  <si>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</si>
  <si>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</si>
  <si>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</si>
  <si>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</si>
  <si>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</si>
  <si>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</si>
  <si>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</si>
  <si>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</si>
  <si>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</si>
  <si>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</si>
  <si>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</si>
  <si>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</si>
  <si>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</si>
  <si>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</si>
  <si>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</si>
  <si>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</si>
  <si>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</si>
  <si>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</si>
  <si>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</si>
  <si>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</si>
  <si>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</si>
  <si>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</si>
  <si>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</si>
  <si>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</si>
  <si>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</si>
  <si>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</si>
  <si>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</si>
  <si>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</si>
  <si>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</si>
  <si>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</si>
  <si>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</si>
  <si>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</si>
  <si>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</si>
  <si>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</si>
  <si>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</si>
  <si>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</si>
  <si>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</si>
  <si>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</si>
  <si>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</si>
  <si>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</si>
  <si>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</si>
  <si>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</si>
  <si>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</si>
  <si>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</si>
  <si>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</si>
  <si>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</si>
  <si>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</si>
  <si>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</si>
  <si>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</si>
  <si>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</si>
  <si>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</si>
  <si>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</si>
  <si>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</si>
  <si>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</si>
  <si>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</si>
  <si>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</si>
  <si>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</si>
  <si>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</si>
  <si>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</si>
  <si>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</si>
  <si>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</si>
  <si>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</si>
  <si>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</si>
  <si>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</si>
  <si>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</si>
  <si>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</si>
  <si>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</si>
  <si>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</si>
  <si>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</si>
  <si>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</si>
  <si>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</si>
  <si>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</si>
  <si>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</si>
  <si>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</si>
  <si>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</si>
  <si>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</si>
  <si>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</si>
  <si>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</si>
  <si>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</si>
  <si>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</si>
  <si>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</si>
  <si>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</si>
  <si>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</si>
  <si>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</si>
  <si>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</si>
  <si>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</si>
  <si>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</si>
  <si>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</si>
  <si>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</si>
  <si>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</si>
  <si>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</si>
  <si>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</si>
  <si>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</si>
  <si>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</si>
  <si>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</si>
  <si>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</si>
  <si>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</si>
  <si>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</si>
  <si>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</si>
  <si>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</si>
  <si>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</si>
  <si>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</si>
  <si>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</si>
  <si>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</si>
  <si>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</si>
  <si>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</si>
  <si>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</si>
  <si>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</si>
  <si>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</si>
  <si>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</si>
  <si>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</si>
  <si>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</si>
  <si>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</si>
  <si>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</si>
  <si>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</si>
  <si>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</si>
  <si>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</si>
  <si>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</si>
  <si>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</si>
  <si>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</si>
  <si>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</si>
  <si>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</si>
  <si>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</si>
  <si>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</si>
  <si>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</si>
  <si>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</si>
  <si>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</si>
  <si>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</si>
  <si>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</si>
  <si>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</si>
  <si>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</si>
  <si>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</si>
  <si>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</si>
  <si>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</si>
  <si>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</si>
  <si>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</si>
  <si>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</si>
  <si>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</si>
  <si>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</si>
  <si>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</si>
  <si>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</si>
  <si>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</si>
  <si>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</si>
  <si>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</si>
  <si>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</si>
  <si>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</si>
  <si>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</si>
  <si>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</si>
  <si>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</si>
  <si>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</si>
  <si>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</si>
  <si>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</si>
  <si>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</si>
  <si>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</si>
  <si>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</si>
  <si>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</si>
  <si>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</si>
  <si>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</si>
  <si>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</si>
  <si>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</si>
  <si>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</si>
  <si>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</si>
  <si>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</si>
  <si>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</si>
  <si>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</si>
  <si>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</si>
  <si>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</si>
  <si>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</si>
  <si>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</si>
  <si>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</si>
  <si>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</si>
  <si>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</si>
  <si>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</si>
  <si>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</si>
  <si>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</si>
  <si>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</si>
  <si>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</si>
  <si>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</si>
  <si>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</si>
  <si>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</si>
  <si>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</si>
  <si>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</si>
  <si>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</si>
  <si>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</si>
  <si>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</si>
  <si>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</si>
  <si>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</si>
  <si>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</si>
  <si>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</si>
  <si>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</si>
  <si>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</si>
  <si>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</si>
  <si>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</si>
  <si>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</si>
  <si>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</si>
  <si>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</si>
  <si>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</si>
  <si>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</si>
  <si>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</si>
  <si>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</si>
  <si>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</si>
  <si>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</si>
  <si>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</si>
  <si>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</si>
  <si>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</si>
  <si>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</si>
  <si>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</si>
  <si>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</si>
  <si>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</si>
  <si>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</si>
  <si>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</si>
  <si>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</si>
  <si>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</si>
  <si>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</si>
  <si>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</si>
  <si>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</si>
  <si>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</si>
  <si>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</si>
  <si>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</si>
  <si>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</si>
  <si>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</si>
  <si>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</si>
  <si>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</si>
  <si>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</si>
  <si>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</si>
  <si>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</si>
  <si>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</si>
  <si>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</si>
  <si>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</si>
  <si>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</si>
  <si>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</si>
  <si>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</si>
  <si>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</si>
  <si>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</si>
  <si>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</si>
  <si>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</si>
  <si>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</si>
  <si>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</si>
  <si>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</si>
  <si>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</si>
  <si>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</si>
  <si>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</si>
  <si>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</si>
  <si>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</si>
  <si>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</si>
  <si>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</si>
  <si>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</si>
  <si>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</si>
  <si>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</si>
  <si>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</si>
  <si>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</si>
  <si>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</si>
  <si>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</si>
  <si>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</si>
  <si>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</si>
  <si>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</si>
  <si>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</si>
  <si>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</si>
  <si>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</si>
  <si>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</si>
  <si>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</si>
  <si>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</si>
  <si>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</si>
  <si>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</si>
  <si>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</si>
  <si>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</si>
  <si>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</si>
  <si>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</si>
  <si>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</si>
  <si>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</si>
  <si>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</si>
  <si>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</si>
  <si>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</si>
  <si>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</si>
  <si>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</si>
  <si>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</si>
  <si>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</si>
  <si>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</si>
  <si>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</si>
  <si>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</si>
  <si>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</si>
  <si>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</si>
  <si>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</si>
  <si>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</si>
  <si>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</si>
  <si>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</si>
  <si>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</si>
  <si>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</si>
  <si>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</si>
  <si>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</si>
  <si>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</si>
  <si>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</si>
  <si>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</si>
  <si>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</si>
  <si>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</si>
  <si>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</si>
  <si>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</si>
  <si>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</si>
  <si>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</si>
  <si>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</si>
  <si>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</si>
  <si>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</si>
  <si>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</si>
  <si>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</si>
  <si>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</si>
  <si>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</si>
  <si>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</si>
  <si>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</si>
  <si>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</si>
  <si>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</si>
  <si>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</si>
  <si>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</si>
  <si>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</si>
  <si>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</si>
  <si>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</si>
  <si>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</si>
  <si>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</si>
  <si>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</si>
  <si>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</si>
  <si>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</si>
  <si>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</si>
  <si>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</si>
  <si>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</si>
  <si>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</si>
  <si>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</si>
  <si>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</si>
  <si>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</si>
  <si>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</si>
  <si>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</si>
  <si>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</si>
  <si>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</si>
  <si>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</si>
  <si>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</si>
  <si>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</si>
  <si>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</si>
  <si>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</si>
  <si>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</si>
  <si>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</si>
  <si>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</si>
  <si>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</si>
  <si>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</si>
  <si>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</si>
  <si>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</si>
  <si>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</si>
  <si>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</si>
  <si>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</si>
  <si>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</si>
  <si>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</si>
  <si>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</si>
  <si>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</si>
  <si>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</si>
  <si>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</si>
  <si>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</si>
  <si>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</si>
  <si>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</si>
  <si>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</si>
  <si>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</si>
  <si>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</si>
  <si>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</si>
  <si>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</si>
  <si>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</si>
  <si>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</si>
  <si>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</si>
  <si>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</si>
  <si>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</si>
  <si>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</si>
  <si>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</si>
  <si>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</si>
  <si>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</si>
  <si>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</si>
  <si>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</si>
  <si>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</si>
  <si>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</si>
  <si>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</si>
  <si>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</si>
  <si>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</si>
  <si>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</si>
  <si>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</si>
  <si>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</si>
  <si>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</si>
  <si>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</si>
  <si>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</si>
  <si>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</si>
  <si>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</si>
  <si>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</si>
  <si>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</si>
  <si>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</si>
  <si>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</si>
  <si>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</si>
  <si>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</si>
  <si>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</si>
  <si>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</si>
  <si>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</si>
  <si>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</si>
  <si>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</si>
  <si>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</si>
  <si>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</si>
  <si>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</si>
  <si>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</si>
  <si>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</si>
  <si>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</si>
  <si>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</si>
  <si>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</si>
  <si>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</si>
  <si>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</si>
  <si>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</si>
  <si>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</si>
  <si>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</si>
  <si>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</si>
  <si>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</si>
  <si>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</si>
  <si>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</si>
  <si>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</si>
  <si>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</si>
  <si>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</si>
  <si>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</si>
  <si>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</si>
  <si>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</si>
  <si>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</si>
  <si>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</si>
  <si>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</si>
  <si>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</si>
  <si>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</si>
  <si>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</si>
  <si>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</si>
  <si>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</si>
  <si>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</si>
  <si>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</si>
  <si>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</si>
  <si>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</si>
  <si>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</si>
  <si>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</si>
  <si>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</si>
  <si>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</si>
  <si>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</si>
  <si>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</si>
  <si>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</si>
  <si>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</si>
  <si>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</si>
  <si>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</si>
  <si>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</si>
  <si>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</si>
  <si>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</si>
  <si>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</si>
  <si>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</si>
  <si>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</si>
  <si>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</si>
  <si>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</si>
  <si>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</si>
  <si>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</si>
  <si>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</si>
  <si>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</si>
  <si>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</si>
  <si>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</si>
  <si>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</si>
  <si>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</si>
  <si>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</si>
  <si>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</si>
  <si>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</si>
  <si>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</si>
  <si>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</si>
  <si>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</si>
  <si>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</si>
  <si>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</si>
  <si>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</si>
  <si>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</si>
  <si>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</si>
  <si>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</si>
  <si>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</si>
  <si>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</si>
  <si>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</si>
  <si>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</si>
  <si>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</si>
  <si>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</si>
  <si>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</si>
  <si>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</si>
  <si>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</si>
  <si>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</si>
  <si>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</si>
  <si>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</si>
  <si>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</si>
  <si>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</si>
  <si>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</si>
  <si>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</si>
  <si>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</si>
  <si>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</si>
  <si>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</si>
  <si>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</si>
  <si>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</si>
  <si>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</si>
  <si>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</si>
  <si>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</si>
  <si>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</si>
  <si>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</si>
  <si>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</si>
  <si>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</si>
  <si>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</si>
  <si>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</si>
  <si>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</si>
  <si>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</si>
  <si>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</si>
  <si>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</si>
  <si>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</si>
  <si>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</si>
  <si>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</si>
  <si>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</si>
  <si>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</si>
  <si>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</si>
  <si>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</si>
  <si>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</si>
  <si>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</si>
  <si>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</si>
  <si>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</si>
  <si>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</si>
  <si>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</si>
  <si>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</si>
  <si>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</si>
  <si>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</si>
  <si>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</si>
  <si>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</si>
  <si>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</si>
  <si>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</si>
  <si>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</si>
  <si>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</si>
  <si>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</si>
  <si>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</si>
  <si>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</si>
  <si>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</si>
  <si>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</si>
  <si>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</si>
  <si>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</si>
  <si>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</si>
  <si>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</si>
  <si>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</si>
  <si>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</si>
  <si>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</si>
  <si>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</si>
  <si>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</si>
  <si>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</si>
  <si>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</si>
  <si>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</si>
  <si>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</si>
  <si>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</si>
  <si>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</si>
  <si>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</si>
  <si>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</si>
  <si>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</si>
  <si>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</si>
  <si>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</si>
  <si>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</si>
  <si>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</si>
  <si>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</si>
  <si>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</si>
  <si>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</si>
  <si>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</si>
  <si>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</si>
  <si>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</si>
  <si>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</si>
  <si>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</si>
  <si>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</si>
  <si>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</si>
  <si>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</si>
  <si>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</si>
  <si>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</si>
  <si>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</si>
  <si>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</si>
  <si>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</si>
  <si>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</si>
  <si>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</si>
  <si>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</si>
  <si>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</si>
  <si>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</si>
  <si>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</si>
  <si>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</si>
  <si>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</si>
  <si>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</si>
  <si>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</si>
  <si>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</si>
  <si>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</si>
  <si>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</si>
  <si>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</si>
  <si>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</si>
  <si>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</si>
  <si>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</si>
  <si>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</si>
  <si>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</si>
  <si>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</si>
  <si>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</si>
  <si>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</si>
  <si>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</si>
  <si>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</si>
  <si>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</si>
  <si>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</si>
  <si>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</si>
  <si>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</si>
  <si>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</si>
  <si>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</si>
  <si>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</si>
  <si>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</si>
  <si>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</si>
  <si>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</si>
  <si>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</si>
  <si>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</si>
  <si>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</si>
  <si>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</si>
  <si>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</si>
  <si>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</si>
  <si>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</si>
  <si>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</si>
  <si>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</si>
  <si>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</si>
  <si>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</si>
  <si>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</si>
  <si>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</si>
  <si>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</si>
  <si>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</si>
  <si>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</si>
  <si>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</si>
  <si>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</si>
  <si>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</si>
  <si>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</si>
  <si>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</si>
  <si>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</si>
  <si>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</si>
  <si>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</si>
  <si>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</si>
  <si>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</si>
  <si>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</si>
  <si>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</si>
  <si>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</si>
  <si>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</si>
  <si>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</si>
  <si>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</si>
  <si>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</si>
  <si>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</si>
  <si>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</si>
  <si>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</si>
  <si>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</si>
  <si>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</si>
  <si>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</si>
  <si>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</si>
  <si>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</si>
  <si>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</si>
  <si>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NEW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</si>
  <si>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</si>
  <si>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</si>
  <si>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</si>
  <si>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</si>
  <si>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</si>
  <si>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</si>
  <si>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</si>
  <si>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</si>
  <si>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</si>
  <si>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</si>
  <si>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Q:\Trabalhos em Andamento\Arthur Boff\8. Planilhas\12.1. Cadastros Novos P01 (Estruturas)\2020-05-01_AB_Estrutura P01 (TUBO QUA 150X6,30 BQ TUB350).xlsm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</si>
  <si>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</si>
  <si>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</si>
  <si>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</si>
  <si>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</si>
  <si>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</si>
  <si>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</si>
  <si>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</si>
  <si>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</si>
  <si>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</si>
  <si>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</si>
  <si>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</si>
  <si>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Column91</t>
  </si>
  <si>
    <t>M057574006120</t>
  </si>
  <si>
    <t>TUBO QUA 150X6,30X6120 BQ TUB350</t>
  </si>
  <si>
    <t>M000654006120</t>
  </si>
  <si>
    <t>TUBO QUA 150X6,30X6120 BQ</t>
  </si>
  <si>
    <t>168,60599999999999</t>
  </si>
  <si>
    <t>TUBO 7.5/8</t>
  </si>
  <si>
    <t>135</t>
  </si>
  <si>
    <t>Multiplo&lt;Final</t>
  </si>
  <si>
    <t>L057574</t>
  </si>
  <si>
    <t>BOBINA 5,80 BQ AMT TUB 350M MTH</t>
  </si>
  <si>
    <t>M057574006520</t>
  </si>
  <si>
    <t>TUBO QUA 150X6,30X6520 BQ TUB350</t>
  </si>
  <si>
    <t>M000654006520</t>
  </si>
  <si>
    <t>TUBO QUA 150X6,30X6520 BQ</t>
  </si>
  <si>
    <t>179,626</t>
  </si>
  <si>
    <t xml:space="preserve"> </t>
  </si>
  <si>
    <t>M057574006190</t>
  </si>
  <si>
    <t>TUBO QUA 150X6,30X6190 BQ TUB350</t>
  </si>
  <si>
    <t>M000654006190</t>
  </si>
  <si>
    <t>TUBO QUA 150X6,30X6190 BQ</t>
  </si>
  <si>
    <t>170,535</t>
  </si>
  <si>
    <t>M057574004950</t>
  </si>
  <si>
    <t>TUBO QUA 150X6,30X4950 BQ TUB350</t>
  </si>
  <si>
    <t>M000654004950</t>
  </si>
  <si>
    <t>TUBO QUA 150X6,30X4950 BQ</t>
  </si>
  <si>
    <t>136,37299999999999</t>
  </si>
  <si>
    <t>M057574005200</t>
  </si>
  <si>
    <t>TUBO QUA 150X6,30X5200 BQ TUB350</t>
  </si>
  <si>
    <t>M000654005200</t>
  </si>
  <si>
    <t>TUBO QUA 150X6,30X5200 BQ</t>
  </si>
  <si>
    <t>143,26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</si>
</sst>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>
    <queryTableFields count="91">
      <queryTableField id="1" name="PJT" tableColumnId="22"/>
      <queryTableField id="2" name="STS" tableColumnId="23"/>
      <queryTableField id="3" name="Código P01" tableColumnId="24"/>
      <queryTableField id="4" name="Descrição P01" tableColumnId="25"/>
      <queryTableField id="5" name="Modelo" tableColumnId="26"/>
      <queryTableField id="6" name="Descrição do Modelo" tableColumnId="27"/>
      <queryTableField id="7" name="Centro" tableColumnId="28"/>
      <queryTableField id="8" name="Comprimento_x000a_Final" tableColumnId="29"/>
      <queryTableField id="9" name="Peso Kg/m" tableColumnId="30"/>
      <queryTableField id="10" name="KG/PC" tableColumnId="31"/>
      <queryTableField id="11" name="Hierarquia 1" tableColumnId="32"/>
      <queryTableField id="12" name="Hierarquia 2" tableColumnId="33"/>
      <queryTableField id="13" name="Hierarquia 3" tableColumnId="34"/>
      <queryTableField id="14" name="Hierarquia 4" tableColumnId="35"/>
      <queryTableField id="15" name="Hierarquia 5" tableColumnId="36"/>
      <queryTableField id="16" name="Hierarquia Final" tableColumnId="37"/>
      <queryTableField id="17" name="GrPMerc." tableColumnId="38"/>
      <queryTableField id="18" name="Bitola de Produção_x000a_          Descrição" tableColumnId="39"/>
      <queryTableField id="19" name="N° SAP da Bitola" tableColumnId="40"/>
      <queryTableField id="20" name="Unidade de Venda" tableColumnId="41"/>
      <queryTableField id="21" name="NCM" tableColumnId="42"/>
      <queryTableField id="22" name="Peças por _x000a_Amarrado" tableColumnId="43"/>
      <queryTableField id="23" name="Centro de trabalho" tableColumnId="44"/>
      <queryTableField id="24" name="Tempo_x000a_Setup" tableColumnId="45"/>
      <queryTableField id="25" name="Tempo de_x000a_Operação" tableColumnId="46"/>
      <queryTableField id="26" name="Perda de _x000a_Processo" tableColumnId="47"/>
      <queryTableField id="27" name="Código do componente" tableColumnId="48"/>
      <queryTableField id="28" name="Comprimento _x000a_do Multiplo" tableColumnId="49"/>
      <queryTableField id="29" name="Perda em Kg para fabricar 1000 peças do tubo cortado (perda inerente)" tableColumnId="50"/>
      <queryTableField id="30" name="Quantidade em metros para fabricar 1000 peças + perda de processo" tableColumnId="51"/>
      <queryTableField id="31" name="Quantidade em peças para fabricar 1000 peças + perda de processo" tableColumnId="52"/>
      <queryTableField id="32" name="DADOS AO" tableColumnId="53"/>
      <queryTableField id="33" name="Chave LNTR" tableColumnId="54"/>
      <queryTableField id="34" name="Espessura nominal" tableColumnId="55"/>
      <queryTableField id="35" name="Laminação" tableColumnId="56"/>
      <queryTableField id="36" name="MTH?_x000a_MTL?" tableColumnId="57"/>
      <queryTableField id="37" name="Espessura Mínima" tableColumnId="58"/>
      <queryTableField id="38" name="Espessura Máxima" tableColumnId="59"/>
      <queryTableField id="39" name="Máquina" tableColumnId="60"/>
      <queryTableField id="40" name="Mapa/Plano de montagem" tableColumnId="61"/>
      <queryTableField id="41" name="Velocidade_x000a_(m/hr)" tableColumnId="62"/>
      <queryTableField id="42" name="Nave" tableColumnId="63"/>
      <queryTableField id="43" name="Tempo de _x000a_pré-instalação" tableColumnId="64"/>
      <queryTableField id="44" name="Sucata (m)" tableColumnId="65"/>
      <queryTableField id="45" name="Perda (%)" tableColumnId="66"/>
      <queryTableField id="46" name="Largura da tira" tableColumnId="67"/>
      <queryTableField id="47" name="Bobina_x000a_ configuravel?" tableColumnId="68"/>
      <queryTableField id="48" name="Largura ideal" tableColumnId="69"/>
      <queryTableField id="49" name="Velocidade_x000a_3000 até 4999" tableColumnId="70"/>
      <queryTableField id="50" name="Velocidade_x000a_5000 até 8000" tableColumnId="71"/>
      <queryTableField id="51" name="Velocidade_x000a_8001 até 14000" tableColumnId="72"/>
      <queryTableField id="52" name="DADOS LNP" tableColumnId="73"/>
      <queryTableField id="53" name="Cliente" tableColumnId="74"/>
      <queryTableField id="54" name="Preço de terceirização " tableColumnId="75"/>
      <queryTableField id="55" name="Centro de Produção" tableColumnId="76"/>
      <queryTableField id="56" name="Column56" tableColumnId="77"/>
      <queryTableField id="57" name="Depósito de produção" tableColumnId="78"/>
      <queryTableField id="58" name="Column58" tableColumnId="79"/>
      <queryTableField id="59" name="Canal de Distribuição" tableColumnId="80"/>
      <queryTableField id="60" name="Column60" tableColumnId="81"/>
      <queryTableField id="61" name="Setor de Atividade" tableColumnId="82"/>
      <queryTableField id="62" name="Column62" tableColumnId="83"/>
      <queryTableField id="63" name="Níveis Organizacionais SAP" tableColumnId="84"/>
      <queryTableField id="64" name="Tipo de Material PROF" tableColumnId="85"/>
      <queryTableField id="65" name="Geometria CHAR" tableColumnId="86"/>
      <queryTableField id="66" name="Espessura CHAR" tableColumnId="87"/>
      <queryTableField id="67" name="Raspagem Interna?" tableColumnId="88"/>
      <queryTableField id="68" name="Metalização?" tableColumnId="89"/>
      <queryTableField id="69" name="DADOS VARIANT" tableColumnId="90"/>
      <queryTableField id="70" name="Descrição CAM" tableColumnId="91"/>
      <queryTableField id="71" name="Enrijecedor Superior (mm)" tableColumnId="92"/>
      <queryTableField id="72" name="Enrijecedor Inferior (mm)" tableColumnId="93"/>
      <queryTableField id="73" name="Aba Superior (mm)" tableColumnId="94"/>
      <queryTableField id="74" name="Aba Inferior (mm)" tableColumnId="95"/>
      <queryTableField id="75" name="DIM 1 (mm)" tableColumnId="96"/>
      <queryTableField id="76" name="DIM 2 (mm)" tableColumnId="97"/>
      <queryTableField id="77" name="DIM 3 (mm)" tableColumnId="98"/>
      <queryTableField id="78" name="Alavanca 1 (mm)" tableColumnId="99"/>
      <queryTableField id="79" name="Alavanca 2 (mm)" tableColumnId="100"/>
      <queryTableField id="80" name="DADOS PURLINS" tableColumnId="101"/>
      <queryTableField id="81" name="Column81" tableColumnId="102"/>
      <queryTableField id="82" name="Column82" tableColumnId="103"/>
      <queryTableField id="83" name="Column83" tableColumnId="104"/>
      <queryTableField id="84" name="Column84" tableColumnId="105"/>
      <queryTableField id="85" name="Column85" tableColumnId="106"/>
      <queryTableField id="86" name="Column86" tableColumnId="107"/>
      <queryTableField id="87" name="Column87" tableColumnId="108"/>
      <queryTableField id="88" name="Column88" tableColumnId="109"/>
      <queryTableField id="89" name="Column89" tableColumnId="110"/>
      <queryTableField id="90" name="Column90" tableColumnId="111"/>
      <queryTableField id="91" name="Column91" tableColumnId="1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3" tableType="queryTable" totalsRowCount="1">
  <autoFilter ref="A1:CM12">
    <filterColumn colId="1">
      <filters>
        <filter val="NEW"/>
      </filters>
    </filterColumn>
  </autoFilter>
  <tableColumns count="91">
    <tableColumn id="22" uniqueName="22" name="PJT" totalsRowLabel="Total" queryTableFieldId="1"/>
    <tableColumn id="23" uniqueName="23" name="STS" queryTableFieldId="2"/>
    <tableColumn id="24" uniqueName="24" name="Código P01" queryTableFieldId="3"/>
    <tableColumn id="25" uniqueName="25" name="Descrição P01" queryTableFieldId="4"/>
    <tableColumn id="26" uniqueName="26" name="Modelo" queryTableFieldId="5"/>
    <tableColumn id="27" uniqueName="27" name="Descrição do Modelo" queryTableFieldId="6"/>
    <tableColumn id="28" uniqueName="28" name="Centro" queryTableFieldId="7"/>
    <tableColumn id="29" uniqueName="29" name="Comprimento_x000a_Final" queryTableFieldId="8"/>
    <tableColumn id="30" uniqueName="30" name="Peso Kg/m" queryTableFieldId="9"/>
    <tableColumn id="31" uniqueName="31" name="KG/PC" queryTableFieldId="10"/>
    <tableColumn id="32" uniqueName="32" name="Hierarquia 1" queryTableFieldId="11"/>
    <tableColumn id="33" uniqueName="33" name="Hierarquia 2" queryTableFieldId="12"/>
    <tableColumn id="34" uniqueName="34" name="Hierarquia 3" queryTableFieldId="13"/>
    <tableColumn id="35" uniqueName="35" name="Hierarquia 4" queryTableFieldId="14"/>
    <tableColumn id="36" uniqueName="36" name="Hierarquia 5" queryTableFieldId="15"/>
    <tableColumn id="37" uniqueName="37" name="Hierarquia Final" queryTableFieldId="16"/>
    <tableColumn id="38" uniqueName="38" name="GrPMerc." queryTableFieldId="17"/>
    <tableColumn id="39" uniqueName="39" name="Bitola de Produção_x000a_          Descrição" queryTableFieldId="18"/>
    <tableColumn id="40" uniqueName="40" name="N° SAP da Bitola" queryTableFieldId="19"/>
    <tableColumn id="41" uniqueName="41" name="Unidade de Venda" queryTableFieldId="20"/>
    <tableColumn id="42" uniqueName="42" name="NCM" queryTableFieldId="21"/>
    <tableColumn id="43" uniqueName="43" name="Peças por _x000a_Amarrado" queryTableFieldId="22"/>
    <tableColumn id="44" uniqueName="44" name="Centro de trabalho" queryTableFieldId="23"/>
    <tableColumn id="45" uniqueName="45" name="Tempo_x000a_Setup" queryTableFieldId="24"/>
    <tableColumn id="46" uniqueName="46" name="Tempo de_x000a_Operação" queryTableFieldId="25"/>
    <tableColumn id="47" uniqueName="47" name="Perda de _x000a_Processo" queryTableFieldId="26"/>
    <tableColumn id="48" uniqueName="48" name="Código do componente" queryTableFieldId="27"/>
    <tableColumn id="49" uniqueName="49" name="Comprimento _x000a_do Multiplo" queryTableFieldId="28"/>
    <tableColumn id="50" uniqueName="50" name="Perda em Kg para fabricar 1000 peças do tubo cortado (perda inerente)" queryTableFieldId="29"/>
    <tableColumn id="51" uniqueName="51" name="Quantidade em metros para fabricar 1000 peças + perda de processo" queryTableFieldId="30"/>
    <tableColumn id="52" uniqueName="52" name="Quantidade em peças para fabricar 1000 peças + perda de processo" queryTableFieldId="31"/>
    <tableColumn id="53" uniqueName="53" name="DADOS AO" queryTableFieldId="32"/>
    <tableColumn id="54" uniqueName="54" name="Chave LNTR" queryTableFieldId="33"/>
    <tableColumn id="55" uniqueName="55" name="Espessura nominal" queryTableFieldId="34"/>
    <tableColumn id="56" uniqueName="56" name="Laminação" queryTableFieldId="35"/>
    <tableColumn id="57" uniqueName="57" name="MTH?_x000a_MTL?" queryTableFieldId="36"/>
    <tableColumn id="58" uniqueName="58" name="Espessura Mínima" queryTableFieldId="37"/>
    <tableColumn id="59" uniqueName="59" name="Espessura Máxima" queryTableFieldId="38"/>
    <tableColumn id="60" uniqueName="60" name="Máquina" queryTableFieldId="39"/>
    <tableColumn id="61" uniqueName="61" name="Mapa/Plano de montagem" queryTableFieldId="40"/>
    <tableColumn id="62" uniqueName="62" name="Velocidade_x000a_(m/hr)" queryTableFieldId="41"/>
    <tableColumn id="63" uniqueName="63" name="Nave" queryTableFieldId="42"/>
    <tableColumn id="64" uniqueName="64" name="Tempo de _x000a_pré-instalação" queryTableFieldId="43"/>
    <tableColumn id="65" uniqueName="65" name="Sucata (m)" queryTableFieldId="44"/>
    <tableColumn id="66" uniqueName="66" name="Perda (%)" queryTableFieldId="45"/>
    <tableColumn id="67" uniqueName="67" name="Largura da tira" queryTableFieldId="46"/>
    <tableColumn id="68" uniqueName="68" name="Bobina_x000a_ configuravel?" queryTableFieldId="47"/>
    <tableColumn id="69" uniqueName="69" name="Largura ideal" queryTableFieldId="48"/>
    <tableColumn id="70" uniqueName="70" name="Velocidade_x000a_3000 até 4999" queryTableFieldId="49"/>
    <tableColumn id="71" uniqueName="71" name="Velocidade_x000a_5000 até 8000" queryTableFieldId="50"/>
    <tableColumn id="72" uniqueName="72" name="Velocidade_x000a_8001 até 14000" queryTableFieldId="51"/>
    <tableColumn id="73" uniqueName="73" name="DADOS LNP" queryTableFieldId="52"/>
    <tableColumn id="74" uniqueName="74" name="Cliente" queryTableFieldId="53"/>
    <tableColumn id="75" uniqueName="75" name="Preço de terceirização " queryTableFieldId="54" dataDxfId="5"/>
    <tableColumn id="76" uniqueName="76" name="Centro de Produção" queryTableFieldId="55"/>
    <tableColumn id="77" uniqueName="77" name="Column56" queryTableFieldId="56" dataDxfId="4"/>
    <tableColumn id="78" uniqueName="78" name="Depósito de produção" queryTableFieldId="57"/>
    <tableColumn id="79" uniqueName="79" name="Column58" queryTableFieldId="58" dataDxfId="3"/>
    <tableColumn id="80" uniqueName="80" name="Canal de Distribuição" queryTableFieldId="59"/>
    <tableColumn id="81" uniqueName="81" name="Column60" queryTableFieldId="60"/>
    <tableColumn id="82" uniqueName="82" name="Setor de Atividade" queryTableFieldId="61"/>
    <tableColumn id="83" uniqueName="83" name="Column62" queryTableFieldId="62"/>
    <tableColumn id="84" uniqueName="84" name="Níveis Organizacionais SAP" queryTableFieldId="63"/>
    <tableColumn id="85" uniqueName="85" name="Tipo de Material PROF" queryTableFieldId="64"/>
    <tableColumn id="86" uniqueName="86" name="Geometria CHAR" queryTableFieldId="65"/>
    <tableColumn id="87" uniqueName="87" name="Espessura CHAR" queryTableFieldId="66"/>
    <tableColumn id="88" uniqueName="88" name="Raspagem Interna?" queryTableFieldId="67"/>
    <tableColumn id="89" uniqueName="89" name="Metalização?" queryTableFieldId="68"/>
    <tableColumn id="90" uniqueName="90" name="DADOS VARIANT" queryTableFieldId="69"/>
    <tableColumn id="91" uniqueName="91" name="Descrição CAM" queryTableFieldId="70"/>
    <tableColumn id="92" uniqueName="92" name="Enrijecedor Superior (mm)" queryTableFieldId="71"/>
    <tableColumn id="93" uniqueName="93" name="Enrijecedor Inferior (mm)" queryTableFieldId="72"/>
    <tableColumn id="94" uniqueName="94" name="Aba Superior (mm)" queryTableFieldId="73"/>
    <tableColumn id="95" uniqueName="95" name="Aba Inferior (mm)" queryTableFieldId="74"/>
    <tableColumn id="96" uniqueName="96" name="DIM 1 (mm)" queryTableFieldId="75"/>
    <tableColumn id="97" uniqueName="97" name="DIM 2 (mm)" queryTableFieldId="76"/>
    <tableColumn id="98" uniqueName="98" name="DIM 3 (mm)" queryTableFieldId="77"/>
    <tableColumn id="99" uniqueName="99" name="Alavanca 1 (mm)" queryTableFieldId="78"/>
    <tableColumn id="100" uniqueName="100" name="Alavanca 2 (mm)" queryTableFieldId="79"/>
    <tableColumn id="101" uniqueName="101" name="DADOS PURLINS" queryTableFieldId="80"/>
    <tableColumn id="102" uniqueName="102" name="Column81" queryTableFieldId="81"/>
    <tableColumn id="103" uniqueName="103" name="Column82" queryTableFieldId="82"/>
    <tableColumn id="104" uniqueName="104" name="Column83" queryTableFieldId="83"/>
    <tableColumn id="105" uniqueName="105" name="Column84" queryTableFieldId="84"/>
    <tableColumn id="106" uniqueName="106" name="Column85" queryTableFieldId="85"/>
    <tableColumn id="107" uniqueName="107" name="Column86" queryTableFieldId="86"/>
    <tableColumn id="108" uniqueName="108" name="Column87" queryTableFieldId="87"/>
    <tableColumn id="109" uniqueName="109" name="Column88" queryTableFieldId="88"/>
    <tableColumn id="110" uniqueName="110" name="Column89" queryTableFieldId="89"/>
    <tableColumn id="111" uniqueName="111" name="Column90" queryTableFieldId="90"/>
    <tableColumn id="112" uniqueName="112" name="Column91" totalsRowFunction="count" queryTableFieldId="9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DE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992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07.03.2022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07.03.2022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07.03.2022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993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07.03.2022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07.03.2022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993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07.03.2022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464"/>
  <sheetViews>
    <sheetView showGridLines="0" showRowColHeaders="0" workbookViewId="0">
      <selection sqref="A1:CM13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7109375" customWidth="1"/>
    <col min="4" max="4" width="35" customWidth="1"/>
    <col min="5" max="5" width="14.7109375" customWidth="1"/>
    <col min="6" max="6" width="27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91" width="11.5703125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C1" s="38" t="s">
        <v>973</v>
      </c>
      <c r="CD1" s="38" t="s">
        <v>974</v>
      </c>
      <c r="CE1" s="38" t="s">
        <v>975</v>
      </c>
      <c r="CF1" s="38" t="s">
        <v>976</v>
      </c>
      <c r="CG1" s="38" t="s">
        <v>977</v>
      </c>
      <c r="CH1" s="38" t="s">
        <v>978</v>
      </c>
      <c r="CI1" s="38" t="s">
        <v>979</v>
      </c>
      <c r="CJ1" s="38" t="s">
        <v>980</v>
      </c>
      <c r="CK1" s="38" t="s">
        <v>981</v>
      </c>
      <c r="CL1" s="38" t="s">
        <v>982</v>
      </c>
      <c r="CM1" s="38" t="s">
        <v>1006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x14ac:dyDescent="0.2">
      <c r="A2" s="38"/>
      <c r="B2" s="38" t="s">
        <v>983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>
        <v>6120</v>
      </c>
      <c r="I2" s="38">
        <v>27.55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990</v>
      </c>
      <c r="Q2" s="38" t="s">
        <v>865</v>
      </c>
      <c r="R2" s="38" t="s">
        <v>1012</v>
      </c>
      <c r="S2" s="38" t="s">
        <v>1013</v>
      </c>
      <c r="T2" s="38" t="s">
        <v>299</v>
      </c>
      <c r="U2" s="38" t="s">
        <v>985</v>
      </c>
      <c r="V2" s="38">
        <v>6</v>
      </c>
      <c r="W2" s="38"/>
      <c r="X2" s="38"/>
      <c r="Y2" s="38"/>
      <c r="Z2" s="38"/>
      <c r="AA2" s="38">
        <v>104517</v>
      </c>
      <c r="AB2" s="38" t="s">
        <v>984</v>
      </c>
      <c r="AC2" s="38" t="s">
        <v>1014</v>
      </c>
      <c r="AD2" s="38" t="s">
        <v>1014</v>
      </c>
      <c r="AE2" s="38" t="s">
        <v>984</v>
      </c>
      <c r="AF2" s="38"/>
      <c r="AG2" s="38" t="s">
        <v>1015</v>
      </c>
      <c r="AH2" s="38"/>
      <c r="AI2" s="38"/>
      <c r="AJ2" s="38"/>
      <c r="AK2" s="38" t="s">
        <v>984</v>
      </c>
      <c r="AL2" s="38" t="s">
        <v>984</v>
      </c>
      <c r="AM2" s="38"/>
      <c r="AN2" s="38" t="s">
        <v>984</v>
      </c>
      <c r="AO2" s="38"/>
      <c r="AP2" s="38" t="s">
        <v>984</v>
      </c>
      <c r="AQ2" s="38" t="s">
        <v>984</v>
      </c>
      <c r="AR2" s="38" t="s">
        <v>984</v>
      </c>
      <c r="AS2" s="38"/>
      <c r="AT2" s="38"/>
      <c r="AU2" s="38"/>
      <c r="AV2" s="38" t="s">
        <v>984</v>
      </c>
      <c r="AW2" s="38" t="s">
        <v>984</v>
      </c>
      <c r="AX2" s="38" t="s">
        <v>984</v>
      </c>
      <c r="AY2" s="38" t="s">
        <v>984</v>
      </c>
      <c r="AZ2" s="38">
        <v>0</v>
      </c>
      <c r="BA2" s="38"/>
      <c r="BB2" s="66"/>
      <c r="BC2" s="38" t="s">
        <v>4</v>
      </c>
      <c r="BD2" s="66" t="s">
        <v>991</v>
      </c>
      <c r="BE2" s="38" t="s">
        <v>5</v>
      </c>
      <c r="BF2" s="66" t="s">
        <v>986</v>
      </c>
      <c r="BG2" s="38" t="s">
        <v>6</v>
      </c>
      <c r="BH2" s="38" t="s">
        <v>987</v>
      </c>
      <c r="BI2" s="38"/>
      <c r="BJ2" s="38" t="s">
        <v>988</v>
      </c>
      <c r="BK2" s="38"/>
      <c r="BL2" s="38" t="s">
        <v>850</v>
      </c>
      <c r="BM2" s="38" t="s">
        <v>539</v>
      </c>
      <c r="BN2" s="38" t="s">
        <v>630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989</v>
      </c>
      <c r="C3" s="38">
        <v>104517</v>
      </c>
      <c r="D3" s="38" t="s">
        <v>1016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6"/>
      <c r="BC3" s="38"/>
      <c r="BD3" s="66"/>
      <c r="BE3" s="38"/>
      <c r="BF3" s="66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x14ac:dyDescent="0.2">
      <c r="A4" s="38"/>
      <c r="B4" s="38" t="s">
        <v>983</v>
      </c>
      <c r="C4" s="38" t="s">
        <v>1017</v>
      </c>
      <c r="D4" s="38" t="s">
        <v>1018</v>
      </c>
      <c r="E4" s="38" t="s">
        <v>1019</v>
      </c>
      <c r="F4" s="38" t="s">
        <v>1020</v>
      </c>
      <c r="G4" s="38" t="s">
        <v>4</v>
      </c>
      <c r="H4" s="38">
        <v>6520</v>
      </c>
      <c r="I4" s="38">
        <v>27.55</v>
      </c>
      <c r="J4" s="38" t="s">
        <v>1021</v>
      </c>
      <c r="K4" s="38" t="s">
        <v>193</v>
      </c>
      <c r="L4" s="38" t="s">
        <v>195</v>
      </c>
      <c r="M4" s="38" t="s">
        <v>196</v>
      </c>
      <c r="N4" s="38" t="s">
        <v>198</v>
      </c>
      <c r="O4" s="38" t="s">
        <v>275</v>
      </c>
      <c r="P4" s="38" t="s">
        <v>990</v>
      </c>
      <c r="Q4" s="38" t="s">
        <v>865</v>
      </c>
      <c r="R4" s="38" t="s">
        <v>1012</v>
      </c>
      <c r="S4" s="38" t="s">
        <v>1013</v>
      </c>
      <c r="T4" s="38" t="s">
        <v>299</v>
      </c>
      <c r="U4" s="38" t="s">
        <v>985</v>
      </c>
      <c r="V4" s="38">
        <v>6</v>
      </c>
      <c r="W4" s="38"/>
      <c r="X4" s="38"/>
      <c r="Y4" s="38"/>
      <c r="Z4" s="38"/>
      <c r="AA4" s="38">
        <v>104517</v>
      </c>
      <c r="AB4" s="38" t="s">
        <v>984</v>
      </c>
      <c r="AC4" s="38" t="s">
        <v>1014</v>
      </c>
      <c r="AD4" s="38" t="s">
        <v>1014</v>
      </c>
      <c r="AE4" s="38" t="s">
        <v>984</v>
      </c>
      <c r="AF4" s="38"/>
      <c r="AG4" s="38" t="s">
        <v>1015</v>
      </c>
      <c r="AH4" s="38"/>
      <c r="AI4" s="38"/>
      <c r="AJ4" s="38"/>
      <c r="AK4" s="38" t="s">
        <v>984</v>
      </c>
      <c r="AL4" s="38" t="s">
        <v>984</v>
      </c>
      <c r="AM4" s="38"/>
      <c r="AN4" s="38" t="s">
        <v>984</v>
      </c>
      <c r="AO4" s="38"/>
      <c r="AP4" s="38" t="s">
        <v>984</v>
      </c>
      <c r="AQ4" s="38" t="s">
        <v>984</v>
      </c>
      <c r="AR4" s="38" t="s">
        <v>984</v>
      </c>
      <c r="AS4" s="38"/>
      <c r="AT4" s="38"/>
      <c r="AU4" s="38"/>
      <c r="AV4" s="38" t="s">
        <v>984</v>
      </c>
      <c r="AW4" s="38" t="s">
        <v>984</v>
      </c>
      <c r="AX4" s="38" t="s">
        <v>984</v>
      </c>
      <c r="AY4" s="38" t="s">
        <v>984</v>
      </c>
      <c r="AZ4" s="38">
        <v>0</v>
      </c>
      <c r="BA4" s="38"/>
      <c r="BB4" s="66"/>
      <c r="BC4" s="38" t="s">
        <v>4</v>
      </c>
      <c r="BD4" s="66" t="s">
        <v>991</v>
      </c>
      <c r="BE4" s="38" t="s">
        <v>5</v>
      </c>
      <c r="BF4" s="66" t="s">
        <v>986</v>
      </c>
      <c r="BG4" s="38" t="s">
        <v>6</v>
      </c>
      <c r="BH4" s="38" t="s">
        <v>987</v>
      </c>
      <c r="BI4" s="38"/>
      <c r="BJ4" s="38" t="s">
        <v>988</v>
      </c>
      <c r="BK4" s="38"/>
      <c r="BL4" s="38" t="s">
        <v>850</v>
      </c>
      <c r="BM4" s="38" t="s">
        <v>539</v>
      </c>
      <c r="BN4" s="38" t="s">
        <v>630</v>
      </c>
      <c r="BO4" s="38" t="s">
        <v>534</v>
      </c>
      <c r="BP4" s="38" t="s">
        <v>534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/>
      <c r="B5" s="38" t="s">
        <v>989</v>
      </c>
      <c r="C5" s="38">
        <v>104517</v>
      </c>
      <c r="D5" s="38" t="s">
        <v>1016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6"/>
      <c r="BC5" s="38"/>
      <c r="BD5" s="66"/>
      <c r="BE5" s="38"/>
      <c r="BF5" s="66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/>
      <c r="C6" s="38"/>
      <c r="D6" s="38" t="s">
        <v>1022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6"/>
      <c r="BC6" s="38"/>
      <c r="BD6" s="66"/>
      <c r="BE6" s="38"/>
      <c r="BF6" s="66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x14ac:dyDescent="0.2">
      <c r="A7" s="38"/>
      <c r="B7" s="38" t="s">
        <v>983</v>
      </c>
      <c r="C7" s="38" t="s">
        <v>1023</v>
      </c>
      <c r="D7" s="38" t="s">
        <v>1024</v>
      </c>
      <c r="E7" s="38" t="s">
        <v>1025</v>
      </c>
      <c r="F7" s="38" t="s">
        <v>1026</v>
      </c>
      <c r="G7" s="38" t="s">
        <v>4</v>
      </c>
      <c r="H7" s="38">
        <v>6190</v>
      </c>
      <c r="I7" s="38">
        <v>27.55</v>
      </c>
      <c r="J7" s="38" t="s">
        <v>1027</v>
      </c>
      <c r="K7" s="38" t="s">
        <v>193</v>
      </c>
      <c r="L7" s="38" t="s">
        <v>195</v>
      </c>
      <c r="M7" s="38" t="s">
        <v>196</v>
      </c>
      <c r="N7" s="38" t="s">
        <v>198</v>
      </c>
      <c r="O7" s="38" t="s">
        <v>275</v>
      </c>
      <c r="P7" s="38" t="s">
        <v>990</v>
      </c>
      <c r="Q7" s="38" t="s">
        <v>865</v>
      </c>
      <c r="R7" s="38" t="s">
        <v>1012</v>
      </c>
      <c r="S7" s="38" t="s">
        <v>1013</v>
      </c>
      <c r="T7" s="38" t="s">
        <v>299</v>
      </c>
      <c r="U7" s="38" t="s">
        <v>985</v>
      </c>
      <c r="V7" s="38">
        <v>6</v>
      </c>
      <c r="W7" s="38"/>
      <c r="X7" s="38"/>
      <c r="Y7" s="38"/>
      <c r="Z7" s="38"/>
      <c r="AA7" s="38">
        <v>104517</v>
      </c>
      <c r="AB7" s="38" t="s">
        <v>984</v>
      </c>
      <c r="AC7" s="38" t="s">
        <v>1014</v>
      </c>
      <c r="AD7" s="38" t="s">
        <v>1014</v>
      </c>
      <c r="AE7" s="38" t="s">
        <v>984</v>
      </c>
      <c r="AF7" s="38"/>
      <c r="AG7" s="38" t="s">
        <v>1015</v>
      </c>
      <c r="AH7" s="38"/>
      <c r="AI7" s="38"/>
      <c r="AJ7" s="38"/>
      <c r="AK7" s="38" t="s">
        <v>984</v>
      </c>
      <c r="AL7" s="38" t="s">
        <v>984</v>
      </c>
      <c r="AM7" s="38"/>
      <c r="AN7" s="38" t="s">
        <v>984</v>
      </c>
      <c r="AO7" s="38"/>
      <c r="AP7" s="38" t="s">
        <v>984</v>
      </c>
      <c r="AQ7" s="38" t="s">
        <v>984</v>
      </c>
      <c r="AR7" s="38" t="s">
        <v>984</v>
      </c>
      <c r="AS7" s="38"/>
      <c r="AT7" s="38"/>
      <c r="AU7" s="38"/>
      <c r="AV7" s="38" t="s">
        <v>984</v>
      </c>
      <c r="AW7" s="38" t="s">
        <v>984</v>
      </c>
      <c r="AX7" s="38" t="s">
        <v>984</v>
      </c>
      <c r="AY7" s="38" t="s">
        <v>984</v>
      </c>
      <c r="AZ7" s="38">
        <v>0</v>
      </c>
      <c r="BA7" s="38"/>
      <c r="BB7" s="66"/>
      <c r="BC7" s="38" t="s">
        <v>4</v>
      </c>
      <c r="BD7" s="66" t="s">
        <v>991</v>
      </c>
      <c r="BE7" s="38" t="s">
        <v>5</v>
      </c>
      <c r="BF7" s="66" t="s">
        <v>986</v>
      </c>
      <c r="BG7" s="38" t="s">
        <v>6</v>
      </c>
      <c r="BH7" s="38" t="s">
        <v>987</v>
      </c>
      <c r="BI7" s="38"/>
      <c r="BJ7" s="38" t="s">
        <v>988</v>
      </c>
      <c r="BK7" s="38"/>
      <c r="BL7" s="38" t="s">
        <v>850</v>
      </c>
      <c r="BM7" s="38" t="s">
        <v>539</v>
      </c>
      <c r="BN7" s="38" t="s">
        <v>630</v>
      </c>
      <c r="BO7" s="38" t="s">
        <v>534</v>
      </c>
      <c r="BP7" s="38" t="s">
        <v>534</v>
      </c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/>
      <c r="B8" s="38" t="s">
        <v>989</v>
      </c>
      <c r="C8" s="38">
        <v>104517</v>
      </c>
      <c r="D8" s="38" t="s">
        <v>1016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6"/>
      <c r="BC8" s="38"/>
      <c r="BD8" s="66"/>
      <c r="BE8" s="38"/>
      <c r="BF8" s="66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x14ac:dyDescent="0.2">
      <c r="A9" s="38"/>
      <c r="B9" s="38" t="s">
        <v>983</v>
      </c>
      <c r="C9" s="38" t="s">
        <v>1028</v>
      </c>
      <c r="D9" s="38" t="s">
        <v>1029</v>
      </c>
      <c r="E9" s="38" t="s">
        <v>1030</v>
      </c>
      <c r="F9" s="38" t="s">
        <v>1031</v>
      </c>
      <c r="G9" s="38" t="s">
        <v>4</v>
      </c>
      <c r="H9" s="38">
        <v>4950</v>
      </c>
      <c r="I9" s="38">
        <v>27.55</v>
      </c>
      <c r="J9" s="38" t="s">
        <v>1032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990</v>
      </c>
      <c r="Q9" s="38" t="s">
        <v>865</v>
      </c>
      <c r="R9" s="38" t="s">
        <v>1012</v>
      </c>
      <c r="S9" s="38" t="s">
        <v>1013</v>
      </c>
      <c r="T9" s="38" t="s">
        <v>299</v>
      </c>
      <c r="U9" s="38" t="s">
        <v>985</v>
      </c>
      <c r="V9" s="38">
        <v>6</v>
      </c>
      <c r="W9" s="38"/>
      <c r="X9" s="38"/>
      <c r="Y9" s="38"/>
      <c r="Z9" s="38"/>
      <c r="AA9" s="38">
        <v>104517</v>
      </c>
      <c r="AB9" s="38" t="s">
        <v>984</v>
      </c>
      <c r="AC9" s="38" t="s">
        <v>1014</v>
      </c>
      <c r="AD9" s="38" t="s">
        <v>1014</v>
      </c>
      <c r="AE9" s="38" t="s">
        <v>984</v>
      </c>
      <c r="AF9" s="38"/>
      <c r="AG9" s="38" t="s">
        <v>1015</v>
      </c>
      <c r="AH9" s="38"/>
      <c r="AI9" s="38"/>
      <c r="AJ9" s="38"/>
      <c r="AK9" s="38" t="s">
        <v>984</v>
      </c>
      <c r="AL9" s="38" t="s">
        <v>984</v>
      </c>
      <c r="AM9" s="38"/>
      <c r="AN9" s="38" t="s">
        <v>984</v>
      </c>
      <c r="AO9" s="38"/>
      <c r="AP9" s="38" t="s">
        <v>984</v>
      </c>
      <c r="AQ9" s="38" t="s">
        <v>984</v>
      </c>
      <c r="AR9" s="38" t="s">
        <v>984</v>
      </c>
      <c r="AS9" s="38"/>
      <c r="AT9" s="38"/>
      <c r="AU9" s="38"/>
      <c r="AV9" s="38" t="s">
        <v>984</v>
      </c>
      <c r="AW9" s="38" t="s">
        <v>984</v>
      </c>
      <c r="AX9" s="38" t="s">
        <v>984</v>
      </c>
      <c r="AY9" s="38" t="s">
        <v>984</v>
      </c>
      <c r="AZ9" s="38">
        <v>0</v>
      </c>
      <c r="BA9" s="38"/>
      <c r="BB9" s="66"/>
      <c r="BC9" s="38" t="s">
        <v>4</v>
      </c>
      <c r="BD9" s="66" t="s">
        <v>991</v>
      </c>
      <c r="BE9" s="38" t="s">
        <v>5</v>
      </c>
      <c r="BF9" s="66" t="s">
        <v>986</v>
      </c>
      <c r="BG9" s="38" t="s">
        <v>6</v>
      </c>
      <c r="BH9" s="38" t="s">
        <v>987</v>
      </c>
      <c r="BI9" s="38"/>
      <c r="BJ9" s="38" t="s">
        <v>988</v>
      </c>
      <c r="BK9" s="38"/>
      <c r="BL9" s="38" t="s">
        <v>850</v>
      </c>
      <c r="BM9" s="38" t="s">
        <v>539</v>
      </c>
      <c r="BN9" s="38" t="s">
        <v>630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989</v>
      </c>
      <c r="C10" s="38">
        <v>104517</v>
      </c>
      <c r="D10" s="38" t="s">
        <v>1016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x14ac:dyDescent="0.2">
      <c r="A11" s="38"/>
      <c r="B11" s="38" t="s">
        <v>983</v>
      </c>
      <c r="C11" s="38" t="s">
        <v>1033</v>
      </c>
      <c r="D11" s="38" t="s">
        <v>1034</v>
      </c>
      <c r="E11" s="38" t="s">
        <v>1035</v>
      </c>
      <c r="F11" s="38" t="s">
        <v>1036</v>
      </c>
      <c r="G11" s="38" t="s">
        <v>4</v>
      </c>
      <c r="H11" s="38">
        <v>5200</v>
      </c>
      <c r="I11" s="38">
        <v>27.55</v>
      </c>
      <c r="J11" s="38" t="s">
        <v>1037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990</v>
      </c>
      <c r="Q11" s="38" t="s">
        <v>865</v>
      </c>
      <c r="R11" s="38" t="s">
        <v>1012</v>
      </c>
      <c r="S11" s="38" t="s">
        <v>1013</v>
      </c>
      <c r="T11" s="38" t="s">
        <v>299</v>
      </c>
      <c r="U11" s="38" t="s">
        <v>985</v>
      </c>
      <c r="V11" s="38">
        <v>6</v>
      </c>
      <c r="W11" s="38"/>
      <c r="X11" s="38"/>
      <c r="Y11" s="38"/>
      <c r="Z11" s="38"/>
      <c r="AA11" s="38">
        <v>104517</v>
      </c>
      <c r="AB11" s="38" t="s">
        <v>984</v>
      </c>
      <c r="AC11" s="38" t="s">
        <v>1014</v>
      </c>
      <c r="AD11" s="38" t="s">
        <v>1014</v>
      </c>
      <c r="AE11" s="38" t="s">
        <v>984</v>
      </c>
      <c r="AF11" s="38"/>
      <c r="AG11" s="38" t="s">
        <v>1015</v>
      </c>
      <c r="AH11" s="38"/>
      <c r="AI11" s="38"/>
      <c r="AJ11" s="38"/>
      <c r="AK11" s="38" t="s">
        <v>984</v>
      </c>
      <c r="AL11" s="38" t="s">
        <v>984</v>
      </c>
      <c r="AM11" s="38"/>
      <c r="AN11" s="38" t="s">
        <v>984</v>
      </c>
      <c r="AO11" s="38"/>
      <c r="AP11" s="38" t="s">
        <v>984</v>
      </c>
      <c r="AQ11" s="38" t="s">
        <v>984</v>
      </c>
      <c r="AR11" s="38" t="s">
        <v>984</v>
      </c>
      <c r="AS11" s="38"/>
      <c r="AT11" s="38"/>
      <c r="AU11" s="38"/>
      <c r="AV11" s="38" t="s">
        <v>984</v>
      </c>
      <c r="AW11" s="38" t="s">
        <v>984</v>
      </c>
      <c r="AX11" s="38" t="s">
        <v>984</v>
      </c>
      <c r="AY11" s="38" t="s">
        <v>984</v>
      </c>
      <c r="AZ11" s="38">
        <v>0</v>
      </c>
      <c r="BA11" s="38"/>
      <c r="BB11" s="66"/>
      <c r="BC11" s="38" t="s">
        <v>4</v>
      </c>
      <c r="BD11" s="66" t="s">
        <v>991</v>
      </c>
      <c r="BE11" s="38" t="s">
        <v>5</v>
      </c>
      <c r="BF11" s="66" t="s">
        <v>986</v>
      </c>
      <c r="BG11" s="38" t="s">
        <v>6</v>
      </c>
      <c r="BH11" s="38" t="s">
        <v>987</v>
      </c>
      <c r="BI11" s="38"/>
      <c r="BJ11" s="38" t="s">
        <v>988</v>
      </c>
      <c r="BK11" s="38"/>
      <c r="BL11" s="38" t="s">
        <v>850</v>
      </c>
      <c r="BM11" s="38" t="s">
        <v>539</v>
      </c>
      <c r="BN11" s="38" t="s">
        <v>630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989</v>
      </c>
      <c r="C12" s="38">
        <v>104517</v>
      </c>
      <c r="D12" s="38" t="s">
        <v>1016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6"/>
      <c r="BC12" s="38"/>
      <c r="BD12" s="66"/>
      <c r="BE12" s="38"/>
      <c r="BF12" s="66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x14ac:dyDescent="0.2">
      <c r="A13" s="38" t="s">
        <v>862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>
        <f>SUBTOTAL(103,Estrutura_P01[Column91])</f>
        <v>0</v>
      </c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x14ac:dyDescent="0.2">
      <c r="A14" t="s">
        <v>534</v>
      </c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x14ac:dyDescent="0.2"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23:133" hidden="1" x14ac:dyDescent="0.2"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23:133" hidden="1" x14ac:dyDescent="0.2"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23:133" hidden="1" x14ac:dyDescent="0.2"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23:133" hidden="1" x14ac:dyDescent="0.2"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23:133" hidden="1" x14ac:dyDescent="0.2"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23:133" hidden="1" x14ac:dyDescent="0.2"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23:133" hidden="1" x14ac:dyDescent="0.2"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23:133" hidden="1" x14ac:dyDescent="0.2"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23:133" hidden="1" x14ac:dyDescent="0.2"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23:133" hidden="1" x14ac:dyDescent="0.2"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23:133" hidden="1" x14ac:dyDescent="0.2"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23:133" hidden="1" x14ac:dyDescent="0.2"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23:133" hidden="1" x14ac:dyDescent="0.2"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23:133" hidden="1" x14ac:dyDescent="0.2"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23:133" hidden="1" x14ac:dyDescent="0.2"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23:133" hidden="1" x14ac:dyDescent="0.2">
      <c r="DY32" s="38"/>
      <c r="DZ32" s="38"/>
      <c r="EA32" s="38"/>
      <c r="EB32" s="38"/>
      <c r="EC32" s="38"/>
    </row>
    <row r="33" spans="129:133" hidden="1" x14ac:dyDescent="0.2">
      <c r="DY33" s="38"/>
      <c r="DZ33" s="38"/>
      <c r="EA33" s="38"/>
      <c r="EB33" s="38"/>
      <c r="EC33" s="38"/>
    </row>
    <row r="34" spans="129:133" hidden="1" x14ac:dyDescent="0.2">
      <c r="DY34" s="38"/>
      <c r="DZ34" s="38"/>
      <c r="EA34" s="38"/>
      <c r="EB34" s="38"/>
      <c r="EC34" s="38"/>
    </row>
    <row r="35" spans="129:133" hidden="1" x14ac:dyDescent="0.2">
      <c r="DY35" s="38"/>
      <c r="DZ35" s="38"/>
      <c r="EA35" s="38"/>
      <c r="EB35" s="38"/>
      <c r="EC35" s="38"/>
    </row>
    <row r="36" spans="129:133" hidden="1" x14ac:dyDescent="0.2">
      <c r="DY36" s="38"/>
      <c r="DZ36" s="38"/>
      <c r="EA36" s="38"/>
      <c r="EB36" s="38"/>
      <c r="EC36" s="38"/>
    </row>
    <row r="37" spans="129:133" hidden="1" x14ac:dyDescent="0.2">
      <c r="DY37" s="38"/>
      <c r="DZ37" s="38"/>
      <c r="EA37" s="38"/>
      <c r="EB37" s="38"/>
      <c r="EC37" s="38"/>
    </row>
    <row r="38" spans="129:133" hidden="1" x14ac:dyDescent="0.2"/>
    <row r="39" spans="129:133" hidden="1" x14ac:dyDescent="0.2"/>
    <row r="40" spans="129:133" hidden="1" x14ac:dyDescent="0.2"/>
    <row r="41" spans="129:133" hidden="1" x14ac:dyDescent="0.2"/>
    <row r="42" spans="129:133" hidden="1" x14ac:dyDescent="0.2"/>
    <row r="43" spans="129:133" hidden="1" x14ac:dyDescent="0.2"/>
    <row r="44" spans="129:133" hidden="1" x14ac:dyDescent="0.2"/>
    <row r="45" spans="129:133" hidden="1" x14ac:dyDescent="0.2"/>
    <row r="46" spans="129:133" hidden="1" x14ac:dyDescent="0.2"/>
    <row r="47" spans="129:133" hidden="1" x14ac:dyDescent="0.2"/>
    <row r="48" spans="129:133" hidden="1" x14ac:dyDescent="0.2"/>
    <row r="49" spans="132:132" hidden="1" x14ac:dyDescent="0.2"/>
    <row r="50" spans="132:132" hidden="1" x14ac:dyDescent="0.2"/>
    <row r="51" spans="132:132" hidden="1" x14ac:dyDescent="0.2"/>
    <row r="52" spans="132:132" hidden="1" x14ac:dyDescent="0.2"/>
    <row r="53" spans="132:132" hidden="1" x14ac:dyDescent="0.2">
      <c r="EB53" t="e">
        <f>SUBTOTAL(103,#REF!)</f>
        <v>#REF!</v>
      </c>
    </row>
    <row r="54" spans="132:132" hidden="1" x14ac:dyDescent="0.2"/>
    <row r="55" spans="132:132" hidden="1" x14ac:dyDescent="0.2"/>
    <row r="56" spans="132:132" hidden="1" x14ac:dyDescent="0.2"/>
    <row r="57" spans="132:132" hidden="1" x14ac:dyDescent="0.2"/>
    <row r="58" spans="132:132" hidden="1" x14ac:dyDescent="0.2"/>
    <row r="59" spans="132:132" hidden="1" x14ac:dyDescent="0.2"/>
    <row r="60" spans="132:132" hidden="1" x14ac:dyDescent="0.2"/>
    <row r="61" spans="132:132" hidden="1" x14ac:dyDescent="0.2"/>
    <row r="62" spans="132:132" hidden="1" x14ac:dyDescent="0.2"/>
    <row r="63" spans="132:132" hidden="1" x14ac:dyDescent="0.2"/>
    <row r="64" spans="132:132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8FDE7-C4B9-484A-B094-E6FC979A8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2022-03-07T15:40:16Z</dcterms:modified>
</cp:coreProperties>
</file>