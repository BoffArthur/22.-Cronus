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10245" yWindow="70200" windowWidth="28800" windowHeight="14130"/>
  </bookViews>
  <sheets>
    <sheet name="MM01" sheetId="6" r:id="rId1"/>
    <sheet name="Consulta" sheetId="7" r:id="rId2"/>
    <sheet name="Listas de Dados" sheetId="2" r:id="rId3"/>
  </sheets>
  <functionGroups builtInGroupCount="18"/>
  <definedNames>
    <definedName name="DadosExternos_1" localSheetId="1" hidden="1">Consulta!$A$1:$BR$2</definedName>
  </definedNames>
  <calcPr calcId="162913"/>
</workbook>
</file>

<file path=xl/calcChain.xml><?xml version="1.0" encoding="utf-8"?>
<calcChain xmlns="http://schemas.openxmlformats.org/spreadsheetml/2006/main">
  <c r="EJ154" i="6" l="1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F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BH152" i="6" s="1"/>
  <c r="BF152" i="6" s="1"/>
  <c r="BG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BX151" i="6"/>
  <c r="BO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K151" i="6"/>
  <c r="J151" i="6"/>
  <c r="I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R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K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K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I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F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X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X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R142" i="6"/>
  <c r="BX142" i="6"/>
  <c r="BO142" i="6"/>
  <c r="BN142" i="6"/>
  <c r="BL142" i="6"/>
  <c r="BI142" i="6"/>
  <c r="BE142" i="6"/>
  <c r="BA142" i="6"/>
  <c r="AX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X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I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I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Z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R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R127" i="6"/>
  <c r="BX127" i="6"/>
  <c r="BN127" i="6"/>
  <c r="BL127" i="6"/>
  <c r="BI127" i="6"/>
  <c r="BE127" i="6"/>
  <c r="BA127" i="6"/>
  <c r="AX127" i="6"/>
  <c r="AW127" i="6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Z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BH124" i="6" s="1"/>
  <c r="BF124" i="6" s="1"/>
  <c r="BG124" i="6" s="1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X122" i="6" s="1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I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R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K117" i="6"/>
  <c r="J117" i="6"/>
  <c r="H117" i="6"/>
  <c r="CJ117" i="6" s="1"/>
  <c r="G117" i="6"/>
  <c r="CC117" i="6" s="1"/>
  <c r="E117" i="6"/>
  <c r="BH117" i="6" s="1"/>
  <c r="BF117" i="6" s="1"/>
  <c r="BG117" i="6" s="1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X116" i="6" s="1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Y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K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CX109" i="6" s="1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X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BH107" i="6" s="1"/>
  <c r="BF107" i="6" s="1"/>
  <c r="BG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Y106" i="6"/>
  <c r="CW106" i="6"/>
  <c r="CV106" i="6"/>
  <c r="CU106" i="6"/>
  <c r="CT106" i="6"/>
  <c r="CX106" i="6" s="1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BH106" i="6" s="1"/>
  <c r="BF106" i="6" s="1"/>
  <c r="BG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B101" i="6"/>
  <c r="BD101" i="6" s="1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C97" i="6"/>
  <c r="BX97" i="6"/>
  <c r="BN97" i="6"/>
  <c r="BL97" i="6"/>
  <c r="BI97" i="6"/>
  <c r="BE97" i="6"/>
  <c r="BB97" i="6"/>
  <c r="BD97" i="6" s="1"/>
  <c r="BA97" i="6"/>
  <c r="AX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B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B95" i="6"/>
  <c r="BD95" i="6" s="1"/>
  <c r="BA95" i="6"/>
  <c r="AX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BH95" i="6" s="1"/>
  <c r="BF95" i="6" s="1"/>
  <c r="BG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K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S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S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B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S79" i="6"/>
  <c r="AR79" i="6"/>
  <c r="AP79" i="6"/>
  <c r="J79" i="6"/>
  <c r="H79" i="6"/>
  <c r="CJ79" i="6" s="1"/>
  <c r="G79" i="6"/>
  <c r="I79" i="6" s="1"/>
  <c r="E79" i="6"/>
  <c r="D79" i="6"/>
  <c r="BH79" i="6" s="1"/>
  <c r="BF79" i="6" s="1"/>
  <c r="BG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X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B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B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C70" i="6"/>
  <c r="BX70" i="6"/>
  <c r="BO70" i="6"/>
  <c r="BN70" i="6"/>
  <c r="BL70" i="6"/>
  <c r="BI70" i="6"/>
  <c r="BE70" i="6"/>
  <c r="BA70" i="6"/>
  <c r="AW70" i="6"/>
  <c r="DF70" i="6" s="1"/>
  <c r="AU70" i="6"/>
  <c r="AS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X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C68" i="6"/>
  <c r="BX68" i="6"/>
  <c r="BN68" i="6"/>
  <c r="BL68" i="6"/>
  <c r="BI68" i="6"/>
  <c r="BE68" i="6"/>
  <c r="BA68" i="6"/>
  <c r="AX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I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X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R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I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X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CR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I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R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K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K55" i="6"/>
  <c r="J55" i="6"/>
  <c r="H55" i="6"/>
  <c r="CJ55" i="6" s="1"/>
  <c r="G55" i="6"/>
  <c r="I55" i="6" s="1"/>
  <c r="E55" i="6"/>
  <c r="DB55" i="6" s="1"/>
  <c r="D55" i="6"/>
  <c r="CZ55" i="6" s="1"/>
  <c r="C55" i="6"/>
  <c r="A55" i="6"/>
  <c r="AX62" i="6" l="1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BC101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BC126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D9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D87" i="6"/>
  <c r="BC87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BC99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S3" i="7"/>
  <c r="BC103" i="6" l="1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CM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<sst xmlns="http://schemas.openxmlformats.org/spreadsheetml/2006/main" count="7328" uniqueCount="974">
  <si>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</si>
  <si>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</si>
  <si>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</si>
  <si>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</si>
  <si>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</si>
  <si>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</si>
  <si>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</si>
  <si>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</si>
  <si>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</si>
  <si>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</si>
  <si>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</si>
  <si>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</si>
  <si>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</si>
  <si>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</si>
  <si>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</si>
  <si>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</si>
  <si>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</si>
  <si>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</si>
  <si>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</si>
  <si>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</si>
  <si>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</si>
  <si>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</si>
  <si>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</si>
  <si>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</si>
  <si>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</si>
  <si>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</si>
  <si>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</si>
  <si>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</si>
  <si>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</si>
  <si>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</si>
  <si>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</si>
  <si>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</si>
  <si>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</si>
  <si>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</si>
  <si>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</si>
  <si>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</si>
  <si>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</si>
  <si>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</si>
  <si>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</si>
  <si>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</si>
  <si>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</si>
  <si>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</si>
  <si>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</si>
  <si>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</si>
  <si>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</si>
  <si>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</si>
  <si>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</si>
  <si>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</si>
  <si>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</si>
  <si>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</si>
  <si>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</si>
  <si>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</si>
  <si>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</si>
  <si>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</si>
  <si>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</si>
  <si>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</si>
  <si>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</si>
  <si>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</si>
  <si>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</si>
  <si>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</si>
  <si>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</si>
  <si>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</si>
  <si>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</si>
  <si>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</si>
  <si>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</si>
  <si>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</si>
  <si>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</si>
  <si>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</si>
  <si>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</si>
  <si>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</si>
  <si>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</si>
  <si>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</si>
  <si>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</si>
  <si>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</si>
  <si>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</si>
  <si>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</si>
  <si>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</si>
  <si>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</si>
  <si>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</si>
  <si>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</si>
  <si>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</si>
  <si>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</si>
  <si>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</si>
  <si>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</si>
  <si>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</si>
  <si>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</si>
  <si>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</si>
  <si>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</si>
  <si>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</si>
  <si>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</si>
  <si>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</si>
  <si>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</si>
  <si>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</si>
  <si>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</si>
  <si>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</si>
  <si>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</si>
  <si>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</si>
  <si>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</si>
  <si>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</si>
  <si>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</si>
  <si>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</si>
  <si>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</si>
  <si>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</si>
  <si>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</si>
  <si>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</si>
  <si>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</si>
  <si>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</si>
  <si>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</si>
  <si>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</si>
  <si>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</si>
  <si>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</si>
  <si>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</si>
  <si>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</si>
  <si>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</si>
  <si>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</si>
  <si>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</si>
  <si>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</si>
  <si>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</si>
  <si>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</si>
  <si>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</si>
  <si>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</si>
  <si>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</si>
  <si>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</si>
  <si>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</si>
  <si>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</si>
  <si>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</si>
  <si>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</si>
  <si>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</si>
  <si>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</si>
  <si>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</si>
  <si>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</si>
  <si>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</si>
  <si>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</si>
  <si>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</si>
  <si>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</si>
  <si>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</si>
  <si>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</si>
  <si>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</si>
  <si>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</si>
  <si>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</si>
  <si>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</si>
  <si>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</si>
  <si>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</si>
  <si>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</si>
  <si>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</si>
  <si>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</si>
  <si>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</si>
  <si>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</si>
  <si>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</si>
  <si>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</si>
  <si>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</si>
  <si>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</si>
  <si>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</si>
  <si>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</si>
  <si>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</si>
  <si>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</si>
  <si>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</si>
  <si>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</si>
  <si>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</si>
  <si>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</si>
  <si>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</si>
  <si>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</si>
  <si>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</si>
  <si>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</si>
  <si>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</si>
  <si>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</si>
  <si>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</si>
  <si>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</si>
  <si>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</si>
  <si>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</si>
  <si>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</si>
  <si>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</si>
  <si>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</si>
  <si>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</si>
  <si>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</si>
  <si>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</si>
  <si>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</si>
  <si>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</si>
  <si>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</si>
  <si>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</si>
  <si>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</si>
  <si>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</si>
  <si>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</si>
  <si>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</si>
  <si>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</si>
  <si>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</si>
  <si>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</si>
  <si>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</si>
  <si>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</si>
  <si>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</si>
  <si>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</si>
  <si>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</si>
  <si>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</si>
  <si>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</si>
  <si>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</si>
  <si>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</si>
  <si>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</si>
  <si>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</si>
  <si>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</si>
  <si>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</si>
  <si>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</si>
  <si>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</si>
  <si>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</si>
  <si>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</si>
  <si>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</si>
  <si>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</si>
  <si>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</si>
  <si>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</si>
  <si>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</si>
  <si>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</si>
  <si>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</si>
  <si>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</si>
  <si>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</si>
  <si>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</si>
  <si>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</si>
  <si>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</si>
  <si>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</si>
  <si>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</si>
  <si>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</si>
  <si>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</si>
  <si>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</si>
  <si>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</si>
  <si>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</si>
  <si>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</si>
  <si>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</si>
  <si>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</si>
  <si>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</si>
  <si>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</si>
  <si>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</si>
  <si>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</si>
  <si>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</si>
  <si>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</si>
  <si>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</si>
  <si>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</si>
  <si>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</si>
  <si>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</si>
  <si>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</si>
  <si>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</si>
  <si>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</si>
  <si>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</si>
  <si>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</si>
  <si>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</si>
  <si>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</si>
  <si>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</si>
  <si>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</si>
  <si>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</si>
  <si>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</si>
  <si>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</si>
  <si>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</si>
  <si>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</si>
  <si>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</si>
  <si>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</si>
  <si>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</si>
  <si>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</si>
  <si>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</si>
  <si>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</si>
  <si>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</si>
  <si>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</si>
  <si>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</si>
  <si>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</si>
  <si>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</si>
  <si>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</si>
  <si>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</si>
  <si>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</si>
  <si>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</si>
  <si>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</si>
  <si>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</si>
  <si>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</si>
  <si>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</si>
  <si>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</si>
  <si>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</si>
  <si>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</si>
  <si>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</si>
  <si>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</si>
  <si>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</si>
  <si>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</si>
  <si>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</si>
  <si>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</si>
  <si>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</si>
  <si>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</si>
  <si>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</si>
  <si>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</si>
  <si>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</si>
  <si>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</si>
  <si>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</si>
  <si>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</si>
  <si>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</si>
  <si>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</si>
  <si>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</si>
  <si>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</si>
  <si>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</si>
  <si>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</si>
  <si>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</si>
  <si>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</si>
  <si>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</si>
  <si>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</si>
  <si>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</si>
  <si>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</si>
  <si>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</si>
  <si>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</si>
  <si>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</si>
  <si>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</si>
  <si>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</si>
  <si>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</si>
  <si>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</si>
  <si>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</si>
  <si>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</si>
  <si>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</si>
  <si>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</si>
  <si>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</si>
  <si>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</si>
  <si>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</si>
  <si>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</si>
  <si>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</si>
  <si>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</si>
  <si>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</si>
  <si>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</si>
  <si>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</si>
  <si>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</si>
  <si>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</si>
  <si>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</si>
  <si>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</si>
  <si>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</si>
  <si>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</si>
  <si>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</si>
  <si>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</si>
  <si>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</si>
  <si>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</si>
  <si>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</si>
  <si>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</si>
  <si>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</si>
  <si>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</si>
  <si>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</si>
  <si>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</si>
  <si>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</si>
  <si>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</si>
  <si>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</si>
  <si>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</si>
  <si>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</si>
  <si>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</si>
  <si>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</si>
  <si>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</si>
  <si>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</si>
  <si>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</si>
  <si>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</si>
  <si>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</si>
  <si>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</si>
  <si>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</si>
  <si>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</si>
  <si>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</si>
  <si>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</si>
  <si>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</si>
  <si>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</si>
  <si>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</si>
  <si>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</si>
  <si>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</si>
  <si>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</si>
  <si>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</si>
  <si>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</si>
  <si>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</si>
  <si>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</si>
  <si>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</si>
  <si>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</si>
  <si>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</si>
  <si>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</si>
  <si>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</si>
  <si>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</si>
  <si>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</si>
  <si>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</si>
  <si>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</si>
  <si>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</si>
  <si>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</si>
  <si>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</si>
  <si>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</si>
  <si>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</si>
  <si>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</si>
  <si>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</si>
  <si>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</si>
  <si>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</si>
  <si>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</si>
  <si>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</si>
  <si>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</si>
  <si>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</si>
  <si>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</si>
  <si>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</si>
  <si>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</si>
  <si>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</si>
  <si>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</si>
  <si>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</si>
  <si>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</si>
  <si>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</si>
  <si>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</si>
  <si>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</si>
  <si>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</si>
  <si>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</si>
  <si>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</si>
  <si>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</si>
  <si>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</si>
  <si>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</si>
  <si>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</si>
  <si>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</si>
  <si>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</si>
  <si>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</si>
  <si>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</si>
  <si>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</si>
  <si>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</si>
  <si>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</si>
  <si>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</si>
  <si>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</si>
  <si>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</si>
  <si>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</si>
  <si>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</si>
  <si>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</si>
  <si>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</si>
  <si>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</si>
  <si>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</si>
  <si>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</si>
  <si>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</si>
  <si>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</si>
  <si>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</si>
  <si>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</si>
  <si>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</si>
  <si>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</si>
  <si>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</si>
  <si>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</si>
  <si>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</si>
  <si>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</si>
  <si>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</si>
  <si>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</si>
  <si>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</si>
  <si>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</si>
  <si>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</si>
  <si>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</si>
  <si>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</si>
  <si>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</si>
  <si>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</si>
  <si>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</si>
  <si>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</si>
  <si>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</si>
  <si>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</si>
  <si>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</si>
  <si>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</si>
  <si>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</si>
  <si>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</si>
  <si>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</si>
  <si>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</si>
  <si>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</si>
  <si>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</si>
  <si>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</si>
  <si>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</si>
  <si>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</si>
  <si>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</si>
  <si>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</si>
  <si>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</si>
  <si>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</si>
  <si>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</si>
  <si>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</si>
  <si>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</si>
  <si>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</si>
  <si>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</si>
  <si>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</si>
  <si>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</si>
  <si>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</si>
  <si>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</si>
  <si>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</si>
  <si>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</si>
  <si>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</si>
  <si>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</si>
  <si>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</si>
  <si>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</si>
  <si>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</si>
  <si>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</si>
  <si>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</si>
  <si>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</si>
  <si>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</si>
  <si>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</si>
  <si>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</si>
  <si>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</si>
  <si>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</si>
  <si>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</si>
  <si>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</si>
  <si>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</si>
  <si>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</si>
  <si>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</si>
  <si>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</si>
  <si>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</si>
  <si>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</si>
  <si>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</si>
  <si>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</si>
  <si>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</si>
  <si>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</si>
  <si>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</si>
  <si>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</si>
  <si>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</si>
  <si>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</si>
  <si>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</si>
  <si>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</si>
  <si>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</si>
  <si>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</si>
  <si>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</si>
  <si>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</si>
  <si>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</si>
  <si>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</si>
  <si>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</si>
  <si>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</si>
  <si>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</si>
  <si>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</si>
  <si>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</si>
  <si>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</si>
  <si>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</si>
  <si>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</si>
  <si>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</si>
  <si>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</si>
  <si>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</si>
  <si>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</si>
  <si>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</si>
  <si>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</si>
  <si>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</si>
  <si>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</si>
  <si>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</si>
  <si>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</si>
  <si>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</si>
  <si>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</si>
  <si>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</si>
  <si>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</si>
  <si>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</si>
  <si>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</si>
  <si>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</si>
  <si>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</si>
  <si>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</si>
  <si>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</si>
  <si>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</si>
  <si>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</si>
  <si>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</si>
  <si>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</si>
  <si>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</si>
  <si>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</si>
  <si>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</si>
  <si>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</si>
  <si>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</si>
  <si>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</si>
  <si>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</si>
  <si>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</si>
  <si>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</si>
  <si>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</si>
  <si>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</si>
  <si>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</si>
  <si>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</si>
  <si>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</si>
  <si>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</si>
  <si>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</si>
  <si>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</si>
  <si>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</si>
  <si>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</si>
  <si>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</si>
  <si>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</si>
  <si>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</si>
  <si>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</si>
  <si>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</si>
  <si>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</si>
  <si>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</si>
  <si>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</si>
  <si>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</si>
  <si>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</si>
  <si>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</si>
  <si>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</si>
  <si>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</si>
  <si>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</si>
  <si>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</si>
  <si>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</si>
  <si>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</si>
  <si>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</si>
  <si>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</si>
  <si>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</si>
  <si>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</si>
  <si>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</si>
  <si>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</si>
  <si>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</si>
  <si>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</si>
  <si>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</si>
  <si>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</si>
  <si>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</si>
  <si>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</si>
  <si>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</si>
  <si>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</si>
  <si>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</si>
  <si>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</si>
  <si>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</si>
  <si>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</si>
  <si>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</si>
  <si>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</si>
  <si>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</si>
  <si>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</si>
  <si>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</si>
  <si>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</si>
  <si>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</si>
  <si>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</si>
  <si>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</si>
  <si>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</si>
  <si>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</si>
  <si>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</si>
  <si>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</si>
  <si>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</si>
  <si>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</si>
  <si>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</si>
  <si>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</si>
  <si>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</si>
  <si>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</si>
  <si>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</si>
  <si>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</si>
  <si>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</si>
  <si>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</si>
  <si>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</si>
  <si>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</si>
  <si>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</si>
  <si>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</si>
  <si>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</si>
  <si>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</si>
  <si>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</si>
  <si>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</si>
  <si>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</si>
  <si>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</si>
  <si>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</si>
  <si>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</si>
  <si>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</si>
  <si>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</si>
  <si>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</si>
  <si>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</si>
  <si>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</si>
  <si>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</si>
  <si>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</si>
  <si>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</si>
  <si>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</si>
  <si>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</si>
  <si>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</si>
  <si>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</si>
  <si>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</si>
  <si>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</si>
  <si>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</si>
  <si>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</si>
  <si>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</si>
  <si>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</si>
  <si>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</si>
  <si>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</si>
  <si>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</si>
  <si>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</si>
  <si>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</si>
  <si>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</si>
  <si>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</si>
  <si>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</si>
  <si>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</si>
  <si>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</si>
  <si>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</si>
  <si>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</si>
  <si>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</si>
  <si>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</si>
  <si>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</si>
  <si>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</si>
  <si>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</si>
  <si>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</si>
  <si>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</si>
  <si>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</si>
  <si>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</si>
  <si>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</si>
  <si>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</si>
  <si>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</si>
  <si>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</si>
  <si>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</si>
  <si>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</si>
  <si>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</si>
  <si>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</si>
  <si>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</si>
  <si>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</si>
  <si>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</si>
  <si>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</si>
  <si>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</si>
  <si>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</si>
  <si>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</si>
  <si>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</si>
  <si>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</si>
  <si>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</si>
  <si>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</si>
  <si>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</si>
  <si>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</si>
  <si>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</si>
  <si>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</si>
  <si>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</si>
  <si>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</si>
  <si>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</si>
  <si>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</si>
  <si>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</si>
  <si>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</si>
  <si>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</si>
  <si>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</si>
  <si>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</si>
  <si>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</si>
  <si>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</si>
  <si>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</si>
  <si>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</si>
  <si>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</si>
  <si>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</si>
  <si>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</si>
  <si>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</si>
  <si>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</si>
  <si>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</si>
  <si>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</si>
  <si>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</si>
  <si>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</si>
  <si>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</si>
  <si>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</si>
  <si>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</si>
  <si>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</si>
  <si>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</si>
  <si>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</si>
  <si>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</si>
  <si>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</si>
  <si>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</si>
  <si>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</si>
  <si>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</si>
  <si>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</si>
  <si>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</si>
  <si>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</si>
  <si>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</si>
  <si>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</si>
  <si>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</si>
  <si>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</si>
  <si>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</si>
  <si>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</si>
  <si>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</si>
  <si>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</si>
  <si>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</si>
  <si>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</si>
  <si>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</si>
  <si>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</si>
  <si>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</si>
  <si>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</si>
  <si>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</si>
  <si>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</si>
  <si>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</si>
  <si>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</si>
  <si>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</si>
  <si>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</si>
  <si>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</si>
  <si>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</si>
  <si>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</si>
  <si>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</si>
  <si>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</si>
  <si>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</si>
  <si>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</si>
  <si>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</si>
  <si>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</si>
  <si>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</si>
  <si>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</si>
  <si>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</si>
  <si>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</si>
  <si>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</si>
  <si>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</si>
  <si>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</si>
  <si>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</si>
  <si>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</si>
  <si>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</si>
  <si>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</si>
  <si>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</si>
  <si>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</si>
  <si>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</si>
  <si>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</si>
  <si>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</si>
  <si>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</si>
  <si>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</si>
  <si>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</si>
  <si>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</si>
  <si>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</si>
  <si>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</si>
  <si>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</si>
  <si>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</si>
  <si>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</si>
  <si>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</si>
  <si>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</si>
  <si>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</si>
  <si>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</si>
  <si>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</si>
  <si>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</si>
  <si>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</si>
  <si>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</si>
  <si>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</si>
  <si>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</si>
  <si>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</si>
  <si>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</si>
  <si>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</si>
  <si>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</si>
  <si>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</si>
  <si>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</si>
  <si>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</si>
  <si>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</si>
  <si>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</si>
  <si>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</si>
  <si>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</si>
  <si>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</si>
  <si>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</si>
  <si>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</si>
  <si>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</si>
  <si>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</si>
  <si>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</si>
  <si>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</si>
  <si>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</si>
  <si>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</si>
  <si>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</si>
  <si>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</si>
  <si>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</si>
  <si>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</si>
  <si>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</si>
  <si>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</si>
  <si>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</si>
  <si>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</si>
  <si>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</si>
  <si>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</si>
  <si>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</si>
  <si>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</si>
  <si>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</si>
  <si>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</si>
  <si>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</si>
  <si>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</si>
  <si>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</si>
  <si>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</si>
  <si>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</si>
  <si>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</si>
  <si>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</si>
  <si>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</si>
  <si>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</si>
  <si>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</si>
  <si>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</si>
  <si>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</si>
  <si>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</si>
  <si>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</si>
  <si>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</si>
  <si>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</si>
  <si>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</si>
  <si>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</si>
  <si>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</si>
  <si>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</si>
  <si>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</si>
  <si>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</si>
  <si>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</si>
  <si>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</si>
  <si>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</si>
  <si>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</si>
  <si>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</si>
  <si>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</si>
  <si>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</si>
  <si>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</si>
  <si>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</si>
  <si>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</si>
  <si>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</si>
  <si>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</si>
  <si>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</si>
  <si>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</si>
  <si>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</si>
  <si>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</si>
  <si>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</si>
  <si>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</si>
  <si>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</si>
  <si>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</si>
  <si>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</si>
  <si>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</si>
  <si>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</si>
  <si>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</si>
  <si>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</si>
  <si>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</si>
  <si>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</si>
  <si>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</si>
  <si>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</si>
  <si>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</si>
  <si>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</si>
  <si>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</si>
  <si>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</si>
  <si>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</si>
  <si>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</si>
  <si>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</si>
  <si>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</si>
  <si>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</si>
  <si>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</si>
  <si>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</si>
  <si>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</si>
  <si>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</si>
  <si>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</si>
  <si>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</si>
  <si>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</si>
  <si>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</si>
  <si>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</si>
  <si>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</si>
  <si>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</si>
  <si>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</si>
  <si>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</si>
  <si>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</si>
  <si>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</si>
  <si>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</si>
  <si>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</si>
  <si>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</si>
  <si>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</si>
  <si>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</si>
  <si>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</si>
  <si>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</si>
  <si>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</si>
  <si>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</si>
  <si>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</si>
  <si>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</si>
  <si>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</si>
  <si>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</si>
  <si>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</si>
  <si>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</si>
  <si>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</si>
  <si>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</si>
  <si>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</si>
  <si>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</si>
  <si>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</si>
  <si>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</si>
  <si>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</si>
  <si>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</si>
  <si>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</si>
  <si>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</si>
  <si>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</si>
  <si>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</si>
  <si>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</si>
  <si>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</si>
  <si>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</si>
  <si>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</si>
  <si>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</si>
  <si>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</si>
  <si>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</si>
  <si>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</si>
  <si>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</si>
  <si>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</si>
  <si>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</si>
  <si>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</si>
  <si>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</si>
  <si>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</si>
  <si>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</si>
  <si>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</si>
  <si>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</si>
  <si>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</si>
  <si>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</si>
  <si>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</si>
  <si>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</si>
  <si>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</si>
  <si>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</si>
  <si>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</si>
  <si>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</si>
  <si>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</si>
  <si>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</si>
  <si>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</si>
  <si>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</si>
  <si>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</si>
  <si>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</si>
  <si>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</si>
  <si>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</si>
  <si>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</si>
  <si>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</si>
  <si>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</si>
  <si>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</si>
  <si>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</si>
  <si>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</si>
  <si>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</si>
  <si>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</si>
  <si>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</si>
  <si>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</si>
  <si>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</si>
  <si>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</si>
  <si>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</si>
  <si>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</si>
  <si>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</si>
  <si>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</si>
  <si>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Q:\Trabalhos em Andamento\Arthur Boff\8. Planilhas\12. Estrutura de cadastro padrão P01\2020-05-01_AB_Estrutura P01 (REV19).xlsm</t>
  </si>
  <si>
    <t>Column70</t>
  </si>
  <si>
    <t>Column71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</si>
</sst>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1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6"/>
      <tableStyleElement type="headerRow" dxfId="185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Column70" tableColumnId="70"/>
      <queryTableField id="71" dataBound="0" tableColumnId="7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3" tableType="queryTable" insertRow="1" totalsRowCount="1">
  <autoFilter ref="A1:BS2">
    <filterColumn colId="1">
      <filters>
        <filter val="NEW"/>
      </filters>
    </filterColumn>
  </autoFilter>
  <tableColumns count="71">
    <tableColumn id="1" uniqueName="1" name="PJT" totalsRowLabel="Total" queryTableFieldId="1" dataDxfId="73"/>
    <tableColumn id="2" uniqueName="2" name="STS" queryTableFieldId="2" dataDxfId="72"/>
    <tableColumn id="3" uniqueName="3" name="Código P01" queryTableFieldId="3" dataDxfId="71"/>
    <tableColumn id="4" uniqueName="4" name="Descrição P01" queryTableFieldId="4" dataDxfId="70"/>
    <tableColumn id="5" uniqueName="5" name="Modelo" queryTableFieldId="5" dataDxfId="69"/>
    <tableColumn id="6" uniqueName="6" name="Descrição do Modelo" queryTableFieldId="6" dataDxfId="68"/>
    <tableColumn id="7" uniqueName="7" name="Centro" queryTableFieldId="7" dataDxfId="67"/>
    <tableColumn id="8" uniqueName="8" name="Comprimento_x000a_Final" queryTableFieldId="8" dataDxfId="66"/>
    <tableColumn id="9" uniqueName="9" name="Peso Kg/m" queryTableFieldId="9" dataDxfId="65"/>
    <tableColumn id="10" uniqueName="10" name="KG/PC" queryTableFieldId="10" dataDxfId="64"/>
    <tableColumn id="11" uniqueName="11" name="Hierarquia 1" queryTableFieldId="11" dataDxfId="63"/>
    <tableColumn id="12" uniqueName="12" name="Hierarquia 2" queryTableFieldId="12" dataDxfId="62"/>
    <tableColumn id="13" uniqueName="13" name="Hierarquia 3" queryTableFieldId="13" dataDxfId="61"/>
    <tableColumn id="14" uniqueName="14" name="Hierarquia 4" queryTableFieldId="14" dataDxfId="60"/>
    <tableColumn id="15" uniqueName="15" name="Hierarquia 5" queryTableFieldId="15" dataDxfId="59"/>
    <tableColumn id="16" uniqueName="16" name="Hierarquia Final" queryTableFieldId="16" dataDxfId="58"/>
    <tableColumn id="17" uniqueName="17" name="GrPMerc." queryTableFieldId="17" dataDxfId="57"/>
    <tableColumn id="18" uniqueName="18" name="Bitola de Produção_x000a_          Descrição" queryTableFieldId="18" dataDxfId="56"/>
    <tableColumn id="19" uniqueName="19" name="N° SAP da Bitola" queryTableFieldId="19" dataDxfId="55"/>
    <tableColumn id="20" uniqueName="20" name="Unidade de Venda" queryTableFieldId="20" dataDxfId="54"/>
    <tableColumn id="21" uniqueName="21" name="NCM" queryTableFieldId="21" dataDxfId="53"/>
    <tableColumn id="22" uniqueName="22" name="Peças por _x000a_Amarrado" queryTableFieldId="22" dataDxfId="52"/>
    <tableColumn id="23" uniqueName="23" name="Centro de trabalho" queryTableFieldId="23" dataDxfId="51"/>
    <tableColumn id="24" uniqueName="24" name="Tempo_x000a_Setup" queryTableFieldId="24" dataDxfId="50"/>
    <tableColumn id="25" uniqueName="25" name="Tempo de_x000a_Operação" queryTableFieldId="25" dataDxfId="49"/>
    <tableColumn id="26" uniqueName="26" name="Perda de _x000a_Processo" queryTableFieldId="26" dataDxfId="48"/>
    <tableColumn id="27" uniqueName="27" name="Código do componente" queryTableFieldId="27" dataDxfId="47"/>
    <tableColumn id="28" uniqueName="28" name="Comprimento _x000a_do Multiplo" queryTableFieldId="28" dataDxfId="46"/>
    <tableColumn id="29" uniqueName="29" name="Perda em Kg para fabricar 1000 peças do tubo cortado (perda inerente)" queryTableFieldId="29" dataDxfId="45"/>
    <tableColumn id="30" uniqueName="30" name="Quantidade em metros para fabricar 1000 peças + perda de processo" queryTableFieldId="30" dataDxfId="44"/>
    <tableColumn id="31" uniqueName="31" name="Quantidade em peças para fabricar 1000 peças + perda de processo" queryTableFieldId="31" dataDxfId="43"/>
    <tableColumn id="32" uniqueName="32" name="DADOS AO" queryTableFieldId="32" dataDxfId="42"/>
    <tableColumn id="33" uniqueName="33" name="Chave LNTR" queryTableFieldId="33" dataDxfId="41"/>
    <tableColumn id="34" uniqueName="34" name="Espessura nominal" queryTableFieldId="34" dataDxfId="40"/>
    <tableColumn id="35" uniqueName="35" name="Laminação" queryTableFieldId="35" dataDxfId="39"/>
    <tableColumn id="36" uniqueName="36" name="MTH?_x000a_MTL?" queryTableFieldId="36" dataDxfId="38"/>
    <tableColumn id="37" uniqueName="37" name="Espessura Mínima" queryTableFieldId="37" dataDxfId="37"/>
    <tableColumn id="38" uniqueName="38" name="Espessura Máxima" queryTableFieldId="38" dataDxfId="36"/>
    <tableColumn id="39" uniqueName="39" name="Máquina" queryTableFieldId="39" dataDxfId="35"/>
    <tableColumn id="40" uniqueName="40" name="Mapa/Plano de montagem" queryTableFieldId="40" dataDxfId="34"/>
    <tableColumn id="41" uniqueName="41" name="Velocidade_x000a_(m/hr)" queryTableFieldId="41" dataDxfId="33"/>
    <tableColumn id="42" uniqueName="42" name="Nave" queryTableFieldId="42" dataDxfId="32"/>
    <tableColumn id="43" uniqueName="43" name="Tempo de _x000a_pré-instalação" queryTableFieldId="43" dataDxfId="31"/>
    <tableColumn id="44" uniqueName="44" name="Sucata (m)" queryTableFieldId="44" dataDxfId="30"/>
    <tableColumn id="45" uniqueName="45" name="Perda (%)" queryTableFieldId="45" dataDxfId="29"/>
    <tableColumn id="46" uniqueName="46" name="Largura da tira" queryTableFieldId="46" dataDxfId="28"/>
    <tableColumn id="47" uniqueName="47" name="Bobina_x000a_ configuravel?" queryTableFieldId="47" dataDxfId="27"/>
    <tableColumn id="48" uniqueName="48" name="Largura ideal" queryTableFieldId="48" dataDxfId="26"/>
    <tableColumn id="49" uniqueName="49" name="Velocidade_x000a_3000 até 4999" queryTableFieldId="49" dataDxfId="25"/>
    <tableColumn id="50" uniqueName="50" name="Velocidade_x000a_5000 até 8000" queryTableFieldId="50" dataDxfId="24"/>
    <tableColumn id="51" uniqueName="51" name="Velocidade_x000a_8001 até 14000" queryTableFieldId="51" dataDxfId="23"/>
    <tableColumn id="52" uniqueName="52" name="DADOS LNP" queryTableFieldId="52" dataDxfId="22"/>
    <tableColumn id="53" uniqueName="53" name="Cliente" queryTableFieldId="53" dataDxfId="21"/>
    <tableColumn id="54" uniqueName="54" name="Preço de terceirização " queryTableFieldId="54" dataDxfId="20"/>
    <tableColumn id="55" uniqueName="55" name="Centro de Produção" queryTableFieldId="55" dataDxfId="19"/>
    <tableColumn id="56" uniqueName="56" name="Column56" queryTableFieldId="56" dataDxfId="18"/>
    <tableColumn id="57" uniqueName="57" name="Depósito de produção" queryTableFieldId="57" dataDxfId="17"/>
    <tableColumn id="58" uniqueName="58" name="Column58" queryTableFieldId="58" dataDxfId="16"/>
    <tableColumn id="59" uniqueName="59" name="Canal de Distribuição" queryTableFieldId="59" dataDxfId="15"/>
    <tableColumn id="60" uniqueName="60" name="Column60" queryTableFieldId="60" dataDxfId="14"/>
    <tableColumn id="61" uniqueName="61" name="Setor de Atividade" queryTableFieldId="61" dataDxfId="13"/>
    <tableColumn id="62" uniqueName="62" name="Column62" queryTableFieldId="62" dataDxfId="12"/>
    <tableColumn id="63" uniqueName="63" name="Níveis Organizacionais SAP" queryTableFieldId="63" dataDxfId="11"/>
    <tableColumn id="64" uniqueName="64" name="Tipo de Material PROF" queryTableFieldId="64" dataDxfId="10"/>
    <tableColumn id="65" uniqueName="65" name="Geometria CHAR" queryTableFieldId="65" dataDxfId="9"/>
    <tableColumn id="66" uniqueName="66" name="Espessura CHAR" queryTableFieldId="66" dataDxfId="8"/>
    <tableColumn id="67" uniqueName="67" name="Raspagem Interna?" queryTableFieldId="67" dataDxfId="7"/>
    <tableColumn id="68" uniqueName="68" name="Metalização?" queryTableFieldId="68" dataDxfId="6"/>
    <tableColumn id="69" uniqueName="69" name="DADOS VARIANT" queryTableFieldId="69" dataDxfId="5"/>
    <tableColumn id="70" uniqueName="70" name="Column70" queryTableFieldId="70" dataDxfId="4"/>
    <tableColumn id="71" uniqueName="71" name="Column71" totalsRowFunction="count" queryTableFieldId="7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M5" sqref="BM5:BM154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2.140625" style="6" bestFit="1" customWidth="1"/>
    <col min="4" max="4" width="18.42578125" style="6" bestFit="1" customWidth="1"/>
    <col min="5" max="5" width="19.85546875" style="6" bestFit="1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bestFit="1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bestFit="1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bestFit="1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bestFit="1" customWidth="1" collapsed="1"/>
    <col min="63" max="63" width="23.140625" style="6" bestFit="1" customWidth="1"/>
    <col min="64" max="64" width="16.42578125" style="6" customWidth="1"/>
    <col min="65" max="65" width="17" style="6" bestFit="1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bestFit="1" customWidth="1"/>
    <col min="80" max="80" width="16.7109375" style="6" bestFit="1" customWidth="1"/>
    <col min="81" max="81" width="17.5703125" style="6" bestFit="1" customWidth="1"/>
    <col min="82" max="82" width="19.85546875" style="6" bestFit="1" customWidth="1"/>
    <col min="83" max="83" width="16.140625" style="6" bestFit="1" customWidth="1"/>
    <col min="84" max="84" width="20.140625" style="6" bestFit="1" customWidth="1"/>
    <col min="85" max="85" width="21.7109375" style="6" bestFit="1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bestFit="1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7" width="33" style="6" customWidth="1"/>
    <col min="108" max="109" width="33" style="6" bestFit="1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bestFit="1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bestFit="1" customWidth="1"/>
    <col min="143" max="16384" width="9.140625" style="1"/>
  </cols>
  <sheetData>
    <row r="1" spans="1:141" s="34" customFormat="1" x14ac:dyDescent="0.3">
      <c r="A1" s="7" t="s">
        <v>28</v>
      </c>
      <c r="L1" s="71" t="s">
        <v>170</v>
      </c>
      <c r="AN1" s="71" t="s">
        <v>127</v>
      </c>
      <c r="AZ1" s="34" t="s">
        <v>319</v>
      </c>
      <c r="BJ1" s="70" t="s">
        <v>320</v>
      </c>
      <c r="BK1" s="71"/>
      <c r="DW1" s="70" t="s">
        <v>761</v>
      </c>
      <c r="EG1" s="61"/>
      <c r="EK1" s="56"/>
    </row>
    <row r="2" spans="1:141" s="41" customFormat="1" x14ac:dyDescent="0.3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7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0"/>
      <c r="BK2" s="7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1"/>
      <c r="EH2" s="34"/>
      <c r="EI2" s="34"/>
      <c r="EJ2" s="34"/>
    </row>
    <row r="3" spans="1:141" s="9" customFormat="1" ht="15" customHeight="1" x14ac:dyDescent="0.3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2" t="s">
        <v>155</v>
      </c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59" t="s">
        <v>783</v>
      </c>
      <c r="EE3" s="27" t="s">
        <v>785</v>
      </c>
      <c r="EF3" s="27" t="s">
        <v>786</v>
      </c>
      <c r="EG3" s="62" t="s">
        <v>788</v>
      </c>
      <c r="EH3" s="62" t="s">
        <v>949</v>
      </c>
      <c r="EI3" s="27" t="s">
        <v>790</v>
      </c>
      <c r="EJ3" s="27" t="s">
        <v>792</v>
      </c>
      <c r="EK3" s="56" t="s">
        <v>32</v>
      </c>
    </row>
    <row r="4" spans="1:141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950</v>
      </c>
      <c r="EI4" s="14" t="s">
        <v>791</v>
      </c>
      <c r="EJ4" s="14" t="s">
        <v>793</v>
      </c>
      <c r="EK4" s="5" t="s">
        <v>948</v>
      </c>
    </row>
    <row r="5" spans="1:141" x14ac:dyDescent="0.3">
      <c r="A5" s="7" t="str">
        <f>"Execução "&amp;ROW()-4</f>
        <v>Execução 1</v>
      </c>
      <c r="B5" s="42"/>
      <c r="C5" s="43" t="str">
        <f>IF(IFERROR(INDEX(Consulta!$A:$DF,MATCH('MM01'!$B5,Consulta!$C:$C,0),'MM01'!C$2),"")=0,"",IFERROR(INDEX(Consulta!$A:$DF,MATCH('MM01'!$B5,Consulta!$C:$C,0),'MM01'!C$2),""))</f>
        <v/>
      </c>
      <c r="D5" s="43" t="str">
        <f>IF(IFERROR(INDEX(Consulta!$A:$DF,MATCH('MM01'!$B5,Consulta!$C:$C,0),'MM01'!D$2),"")=0,"",IFERROR(INDEX(Consulta!$A:$DF,MATCH('MM01'!$B5,Consulta!$C:$C,0),'MM01'!D$2),""))</f>
        <v/>
      </c>
      <c r="E5" s="43" t="str">
        <f>IF(IFERROR(INDEX(Consulta!$A:$DF,MATCH('MM01'!$B5,Consulta!$C:$C,0),'MM01'!E$2),"")=0,"",IFERROR(INDEX(Consulta!$A:$DF,MATCH('MM01'!$B5,Consulta!$C:$C,0),'MM01'!E$2),""))</f>
        <v/>
      </c>
      <c r="F5" s="44" t="s">
        <v>100</v>
      </c>
      <c r="G5" s="49" t="str">
        <f>IF(IFERROR(INDEX(Consulta!$A:$DF,MATCH('MM01'!$B5,Consulta!$C:$C,0),'MM01'!G$2),"")=0,"",IFERROR(INDEX(Consulta!$A:$DF,MATCH('MM01'!$B5,Consulta!$C:$C,0),'MM01'!G$2),""))</f>
        <v/>
      </c>
      <c r="H5" s="49" t="str">
        <f>IF(IFERROR(INDEX(Consulta!$A:$DF,MATCH('MM01'!$B5,Consulta!$C:$C,0),'MM01'!H$2),"")=0,"",IFERROR(INDEX(Consulta!$A:$DF,MATCH('MM01'!$B5,Consulta!$C:$C,0),'MM01'!H$2),""))</f>
        <v/>
      </c>
      <c r="I5" s="49" t="str">
        <f>G5</f>
        <v/>
      </c>
      <c r="J5" s="49" t="str">
        <f>IF(IFERROR(INDEX(Consulta!$A:$DF,MATCH('MM01'!$B5,Consulta!$C:$C,0),'MM01'!J$2),"")=0,"",IFERROR(INDEX(Consulta!$A:$DF,MATCH('MM01'!$B5,Consulta!$C:$C,0),'MM01'!J$2),""))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IF(IFERROR(INDEX(Consulta!$A:$DF,MATCH('MM01'!$B5,Consulta!$C:$C,0),'MM01'!AP$2),"")=0,"",IFERROR(INDEX(Consulta!$A:$DF,MATCH('MM01'!$B5,Consulta!$C:$C,0),'MM01'!AP$2),""))</f>
        <v/>
      </c>
      <c r="AQ5" s="45"/>
      <c r="AR5" s="43" t="str">
        <f>IF(IFERROR(INDEX(Consulta!$A:$DF,MATCH('MM01'!$B5,Consulta!$C:$C,0),'MM01'!AR$2),"")=0,"",IFERROR(INDEX(Consulta!$A:$DF,MATCH('MM01'!$B5,Consulta!$C:$C,0),'MM01'!AR$2),""))</f>
        <v/>
      </c>
      <c r="AS5" s="43" t="str">
        <f>IF(IFERROR(INDEX(Consulta!$A:$DF,MATCH('MM01'!$B5,Consulta!$C:$C,0),'MM01'!AS$2),"")=0,"",IF(AR5="68",5102,IFERROR(INDEX(Consulta!$A:$DF,MATCH('MM01'!$B5,Consulta!$C:$C,0),'MM01'!AS$2),"")))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IF(IFERROR(INDEX(Consulta!$A:$DF,MATCH('MM01'!$B5,Consulta!$C:$C,0),'MM01'!AW$2),"")=0,"",IFERROR(ROUND(INDEX(Consulta!$A:$DF,MATCH('MM01'!$B5,Consulta!$C:$C,0),'MM01'!AW$2),3),""))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IF(IFERROR(INDEX(Consulta!$A:$DF,MATCH('MM01'!$B5,Consulta!$C:$C,0),'MM01'!BA$2),"")=0,"",IFERROR(INDEX(Consulta!$A:$DF,MATCH('MM01'!$B5,Consulta!$C:$C,0),'MM01'!BA$2),""))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IF(IFERROR(INDEX(Consulta!$A:$DF,MATCH('MM01'!$B5,Consulta!$C:$C,0),'MM01'!BL$2),"")=0,"",IFERROR(INDEX(Consulta!$A:$DF,MATCH('MM01'!$B5,Consulta!$C:$C,0),'MM01'!BL$2),""))</f>
        <v/>
      </c>
      <c r="BM5" s="45">
        <v>99</v>
      </c>
      <c r="BN5" s="46" t="str">
        <f ca="1">IF(BM5&lt;&gt;0,TEXT(TODAY(),"DD.MM.AAAA"),"")</f>
        <v>28.04.2022</v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IF(IFERROR(INDEX(Consulta!$A:$DF,MATCH('MM01'!$B5,Consulta!$C:$C,0),'MM01'!BX$2),"")=0,"",IFERROR(INDEX(Consulta!$A:$DF,MATCH('MM01'!$B5,Consulta!$C:$C,0),'MM01'!BX$2),""))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IF(IFERROR(INDEX(Consulta!$A:$DF,MATCH('MM01'!$B5,Consulta!$C:$C,0),'MM01'!CT$2),"")=0,"",IFERROR(INDEX(Consulta!$A:$DF,MATCH('MM01'!$B5,Consulta!$C:$C,0),'MM01'!CT$2),""))</f>
        <v/>
      </c>
      <c r="CU5" s="43" t="str">
        <f>IF(IFERROR(INDEX(Consulta!$A:$DF,MATCH('MM01'!$B5,Consulta!$C:$C,0),'MM01'!CU$2),"")=0,"",IFERROR(INDEX(Consulta!$A:$DF,MATCH('MM01'!$B5,Consulta!$C:$C,0),'MM01'!CU$2),""))</f>
        <v/>
      </c>
      <c r="CV5" s="43" t="str">
        <f>IF(IFERROR(INDEX(Consulta!$A:$DF,MATCH('MM01'!$B5,Consulta!$C:$C,0),'MM01'!CV$2),"")=0,"",IFERROR(INDEX(Consulta!$A:$DF,MATCH('MM01'!$B5,Consulta!$C:$C,0),'MM01'!CV$2),""))</f>
        <v/>
      </c>
      <c r="CW5" s="43" t="str">
        <f>IF(IFERROR(INDEX(Consulta!$A:$DF,MATCH('MM01'!$B5,Consulta!$C:$C,0),'MM01'!CW$2),"")=0,"",IFERROR(INDEX(Consulta!$A:$DF,MATCH('MM01'!$B5,Consulta!$C:$C,0),'MM01'!CW$2),""))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IF(IFERROR(INDEX(Consulta!$A:$DF,MATCH('MM01'!$B5,Consulta!$C:$C,0),'MM01'!DA$2),"")=0,"",IFERROR(INDEX(Consulta!$A:$DF,MATCH('MM01'!$B5,Consulta!$C:$C,0),'MM01'!DA$2),""))</f>
        <v/>
      </c>
      <c r="DB5" s="43" t="str">
        <f>IF(E5=0,"",E5)</f>
        <v/>
      </c>
      <c r="DC5" s="43" t="str">
        <f>IF(IFERROR(INDEX(Consulta!$A:$DF,MATCH('MM01'!$B5,Consulta!$C:$C,0),'MM01'!DC$2),"")=0,"",IFERROR(INDEX(Consulta!$A:$DF,MATCH('MM01'!$B5,Consulta!$C:$C,0),'MM01'!DC$2),""))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5" t="s">
        <v>747</v>
      </c>
      <c r="DI5" s="43" t="str">
        <f ca="1">IF(DH5&lt;&gt;0,TEXT(TODAY(),"dd.mm.aaaa"),"")</f>
        <v>28.04.2022</v>
      </c>
      <c r="DJ5" s="43" t="str">
        <f>IF(DH5&lt;&gt;0,"31.12.9999","")</f>
        <v>31.12.9999</v>
      </c>
      <c r="DK5" s="43" t="str">
        <f>IF(DL5&lt;&gt;0,2,"")</f>
        <v/>
      </c>
      <c r="DL5" s="55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5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5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>IF(OR(AO5="M",AO5="KG"),0.01,1)</f>
        <v>0.01</v>
      </c>
      <c r="EA5" s="43" t="str">
        <f>AO5</f>
        <v>M</v>
      </c>
      <c r="EB5" s="43" t="str">
        <f>IF(IFERROR(INDEX(Consulta!$A:$DF,MATCH('MM01'!$B5,Consulta!$C:$C,0),'MM01'!EB$2),"")=0,"7925",IF(IFERROR(INDEX(Consulta!$A:$DF,MATCH('MM01'!$B5,Consulta!$C:$C,0),'MM01'!EB$2),"")="68","7910","7925"))</f>
        <v>7925</v>
      </c>
      <c r="EC5" s="44">
        <v>100</v>
      </c>
      <c r="ED5" s="60">
        <v>1</v>
      </c>
      <c r="EE5" s="43">
        <f>EC5</f>
        <v>100</v>
      </c>
      <c r="EF5" s="44">
        <v>1</v>
      </c>
      <c r="EG5" s="44">
        <v>0</v>
      </c>
      <c r="EH5" s="44" t="s">
        <v>867</v>
      </c>
      <c r="EI5" s="45">
        <v>0</v>
      </c>
      <c r="EJ5" s="43">
        <f>CS5</f>
        <v>5000</v>
      </c>
      <c r="EK5" s="64"/>
    </row>
    <row r="6" spans="1:141" x14ac:dyDescent="0.3">
      <c r="A6" s="7" t="str">
        <f t="shared" ref="A6:A69" si="0">"Execução "&amp;ROW()-4</f>
        <v>Execução 2</v>
      </c>
      <c r="B6" s="42"/>
      <c r="C6" s="43" t="str">
        <f>IF(IFERROR(INDEX(Consulta!$A:$DF,MATCH('MM01'!$B6,Consulta!$C:$C,0),'MM01'!C$2),"")=0,"",IFERROR(INDEX(Consulta!$A:$DF,MATCH('MM01'!$B6,Consulta!$C:$C,0),'MM01'!C$2),""))</f>
        <v/>
      </c>
      <c r="D6" s="43" t="str">
        <f>IF(IFERROR(INDEX(Consulta!$A:$DF,MATCH('MM01'!$B6,Consulta!$C:$C,0),'MM01'!D$2),"")=0,"",IFERROR(INDEX(Consulta!$A:$DF,MATCH('MM01'!$B6,Consulta!$C:$C,0),'MM01'!D$2),""))</f>
        <v/>
      </c>
      <c r="E6" s="43" t="str">
        <f>IF(IFERROR(INDEX(Consulta!$A:$DF,MATCH('MM01'!$B6,Consulta!$C:$C,0),'MM01'!E$2),"")=0,"",IFERROR(INDEX(Consulta!$A:$DF,MATCH('MM01'!$B6,Consulta!$C:$C,0),'MM01'!E$2),""))</f>
        <v/>
      </c>
      <c r="F6" s="44" t="s">
        <v>100</v>
      </c>
      <c r="G6" s="49" t="str">
        <f>IF(IFERROR(INDEX(Consulta!$A:$DF,MATCH('MM01'!$B6,Consulta!$C:$C,0),'MM01'!G$2),"")=0,"",IFERROR(INDEX(Consulta!$A:$DF,MATCH('MM01'!$B6,Consulta!$C:$C,0),'MM01'!G$2),""))</f>
        <v/>
      </c>
      <c r="H6" s="49" t="str">
        <f>IF(IFERROR(INDEX(Consulta!$A:$DF,MATCH('MM01'!$B6,Consulta!$C:$C,0),'MM01'!H$2),"")=0,"",IFERROR(INDEX(Consulta!$A:$DF,MATCH('MM01'!$B6,Consulta!$C:$C,0),'MM01'!H$2),""))</f>
        <v/>
      </c>
      <c r="I6" s="49" t="str">
        <f t="shared" ref="I6:I54" si="1">G6</f>
        <v/>
      </c>
      <c r="J6" s="49" t="str">
        <f>IF(IFERROR(INDEX(Consulta!$A:$DF,MATCH('MM01'!$B6,Consulta!$C:$C,0),'MM01'!J$2),"")=0,"",IFERROR(INDEX(Consulta!$A:$DF,MATCH('MM01'!$B6,Consulta!$C:$C,0),'MM01'!J$2),""))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IF(IFERROR(INDEX(Consulta!$A:$DF,MATCH('MM01'!$B6,Consulta!$C:$C,0),'MM01'!AP$2),"")=0,"",IFERROR(INDEX(Consulta!$A:$DF,MATCH('MM01'!$B6,Consulta!$C:$C,0),'MM01'!AP$2),""))</f>
        <v/>
      </c>
      <c r="AQ6" s="45"/>
      <c r="AR6" s="43" t="str">
        <f>IF(IFERROR(INDEX(Consulta!$A:$DF,MATCH('MM01'!$B6,Consulta!$C:$C,0),'MM01'!AR$2),"")=0,"",IFERROR(INDEX(Consulta!$A:$DF,MATCH('MM01'!$B6,Consulta!$C:$C,0),'MM01'!AR$2),""))</f>
        <v/>
      </c>
      <c r="AS6" s="43" t="str">
        <f>IF(IFERROR(INDEX(Consulta!$A:$DF,MATCH('MM01'!$B6,Consulta!$C:$C,0),'MM01'!AS$2),"")=0,"",IF(AR6="68",5102,IFERROR(INDEX(Consulta!$A:$DF,MATCH('MM01'!$B6,Consulta!$C:$C,0),'MM01'!AS$2),"")))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796</v>
      </c>
      <c r="AW6" s="43" t="str">
        <f>IF(IFERROR(INDEX(Consulta!$A:$DF,MATCH('MM01'!$B6,Consulta!$C:$C,0),'MM01'!AW$2),"")=0,"",IFERROR(ROUND(INDEX(Consulta!$A:$DF,MATCH('MM01'!$B6,Consulta!$C:$C,0),'MM01'!AW$2),3),""))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IF(IFERROR(INDEX(Consulta!$A:$DF,MATCH('MM01'!$B6,Consulta!$C:$C,0),'MM01'!BA$2),"")=0,"",IFERROR(INDEX(Consulta!$A:$DF,MATCH('MM01'!$B6,Consulta!$C:$C,0),'MM01'!BA$2),""))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IF(IFERROR(INDEX(Consulta!$A:$DF,MATCH('MM01'!$B6,Consulta!$C:$C,0),'MM01'!BL$2),"")=0,"",IFERROR(INDEX(Consulta!$A:$DF,MATCH('MM01'!$B6,Consulta!$C:$C,0),'MM01'!BL$2),""))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28.04.2022</v>
      </c>
      <c r="BO6" s="49" t="str">
        <f t="shared" ref="BO6:BO54" si="14">G6</f>
        <v/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IF(IFERROR(INDEX(Consulta!$A:$DF,MATCH('MM01'!$B6,Consulta!$C:$C,0),'MM01'!BX$2),"")=0,"",IFERROR(INDEX(Consulta!$A:$DF,MATCH('MM01'!$B6,Consulta!$C:$C,0),'MM01'!BX$2),""))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15">RIGHT(G6,3)</f>
        <v/>
      </c>
      <c r="CD6" s="45" t="s">
        <v>430</v>
      </c>
      <c r="CE6" s="45">
        <v>1</v>
      </c>
      <c r="CF6" s="45" t="s">
        <v>496</v>
      </c>
      <c r="CG6" s="45"/>
      <c r="CH6" s="44">
        <v>2</v>
      </c>
      <c r="CI6" s="49" t="str">
        <f t="shared" ref="CI6:CI54" si="16">H6</f>
        <v/>
      </c>
      <c r="CJ6" s="49" t="str">
        <f t="shared" ref="CJ6:CJ54" si="17">H6</f>
        <v/>
      </c>
      <c r="CK6" s="45"/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ref="CR6:CR54" si="18">"K00_P_"&amp;G6</f>
        <v>K00_P_</v>
      </c>
      <c r="CS6" s="45">
        <v>5000</v>
      </c>
      <c r="CT6" s="43" t="str">
        <f>IF(IFERROR(INDEX(Consulta!$A:$DF,MATCH('MM01'!$B6,Consulta!$C:$C,0),'MM01'!CT$2),"")=0,"",IFERROR(INDEX(Consulta!$A:$DF,MATCH('MM01'!$B6,Consulta!$C:$C,0),'MM01'!CT$2),""))</f>
        <v/>
      </c>
      <c r="CU6" s="43" t="str">
        <f>IF(IFERROR(INDEX(Consulta!$A:$DF,MATCH('MM01'!$B6,Consulta!$C:$C,0),'MM01'!CU$2),"")=0,"",IFERROR(INDEX(Consulta!$A:$DF,MATCH('MM01'!$B6,Consulta!$C:$C,0),'MM01'!CU$2),""))</f>
        <v/>
      </c>
      <c r="CV6" s="43" t="str">
        <f>IF(IFERROR(INDEX(Consulta!$A:$DF,MATCH('MM01'!$B6,Consulta!$C:$C,0),'MM01'!CV$2),"")=0,"",IFERROR(INDEX(Consulta!$A:$DF,MATCH('MM01'!$B6,Consulta!$C:$C,0),'MM01'!CV$2),""))</f>
        <v/>
      </c>
      <c r="CW6" s="43" t="str">
        <f>IF(IFERROR(INDEX(Consulta!$A:$DF,MATCH('MM01'!$B6,Consulta!$C:$C,0),'MM01'!CW$2),"")=0,"",IFERROR(INDEX(Consulta!$A:$DF,MATCH('MM01'!$B6,Consulta!$C:$C,0),'MM01'!CW$2),""))</f>
        <v/>
      </c>
      <c r="CX6" s="43" t="str">
        <f t="shared" ref="CX6:CX54" si="19">IF(OR(CT6="",CU6="",CV6="",CW6=""),"",CT6&amp;" / "&amp;CU6&amp;" / "&amp;CV6&amp;" / "&amp;CW6)</f>
        <v/>
      </c>
      <c r="CY6" s="43" t="str">
        <f t="shared" ref="CY6:CY54" si="20">IF(OR(D6="MFER",D6="KMAT"),"INITIAL",IF(OR(D6="FERT",D6="HAWZ"),"0000999999",""))</f>
        <v/>
      </c>
      <c r="CZ6" s="43" t="str">
        <f t="shared" ref="CZ6:CZ54" si="21">IF(OR(D6="MFER",D6="KMAT"),"INIT",IF(OR(D6="FERT",D6="HAWZ"),"999999",""))</f>
        <v/>
      </c>
      <c r="DA6" s="43" t="str">
        <f>IF(IFERROR(INDEX(Consulta!$A:$DF,MATCH('MM01'!$B6,Consulta!$C:$C,0),'MM01'!DA$2),"")=0,"",IFERROR(INDEX(Consulta!$A:$DF,MATCH('MM01'!$B6,Consulta!$C:$C,0),'MM01'!DA$2),""))</f>
        <v/>
      </c>
      <c r="DB6" s="43" t="str">
        <f t="shared" ref="DB6:DB54" si="22">IF(E6=0,"",E6)</f>
        <v/>
      </c>
      <c r="DC6" s="43" t="str">
        <f>IF(IFERROR(INDEX(Consulta!$A:$DF,MATCH('MM01'!$B6,Consulta!$C:$C,0),'MM01'!DC$2),"")=0,"",IFERROR(INDEX(Consulta!$A:$DF,MATCH('MM01'!$B6,Consulta!$C:$C,0),'MM01'!DC$2),""))</f>
        <v/>
      </c>
      <c r="DD6" s="45">
        <v>0</v>
      </c>
      <c r="DE6" s="45">
        <v>0</v>
      </c>
      <c r="DF6" s="43" t="str">
        <f t="shared" ref="DF6:DF54" si="23">IFERROR(ROUND(AW6,2),"")</f>
        <v/>
      </c>
      <c r="DG6" s="43">
        <f t="shared" ref="DG6:DG54" si="24">IF(DH6&lt;&gt;0,1,"")</f>
        <v>1</v>
      </c>
      <c r="DH6" s="55" t="s">
        <v>747</v>
      </c>
      <c r="DI6" s="43" t="str">
        <f t="shared" ref="DI6:DI54" ca="1" si="25">IF(DH6&lt;&gt;0,TEXT(TODAY(),"dd.mm.aaaa"),"")</f>
        <v>28.04.2022</v>
      </c>
      <c r="DJ6" s="43" t="str">
        <f t="shared" ref="DJ6:DJ54" si="26">IF(DH6&lt;&gt;0,"31.12.9999","")</f>
        <v>31.12.9999</v>
      </c>
      <c r="DK6" s="43" t="str">
        <f t="shared" ref="DK6:DK54" si="27">IF(DL6&lt;&gt;0,2,"")</f>
        <v/>
      </c>
      <c r="DL6" s="55"/>
      <c r="DM6" s="43" t="str">
        <f t="shared" ref="DM6:DM54" ca="1" si="28">IF(DL6&lt;&gt;0,TEXT(TODAY(),"dd.mm.aaaa"),"")</f>
        <v/>
      </c>
      <c r="DN6" s="43" t="str">
        <f t="shared" ref="DN6:DN54" si="29">IF(DL6&lt;&gt;0,"31.12.9999","")</f>
        <v/>
      </c>
      <c r="DO6" s="43" t="str">
        <f t="shared" ref="DO6:DO54" si="30">IF(DP6&lt;&gt;0,3,"")</f>
        <v/>
      </c>
      <c r="DP6" s="55"/>
      <c r="DQ6" s="43" t="str">
        <f t="shared" ref="DQ6:DQ54" ca="1" si="31">IF(DP6&lt;&gt;0,TEXT(TODAY(),"dd.mm.aaaa"),"")</f>
        <v/>
      </c>
      <c r="DR6" s="43" t="str">
        <f t="shared" ref="DR6:DR54" si="32">IF(DP6&lt;&gt;0,"31.12.9999","")</f>
        <v/>
      </c>
      <c r="DS6" s="43" t="str">
        <f t="shared" ref="DS6:DS54" si="33">IF(DT6&lt;&gt;0,4,"")</f>
        <v/>
      </c>
      <c r="DT6" s="55"/>
      <c r="DU6" s="43" t="str">
        <f t="shared" ref="DU6:DU54" ca="1" si="34">IF(DT6&lt;&gt;0,TEXT(TODAY(),"dd.mm.aaaa"),"")</f>
        <v/>
      </c>
      <c r="DV6" s="43" t="str">
        <f t="shared" ref="DV6:DV54" si="35">IF(DT6&lt;&gt;0,"31.12.9999","")</f>
        <v/>
      </c>
      <c r="DX6" s="44">
        <v>1</v>
      </c>
      <c r="DY6" s="44" t="s">
        <v>774</v>
      </c>
      <c r="DZ6" s="43">
        <f t="shared" ref="DZ6:DZ54" si="36">IF(OR(AO6="M",AO6="KG"),0.01,1)</f>
        <v>0.01</v>
      </c>
      <c r="EA6" s="43" t="str">
        <f t="shared" ref="EA6:EA54" si="37">AO6</f>
        <v>M</v>
      </c>
      <c r="EB6" s="43" t="str">
        <f>IF(IFERROR(INDEX(Consulta!$A:$DF,MATCH('MM01'!$B6,Consulta!$C:$C,0),'MM01'!EB$2),"")=0,"7925",IF(IFERROR(INDEX(Consulta!$A:$DF,MATCH('MM01'!$B6,Consulta!$C:$C,0),'MM01'!EB$2),"")="68","7910","7925"))</f>
        <v>7925</v>
      </c>
      <c r="EC6" s="44">
        <v>100</v>
      </c>
      <c r="ED6" s="60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867</v>
      </c>
      <c r="EI6" s="45">
        <v>0</v>
      </c>
      <c r="EJ6" s="43">
        <f t="shared" ref="EJ6:EJ54" si="39">CS6</f>
        <v>5000</v>
      </c>
      <c r="EK6" s="65"/>
    </row>
    <row r="7" spans="1:141" x14ac:dyDescent="0.3">
      <c r="A7" s="7" t="str">
        <f t="shared" si="0"/>
        <v>Execução 3</v>
      </c>
      <c r="B7" s="42"/>
      <c r="C7" s="43" t="str">
        <f>IF(IFERROR(INDEX(Consulta!$A:$DF,MATCH('MM01'!$B7,Consulta!$C:$C,0),'MM01'!C$2),"")=0,"",IFERROR(INDEX(Consulta!$A:$DF,MATCH('MM01'!$B7,Consulta!$C:$C,0),'MM01'!C$2),""))</f>
        <v/>
      </c>
      <c r="D7" s="43" t="str">
        <f>IF(IFERROR(INDEX(Consulta!$A:$DF,MATCH('MM01'!$B7,Consulta!$C:$C,0),'MM01'!D$2),"")=0,"",IFERROR(INDEX(Consulta!$A:$DF,MATCH('MM01'!$B7,Consulta!$C:$C,0),'MM01'!D$2),""))</f>
        <v/>
      </c>
      <c r="E7" s="43" t="str">
        <f>IF(IFERROR(INDEX(Consulta!$A:$DF,MATCH('MM01'!$B7,Consulta!$C:$C,0),'MM01'!E$2),"")=0,"",IFERROR(INDEX(Consulta!$A:$DF,MATCH('MM01'!$B7,Consulta!$C:$C,0),'MM01'!E$2),""))</f>
        <v/>
      </c>
      <c r="F7" s="44" t="s">
        <v>100</v>
      </c>
      <c r="G7" s="49" t="str">
        <f>IF(IFERROR(INDEX(Consulta!$A:$DF,MATCH('MM01'!$B7,Consulta!$C:$C,0),'MM01'!G$2),"")=0,"",IFERROR(INDEX(Consulta!$A:$DF,MATCH('MM01'!$B7,Consulta!$C:$C,0),'MM01'!G$2),""))</f>
        <v/>
      </c>
      <c r="H7" s="49" t="str">
        <f>IF(IFERROR(INDEX(Consulta!$A:$DF,MATCH('MM01'!$B7,Consulta!$C:$C,0),'MM01'!H$2),"")=0,"",IFERROR(INDEX(Consulta!$A:$DF,MATCH('MM01'!$B7,Consulta!$C:$C,0),'MM01'!H$2),""))</f>
        <v/>
      </c>
      <c r="I7" s="49" t="str">
        <f t="shared" si="1"/>
        <v/>
      </c>
      <c r="J7" s="49" t="str">
        <f>IF(IFERROR(INDEX(Consulta!$A:$DF,MATCH('MM01'!$B7,Consulta!$C:$C,0),'MM01'!J$2),"")=0,"",IFERROR(INDEX(Consulta!$A:$DF,MATCH('MM01'!$B7,Consulta!$C:$C,0),'MM01'!J$2),""))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IF(IFERROR(INDEX(Consulta!$A:$DF,MATCH('MM01'!$B7,Consulta!$C:$C,0),'MM01'!AP$2),"")=0,"",IFERROR(INDEX(Consulta!$A:$DF,MATCH('MM01'!$B7,Consulta!$C:$C,0),'MM01'!AP$2),""))</f>
        <v/>
      </c>
      <c r="AQ7" s="45"/>
      <c r="AR7" s="43" t="str">
        <f>IF(IFERROR(INDEX(Consulta!$A:$DF,MATCH('MM01'!$B7,Consulta!$C:$C,0),'MM01'!AR$2),"")=0,"",IFERROR(INDEX(Consulta!$A:$DF,MATCH('MM01'!$B7,Consulta!$C:$C,0),'MM01'!AR$2),""))</f>
        <v/>
      </c>
      <c r="AS7" s="43" t="str">
        <f>IF(IFERROR(INDEX(Consulta!$A:$DF,MATCH('MM01'!$B7,Consulta!$C:$C,0),'MM01'!AS$2),"")=0,"",IF(AR7="68",5102,IFERROR(INDEX(Consulta!$A:$DF,MATCH('MM01'!$B7,Consulta!$C:$C,0),'MM01'!AS$2),"")))</f>
        <v/>
      </c>
      <c r="AT7" s="45"/>
      <c r="AU7" s="46" t="str">
        <f t="shared" ca="1" si="3"/>
        <v/>
      </c>
      <c r="AV7" s="47" t="s">
        <v>796</v>
      </c>
      <c r="AW7" s="43" t="str">
        <f>IF(IFERROR(INDEX(Consulta!$A:$DF,MATCH('MM01'!$B7,Consulta!$C:$C,0),'MM01'!AW$2),"")=0,"",IFERROR(ROUND(INDEX(Consulta!$A:$DF,MATCH('MM01'!$B7,Consulta!$C:$C,0),'MM01'!AW$2),3),""))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IF(IFERROR(INDEX(Consulta!$A:$DF,MATCH('MM01'!$B7,Consulta!$C:$C,0),'MM01'!BA$2),"")=0,"",IFERROR(INDEX(Consulta!$A:$DF,MATCH('MM01'!$B7,Consulta!$C:$C,0),'MM01'!BA$2),""))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IF(IFERROR(INDEX(Consulta!$A:$DF,MATCH('MM01'!$B7,Consulta!$C:$C,0),'MM01'!BL$2),"")=0,"",IFERROR(INDEX(Consulta!$A:$DF,MATCH('MM01'!$B7,Consulta!$C:$C,0),'MM01'!BL$2),""))</f>
        <v/>
      </c>
      <c r="BM7" s="45">
        <v>99</v>
      </c>
      <c r="BN7" s="46" t="str">
        <f t="shared" ca="1" si="13"/>
        <v>28.04.2022</v>
      </c>
      <c r="BO7" s="49" t="str">
        <f t="shared" si="14"/>
        <v/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IF(IFERROR(INDEX(Consulta!$A:$DF,MATCH('MM01'!$B7,Consulta!$C:$C,0),'MM01'!BX$2),"")=0,"",IFERROR(INDEX(Consulta!$A:$DF,MATCH('MM01'!$B7,Consulta!$C:$C,0),'MM01'!BX$2),""))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15"/>
        <v/>
      </c>
      <c r="CD7" s="45" t="s">
        <v>430</v>
      </c>
      <c r="CE7" s="45">
        <v>1</v>
      </c>
      <c r="CF7" s="45" t="s">
        <v>496</v>
      </c>
      <c r="CG7" s="45"/>
      <c r="CH7" s="44">
        <v>2</v>
      </c>
      <c r="CI7" s="49" t="str">
        <f t="shared" si="16"/>
        <v/>
      </c>
      <c r="CJ7" s="49" t="str">
        <f t="shared" si="17"/>
        <v/>
      </c>
      <c r="CK7" s="45"/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8"/>
        <v>K00_P_</v>
      </c>
      <c r="CS7" s="45">
        <v>5000</v>
      </c>
      <c r="CT7" s="43" t="str">
        <f>IF(IFERROR(INDEX(Consulta!$A:$DF,MATCH('MM01'!$B7,Consulta!$C:$C,0),'MM01'!CT$2),"")=0,"",IFERROR(INDEX(Consulta!$A:$DF,MATCH('MM01'!$B7,Consulta!$C:$C,0),'MM01'!CT$2),""))</f>
        <v/>
      </c>
      <c r="CU7" s="43" t="str">
        <f>IF(IFERROR(INDEX(Consulta!$A:$DF,MATCH('MM01'!$B7,Consulta!$C:$C,0),'MM01'!CU$2),"")=0,"",IFERROR(INDEX(Consulta!$A:$DF,MATCH('MM01'!$B7,Consulta!$C:$C,0),'MM01'!CU$2),""))</f>
        <v/>
      </c>
      <c r="CV7" s="43" t="str">
        <f>IF(IFERROR(INDEX(Consulta!$A:$DF,MATCH('MM01'!$B7,Consulta!$C:$C,0),'MM01'!CV$2),"")=0,"",IFERROR(INDEX(Consulta!$A:$DF,MATCH('MM01'!$B7,Consulta!$C:$C,0),'MM01'!CV$2),""))</f>
        <v/>
      </c>
      <c r="CW7" s="43" t="str">
        <f>IF(IFERROR(INDEX(Consulta!$A:$DF,MATCH('MM01'!$B7,Consulta!$C:$C,0),'MM01'!CW$2),"")=0,"",IFERROR(INDEX(Consulta!$A:$DF,MATCH('MM01'!$B7,Consulta!$C:$C,0),'MM01'!CW$2),""))</f>
        <v/>
      </c>
      <c r="CX7" s="43" t="str">
        <f t="shared" si="19"/>
        <v/>
      </c>
      <c r="CY7" s="43" t="str">
        <f t="shared" si="20"/>
        <v/>
      </c>
      <c r="CZ7" s="43" t="str">
        <f t="shared" si="21"/>
        <v/>
      </c>
      <c r="DA7" s="43" t="str">
        <f>IF(IFERROR(INDEX(Consulta!$A:$DF,MATCH('MM01'!$B7,Consulta!$C:$C,0),'MM01'!DA$2),"")=0,"",IFERROR(INDEX(Consulta!$A:$DF,MATCH('MM01'!$B7,Consulta!$C:$C,0),'MM01'!DA$2),""))</f>
        <v/>
      </c>
      <c r="DB7" s="43" t="str">
        <f t="shared" si="22"/>
        <v/>
      </c>
      <c r="DC7" s="43" t="str">
        <f>IF(IFERROR(INDEX(Consulta!$A:$DF,MATCH('MM01'!$B7,Consulta!$C:$C,0),'MM01'!DC$2),"")=0,"",IFERROR(INDEX(Consulta!$A:$DF,MATCH('MM01'!$B7,Consulta!$C:$C,0),'MM01'!DC$2),""))</f>
        <v/>
      </c>
      <c r="DD7" s="45">
        <v>0</v>
      </c>
      <c r="DE7" s="45">
        <v>0</v>
      </c>
      <c r="DF7" s="43" t="str">
        <f t="shared" si="23"/>
        <v/>
      </c>
      <c r="DG7" s="43" t="str">
        <f t="shared" si="24"/>
        <v/>
      </c>
      <c r="DH7" s="55"/>
      <c r="DI7" s="43" t="str">
        <f t="shared" ca="1" si="25"/>
        <v/>
      </c>
      <c r="DJ7" s="43" t="str">
        <f t="shared" si="26"/>
        <v/>
      </c>
      <c r="DK7" s="43" t="str">
        <f t="shared" si="27"/>
        <v/>
      </c>
      <c r="DL7" s="55"/>
      <c r="DM7" s="43" t="str">
        <f t="shared" ca="1" si="28"/>
        <v/>
      </c>
      <c r="DN7" s="43" t="str">
        <f t="shared" si="29"/>
        <v/>
      </c>
      <c r="DO7" s="43" t="str">
        <f t="shared" si="30"/>
        <v/>
      </c>
      <c r="DP7" s="55"/>
      <c r="DQ7" s="43" t="str">
        <f t="shared" ca="1" si="31"/>
        <v/>
      </c>
      <c r="DR7" s="43" t="str">
        <f t="shared" si="32"/>
        <v/>
      </c>
      <c r="DS7" s="43" t="str">
        <f t="shared" si="33"/>
        <v/>
      </c>
      <c r="DT7" s="55"/>
      <c r="DU7" s="43" t="str">
        <f t="shared" ca="1" si="34"/>
        <v/>
      </c>
      <c r="DV7" s="43" t="str">
        <f t="shared" si="35"/>
        <v/>
      </c>
      <c r="DX7" s="44">
        <v>1</v>
      </c>
      <c r="DY7" s="44" t="s">
        <v>774</v>
      </c>
      <c r="DZ7" s="43">
        <f t="shared" si="36"/>
        <v>0.01</v>
      </c>
      <c r="EA7" s="43" t="str">
        <f t="shared" si="37"/>
        <v>M</v>
      </c>
      <c r="EB7" s="43" t="str">
        <f>IF(IFERROR(INDEX(Consulta!$A:$DF,MATCH('MM01'!$B7,Consulta!$C:$C,0),'MM01'!EB$2),"")=0,"7925",IF(IFERROR(INDEX(Consulta!$A:$DF,MATCH('MM01'!$B7,Consulta!$C:$C,0),'MM01'!EB$2),"")="68","7910","7925"))</f>
        <v>7925</v>
      </c>
      <c r="EC7" s="44">
        <v>100</v>
      </c>
      <c r="ED7" s="60">
        <v>1</v>
      </c>
      <c r="EE7" s="43">
        <f t="shared" si="38"/>
        <v>100</v>
      </c>
      <c r="EF7" s="44">
        <v>1</v>
      </c>
      <c r="EG7" s="44">
        <v>0</v>
      </c>
      <c r="EH7" s="44" t="s">
        <v>867</v>
      </c>
      <c r="EI7" s="45">
        <v>0</v>
      </c>
      <c r="EJ7" s="43">
        <f t="shared" si="39"/>
        <v>5000</v>
      </c>
      <c r="EK7" s="65"/>
    </row>
    <row r="8" spans="1:141" x14ac:dyDescent="0.3">
      <c r="A8" s="7" t="str">
        <f t="shared" si="0"/>
        <v>Execução 4</v>
      </c>
      <c r="B8" s="42"/>
      <c r="C8" s="43" t="str">
        <f>IF(IFERROR(INDEX(Consulta!$A:$DF,MATCH('MM01'!$B8,Consulta!$C:$C,0),'MM01'!C$2),"")=0,"",IFERROR(INDEX(Consulta!$A:$DF,MATCH('MM01'!$B8,Consulta!$C:$C,0),'MM01'!C$2),""))</f>
        <v/>
      </c>
      <c r="D8" s="43" t="str">
        <f>IF(IFERROR(INDEX(Consulta!$A:$DF,MATCH('MM01'!$B8,Consulta!$C:$C,0),'MM01'!D$2),"")=0,"",IFERROR(INDEX(Consulta!$A:$DF,MATCH('MM01'!$B8,Consulta!$C:$C,0),'MM01'!D$2),""))</f>
        <v/>
      </c>
      <c r="E8" s="43" t="str">
        <f>IF(IFERROR(INDEX(Consulta!$A:$DF,MATCH('MM01'!$B8,Consulta!$C:$C,0),'MM01'!E$2),"")=0,"",IFERROR(INDEX(Consulta!$A:$DF,MATCH('MM01'!$B8,Consulta!$C:$C,0),'MM01'!E$2),""))</f>
        <v/>
      </c>
      <c r="F8" s="44" t="s">
        <v>100</v>
      </c>
      <c r="G8" s="49" t="str">
        <f>IF(IFERROR(INDEX(Consulta!$A:$DF,MATCH('MM01'!$B8,Consulta!$C:$C,0),'MM01'!G$2),"")=0,"",IFERROR(INDEX(Consulta!$A:$DF,MATCH('MM01'!$B8,Consulta!$C:$C,0),'MM01'!G$2),""))</f>
        <v/>
      </c>
      <c r="H8" s="49" t="str">
        <f>IF(IFERROR(INDEX(Consulta!$A:$DF,MATCH('MM01'!$B8,Consulta!$C:$C,0),'MM01'!H$2),"")=0,"",IFERROR(INDEX(Consulta!$A:$DF,MATCH('MM01'!$B8,Consulta!$C:$C,0),'MM01'!H$2),""))</f>
        <v/>
      </c>
      <c r="I8" s="49" t="str">
        <f t="shared" si="1"/>
        <v/>
      </c>
      <c r="J8" s="49" t="str">
        <f>IF(IFERROR(INDEX(Consulta!$A:$DF,MATCH('MM01'!$B8,Consulta!$C:$C,0),'MM01'!J$2),"")=0,"",IFERROR(INDEX(Consulta!$A:$DF,MATCH('MM01'!$B8,Consulta!$C:$C,0),'MM01'!J$2),""))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IF(IFERROR(INDEX(Consulta!$A:$DF,MATCH('MM01'!$B8,Consulta!$C:$C,0),'MM01'!AP$2),"")=0,"",IFERROR(INDEX(Consulta!$A:$DF,MATCH('MM01'!$B8,Consulta!$C:$C,0),'MM01'!AP$2),""))</f>
        <v/>
      </c>
      <c r="AQ8" s="45"/>
      <c r="AR8" s="43" t="str">
        <f>IF(IFERROR(INDEX(Consulta!$A:$DF,MATCH('MM01'!$B8,Consulta!$C:$C,0),'MM01'!AR$2),"")=0,"",IFERROR(INDEX(Consulta!$A:$DF,MATCH('MM01'!$B8,Consulta!$C:$C,0),'MM01'!AR$2),""))</f>
        <v/>
      </c>
      <c r="AS8" s="43" t="str">
        <f>IF(IFERROR(INDEX(Consulta!$A:$DF,MATCH('MM01'!$B8,Consulta!$C:$C,0),'MM01'!AS$2),"")=0,"",IF(AR8="68",5102,IFERROR(INDEX(Consulta!$A:$DF,MATCH('MM01'!$B8,Consulta!$C:$C,0),'MM01'!AS$2),"")))</f>
        <v/>
      </c>
      <c r="AT8" s="45"/>
      <c r="AU8" s="46" t="str">
        <f t="shared" ca="1" si="3"/>
        <v/>
      </c>
      <c r="AV8" s="47" t="s">
        <v>796</v>
      </c>
      <c r="AW8" s="43" t="str">
        <f>IF(IFERROR(INDEX(Consulta!$A:$DF,MATCH('MM01'!$B8,Consulta!$C:$C,0),'MM01'!AW$2),"")=0,"",IFERROR(ROUND(INDEX(Consulta!$A:$DF,MATCH('MM01'!$B8,Consulta!$C:$C,0),'MM01'!AW$2),3),""))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IF(IFERROR(INDEX(Consulta!$A:$DF,MATCH('MM01'!$B8,Consulta!$C:$C,0),'MM01'!BA$2),"")=0,"",IFERROR(INDEX(Consulta!$A:$DF,MATCH('MM01'!$B8,Consulta!$C:$C,0),'MM01'!BA$2),""))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IF(IFERROR(INDEX(Consulta!$A:$DF,MATCH('MM01'!$B8,Consulta!$C:$C,0),'MM01'!BL$2),"")=0,"",IFERROR(INDEX(Consulta!$A:$DF,MATCH('MM01'!$B8,Consulta!$C:$C,0),'MM01'!BL$2),""))</f>
        <v/>
      </c>
      <c r="BM8" s="45">
        <v>99</v>
      </c>
      <c r="BN8" s="46" t="str">
        <f t="shared" ca="1" si="13"/>
        <v>28.04.2022</v>
      </c>
      <c r="BO8" s="49" t="str">
        <f t="shared" si="14"/>
        <v/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IF(IFERROR(INDEX(Consulta!$A:$DF,MATCH('MM01'!$B8,Consulta!$C:$C,0),'MM01'!BX$2),"")=0,"",IFERROR(INDEX(Consulta!$A:$DF,MATCH('MM01'!$B8,Consulta!$C:$C,0),'MM01'!BX$2),""))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15"/>
        <v/>
      </c>
      <c r="CD8" s="45" t="s">
        <v>430</v>
      </c>
      <c r="CE8" s="45">
        <v>1</v>
      </c>
      <c r="CF8" s="45" t="s">
        <v>496</v>
      </c>
      <c r="CG8" s="45"/>
      <c r="CH8" s="44">
        <v>2</v>
      </c>
      <c r="CI8" s="49" t="str">
        <f t="shared" si="16"/>
        <v/>
      </c>
      <c r="CJ8" s="49" t="str">
        <f t="shared" si="17"/>
        <v/>
      </c>
      <c r="CK8" s="45"/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8"/>
        <v>K00_P_</v>
      </c>
      <c r="CS8" s="45">
        <v>5000</v>
      </c>
      <c r="CT8" s="43" t="str">
        <f>IF(IFERROR(INDEX(Consulta!$A:$DF,MATCH('MM01'!$B8,Consulta!$C:$C,0),'MM01'!CT$2),"")=0,"",IFERROR(INDEX(Consulta!$A:$DF,MATCH('MM01'!$B8,Consulta!$C:$C,0),'MM01'!CT$2),""))</f>
        <v/>
      </c>
      <c r="CU8" s="43" t="str">
        <f>IF(IFERROR(INDEX(Consulta!$A:$DF,MATCH('MM01'!$B8,Consulta!$C:$C,0),'MM01'!CU$2),"")=0,"",IFERROR(INDEX(Consulta!$A:$DF,MATCH('MM01'!$B8,Consulta!$C:$C,0),'MM01'!CU$2),""))</f>
        <v/>
      </c>
      <c r="CV8" s="43" t="str">
        <f>IF(IFERROR(INDEX(Consulta!$A:$DF,MATCH('MM01'!$B8,Consulta!$C:$C,0),'MM01'!CV$2),"")=0,"",IFERROR(INDEX(Consulta!$A:$DF,MATCH('MM01'!$B8,Consulta!$C:$C,0),'MM01'!CV$2),""))</f>
        <v/>
      </c>
      <c r="CW8" s="43" t="str">
        <f>IF(IFERROR(INDEX(Consulta!$A:$DF,MATCH('MM01'!$B8,Consulta!$C:$C,0),'MM01'!CW$2),"")=0,"",IFERROR(INDEX(Consulta!$A:$DF,MATCH('MM01'!$B8,Consulta!$C:$C,0),'MM01'!CW$2),""))</f>
        <v/>
      </c>
      <c r="CX8" s="43" t="str">
        <f t="shared" si="19"/>
        <v/>
      </c>
      <c r="CY8" s="43" t="str">
        <f t="shared" si="20"/>
        <v/>
      </c>
      <c r="CZ8" s="43" t="str">
        <f t="shared" si="21"/>
        <v/>
      </c>
      <c r="DA8" s="43" t="str">
        <f>IF(IFERROR(INDEX(Consulta!$A:$DF,MATCH('MM01'!$B8,Consulta!$C:$C,0),'MM01'!DA$2),"")=0,"",IFERROR(INDEX(Consulta!$A:$DF,MATCH('MM01'!$B8,Consulta!$C:$C,0),'MM01'!DA$2),""))</f>
        <v/>
      </c>
      <c r="DB8" s="43" t="str">
        <f t="shared" si="22"/>
        <v/>
      </c>
      <c r="DC8" s="43" t="str">
        <f>IF(IFERROR(INDEX(Consulta!$A:$DF,MATCH('MM01'!$B8,Consulta!$C:$C,0),'MM01'!DC$2),"")=0,"",IFERROR(INDEX(Consulta!$A:$DF,MATCH('MM01'!$B8,Consulta!$C:$C,0),'MM01'!DC$2),""))</f>
        <v/>
      </c>
      <c r="DD8" s="45">
        <v>0</v>
      </c>
      <c r="DE8" s="45">
        <v>0</v>
      </c>
      <c r="DF8" s="43" t="str">
        <f t="shared" si="23"/>
        <v/>
      </c>
      <c r="DG8" s="43" t="str">
        <f t="shared" si="24"/>
        <v/>
      </c>
      <c r="DH8" s="55"/>
      <c r="DI8" s="43" t="str">
        <f t="shared" ca="1" si="25"/>
        <v/>
      </c>
      <c r="DJ8" s="43" t="str">
        <f t="shared" si="26"/>
        <v/>
      </c>
      <c r="DK8" s="43" t="str">
        <f t="shared" si="27"/>
        <v/>
      </c>
      <c r="DL8" s="55"/>
      <c r="DM8" s="43" t="str">
        <f t="shared" ca="1" si="28"/>
        <v/>
      </c>
      <c r="DN8" s="43" t="str">
        <f t="shared" si="29"/>
        <v/>
      </c>
      <c r="DO8" s="43" t="str">
        <f t="shared" si="30"/>
        <v/>
      </c>
      <c r="DP8" s="55"/>
      <c r="DQ8" s="43" t="str">
        <f t="shared" ca="1" si="31"/>
        <v/>
      </c>
      <c r="DR8" s="43" t="str">
        <f t="shared" si="32"/>
        <v/>
      </c>
      <c r="DS8" s="43" t="str">
        <f t="shared" si="33"/>
        <v/>
      </c>
      <c r="DT8" s="55"/>
      <c r="DU8" s="43" t="str">
        <f t="shared" ca="1" si="34"/>
        <v/>
      </c>
      <c r="DV8" s="43" t="str">
        <f t="shared" si="35"/>
        <v/>
      </c>
      <c r="DX8" s="44">
        <v>1</v>
      </c>
      <c r="DY8" s="44" t="s">
        <v>774</v>
      </c>
      <c r="DZ8" s="43">
        <f t="shared" si="36"/>
        <v>0.01</v>
      </c>
      <c r="EA8" s="43" t="str">
        <f t="shared" si="37"/>
        <v>M</v>
      </c>
      <c r="EB8" s="43" t="str">
        <f>IF(IFERROR(INDEX(Consulta!$A:$DF,MATCH('MM01'!$B8,Consulta!$C:$C,0),'MM01'!EB$2),"")=0,"7925",IF(IFERROR(INDEX(Consulta!$A:$DF,MATCH('MM01'!$B8,Consulta!$C:$C,0),'MM01'!EB$2),"")="68","7910","7925"))</f>
        <v>7925</v>
      </c>
      <c r="EC8" s="44">
        <v>100</v>
      </c>
      <c r="ED8" s="60">
        <v>1</v>
      </c>
      <c r="EE8" s="43">
        <f t="shared" si="38"/>
        <v>100</v>
      </c>
      <c r="EF8" s="44">
        <v>1</v>
      </c>
      <c r="EG8" s="44">
        <v>0</v>
      </c>
      <c r="EH8" s="44" t="s">
        <v>867</v>
      </c>
      <c r="EI8" s="45">
        <v>0</v>
      </c>
      <c r="EJ8" s="43">
        <f t="shared" si="39"/>
        <v>5000</v>
      </c>
      <c r="EK8" s="65"/>
    </row>
    <row r="9" spans="1:141" x14ac:dyDescent="0.3">
      <c r="A9" s="7" t="str">
        <f t="shared" si="0"/>
        <v>Execução 5</v>
      </c>
      <c r="B9" s="42"/>
      <c r="C9" s="43" t="str">
        <f>IF(IFERROR(INDEX(Consulta!$A:$DF,MATCH('MM01'!$B9,Consulta!$C:$C,0),'MM01'!C$2),"")=0,"",IFERROR(INDEX(Consulta!$A:$DF,MATCH('MM01'!$B9,Consulta!$C:$C,0),'MM01'!C$2),""))</f>
        <v/>
      </c>
      <c r="D9" s="43" t="str">
        <f>IF(IFERROR(INDEX(Consulta!$A:$DF,MATCH('MM01'!$B9,Consulta!$C:$C,0),'MM01'!D$2),"")=0,"",IFERROR(INDEX(Consulta!$A:$DF,MATCH('MM01'!$B9,Consulta!$C:$C,0),'MM01'!D$2),""))</f>
        <v/>
      </c>
      <c r="E9" s="43" t="str">
        <f>IF(IFERROR(INDEX(Consulta!$A:$DF,MATCH('MM01'!$B9,Consulta!$C:$C,0),'MM01'!E$2),"")=0,"",IFERROR(INDEX(Consulta!$A:$DF,MATCH('MM01'!$B9,Consulta!$C:$C,0),'MM01'!E$2),""))</f>
        <v/>
      </c>
      <c r="F9" s="44" t="s">
        <v>100</v>
      </c>
      <c r="G9" s="49" t="str">
        <f>IF(IFERROR(INDEX(Consulta!$A:$DF,MATCH('MM01'!$B9,Consulta!$C:$C,0),'MM01'!G$2),"")=0,"",IFERROR(INDEX(Consulta!$A:$DF,MATCH('MM01'!$B9,Consulta!$C:$C,0),'MM01'!G$2),""))</f>
        <v/>
      </c>
      <c r="H9" s="49" t="str">
        <f>IF(IFERROR(INDEX(Consulta!$A:$DF,MATCH('MM01'!$B9,Consulta!$C:$C,0),'MM01'!H$2),"")=0,"",IFERROR(INDEX(Consulta!$A:$DF,MATCH('MM01'!$B9,Consulta!$C:$C,0),'MM01'!H$2),""))</f>
        <v/>
      </c>
      <c r="I9" s="49" t="str">
        <f t="shared" si="1"/>
        <v/>
      </c>
      <c r="J9" s="49" t="str">
        <f>IF(IFERROR(INDEX(Consulta!$A:$DF,MATCH('MM01'!$B9,Consulta!$C:$C,0),'MM01'!J$2),"")=0,"",IFERROR(INDEX(Consulta!$A:$DF,MATCH('MM01'!$B9,Consulta!$C:$C,0),'MM01'!J$2),""))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IF(IFERROR(INDEX(Consulta!$A:$DF,MATCH('MM01'!$B9,Consulta!$C:$C,0),'MM01'!AP$2),"")=0,"",IFERROR(INDEX(Consulta!$A:$DF,MATCH('MM01'!$B9,Consulta!$C:$C,0),'MM01'!AP$2),""))</f>
        <v/>
      </c>
      <c r="AQ9" s="45"/>
      <c r="AR9" s="43" t="str">
        <f>IF(IFERROR(INDEX(Consulta!$A:$DF,MATCH('MM01'!$B9,Consulta!$C:$C,0),'MM01'!AR$2),"")=0,"",IFERROR(INDEX(Consulta!$A:$DF,MATCH('MM01'!$B9,Consulta!$C:$C,0),'MM01'!AR$2),""))</f>
        <v/>
      </c>
      <c r="AS9" s="43" t="str">
        <f>IF(IFERROR(INDEX(Consulta!$A:$DF,MATCH('MM01'!$B9,Consulta!$C:$C,0),'MM01'!AS$2),"")=0,"",IF(AR9="68",5102,IFERROR(INDEX(Consulta!$A:$DF,MATCH('MM01'!$B9,Consulta!$C:$C,0),'MM01'!AS$2),"")))</f>
        <v/>
      </c>
      <c r="AT9" s="45"/>
      <c r="AU9" s="46" t="str">
        <f t="shared" ca="1" si="3"/>
        <v/>
      </c>
      <c r="AV9" s="47" t="s">
        <v>796</v>
      </c>
      <c r="AW9" s="43" t="str">
        <f>IF(IFERROR(INDEX(Consulta!$A:$DF,MATCH('MM01'!$B9,Consulta!$C:$C,0),'MM01'!AW$2),"")=0,"",IFERROR(ROUND(INDEX(Consulta!$A:$DF,MATCH('MM01'!$B9,Consulta!$C:$C,0),'MM01'!AW$2),3),""))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IF(IFERROR(INDEX(Consulta!$A:$DF,MATCH('MM01'!$B9,Consulta!$C:$C,0),'MM01'!BA$2),"")=0,"",IFERROR(INDEX(Consulta!$A:$DF,MATCH('MM01'!$B9,Consulta!$C:$C,0),'MM01'!BA$2),""))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IF(IFERROR(INDEX(Consulta!$A:$DF,MATCH('MM01'!$B9,Consulta!$C:$C,0),'MM01'!BL$2),"")=0,"",IFERROR(INDEX(Consulta!$A:$DF,MATCH('MM01'!$B9,Consulta!$C:$C,0),'MM01'!BL$2),""))</f>
        <v/>
      </c>
      <c r="BM9" s="45">
        <v>99</v>
      </c>
      <c r="BN9" s="46" t="str">
        <f t="shared" ca="1" si="13"/>
        <v>28.04.2022</v>
      </c>
      <c r="BO9" s="49" t="str">
        <f t="shared" si="14"/>
        <v/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IF(IFERROR(INDEX(Consulta!$A:$DF,MATCH('MM01'!$B9,Consulta!$C:$C,0),'MM01'!BX$2),"")=0,"",IFERROR(INDEX(Consulta!$A:$DF,MATCH('MM01'!$B9,Consulta!$C:$C,0),'MM01'!BX$2),""))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15"/>
        <v/>
      </c>
      <c r="CD9" s="45" t="s">
        <v>430</v>
      </c>
      <c r="CE9" s="45">
        <v>1</v>
      </c>
      <c r="CF9" s="45" t="s">
        <v>496</v>
      </c>
      <c r="CG9" s="45"/>
      <c r="CH9" s="44">
        <v>2</v>
      </c>
      <c r="CI9" s="49" t="str">
        <f t="shared" si="16"/>
        <v/>
      </c>
      <c r="CJ9" s="49" t="str">
        <f t="shared" si="17"/>
        <v/>
      </c>
      <c r="CK9" s="45"/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8"/>
        <v>K00_P_</v>
      </c>
      <c r="CS9" s="45">
        <v>5000</v>
      </c>
      <c r="CT9" s="43" t="str">
        <f>IF(IFERROR(INDEX(Consulta!$A:$DF,MATCH('MM01'!$B9,Consulta!$C:$C,0),'MM01'!CT$2),"")=0,"",IFERROR(INDEX(Consulta!$A:$DF,MATCH('MM01'!$B9,Consulta!$C:$C,0),'MM01'!CT$2),""))</f>
        <v/>
      </c>
      <c r="CU9" s="43" t="str">
        <f>IF(IFERROR(INDEX(Consulta!$A:$DF,MATCH('MM01'!$B9,Consulta!$C:$C,0),'MM01'!CU$2),"")=0,"",IFERROR(INDEX(Consulta!$A:$DF,MATCH('MM01'!$B9,Consulta!$C:$C,0),'MM01'!CU$2),""))</f>
        <v/>
      </c>
      <c r="CV9" s="43" t="str">
        <f>IF(IFERROR(INDEX(Consulta!$A:$DF,MATCH('MM01'!$B9,Consulta!$C:$C,0),'MM01'!CV$2),"")=0,"",IFERROR(INDEX(Consulta!$A:$DF,MATCH('MM01'!$B9,Consulta!$C:$C,0),'MM01'!CV$2),""))</f>
        <v/>
      </c>
      <c r="CW9" s="43" t="str">
        <f>IF(IFERROR(INDEX(Consulta!$A:$DF,MATCH('MM01'!$B9,Consulta!$C:$C,0),'MM01'!CW$2),"")=0,"",IFERROR(INDEX(Consulta!$A:$DF,MATCH('MM01'!$B9,Consulta!$C:$C,0),'MM01'!CW$2),""))</f>
        <v/>
      </c>
      <c r="CX9" s="43" t="str">
        <f t="shared" si="19"/>
        <v/>
      </c>
      <c r="CY9" s="43" t="str">
        <f t="shared" si="20"/>
        <v/>
      </c>
      <c r="CZ9" s="43" t="str">
        <f t="shared" si="21"/>
        <v/>
      </c>
      <c r="DA9" s="43" t="str">
        <f>IF(IFERROR(INDEX(Consulta!$A:$DF,MATCH('MM01'!$B9,Consulta!$C:$C,0),'MM01'!DA$2),"")=0,"",IFERROR(INDEX(Consulta!$A:$DF,MATCH('MM01'!$B9,Consulta!$C:$C,0),'MM01'!DA$2),""))</f>
        <v/>
      </c>
      <c r="DB9" s="43" t="str">
        <f t="shared" si="22"/>
        <v/>
      </c>
      <c r="DC9" s="43" t="str">
        <f>IF(IFERROR(INDEX(Consulta!$A:$DF,MATCH('MM01'!$B9,Consulta!$C:$C,0),'MM01'!DC$2),"")=0,"",IFERROR(INDEX(Consulta!$A:$DF,MATCH('MM01'!$B9,Consulta!$C:$C,0),'MM01'!DC$2),""))</f>
        <v/>
      </c>
      <c r="DD9" s="45">
        <v>0</v>
      </c>
      <c r="DE9" s="45">
        <v>0</v>
      </c>
      <c r="DF9" s="43" t="str">
        <f t="shared" si="23"/>
        <v/>
      </c>
      <c r="DG9" s="43" t="str">
        <f t="shared" si="24"/>
        <v/>
      </c>
      <c r="DH9" s="55"/>
      <c r="DI9" s="43" t="str">
        <f t="shared" ca="1" si="25"/>
        <v/>
      </c>
      <c r="DJ9" s="43" t="str">
        <f t="shared" si="26"/>
        <v/>
      </c>
      <c r="DK9" s="43" t="str">
        <f t="shared" si="27"/>
        <v/>
      </c>
      <c r="DL9" s="55"/>
      <c r="DM9" s="43" t="str">
        <f t="shared" ca="1" si="28"/>
        <v/>
      </c>
      <c r="DN9" s="43" t="str">
        <f t="shared" si="29"/>
        <v/>
      </c>
      <c r="DO9" s="43" t="str">
        <f t="shared" si="30"/>
        <v/>
      </c>
      <c r="DP9" s="55"/>
      <c r="DQ9" s="43" t="str">
        <f t="shared" ca="1" si="31"/>
        <v/>
      </c>
      <c r="DR9" s="43" t="str">
        <f t="shared" si="32"/>
        <v/>
      </c>
      <c r="DS9" s="43" t="str">
        <f t="shared" si="33"/>
        <v/>
      </c>
      <c r="DT9" s="55"/>
      <c r="DU9" s="43" t="str">
        <f t="shared" ca="1" si="34"/>
        <v/>
      </c>
      <c r="DV9" s="43" t="str">
        <f t="shared" si="35"/>
        <v/>
      </c>
      <c r="DX9" s="44">
        <v>1</v>
      </c>
      <c r="DY9" s="44" t="s">
        <v>774</v>
      </c>
      <c r="DZ9" s="43">
        <f t="shared" si="36"/>
        <v>0.01</v>
      </c>
      <c r="EA9" s="43" t="str">
        <f t="shared" si="37"/>
        <v>M</v>
      </c>
      <c r="EB9" s="43" t="str">
        <f>IF(IFERROR(INDEX(Consulta!$A:$DF,MATCH('MM01'!$B9,Consulta!$C:$C,0),'MM01'!EB$2),"")=0,"7925",IF(IFERROR(INDEX(Consulta!$A:$DF,MATCH('MM01'!$B9,Consulta!$C:$C,0),'MM01'!EB$2),"")="68","7910","7925"))</f>
        <v>7925</v>
      </c>
      <c r="EC9" s="44">
        <v>100</v>
      </c>
      <c r="ED9" s="60">
        <v>1</v>
      </c>
      <c r="EE9" s="43">
        <f t="shared" si="38"/>
        <v>100</v>
      </c>
      <c r="EF9" s="44">
        <v>1</v>
      </c>
      <c r="EG9" s="44">
        <v>0</v>
      </c>
      <c r="EH9" s="44" t="s">
        <v>867</v>
      </c>
      <c r="EI9" s="45">
        <v>0</v>
      </c>
      <c r="EJ9" s="43">
        <f t="shared" si="39"/>
        <v>5000</v>
      </c>
      <c r="EK9" s="65"/>
    </row>
    <row r="10" spans="1:141" x14ac:dyDescent="0.3">
      <c r="A10" s="7" t="str">
        <f t="shared" si="0"/>
        <v>Execução 6</v>
      </c>
      <c r="B10" s="42"/>
      <c r="C10" s="43" t="str">
        <f>IF(IFERROR(INDEX(Consulta!$A:$DF,MATCH('MM01'!$B10,Consulta!$C:$C,0),'MM01'!C$2),"")=0,"",IFERROR(INDEX(Consulta!$A:$DF,MATCH('MM01'!$B10,Consulta!$C:$C,0),'MM01'!C$2),""))</f>
        <v/>
      </c>
      <c r="D10" s="43" t="str">
        <f>IF(IFERROR(INDEX(Consulta!$A:$DF,MATCH('MM01'!$B10,Consulta!$C:$C,0),'MM01'!D$2),"")=0,"",IFERROR(INDEX(Consulta!$A:$DF,MATCH('MM01'!$B10,Consulta!$C:$C,0),'MM01'!D$2),""))</f>
        <v/>
      </c>
      <c r="E10" s="43" t="str">
        <f>IF(IFERROR(INDEX(Consulta!$A:$DF,MATCH('MM01'!$B10,Consulta!$C:$C,0),'MM01'!E$2),"")=0,"",IFERROR(INDEX(Consulta!$A:$DF,MATCH('MM01'!$B10,Consulta!$C:$C,0),'MM01'!E$2),""))</f>
        <v/>
      </c>
      <c r="F10" s="44" t="s">
        <v>100</v>
      </c>
      <c r="G10" s="49" t="str">
        <f>IF(IFERROR(INDEX(Consulta!$A:$DF,MATCH('MM01'!$B10,Consulta!$C:$C,0),'MM01'!G$2),"")=0,"",IFERROR(INDEX(Consulta!$A:$DF,MATCH('MM01'!$B10,Consulta!$C:$C,0),'MM01'!G$2),""))</f>
        <v/>
      </c>
      <c r="H10" s="49" t="str">
        <f>IF(IFERROR(INDEX(Consulta!$A:$DF,MATCH('MM01'!$B10,Consulta!$C:$C,0),'MM01'!H$2),"")=0,"",IFERROR(INDEX(Consulta!$A:$DF,MATCH('MM01'!$B10,Consulta!$C:$C,0),'MM01'!H$2),""))</f>
        <v/>
      </c>
      <c r="I10" s="49" t="str">
        <f t="shared" si="1"/>
        <v/>
      </c>
      <c r="J10" s="49" t="str">
        <f>IF(IFERROR(INDEX(Consulta!$A:$DF,MATCH('MM01'!$B10,Consulta!$C:$C,0),'MM01'!J$2),"")=0,"",IFERROR(INDEX(Consulta!$A:$DF,MATCH('MM01'!$B10,Consulta!$C:$C,0),'MM01'!J$2),""))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IF(IFERROR(INDEX(Consulta!$A:$DF,MATCH('MM01'!$B10,Consulta!$C:$C,0),'MM01'!AP$2),"")=0,"",IFERROR(INDEX(Consulta!$A:$DF,MATCH('MM01'!$B10,Consulta!$C:$C,0),'MM01'!AP$2),""))</f>
        <v/>
      </c>
      <c r="AQ10" s="45"/>
      <c r="AR10" s="43" t="str">
        <f>IF(IFERROR(INDEX(Consulta!$A:$DF,MATCH('MM01'!$B10,Consulta!$C:$C,0),'MM01'!AR$2),"")=0,"",IFERROR(INDEX(Consulta!$A:$DF,MATCH('MM01'!$B10,Consulta!$C:$C,0),'MM01'!AR$2),""))</f>
        <v/>
      </c>
      <c r="AS10" s="43" t="str">
        <f>IF(IFERROR(INDEX(Consulta!$A:$DF,MATCH('MM01'!$B10,Consulta!$C:$C,0),'MM01'!AS$2),"")=0,"",IF(AR10="68",5102,IFERROR(INDEX(Consulta!$A:$DF,MATCH('MM01'!$B10,Consulta!$C:$C,0),'MM01'!AS$2),"")))</f>
        <v/>
      </c>
      <c r="AT10" s="45"/>
      <c r="AU10" s="46" t="str">
        <f t="shared" ca="1" si="3"/>
        <v/>
      </c>
      <c r="AV10" s="47" t="s">
        <v>796</v>
      </c>
      <c r="AW10" s="43" t="str">
        <f>IF(IFERROR(INDEX(Consulta!$A:$DF,MATCH('MM01'!$B10,Consulta!$C:$C,0),'MM01'!AW$2),"")=0,"",IFERROR(ROUND(INDEX(Consulta!$A:$DF,MATCH('MM01'!$B10,Consulta!$C:$C,0),'MM01'!AW$2),3),""))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IF(IFERROR(INDEX(Consulta!$A:$DF,MATCH('MM01'!$B10,Consulta!$C:$C,0),'MM01'!BA$2),"")=0,"",IFERROR(INDEX(Consulta!$A:$DF,MATCH('MM01'!$B10,Consulta!$C:$C,0),'MM01'!BA$2),""))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IF(IFERROR(INDEX(Consulta!$A:$DF,MATCH('MM01'!$B10,Consulta!$C:$C,0),'MM01'!BL$2),"")=0,"",IFERROR(INDEX(Consulta!$A:$DF,MATCH('MM01'!$B10,Consulta!$C:$C,0),'MM01'!BL$2),""))</f>
        <v/>
      </c>
      <c r="BM10" s="45">
        <v>99</v>
      </c>
      <c r="BN10" s="46" t="str">
        <f t="shared" ca="1" si="13"/>
        <v>28.04.2022</v>
      </c>
      <c r="BO10" s="49" t="str">
        <f t="shared" si="14"/>
        <v/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IF(IFERROR(INDEX(Consulta!$A:$DF,MATCH('MM01'!$B10,Consulta!$C:$C,0),'MM01'!BX$2),"")=0,"",IFERROR(INDEX(Consulta!$A:$DF,MATCH('MM01'!$B10,Consulta!$C:$C,0),'MM01'!BX$2),""))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15"/>
        <v/>
      </c>
      <c r="CD10" s="45" t="s">
        <v>430</v>
      </c>
      <c r="CE10" s="45">
        <v>1</v>
      </c>
      <c r="CF10" s="45" t="s">
        <v>496</v>
      </c>
      <c r="CG10" s="45"/>
      <c r="CH10" s="44">
        <v>2</v>
      </c>
      <c r="CI10" s="49" t="str">
        <f t="shared" si="16"/>
        <v/>
      </c>
      <c r="CJ10" s="49" t="str">
        <f t="shared" si="17"/>
        <v/>
      </c>
      <c r="CK10" s="45"/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8"/>
        <v>K00_P_</v>
      </c>
      <c r="CS10" s="45">
        <v>5000</v>
      </c>
      <c r="CT10" s="43" t="str">
        <f>IF(IFERROR(INDEX(Consulta!$A:$DF,MATCH('MM01'!$B10,Consulta!$C:$C,0),'MM01'!CT$2),"")=0,"",IFERROR(INDEX(Consulta!$A:$DF,MATCH('MM01'!$B10,Consulta!$C:$C,0),'MM01'!CT$2),""))</f>
        <v/>
      </c>
      <c r="CU10" s="43" t="str">
        <f>IF(IFERROR(INDEX(Consulta!$A:$DF,MATCH('MM01'!$B10,Consulta!$C:$C,0),'MM01'!CU$2),"")=0,"",IFERROR(INDEX(Consulta!$A:$DF,MATCH('MM01'!$B10,Consulta!$C:$C,0),'MM01'!CU$2),""))</f>
        <v/>
      </c>
      <c r="CV10" s="43" t="str">
        <f>IF(IFERROR(INDEX(Consulta!$A:$DF,MATCH('MM01'!$B10,Consulta!$C:$C,0),'MM01'!CV$2),"")=0,"",IFERROR(INDEX(Consulta!$A:$DF,MATCH('MM01'!$B10,Consulta!$C:$C,0),'MM01'!CV$2),""))</f>
        <v/>
      </c>
      <c r="CW10" s="43" t="str">
        <f>IF(IFERROR(INDEX(Consulta!$A:$DF,MATCH('MM01'!$B10,Consulta!$C:$C,0),'MM01'!CW$2),"")=0,"",IFERROR(INDEX(Consulta!$A:$DF,MATCH('MM01'!$B10,Consulta!$C:$C,0),'MM01'!CW$2),""))</f>
        <v/>
      </c>
      <c r="CX10" s="43" t="str">
        <f t="shared" si="19"/>
        <v/>
      </c>
      <c r="CY10" s="43" t="str">
        <f t="shared" si="20"/>
        <v/>
      </c>
      <c r="CZ10" s="43" t="str">
        <f t="shared" si="21"/>
        <v/>
      </c>
      <c r="DA10" s="43" t="str">
        <f>IF(IFERROR(INDEX(Consulta!$A:$DF,MATCH('MM01'!$B10,Consulta!$C:$C,0),'MM01'!DA$2),"")=0,"",IFERROR(INDEX(Consulta!$A:$DF,MATCH('MM01'!$B10,Consulta!$C:$C,0),'MM01'!DA$2),""))</f>
        <v/>
      </c>
      <c r="DB10" s="43" t="str">
        <f t="shared" si="22"/>
        <v/>
      </c>
      <c r="DC10" s="43" t="str">
        <f>IF(IFERROR(INDEX(Consulta!$A:$DF,MATCH('MM01'!$B10,Consulta!$C:$C,0),'MM01'!DC$2),"")=0,"",IFERROR(INDEX(Consulta!$A:$DF,MATCH('MM01'!$B10,Consulta!$C:$C,0),'MM01'!DC$2),""))</f>
        <v/>
      </c>
      <c r="DD10" s="45">
        <v>0</v>
      </c>
      <c r="DE10" s="45">
        <v>0</v>
      </c>
      <c r="DF10" s="43" t="str">
        <f t="shared" si="23"/>
        <v/>
      </c>
      <c r="DG10" s="43" t="str">
        <f t="shared" si="24"/>
        <v/>
      </c>
      <c r="DH10" s="55"/>
      <c r="DI10" s="43" t="str">
        <f t="shared" ca="1" si="25"/>
        <v/>
      </c>
      <c r="DJ10" s="43" t="str">
        <f t="shared" si="26"/>
        <v/>
      </c>
      <c r="DK10" s="43" t="str">
        <f t="shared" si="27"/>
        <v/>
      </c>
      <c r="DL10" s="55"/>
      <c r="DM10" s="43" t="str">
        <f t="shared" ca="1" si="28"/>
        <v/>
      </c>
      <c r="DN10" s="43" t="str">
        <f t="shared" si="29"/>
        <v/>
      </c>
      <c r="DO10" s="43" t="str">
        <f t="shared" si="30"/>
        <v/>
      </c>
      <c r="DP10" s="55"/>
      <c r="DQ10" s="43" t="str">
        <f t="shared" ca="1" si="31"/>
        <v/>
      </c>
      <c r="DR10" s="43" t="str">
        <f t="shared" si="32"/>
        <v/>
      </c>
      <c r="DS10" s="43" t="str">
        <f t="shared" si="33"/>
        <v/>
      </c>
      <c r="DT10" s="55"/>
      <c r="DU10" s="43" t="str">
        <f t="shared" ca="1" si="34"/>
        <v/>
      </c>
      <c r="DV10" s="43" t="str">
        <f t="shared" si="35"/>
        <v/>
      </c>
      <c r="DX10" s="44">
        <v>1</v>
      </c>
      <c r="DY10" s="44" t="s">
        <v>774</v>
      </c>
      <c r="DZ10" s="43">
        <f t="shared" si="36"/>
        <v>0.01</v>
      </c>
      <c r="EA10" s="43" t="str">
        <f t="shared" si="37"/>
        <v>M</v>
      </c>
      <c r="EB10" s="43" t="str">
        <f>IF(IFERROR(INDEX(Consulta!$A:$DF,MATCH('MM01'!$B10,Consulta!$C:$C,0),'MM01'!EB$2),"")=0,"7925",IF(IFERROR(INDEX(Consulta!$A:$DF,MATCH('MM01'!$B10,Consulta!$C:$C,0),'MM01'!EB$2),"")="68","7910","7925"))</f>
        <v>7925</v>
      </c>
      <c r="EC10" s="44">
        <v>100</v>
      </c>
      <c r="ED10" s="60">
        <v>1</v>
      </c>
      <c r="EE10" s="43">
        <f t="shared" si="38"/>
        <v>100</v>
      </c>
      <c r="EF10" s="44">
        <v>1</v>
      </c>
      <c r="EG10" s="44">
        <v>0</v>
      </c>
      <c r="EH10" s="44" t="s">
        <v>867</v>
      </c>
      <c r="EI10" s="45">
        <v>0</v>
      </c>
      <c r="EJ10" s="43">
        <f t="shared" si="39"/>
        <v>5000</v>
      </c>
      <c r="EK10" s="65"/>
    </row>
    <row r="11" spans="1:141" x14ac:dyDescent="0.3">
      <c r="A11" s="7" t="str">
        <f t="shared" si="0"/>
        <v>Execução 7</v>
      </c>
      <c r="B11" s="42"/>
      <c r="C11" s="43" t="str">
        <f>IF(IFERROR(INDEX(Consulta!$A:$DF,MATCH('MM01'!$B11,Consulta!$C:$C,0),'MM01'!C$2),"")=0,"",IFERROR(INDEX(Consulta!$A:$DF,MATCH('MM01'!$B11,Consulta!$C:$C,0),'MM01'!C$2),""))</f>
        <v/>
      </c>
      <c r="D11" s="43" t="str">
        <f>IF(IFERROR(INDEX(Consulta!$A:$DF,MATCH('MM01'!$B11,Consulta!$C:$C,0),'MM01'!D$2),"")=0,"",IFERROR(INDEX(Consulta!$A:$DF,MATCH('MM01'!$B11,Consulta!$C:$C,0),'MM01'!D$2),""))</f>
        <v/>
      </c>
      <c r="E11" s="43" t="str">
        <f>IF(IFERROR(INDEX(Consulta!$A:$DF,MATCH('MM01'!$B11,Consulta!$C:$C,0),'MM01'!E$2),"")=0,"",IFERROR(INDEX(Consulta!$A:$DF,MATCH('MM01'!$B11,Consulta!$C:$C,0),'MM01'!E$2),""))</f>
        <v/>
      </c>
      <c r="F11" s="44" t="s">
        <v>100</v>
      </c>
      <c r="G11" s="49" t="str">
        <f>IF(IFERROR(INDEX(Consulta!$A:$DF,MATCH('MM01'!$B11,Consulta!$C:$C,0),'MM01'!G$2),"")=0,"",IFERROR(INDEX(Consulta!$A:$DF,MATCH('MM01'!$B11,Consulta!$C:$C,0),'MM01'!G$2),""))</f>
        <v/>
      </c>
      <c r="H11" s="49" t="str">
        <f>IF(IFERROR(INDEX(Consulta!$A:$DF,MATCH('MM01'!$B11,Consulta!$C:$C,0),'MM01'!H$2),"")=0,"",IFERROR(INDEX(Consulta!$A:$DF,MATCH('MM01'!$B11,Consulta!$C:$C,0),'MM01'!H$2),""))</f>
        <v/>
      </c>
      <c r="I11" s="49" t="str">
        <f t="shared" si="1"/>
        <v/>
      </c>
      <c r="J11" s="49" t="str">
        <f>IF(IFERROR(INDEX(Consulta!$A:$DF,MATCH('MM01'!$B11,Consulta!$C:$C,0),'MM01'!J$2),"")=0,"",IFERROR(INDEX(Consulta!$A:$DF,MATCH('MM01'!$B11,Consulta!$C:$C,0),'MM01'!J$2),""))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IF(IFERROR(INDEX(Consulta!$A:$DF,MATCH('MM01'!$B11,Consulta!$C:$C,0),'MM01'!AP$2),"")=0,"",IFERROR(INDEX(Consulta!$A:$DF,MATCH('MM01'!$B11,Consulta!$C:$C,0),'MM01'!AP$2),""))</f>
        <v/>
      </c>
      <c r="AQ11" s="45"/>
      <c r="AR11" s="43" t="str">
        <f>IF(IFERROR(INDEX(Consulta!$A:$DF,MATCH('MM01'!$B11,Consulta!$C:$C,0),'MM01'!AR$2),"")=0,"",IFERROR(INDEX(Consulta!$A:$DF,MATCH('MM01'!$B11,Consulta!$C:$C,0),'MM01'!AR$2),""))</f>
        <v/>
      </c>
      <c r="AS11" s="43" t="str">
        <f>IF(IFERROR(INDEX(Consulta!$A:$DF,MATCH('MM01'!$B11,Consulta!$C:$C,0),'MM01'!AS$2),"")=0,"",IF(AR11="68",5102,IFERROR(INDEX(Consulta!$A:$DF,MATCH('MM01'!$B11,Consulta!$C:$C,0),'MM01'!AS$2),"")))</f>
        <v/>
      </c>
      <c r="AT11" s="45"/>
      <c r="AU11" s="46" t="str">
        <f t="shared" ca="1" si="3"/>
        <v/>
      </c>
      <c r="AV11" s="47" t="s">
        <v>796</v>
      </c>
      <c r="AW11" s="43" t="str">
        <f>IF(IFERROR(INDEX(Consulta!$A:$DF,MATCH('MM01'!$B11,Consulta!$C:$C,0),'MM01'!AW$2),"")=0,"",IFERROR(ROUND(INDEX(Consulta!$A:$DF,MATCH('MM01'!$B11,Consulta!$C:$C,0),'MM01'!AW$2),3),""))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IF(IFERROR(INDEX(Consulta!$A:$DF,MATCH('MM01'!$B11,Consulta!$C:$C,0),'MM01'!BA$2),"")=0,"",IFERROR(INDEX(Consulta!$A:$DF,MATCH('MM01'!$B11,Consulta!$C:$C,0),'MM01'!BA$2),""))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IF(IFERROR(INDEX(Consulta!$A:$DF,MATCH('MM01'!$B11,Consulta!$C:$C,0),'MM01'!BL$2),"")=0,"",IFERROR(INDEX(Consulta!$A:$DF,MATCH('MM01'!$B11,Consulta!$C:$C,0),'MM01'!BL$2),""))</f>
        <v/>
      </c>
      <c r="BM11" s="45">
        <v>99</v>
      </c>
      <c r="BN11" s="46" t="str">
        <f t="shared" ca="1" si="13"/>
        <v>28.04.2022</v>
      </c>
      <c r="BO11" s="49" t="str">
        <f t="shared" si="14"/>
        <v/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IF(IFERROR(INDEX(Consulta!$A:$DF,MATCH('MM01'!$B11,Consulta!$C:$C,0),'MM01'!BX$2),"")=0,"",IFERROR(INDEX(Consulta!$A:$DF,MATCH('MM01'!$B11,Consulta!$C:$C,0),'MM01'!BX$2),""))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15"/>
        <v/>
      </c>
      <c r="CD11" s="45" t="s">
        <v>430</v>
      </c>
      <c r="CE11" s="45">
        <v>1</v>
      </c>
      <c r="CF11" s="45" t="s">
        <v>496</v>
      </c>
      <c r="CG11" s="45"/>
      <c r="CH11" s="44">
        <v>2</v>
      </c>
      <c r="CI11" s="49" t="str">
        <f t="shared" si="16"/>
        <v/>
      </c>
      <c r="CJ11" s="49" t="str">
        <f t="shared" si="17"/>
        <v/>
      </c>
      <c r="CK11" s="45"/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8"/>
        <v>K00_P_</v>
      </c>
      <c r="CS11" s="45">
        <v>5000</v>
      </c>
      <c r="CT11" s="43" t="str">
        <f>IF(IFERROR(INDEX(Consulta!$A:$DF,MATCH('MM01'!$B11,Consulta!$C:$C,0),'MM01'!CT$2),"")=0,"",IFERROR(INDEX(Consulta!$A:$DF,MATCH('MM01'!$B11,Consulta!$C:$C,0),'MM01'!CT$2),""))</f>
        <v/>
      </c>
      <c r="CU11" s="43" t="str">
        <f>IF(IFERROR(INDEX(Consulta!$A:$DF,MATCH('MM01'!$B11,Consulta!$C:$C,0),'MM01'!CU$2),"")=0,"",IFERROR(INDEX(Consulta!$A:$DF,MATCH('MM01'!$B11,Consulta!$C:$C,0),'MM01'!CU$2),""))</f>
        <v/>
      </c>
      <c r="CV11" s="43" t="str">
        <f>IF(IFERROR(INDEX(Consulta!$A:$DF,MATCH('MM01'!$B11,Consulta!$C:$C,0),'MM01'!CV$2),"")=0,"",IFERROR(INDEX(Consulta!$A:$DF,MATCH('MM01'!$B11,Consulta!$C:$C,0),'MM01'!CV$2),""))</f>
        <v/>
      </c>
      <c r="CW11" s="43" t="str">
        <f>IF(IFERROR(INDEX(Consulta!$A:$DF,MATCH('MM01'!$B11,Consulta!$C:$C,0),'MM01'!CW$2),"")=0,"",IFERROR(INDEX(Consulta!$A:$DF,MATCH('MM01'!$B11,Consulta!$C:$C,0),'MM01'!CW$2),""))</f>
        <v/>
      </c>
      <c r="CX11" s="43" t="str">
        <f t="shared" si="19"/>
        <v/>
      </c>
      <c r="CY11" s="43" t="str">
        <f t="shared" si="20"/>
        <v/>
      </c>
      <c r="CZ11" s="43" t="str">
        <f t="shared" si="21"/>
        <v/>
      </c>
      <c r="DA11" s="43" t="str">
        <f>IF(IFERROR(INDEX(Consulta!$A:$DF,MATCH('MM01'!$B11,Consulta!$C:$C,0),'MM01'!DA$2),"")=0,"",IFERROR(INDEX(Consulta!$A:$DF,MATCH('MM01'!$B11,Consulta!$C:$C,0),'MM01'!DA$2),""))</f>
        <v/>
      </c>
      <c r="DB11" s="43" t="str">
        <f t="shared" si="22"/>
        <v/>
      </c>
      <c r="DC11" s="43" t="str">
        <f>IF(IFERROR(INDEX(Consulta!$A:$DF,MATCH('MM01'!$B11,Consulta!$C:$C,0),'MM01'!DC$2),"")=0,"",IFERROR(INDEX(Consulta!$A:$DF,MATCH('MM01'!$B11,Consulta!$C:$C,0),'MM01'!DC$2),""))</f>
        <v/>
      </c>
      <c r="DD11" s="45">
        <v>0</v>
      </c>
      <c r="DE11" s="45">
        <v>0</v>
      </c>
      <c r="DF11" s="43" t="str">
        <f t="shared" si="23"/>
        <v/>
      </c>
      <c r="DG11" s="43" t="str">
        <f t="shared" si="24"/>
        <v/>
      </c>
      <c r="DH11" s="55"/>
      <c r="DI11" s="43" t="str">
        <f t="shared" ca="1" si="25"/>
        <v/>
      </c>
      <c r="DJ11" s="43" t="str">
        <f t="shared" si="26"/>
        <v/>
      </c>
      <c r="DK11" s="43" t="str">
        <f t="shared" si="27"/>
        <v/>
      </c>
      <c r="DL11" s="55"/>
      <c r="DM11" s="43" t="str">
        <f t="shared" ca="1" si="28"/>
        <v/>
      </c>
      <c r="DN11" s="43" t="str">
        <f t="shared" si="29"/>
        <v/>
      </c>
      <c r="DO11" s="43" t="str">
        <f t="shared" si="30"/>
        <v/>
      </c>
      <c r="DP11" s="55"/>
      <c r="DQ11" s="43" t="str">
        <f t="shared" ca="1" si="31"/>
        <v/>
      </c>
      <c r="DR11" s="43" t="str">
        <f t="shared" si="32"/>
        <v/>
      </c>
      <c r="DS11" s="43" t="str">
        <f t="shared" si="33"/>
        <v/>
      </c>
      <c r="DT11" s="55"/>
      <c r="DU11" s="43" t="str">
        <f t="shared" ca="1" si="34"/>
        <v/>
      </c>
      <c r="DV11" s="43" t="str">
        <f t="shared" si="35"/>
        <v/>
      </c>
      <c r="DX11" s="44">
        <v>1</v>
      </c>
      <c r="DY11" s="44" t="s">
        <v>774</v>
      </c>
      <c r="DZ11" s="43">
        <f t="shared" si="36"/>
        <v>0.01</v>
      </c>
      <c r="EA11" s="43" t="str">
        <f t="shared" si="37"/>
        <v>M</v>
      </c>
      <c r="EB11" s="43" t="str">
        <f>IF(IFERROR(INDEX(Consulta!$A:$DF,MATCH('MM01'!$B11,Consulta!$C:$C,0),'MM01'!EB$2),"")=0,"7925",IF(IFERROR(INDEX(Consulta!$A:$DF,MATCH('MM01'!$B11,Consulta!$C:$C,0),'MM01'!EB$2),"")="68","7910","7925"))</f>
        <v>7925</v>
      </c>
      <c r="EC11" s="44">
        <v>100</v>
      </c>
      <c r="ED11" s="60">
        <v>1</v>
      </c>
      <c r="EE11" s="43">
        <f t="shared" si="38"/>
        <v>100</v>
      </c>
      <c r="EF11" s="44">
        <v>1</v>
      </c>
      <c r="EG11" s="44">
        <v>0</v>
      </c>
      <c r="EH11" s="44" t="s">
        <v>867</v>
      </c>
      <c r="EI11" s="45">
        <v>0</v>
      </c>
      <c r="EJ11" s="43">
        <f t="shared" si="39"/>
        <v>5000</v>
      </c>
      <c r="EK11" s="65"/>
    </row>
    <row r="12" spans="1:141" x14ac:dyDescent="0.3">
      <c r="A12" s="7" t="str">
        <f t="shared" si="0"/>
        <v>Execução 8</v>
      </c>
      <c r="B12" s="42"/>
      <c r="C12" s="43" t="str">
        <f>IF(IFERROR(INDEX(Consulta!$A:$DF,MATCH('MM01'!$B12,Consulta!$C:$C,0),'MM01'!C$2),"")=0,"",IFERROR(INDEX(Consulta!$A:$DF,MATCH('MM01'!$B12,Consulta!$C:$C,0),'MM01'!C$2),""))</f>
        <v/>
      </c>
      <c r="D12" s="43" t="str">
        <f>IF(IFERROR(INDEX(Consulta!$A:$DF,MATCH('MM01'!$B12,Consulta!$C:$C,0),'MM01'!D$2),"")=0,"",IFERROR(INDEX(Consulta!$A:$DF,MATCH('MM01'!$B12,Consulta!$C:$C,0),'MM01'!D$2),""))</f>
        <v/>
      </c>
      <c r="E12" s="43" t="str">
        <f>IF(IFERROR(INDEX(Consulta!$A:$DF,MATCH('MM01'!$B12,Consulta!$C:$C,0),'MM01'!E$2),"")=0,"",IFERROR(INDEX(Consulta!$A:$DF,MATCH('MM01'!$B12,Consulta!$C:$C,0),'MM01'!E$2),""))</f>
        <v/>
      </c>
      <c r="F12" s="44" t="s">
        <v>100</v>
      </c>
      <c r="G12" s="49" t="str">
        <f>IF(IFERROR(INDEX(Consulta!$A:$DF,MATCH('MM01'!$B12,Consulta!$C:$C,0),'MM01'!G$2),"")=0,"",IFERROR(INDEX(Consulta!$A:$DF,MATCH('MM01'!$B12,Consulta!$C:$C,0),'MM01'!G$2),""))</f>
        <v/>
      </c>
      <c r="H12" s="49" t="str">
        <f>IF(IFERROR(INDEX(Consulta!$A:$DF,MATCH('MM01'!$B12,Consulta!$C:$C,0),'MM01'!H$2),"")=0,"",IFERROR(INDEX(Consulta!$A:$DF,MATCH('MM01'!$B12,Consulta!$C:$C,0),'MM01'!H$2),""))</f>
        <v/>
      </c>
      <c r="I12" s="49" t="str">
        <f t="shared" si="1"/>
        <v/>
      </c>
      <c r="J12" s="49" t="str">
        <f>IF(IFERROR(INDEX(Consulta!$A:$DF,MATCH('MM01'!$B12,Consulta!$C:$C,0),'MM01'!J$2),"")=0,"",IFERROR(INDEX(Consulta!$A:$DF,MATCH('MM01'!$B12,Consulta!$C:$C,0),'MM01'!J$2),""))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IF(IFERROR(INDEX(Consulta!$A:$DF,MATCH('MM01'!$B12,Consulta!$C:$C,0),'MM01'!AP$2),"")=0,"",IFERROR(INDEX(Consulta!$A:$DF,MATCH('MM01'!$B12,Consulta!$C:$C,0),'MM01'!AP$2),""))</f>
        <v/>
      </c>
      <c r="AQ12" s="45"/>
      <c r="AR12" s="43" t="str">
        <f>IF(IFERROR(INDEX(Consulta!$A:$DF,MATCH('MM01'!$B12,Consulta!$C:$C,0),'MM01'!AR$2),"")=0,"",IFERROR(INDEX(Consulta!$A:$DF,MATCH('MM01'!$B12,Consulta!$C:$C,0),'MM01'!AR$2),""))</f>
        <v/>
      </c>
      <c r="AS12" s="43" t="str">
        <f>IF(IFERROR(INDEX(Consulta!$A:$DF,MATCH('MM01'!$B12,Consulta!$C:$C,0),'MM01'!AS$2),"")=0,"",IF(AR12="68",5102,IFERROR(INDEX(Consulta!$A:$DF,MATCH('MM01'!$B12,Consulta!$C:$C,0),'MM01'!AS$2),"")))</f>
        <v/>
      </c>
      <c r="AT12" s="45"/>
      <c r="AU12" s="46" t="str">
        <f t="shared" ca="1" si="3"/>
        <v/>
      </c>
      <c r="AV12" s="47" t="s">
        <v>796</v>
      </c>
      <c r="AW12" s="43" t="str">
        <f>IF(IFERROR(INDEX(Consulta!$A:$DF,MATCH('MM01'!$B12,Consulta!$C:$C,0),'MM01'!AW$2),"")=0,"",IFERROR(ROUND(INDEX(Consulta!$A:$DF,MATCH('MM01'!$B12,Consulta!$C:$C,0),'MM01'!AW$2),3),""))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IF(IFERROR(INDEX(Consulta!$A:$DF,MATCH('MM01'!$B12,Consulta!$C:$C,0),'MM01'!BA$2),"")=0,"",IFERROR(INDEX(Consulta!$A:$DF,MATCH('MM01'!$B12,Consulta!$C:$C,0),'MM01'!BA$2),""))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IF(IFERROR(INDEX(Consulta!$A:$DF,MATCH('MM01'!$B12,Consulta!$C:$C,0),'MM01'!BL$2),"")=0,"",IFERROR(INDEX(Consulta!$A:$DF,MATCH('MM01'!$B12,Consulta!$C:$C,0),'MM01'!BL$2),""))</f>
        <v/>
      </c>
      <c r="BM12" s="45">
        <v>99</v>
      </c>
      <c r="BN12" s="46" t="str">
        <f t="shared" ca="1" si="13"/>
        <v>28.04.2022</v>
      </c>
      <c r="BO12" s="49" t="str">
        <f t="shared" si="14"/>
        <v/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IF(IFERROR(INDEX(Consulta!$A:$DF,MATCH('MM01'!$B12,Consulta!$C:$C,0),'MM01'!BX$2),"")=0,"",IFERROR(INDEX(Consulta!$A:$DF,MATCH('MM01'!$B12,Consulta!$C:$C,0),'MM01'!BX$2),""))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15"/>
        <v/>
      </c>
      <c r="CD12" s="45" t="s">
        <v>430</v>
      </c>
      <c r="CE12" s="45">
        <v>1</v>
      </c>
      <c r="CF12" s="45" t="s">
        <v>496</v>
      </c>
      <c r="CG12" s="45"/>
      <c r="CH12" s="44">
        <v>2</v>
      </c>
      <c r="CI12" s="49" t="str">
        <f t="shared" si="16"/>
        <v/>
      </c>
      <c r="CJ12" s="49" t="str">
        <f t="shared" si="17"/>
        <v/>
      </c>
      <c r="CK12" s="45"/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8"/>
        <v>K00_P_</v>
      </c>
      <c r="CS12" s="45">
        <v>5000</v>
      </c>
      <c r="CT12" s="43" t="str">
        <f>IF(IFERROR(INDEX(Consulta!$A:$DF,MATCH('MM01'!$B12,Consulta!$C:$C,0),'MM01'!CT$2),"")=0,"",IFERROR(INDEX(Consulta!$A:$DF,MATCH('MM01'!$B12,Consulta!$C:$C,0),'MM01'!CT$2),""))</f>
        <v/>
      </c>
      <c r="CU12" s="43" t="str">
        <f>IF(IFERROR(INDEX(Consulta!$A:$DF,MATCH('MM01'!$B12,Consulta!$C:$C,0),'MM01'!CU$2),"")=0,"",IFERROR(INDEX(Consulta!$A:$DF,MATCH('MM01'!$B12,Consulta!$C:$C,0),'MM01'!CU$2),""))</f>
        <v/>
      </c>
      <c r="CV12" s="43" t="str">
        <f>IF(IFERROR(INDEX(Consulta!$A:$DF,MATCH('MM01'!$B12,Consulta!$C:$C,0),'MM01'!CV$2),"")=0,"",IFERROR(INDEX(Consulta!$A:$DF,MATCH('MM01'!$B12,Consulta!$C:$C,0),'MM01'!CV$2),""))</f>
        <v/>
      </c>
      <c r="CW12" s="43" t="str">
        <f>IF(IFERROR(INDEX(Consulta!$A:$DF,MATCH('MM01'!$B12,Consulta!$C:$C,0),'MM01'!CW$2),"")=0,"",IFERROR(INDEX(Consulta!$A:$DF,MATCH('MM01'!$B12,Consulta!$C:$C,0),'MM01'!CW$2),""))</f>
        <v/>
      </c>
      <c r="CX12" s="43" t="str">
        <f t="shared" si="19"/>
        <v/>
      </c>
      <c r="CY12" s="43" t="str">
        <f t="shared" si="20"/>
        <v/>
      </c>
      <c r="CZ12" s="43" t="str">
        <f t="shared" si="21"/>
        <v/>
      </c>
      <c r="DA12" s="43" t="str">
        <f>IF(IFERROR(INDEX(Consulta!$A:$DF,MATCH('MM01'!$B12,Consulta!$C:$C,0),'MM01'!DA$2),"")=0,"",IFERROR(INDEX(Consulta!$A:$DF,MATCH('MM01'!$B12,Consulta!$C:$C,0),'MM01'!DA$2),""))</f>
        <v/>
      </c>
      <c r="DB12" s="43" t="str">
        <f t="shared" si="22"/>
        <v/>
      </c>
      <c r="DC12" s="43" t="str">
        <f>IF(IFERROR(INDEX(Consulta!$A:$DF,MATCH('MM01'!$B12,Consulta!$C:$C,0),'MM01'!DC$2),"")=0,"",IFERROR(INDEX(Consulta!$A:$DF,MATCH('MM01'!$B12,Consulta!$C:$C,0),'MM01'!DC$2),""))</f>
        <v/>
      </c>
      <c r="DD12" s="45">
        <v>0</v>
      </c>
      <c r="DE12" s="45">
        <v>0</v>
      </c>
      <c r="DF12" s="43" t="str">
        <f t="shared" si="23"/>
        <v/>
      </c>
      <c r="DG12" s="43" t="str">
        <f t="shared" si="24"/>
        <v/>
      </c>
      <c r="DH12" s="55"/>
      <c r="DI12" s="43" t="str">
        <f t="shared" ca="1" si="25"/>
        <v/>
      </c>
      <c r="DJ12" s="43" t="str">
        <f t="shared" si="26"/>
        <v/>
      </c>
      <c r="DK12" s="43" t="str">
        <f t="shared" si="27"/>
        <v/>
      </c>
      <c r="DL12" s="55"/>
      <c r="DM12" s="43" t="str">
        <f t="shared" ca="1" si="28"/>
        <v/>
      </c>
      <c r="DN12" s="43" t="str">
        <f t="shared" si="29"/>
        <v/>
      </c>
      <c r="DO12" s="43" t="str">
        <f t="shared" si="30"/>
        <v/>
      </c>
      <c r="DP12" s="55"/>
      <c r="DQ12" s="43" t="str">
        <f t="shared" ca="1" si="31"/>
        <v/>
      </c>
      <c r="DR12" s="43" t="str">
        <f t="shared" si="32"/>
        <v/>
      </c>
      <c r="DS12" s="43" t="str">
        <f t="shared" si="33"/>
        <v/>
      </c>
      <c r="DT12" s="55"/>
      <c r="DU12" s="43" t="str">
        <f t="shared" ca="1" si="34"/>
        <v/>
      </c>
      <c r="DV12" s="43" t="str">
        <f t="shared" si="35"/>
        <v/>
      </c>
      <c r="DX12" s="44">
        <v>1</v>
      </c>
      <c r="DY12" s="44" t="s">
        <v>774</v>
      </c>
      <c r="DZ12" s="43">
        <f t="shared" si="36"/>
        <v>0.01</v>
      </c>
      <c r="EA12" s="43" t="str">
        <f t="shared" si="37"/>
        <v>M</v>
      </c>
      <c r="EB12" s="43" t="str">
        <f>IF(IFERROR(INDEX(Consulta!$A:$DF,MATCH('MM01'!$B12,Consulta!$C:$C,0),'MM01'!EB$2),"")=0,"7925",IF(IFERROR(INDEX(Consulta!$A:$DF,MATCH('MM01'!$B12,Consulta!$C:$C,0),'MM01'!EB$2),"")="68","7910","7925"))</f>
        <v>7925</v>
      </c>
      <c r="EC12" s="44">
        <v>100</v>
      </c>
      <c r="ED12" s="60">
        <v>1</v>
      </c>
      <c r="EE12" s="43">
        <f t="shared" si="38"/>
        <v>100</v>
      </c>
      <c r="EF12" s="44">
        <v>1</v>
      </c>
      <c r="EG12" s="44">
        <v>0</v>
      </c>
      <c r="EH12" s="44" t="s">
        <v>867</v>
      </c>
      <c r="EI12" s="45">
        <v>0</v>
      </c>
      <c r="EJ12" s="43">
        <f t="shared" si="39"/>
        <v>5000</v>
      </c>
      <c r="EK12" s="65"/>
    </row>
    <row r="13" spans="1:141" x14ac:dyDescent="0.3">
      <c r="A13" s="7" t="str">
        <f t="shared" si="0"/>
        <v>Execução 9</v>
      </c>
      <c r="B13" s="42"/>
      <c r="C13" s="43" t="str">
        <f>IF(IFERROR(INDEX(Consulta!$A:$DF,MATCH('MM01'!$B13,Consulta!$C:$C,0),'MM01'!C$2),"")=0,"",IFERROR(INDEX(Consulta!$A:$DF,MATCH('MM01'!$B13,Consulta!$C:$C,0),'MM01'!C$2),""))</f>
        <v/>
      </c>
      <c r="D13" s="43" t="str">
        <f>IF(IFERROR(INDEX(Consulta!$A:$DF,MATCH('MM01'!$B13,Consulta!$C:$C,0),'MM01'!D$2),"")=0,"",IFERROR(INDEX(Consulta!$A:$DF,MATCH('MM01'!$B13,Consulta!$C:$C,0),'MM01'!D$2),""))</f>
        <v/>
      </c>
      <c r="E13" s="43" t="str">
        <f>IF(IFERROR(INDEX(Consulta!$A:$DF,MATCH('MM01'!$B13,Consulta!$C:$C,0),'MM01'!E$2),"")=0,"",IFERROR(INDEX(Consulta!$A:$DF,MATCH('MM01'!$B13,Consulta!$C:$C,0),'MM01'!E$2),""))</f>
        <v/>
      </c>
      <c r="F13" s="44" t="s">
        <v>100</v>
      </c>
      <c r="G13" s="49" t="str">
        <f>IF(IFERROR(INDEX(Consulta!$A:$DF,MATCH('MM01'!$B13,Consulta!$C:$C,0),'MM01'!G$2),"")=0,"",IFERROR(INDEX(Consulta!$A:$DF,MATCH('MM01'!$B13,Consulta!$C:$C,0),'MM01'!G$2),""))</f>
        <v/>
      </c>
      <c r="H13" s="49" t="str">
        <f>IF(IFERROR(INDEX(Consulta!$A:$DF,MATCH('MM01'!$B13,Consulta!$C:$C,0),'MM01'!H$2),"")=0,"",IFERROR(INDEX(Consulta!$A:$DF,MATCH('MM01'!$B13,Consulta!$C:$C,0),'MM01'!H$2),""))</f>
        <v/>
      </c>
      <c r="I13" s="49" t="str">
        <f t="shared" si="1"/>
        <v/>
      </c>
      <c r="J13" s="49" t="str">
        <f>IF(IFERROR(INDEX(Consulta!$A:$DF,MATCH('MM01'!$B13,Consulta!$C:$C,0),'MM01'!J$2),"")=0,"",IFERROR(INDEX(Consulta!$A:$DF,MATCH('MM01'!$B13,Consulta!$C:$C,0),'MM01'!J$2),""))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IF(IFERROR(INDEX(Consulta!$A:$DF,MATCH('MM01'!$B13,Consulta!$C:$C,0),'MM01'!AP$2),"")=0,"",IFERROR(INDEX(Consulta!$A:$DF,MATCH('MM01'!$B13,Consulta!$C:$C,0),'MM01'!AP$2),""))</f>
        <v/>
      </c>
      <c r="AQ13" s="45"/>
      <c r="AR13" s="43" t="str">
        <f>IF(IFERROR(INDEX(Consulta!$A:$DF,MATCH('MM01'!$B13,Consulta!$C:$C,0),'MM01'!AR$2),"")=0,"",IFERROR(INDEX(Consulta!$A:$DF,MATCH('MM01'!$B13,Consulta!$C:$C,0),'MM01'!AR$2),""))</f>
        <v/>
      </c>
      <c r="AS13" s="43" t="str">
        <f>IF(IFERROR(INDEX(Consulta!$A:$DF,MATCH('MM01'!$B13,Consulta!$C:$C,0),'MM01'!AS$2),"")=0,"",IF(AR13="68",5102,IFERROR(INDEX(Consulta!$A:$DF,MATCH('MM01'!$B13,Consulta!$C:$C,0),'MM01'!AS$2),"")))</f>
        <v/>
      </c>
      <c r="AT13" s="45"/>
      <c r="AU13" s="46" t="str">
        <f t="shared" ca="1" si="3"/>
        <v/>
      </c>
      <c r="AV13" s="47" t="s">
        <v>796</v>
      </c>
      <c r="AW13" s="43" t="str">
        <f>IF(IFERROR(INDEX(Consulta!$A:$DF,MATCH('MM01'!$B13,Consulta!$C:$C,0),'MM01'!AW$2),"")=0,"",IFERROR(ROUND(INDEX(Consulta!$A:$DF,MATCH('MM01'!$B13,Consulta!$C:$C,0),'MM01'!AW$2),3),""))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IF(IFERROR(INDEX(Consulta!$A:$DF,MATCH('MM01'!$B13,Consulta!$C:$C,0),'MM01'!BA$2),"")=0,"",IFERROR(INDEX(Consulta!$A:$DF,MATCH('MM01'!$B13,Consulta!$C:$C,0),'MM01'!BA$2),""))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IF(IFERROR(INDEX(Consulta!$A:$DF,MATCH('MM01'!$B13,Consulta!$C:$C,0),'MM01'!BL$2),"")=0,"",IFERROR(INDEX(Consulta!$A:$DF,MATCH('MM01'!$B13,Consulta!$C:$C,0),'MM01'!BL$2),""))</f>
        <v/>
      </c>
      <c r="BM13" s="45">
        <v>99</v>
      </c>
      <c r="BN13" s="46" t="str">
        <f t="shared" ca="1" si="13"/>
        <v>28.04.2022</v>
      </c>
      <c r="BO13" s="49" t="str">
        <f t="shared" si="14"/>
        <v/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IF(IFERROR(INDEX(Consulta!$A:$DF,MATCH('MM01'!$B13,Consulta!$C:$C,0),'MM01'!BX$2),"")=0,"",IFERROR(INDEX(Consulta!$A:$DF,MATCH('MM01'!$B13,Consulta!$C:$C,0),'MM01'!BX$2),""))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15"/>
        <v/>
      </c>
      <c r="CD13" s="45" t="s">
        <v>430</v>
      </c>
      <c r="CE13" s="45">
        <v>1</v>
      </c>
      <c r="CF13" s="45" t="s">
        <v>496</v>
      </c>
      <c r="CG13" s="45"/>
      <c r="CH13" s="44">
        <v>2</v>
      </c>
      <c r="CI13" s="49" t="str">
        <f t="shared" si="16"/>
        <v/>
      </c>
      <c r="CJ13" s="49" t="str">
        <f t="shared" si="17"/>
        <v/>
      </c>
      <c r="CK13" s="45"/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8"/>
        <v>K00_P_</v>
      </c>
      <c r="CS13" s="45">
        <v>5000</v>
      </c>
      <c r="CT13" s="43" t="str">
        <f>IF(IFERROR(INDEX(Consulta!$A:$DF,MATCH('MM01'!$B13,Consulta!$C:$C,0),'MM01'!CT$2),"")=0,"",IFERROR(INDEX(Consulta!$A:$DF,MATCH('MM01'!$B13,Consulta!$C:$C,0),'MM01'!CT$2),""))</f>
        <v/>
      </c>
      <c r="CU13" s="43" t="str">
        <f>IF(IFERROR(INDEX(Consulta!$A:$DF,MATCH('MM01'!$B13,Consulta!$C:$C,0),'MM01'!CU$2),"")=0,"",IFERROR(INDEX(Consulta!$A:$DF,MATCH('MM01'!$B13,Consulta!$C:$C,0),'MM01'!CU$2),""))</f>
        <v/>
      </c>
      <c r="CV13" s="43" t="str">
        <f>IF(IFERROR(INDEX(Consulta!$A:$DF,MATCH('MM01'!$B13,Consulta!$C:$C,0),'MM01'!CV$2),"")=0,"",IFERROR(INDEX(Consulta!$A:$DF,MATCH('MM01'!$B13,Consulta!$C:$C,0),'MM01'!CV$2),""))</f>
        <v/>
      </c>
      <c r="CW13" s="43" t="str">
        <f>IF(IFERROR(INDEX(Consulta!$A:$DF,MATCH('MM01'!$B13,Consulta!$C:$C,0),'MM01'!CW$2),"")=0,"",IFERROR(INDEX(Consulta!$A:$DF,MATCH('MM01'!$B13,Consulta!$C:$C,0),'MM01'!CW$2),""))</f>
        <v/>
      </c>
      <c r="CX13" s="43" t="str">
        <f t="shared" si="19"/>
        <v/>
      </c>
      <c r="CY13" s="43" t="str">
        <f t="shared" si="20"/>
        <v/>
      </c>
      <c r="CZ13" s="43" t="str">
        <f t="shared" si="21"/>
        <v/>
      </c>
      <c r="DA13" s="43" t="str">
        <f>IF(IFERROR(INDEX(Consulta!$A:$DF,MATCH('MM01'!$B13,Consulta!$C:$C,0),'MM01'!DA$2),"")=0,"",IFERROR(INDEX(Consulta!$A:$DF,MATCH('MM01'!$B13,Consulta!$C:$C,0),'MM01'!DA$2),""))</f>
        <v/>
      </c>
      <c r="DB13" s="43" t="str">
        <f t="shared" si="22"/>
        <v/>
      </c>
      <c r="DC13" s="43" t="str">
        <f>IF(IFERROR(INDEX(Consulta!$A:$DF,MATCH('MM01'!$B13,Consulta!$C:$C,0),'MM01'!DC$2),"")=0,"",IFERROR(INDEX(Consulta!$A:$DF,MATCH('MM01'!$B13,Consulta!$C:$C,0),'MM01'!DC$2),""))</f>
        <v/>
      </c>
      <c r="DD13" s="45">
        <v>0</v>
      </c>
      <c r="DE13" s="45">
        <v>0</v>
      </c>
      <c r="DF13" s="43" t="str">
        <f t="shared" si="23"/>
        <v/>
      </c>
      <c r="DG13" s="43" t="str">
        <f t="shared" si="24"/>
        <v/>
      </c>
      <c r="DH13" s="55"/>
      <c r="DI13" s="43" t="str">
        <f t="shared" ca="1" si="25"/>
        <v/>
      </c>
      <c r="DJ13" s="43" t="str">
        <f t="shared" si="26"/>
        <v/>
      </c>
      <c r="DK13" s="43" t="str">
        <f t="shared" si="27"/>
        <v/>
      </c>
      <c r="DL13" s="55"/>
      <c r="DM13" s="43" t="str">
        <f t="shared" ca="1" si="28"/>
        <v/>
      </c>
      <c r="DN13" s="43" t="str">
        <f t="shared" si="29"/>
        <v/>
      </c>
      <c r="DO13" s="43" t="str">
        <f t="shared" si="30"/>
        <v/>
      </c>
      <c r="DP13" s="55"/>
      <c r="DQ13" s="43" t="str">
        <f t="shared" ca="1" si="31"/>
        <v/>
      </c>
      <c r="DR13" s="43" t="str">
        <f t="shared" si="32"/>
        <v/>
      </c>
      <c r="DS13" s="43" t="str">
        <f t="shared" si="33"/>
        <v/>
      </c>
      <c r="DT13" s="55"/>
      <c r="DU13" s="43" t="str">
        <f t="shared" ca="1" si="34"/>
        <v/>
      </c>
      <c r="DV13" s="43" t="str">
        <f t="shared" si="35"/>
        <v/>
      </c>
      <c r="DX13" s="44">
        <v>1</v>
      </c>
      <c r="DY13" s="44" t="s">
        <v>774</v>
      </c>
      <c r="DZ13" s="43">
        <f t="shared" si="36"/>
        <v>0.01</v>
      </c>
      <c r="EA13" s="43" t="str">
        <f t="shared" si="37"/>
        <v>M</v>
      </c>
      <c r="EB13" s="43" t="str">
        <f>IF(IFERROR(INDEX(Consulta!$A:$DF,MATCH('MM01'!$B13,Consulta!$C:$C,0),'MM01'!EB$2),"")=0,"7925",IF(IFERROR(INDEX(Consulta!$A:$DF,MATCH('MM01'!$B13,Consulta!$C:$C,0),'MM01'!EB$2),"")="68","7910","7925"))</f>
        <v>7925</v>
      </c>
      <c r="EC13" s="44">
        <v>100</v>
      </c>
      <c r="ED13" s="60">
        <v>1</v>
      </c>
      <c r="EE13" s="43">
        <f t="shared" si="38"/>
        <v>100</v>
      </c>
      <c r="EF13" s="44">
        <v>1</v>
      </c>
      <c r="EG13" s="44">
        <v>0</v>
      </c>
      <c r="EH13" s="44" t="s">
        <v>867</v>
      </c>
      <c r="EI13" s="45">
        <v>0</v>
      </c>
      <c r="EJ13" s="43">
        <f t="shared" si="39"/>
        <v>5000</v>
      </c>
      <c r="EK13" s="65"/>
    </row>
    <row r="14" spans="1:141" x14ac:dyDescent="0.3">
      <c r="A14" s="7" t="str">
        <f t="shared" si="0"/>
        <v>Execução 10</v>
      </c>
      <c r="B14" s="42"/>
      <c r="C14" s="43" t="str">
        <f>IF(IFERROR(INDEX(Consulta!$A:$DF,MATCH('MM01'!$B14,Consulta!$C:$C,0),'MM01'!C$2),"")=0,"",IFERROR(INDEX(Consulta!$A:$DF,MATCH('MM01'!$B14,Consulta!$C:$C,0),'MM01'!C$2),""))</f>
        <v/>
      </c>
      <c r="D14" s="43" t="str">
        <f>IF(IFERROR(INDEX(Consulta!$A:$DF,MATCH('MM01'!$B14,Consulta!$C:$C,0),'MM01'!D$2),"")=0,"",IFERROR(INDEX(Consulta!$A:$DF,MATCH('MM01'!$B14,Consulta!$C:$C,0),'MM01'!D$2),""))</f>
        <v/>
      </c>
      <c r="E14" s="43" t="str">
        <f>IF(IFERROR(INDEX(Consulta!$A:$DF,MATCH('MM01'!$B14,Consulta!$C:$C,0),'MM01'!E$2),"")=0,"",IFERROR(INDEX(Consulta!$A:$DF,MATCH('MM01'!$B14,Consulta!$C:$C,0),'MM01'!E$2),""))</f>
        <v/>
      </c>
      <c r="F14" s="44" t="s">
        <v>100</v>
      </c>
      <c r="G14" s="49" t="str">
        <f>IF(IFERROR(INDEX(Consulta!$A:$DF,MATCH('MM01'!$B14,Consulta!$C:$C,0),'MM01'!G$2),"")=0,"",IFERROR(INDEX(Consulta!$A:$DF,MATCH('MM01'!$B14,Consulta!$C:$C,0),'MM01'!G$2),""))</f>
        <v/>
      </c>
      <c r="H14" s="49" t="str">
        <f>IF(IFERROR(INDEX(Consulta!$A:$DF,MATCH('MM01'!$B14,Consulta!$C:$C,0),'MM01'!H$2),"")=0,"",IFERROR(INDEX(Consulta!$A:$DF,MATCH('MM01'!$B14,Consulta!$C:$C,0),'MM01'!H$2),""))</f>
        <v/>
      </c>
      <c r="I14" s="49" t="str">
        <f t="shared" si="1"/>
        <v/>
      </c>
      <c r="J14" s="49" t="str">
        <f>IF(IFERROR(INDEX(Consulta!$A:$DF,MATCH('MM01'!$B14,Consulta!$C:$C,0),'MM01'!J$2),"")=0,"",IFERROR(INDEX(Consulta!$A:$DF,MATCH('MM01'!$B14,Consulta!$C:$C,0),'MM01'!J$2),""))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IF(IFERROR(INDEX(Consulta!$A:$DF,MATCH('MM01'!$B14,Consulta!$C:$C,0),'MM01'!AP$2),"")=0,"",IFERROR(INDEX(Consulta!$A:$DF,MATCH('MM01'!$B14,Consulta!$C:$C,0),'MM01'!AP$2),""))</f>
        <v/>
      </c>
      <c r="AQ14" s="45"/>
      <c r="AR14" s="43" t="str">
        <f>IF(IFERROR(INDEX(Consulta!$A:$DF,MATCH('MM01'!$B14,Consulta!$C:$C,0),'MM01'!AR$2),"")=0,"",IFERROR(INDEX(Consulta!$A:$DF,MATCH('MM01'!$B14,Consulta!$C:$C,0),'MM01'!AR$2),""))</f>
        <v/>
      </c>
      <c r="AS14" s="43" t="str">
        <f>IF(IFERROR(INDEX(Consulta!$A:$DF,MATCH('MM01'!$B14,Consulta!$C:$C,0),'MM01'!AS$2),"")=0,"",IF(AR14="68",5102,IFERROR(INDEX(Consulta!$A:$DF,MATCH('MM01'!$B14,Consulta!$C:$C,0),'MM01'!AS$2),"")))</f>
        <v/>
      </c>
      <c r="AT14" s="45"/>
      <c r="AU14" s="46" t="str">
        <f t="shared" ca="1" si="3"/>
        <v/>
      </c>
      <c r="AV14" s="47" t="s">
        <v>796</v>
      </c>
      <c r="AW14" s="43" t="str">
        <f>IF(IFERROR(INDEX(Consulta!$A:$DF,MATCH('MM01'!$B14,Consulta!$C:$C,0),'MM01'!AW$2),"")=0,"",IFERROR(ROUND(INDEX(Consulta!$A:$DF,MATCH('MM01'!$B14,Consulta!$C:$C,0),'MM01'!AW$2),3),""))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IF(IFERROR(INDEX(Consulta!$A:$DF,MATCH('MM01'!$B14,Consulta!$C:$C,0),'MM01'!BA$2),"")=0,"",IFERROR(INDEX(Consulta!$A:$DF,MATCH('MM01'!$B14,Consulta!$C:$C,0),'MM01'!BA$2),""))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IF(IFERROR(INDEX(Consulta!$A:$DF,MATCH('MM01'!$B14,Consulta!$C:$C,0),'MM01'!BL$2),"")=0,"",IFERROR(INDEX(Consulta!$A:$DF,MATCH('MM01'!$B14,Consulta!$C:$C,0),'MM01'!BL$2),""))</f>
        <v/>
      </c>
      <c r="BM14" s="45">
        <v>99</v>
      </c>
      <c r="BN14" s="46" t="str">
        <f t="shared" ca="1" si="13"/>
        <v>28.04.2022</v>
      </c>
      <c r="BO14" s="49" t="str">
        <f t="shared" si="14"/>
        <v/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IF(IFERROR(INDEX(Consulta!$A:$DF,MATCH('MM01'!$B14,Consulta!$C:$C,0),'MM01'!BX$2),"")=0,"",IFERROR(INDEX(Consulta!$A:$DF,MATCH('MM01'!$B14,Consulta!$C:$C,0),'MM01'!BX$2),""))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15"/>
        <v/>
      </c>
      <c r="CD14" s="45" t="s">
        <v>430</v>
      </c>
      <c r="CE14" s="45">
        <v>1</v>
      </c>
      <c r="CF14" s="45" t="s">
        <v>496</v>
      </c>
      <c r="CG14" s="45"/>
      <c r="CH14" s="44">
        <v>2</v>
      </c>
      <c r="CI14" s="49" t="str">
        <f t="shared" si="16"/>
        <v/>
      </c>
      <c r="CJ14" s="49" t="str">
        <f t="shared" si="17"/>
        <v/>
      </c>
      <c r="CK14" s="45"/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8"/>
        <v>K00_P_</v>
      </c>
      <c r="CS14" s="45">
        <v>5000</v>
      </c>
      <c r="CT14" s="43" t="str">
        <f>IF(IFERROR(INDEX(Consulta!$A:$DF,MATCH('MM01'!$B14,Consulta!$C:$C,0),'MM01'!CT$2),"")=0,"",IFERROR(INDEX(Consulta!$A:$DF,MATCH('MM01'!$B14,Consulta!$C:$C,0),'MM01'!CT$2),""))</f>
        <v/>
      </c>
      <c r="CU14" s="43" t="str">
        <f>IF(IFERROR(INDEX(Consulta!$A:$DF,MATCH('MM01'!$B14,Consulta!$C:$C,0),'MM01'!CU$2),"")=0,"",IFERROR(INDEX(Consulta!$A:$DF,MATCH('MM01'!$B14,Consulta!$C:$C,0),'MM01'!CU$2),""))</f>
        <v/>
      </c>
      <c r="CV14" s="43" t="str">
        <f>IF(IFERROR(INDEX(Consulta!$A:$DF,MATCH('MM01'!$B14,Consulta!$C:$C,0),'MM01'!CV$2),"")=0,"",IFERROR(INDEX(Consulta!$A:$DF,MATCH('MM01'!$B14,Consulta!$C:$C,0),'MM01'!CV$2),""))</f>
        <v/>
      </c>
      <c r="CW14" s="43" t="str">
        <f>IF(IFERROR(INDEX(Consulta!$A:$DF,MATCH('MM01'!$B14,Consulta!$C:$C,0),'MM01'!CW$2),"")=0,"",IFERROR(INDEX(Consulta!$A:$DF,MATCH('MM01'!$B14,Consulta!$C:$C,0),'MM01'!CW$2),""))</f>
        <v/>
      </c>
      <c r="CX14" s="43" t="str">
        <f t="shared" si="19"/>
        <v/>
      </c>
      <c r="CY14" s="43" t="str">
        <f t="shared" si="20"/>
        <v/>
      </c>
      <c r="CZ14" s="43" t="str">
        <f t="shared" si="21"/>
        <v/>
      </c>
      <c r="DA14" s="43" t="str">
        <f>IF(IFERROR(INDEX(Consulta!$A:$DF,MATCH('MM01'!$B14,Consulta!$C:$C,0),'MM01'!DA$2),"")=0,"",IFERROR(INDEX(Consulta!$A:$DF,MATCH('MM01'!$B14,Consulta!$C:$C,0),'MM01'!DA$2),""))</f>
        <v/>
      </c>
      <c r="DB14" s="43" t="str">
        <f t="shared" si="22"/>
        <v/>
      </c>
      <c r="DC14" s="43" t="str">
        <f>IF(IFERROR(INDEX(Consulta!$A:$DF,MATCH('MM01'!$B14,Consulta!$C:$C,0),'MM01'!DC$2),"")=0,"",IFERROR(INDEX(Consulta!$A:$DF,MATCH('MM01'!$B14,Consulta!$C:$C,0),'MM01'!DC$2),""))</f>
        <v/>
      </c>
      <c r="DD14" s="45">
        <v>0</v>
      </c>
      <c r="DE14" s="45">
        <v>0</v>
      </c>
      <c r="DF14" s="43" t="str">
        <f t="shared" si="23"/>
        <v/>
      </c>
      <c r="DG14" s="43" t="str">
        <f t="shared" si="24"/>
        <v/>
      </c>
      <c r="DH14" s="55"/>
      <c r="DI14" s="43" t="str">
        <f t="shared" ca="1" si="25"/>
        <v/>
      </c>
      <c r="DJ14" s="43" t="str">
        <f t="shared" si="26"/>
        <v/>
      </c>
      <c r="DK14" s="43" t="str">
        <f t="shared" si="27"/>
        <v/>
      </c>
      <c r="DL14" s="55"/>
      <c r="DM14" s="43" t="str">
        <f t="shared" ca="1" si="28"/>
        <v/>
      </c>
      <c r="DN14" s="43" t="str">
        <f t="shared" si="29"/>
        <v/>
      </c>
      <c r="DO14" s="43" t="str">
        <f t="shared" si="30"/>
        <v/>
      </c>
      <c r="DP14" s="55"/>
      <c r="DQ14" s="43" t="str">
        <f t="shared" ca="1" si="31"/>
        <v/>
      </c>
      <c r="DR14" s="43" t="str">
        <f t="shared" si="32"/>
        <v/>
      </c>
      <c r="DS14" s="43" t="str">
        <f t="shared" si="33"/>
        <v/>
      </c>
      <c r="DT14" s="55"/>
      <c r="DU14" s="43" t="str">
        <f t="shared" ca="1" si="34"/>
        <v/>
      </c>
      <c r="DV14" s="43" t="str">
        <f t="shared" si="35"/>
        <v/>
      </c>
      <c r="DX14" s="44">
        <v>1</v>
      </c>
      <c r="DY14" s="44" t="s">
        <v>774</v>
      </c>
      <c r="DZ14" s="43">
        <f t="shared" si="36"/>
        <v>0.01</v>
      </c>
      <c r="EA14" s="43" t="str">
        <f t="shared" si="37"/>
        <v>M</v>
      </c>
      <c r="EB14" s="43" t="str">
        <f>IF(IFERROR(INDEX(Consulta!$A:$DF,MATCH('MM01'!$B14,Consulta!$C:$C,0),'MM01'!EB$2),"")=0,"7925",IF(IFERROR(INDEX(Consulta!$A:$DF,MATCH('MM01'!$B14,Consulta!$C:$C,0),'MM01'!EB$2),"")="68","7910","7925"))</f>
        <v>7925</v>
      </c>
      <c r="EC14" s="44">
        <v>100</v>
      </c>
      <c r="ED14" s="60">
        <v>1</v>
      </c>
      <c r="EE14" s="43">
        <f t="shared" si="38"/>
        <v>100</v>
      </c>
      <c r="EF14" s="44">
        <v>1</v>
      </c>
      <c r="EG14" s="44">
        <v>0</v>
      </c>
      <c r="EH14" s="44" t="s">
        <v>867</v>
      </c>
      <c r="EI14" s="45">
        <v>0</v>
      </c>
      <c r="EJ14" s="43">
        <f t="shared" si="39"/>
        <v>5000</v>
      </c>
      <c r="EK14" s="65"/>
    </row>
    <row r="15" spans="1:141" x14ac:dyDescent="0.3">
      <c r="A15" s="7" t="str">
        <f t="shared" si="0"/>
        <v>Execução 11</v>
      </c>
      <c r="B15" s="42"/>
      <c r="C15" s="43" t="str">
        <f>IF(IFERROR(INDEX(Consulta!$A:$DF,MATCH('MM01'!$B15,Consulta!$C:$C,0),'MM01'!C$2),"")=0,"",IFERROR(INDEX(Consulta!$A:$DF,MATCH('MM01'!$B15,Consulta!$C:$C,0),'MM01'!C$2),""))</f>
        <v/>
      </c>
      <c r="D15" s="43" t="str">
        <f>IF(IFERROR(INDEX(Consulta!$A:$DF,MATCH('MM01'!$B15,Consulta!$C:$C,0),'MM01'!D$2),"")=0,"",IFERROR(INDEX(Consulta!$A:$DF,MATCH('MM01'!$B15,Consulta!$C:$C,0),'MM01'!D$2),""))</f>
        <v/>
      </c>
      <c r="E15" s="43" t="str">
        <f>IF(IFERROR(INDEX(Consulta!$A:$DF,MATCH('MM01'!$B15,Consulta!$C:$C,0),'MM01'!E$2),"")=0,"",IFERROR(INDEX(Consulta!$A:$DF,MATCH('MM01'!$B15,Consulta!$C:$C,0),'MM01'!E$2),""))</f>
        <v/>
      </c>
      <c r="F15" s="44" t="s">
        <v>100</v>
      </c>
      <c r="G15" s="49" t="str">
        <f>IF(IFERROR(INDEX(Consulta!$A:$DF,MATCH('MM01'!$B15,Consulta!$C:$C,0),'MM01'!G$2),"")=0,"",IFERROR(INDEX(Consulta!$A:$DF,MATCH('MM01'!$B15,Consulta!$C:$C,0),'MM01'!G$2),""))</f>
        <v/>
      </c>
      <c r="H15" s="49" t="str">
        <f>IF(IFERROR(INDEX(Consulta!$A:$DF,MATCH('MM01'!$B15,Consulta!$C:$C,0),'MM01'!H$2),"")=0,"",IFERROR(INDEX(Consulta!$A:$DF,MATCH('MM01'!$B15,Consulta!$C:$C,0),'MM01'!H$2),""))</f>
        <v/>
      </c>
      <c r="I15" s="49" t="str">
        <f t="shared" si="1"/>
        <v/>
      </c>
      <c r="J15" s="49" t="str">
        <f>IF(IFERROR(INDEX(Consulta!$A:$DF,MATCH('MM01'!$B15,Consulta!$C:$C,0),'MM01'!J$2),"")=0,"",IFERROR(INDEX(Consulta!$A:$DF,MATCH('MM01'!$B15,Consulta!$C:$C,0),'MM01'!J$2),""))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IF(IFERROR(INDEX(Consulta!$A:$DF,MATCH('MM01'!$B15,Consulta!$C:$C,0),'MM01'!AP$2),"")=0,"",IFERROR(INDEX(Consulta!$A:$DF,MATCH('MM01'!$B15,Consulta!$C:$C,0),'MM01'!AP$2),""))</f>
        <v/>
      </c>
      <c r="AQ15" s="45"/>
      <c r="AR15" s="43" t="str">
        <f>IF(IFERROR(INDEX(Consulta!$A:$DF,MATCH('MM01'!$B15,Consulta!$C:$C,0),'MM01'!AR$2),"")=0,"",IFERROR(INDEX(Consulta!$A:$DF,MATCH('MM01'!$B15,Consulta!$C:$C,0),'MM01'!AR$2),""))</f>
        <v/>
      </c>
      <c r="AS15" s="43" t="str">
        <f>IF(IFERROR(INDEX(Consulta!$A:$DF,MATCH('MM01'!$B15,Consulta!$C:$C,0),'MM01'!AS$2),"")=0,"",IF(AR15="68",5102,IFERROR(INDEX(Consulta!$A:$DF,MATCH('MM01'!$B15,Consulta!$C:$C,0),'MM01'!AS$2),"")))</f>
        <v/>
      </c>
      <c r="AT15" s="45"/>
      <c r="AU15" s="46" t="str">
        <f t="shared" ca="1" si="3"/>
        <v/>
      </c>
      <c r="AV15" s="47" t="s">
        <v>796</v>
      </c>
      <c r="AW15" s="43" t="str">
        <f>IF(IFERROR(INDEX(Consulta!$A:$DF,MATCH('MM01'!$B15,Consulta!$C:$C,0),'MM01'!AW$2),"")=0,"",IFERROR(ROUND(INDEX(Consulta!$A:$DF,MATCH('MM01'!$B15,Consulta!$C:$C,0),'MM01'!AW$2),3),""))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IF(IFERROR(INDEX(Consulta!$A:$DF,MATCH('MM01'!$B15,Consulta!$C:$C,0),'MM01'!BA$2),"")=0,"",IFERROR(INDEX(Consulta!$A:$DF,MATCH('MM01'!$B15,Consulta!$C:$C,0),'MM01'!BA$2),""))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IF(IFERROR(INDEX(Consulta!$A:$DF,MATCH('MM01'!$B15,Consulta!$C:$C,0),'MM01'!BL$2),"")=0,"",IFERROR(INDEX(Consulta!$A:$DF,MATCH('MM01'!$B15,Consulta!$C:$C,0),'MM01'!BL$2),""))</f>
        <v/>
      </c>
      <c r="BM15" s="45">
        <v>99</v>
      </c>
      <c r="BN15" s="46" t="str">
        <f t="shared" ca="1" si="13"/>
        <v>28.04.2022</v>
      </c>
      <c r="BO15" s="49" t="str">
        <f t="shared" si="14"/>
        <v/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IF(IFERROR(INDEX(Consulta!$A:$DF,MATCH('MM01'!$B15,Consulta!$C:$C,0),'MM01'!BX$2),"")=0,"",IFERROR(INDEX(Consulta!$A:$DF,MATCH('MM01'!$B15,Consulta!$C:$C,0),'MM01'!BX$2),""))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15"/>
        <v/>
      </c>
      <c r="CD15" s="45" t="s">
        <v>430</v>
      </c>
      <c r="CE15" s="45">
        <v>1</v>
      </c>
      <c r="CF15" s="45" t="s">
        <v>496</v>
      </c>
      <c r="CG15" s="45"/>
      <c r="CH15" s="44">
        <v>2</v>
      </c>
      <c r="CI15" s="49" t="str">
        <f t="shared" si="16"/>
        <v/>
      </c>
      <c r="CJ15" s="49" t="str">
        <f t="shared" si="17"/>
        <v/>
      </c>
      <c r="CK15" s="45"/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8"/>
        <v>K00_P_</v>
      </c>
      <c r="CS15" s="45">
        <v>5000</v>
      </c>
      <c r="CT15" s="43" t="str">
        <f>IF(IFERROR(INDEX(Consulta!$A:$DF,MATCH('MM01'!$B15,Consulta!$C:$C,0),'MM01'!CT$2),"")=0,"",IFERROR(INDEX(Consulta!$A:$DF,MATCH('MM01'!$B15,Consulta!$C:$C,0),'MM01'!CT$2),""))</f>
        <v/>
      </c>
      <c r="CU15" s="43" t="str">
        <f>IF(IFERROR(INDEX(Consulta!$A:$DF,MATCH('MM01'!$B15,Consulta!$C:$C,0),'MM01'!CU$2),"")=0,"",IFERROR(INDEX(Consulta!$A:$DF,MATCH('MM01'!$B15,Consulta!$C:$C,0),'MM01'!CU$2),""))</f>
        <v/>
      </c>
      <c r="CV15" s="43" t="str">
        <f>IF(IFERROR(INDEX(Consulta!$A:$DF,MATCH('MM01'!$B15,Consulta!$C:$C,0),'MM01'!CV$2),"")=0,"",IFERROR(INDEX(Consulta!$A:$DF,MATCH('MM01'!$B15,Consulta!$C:$C,0),'MM01'!CV$2),""))</f>
        <v/>
      </c>
      <c r="CW15" s="43" t="str">
        <f>IF(IFERROR(INDEX(Consulta!$A:$DF,MATCH('MM01'!$B15,Consulta!$C:$C,0),'MM01'!CW$2),"")=0,"",IFERROR(INDEX(Consulta!$A:$DF,MATCH('MM01'!$B15,Consulta!$C:$C,0),'MM01'!CW$2),""))</f>
        <v/>
      </c>
      <c r="CX15" s="43" t="str">
        <f t="shared" si="19"/>
        <v/>
      </c>
      <c r="CY15" s="43" t="str">
        <f t="shared" si="20"/>
        <v/>
      </c>
      <c r="CZ15" s="43" t="str">
        <f t="shared" si="21"/>
        <v/>
      </c>
      <c r="DA15" s="43" t="str">
        <f>IF(IFERROR(INDEX(Consulta!$A:$DF,MATCH('MM01'!$B15,Consulta!$C:$C,0),'MM01'!DA$2),"")=0,"",IFERROR(INDEX(Consulta!$A:$DF,MATCH('MM01'!$B15,Consulta!$C:$C,0),'MM01'!DA$2),""))</f>
        <v/>
      </c>
      <c r="DB15" s="43" t="str">
        <f t="shared" si="22"/>
        <v/>
      </c>
      <c r="DC15" s="43" t="str">
        <f>IF(IFERROR(INDEX(Consulta!$A:$DF,MATCH('MM01'!$B15,Consulta!$C:$C,0),'MM01'!DC$2),"")=0,"",IFERROR(INDEX(Consulta!$A:$DF,MATCH('MM01'!$B15,Consulta!$C:$C,0),'MM01'!DC$2),""))</f>
        <v/>
      </c>
      <c r="DD15" s="45">
        <v>0</v>
      </c>
      <c r="DE15" s="45">
        <v>0</v>
      </c>
      <c r="DF15" s="43" t="str">
        <f t="shared" si="23"/>
        <v/>
      </c>
      <c r="DG15" s="43" t="str">
        <f t="shared" si="24"/>
        <v/>
      </c>
      <c r="DH15" s="55"/>
      <c r="DI15" s="43" t="str">
        <f t="shared" ca="1" si="25"/>
        <v/>
      </c>
      <c r="DJ15" s="43" t="str">
        <f t="shared" si="26"/>
        <v/>
      </c>
      <c r="DK15" s="43" t="str">
        <f t="shared" si="27"/>
        <v/>
      </c>
      <c r="DL15" s="55"/>
      <c r="DM15" s="43" t="str">
        <f t="shared" ca="1" si="28"/>
        <v/>
      </c>
      <c r="DN15" s="43" t="str">
        <f t="shared" si="29"/>
        <v/>
      </c>
      <c r="DO15" s="43" t="str">
        <f t="shared" si="30"/>
        <v/>
      </c>
      <c r="DP15" s="55"/>
      <c r="DQ15" s="43" t="str">
        <f t="shared" ca="1" si="31"/>
        <v/>
      </c>
      <c r="DR15" s="43" t="str">
        <f t="shared" si="32"/>
        <v/>
      </c>
      <c r="DS15" s="43" t="str">
        <f t="shared" si="33"/>
        <v/>
      </c>
      <c r="DT15" s="55"/>
      <c r="DU15" s="43" t="str">
        <f t="shared" ca="1" si="34"/>
        <v/>
      </c>
      <c r="DV15" s="43" t="str">
        <f t="shared" si="35"/>
        <v/>
      </c>
      <c r="DX15" s="44">
        <v>1</v>
      </c>
      <c r="DY15" s="44" t="s">
        <v>774</v>
      </c>
      <c r="DZ15" s="43">
        <f t="shared" si="36"/>
        <v>0.01</v>
      </c>
      <c r="EA15" s="43" t="str">
        <f t="shared" si="37"/>
        <v>M</v>
      </c>
      <c r="EB15" s="43" t="str">
        <f>IF(IFERROR(INDEX(Consulta!$A:$DF,MATCH('MM01'!$B15,Consulta!$C:$C,0),'MM01'!EB$2),"")=0,"7925",IF(IFERROR(INDEX(Consulta!$A:$DF,MATCH('MM01'!$B15,Consulta!$C:$C,0),'MM01'!EB$2),"")="68","7910","7925"))</f>
        <v>7925</v>
      </c>
      <c r="EC15" s="44">
        <v>100</v>
      </c>
      <c r="ED15" s="60">
        <v>1</v>
      </c>
      <c r="EE15" s="43">
        <f t="shared" si="38"/>
        <v>100</v>
      </c>
      <c r="EF15" s="44">
        <v>1</v>
      </c>
      <c r="EG15" s="44">
        <v>0</v>
      </c>
      <c r="EH15" s="44" t="s">
        <v>867</v>
      </c>
      <c r="EI15" s="45">
        <v>0</v>
      </c>
      <c r="EJ15" s="43">
        <f t="shared" si="39"/>
        <v>5000</v>
      </c>
      <c r="EK15" s="65"/>
    </row>
    <row r="16" spans="1:141" x14ac:dyDescent="0.3">
      <c r="A16" s="7" t="str">
        <f t="shared" si="0"/>
        <v>Execução 12</v>
      </c>
      <c r="B16" s="42"/>
      <c r="C16" s="43" t="str">
        <f>IF(IFERROR(INDEX(Consulta!$A:$DF,MATCH('MM01'!$B16,Consulta!$C:$C,0),'MM01'!C$2),"")=0,"",IFERROR(INDEX(Consulta!$A:$DF,MATCH('MM01'!$B16,Consulta!$C:$C,0),'MM01'!C$2),""))</f>
        <v/>
      </c>
      <c r="D16" s="43" t="str">
        <f>IF(IFERROR(INDEX(Consulta!$A:$DF,MATCH('MM01'!$B16,Consulta!$C:$C,0),'MM01'!D$2),"")=0,"",IFERROR(INDEX(Consulta!$A:$DF,MATCH('MM01'!$B16,Consulta!$C:$C,0),'MM01'!D$2),""))</f>
        <v/>
      </c>
      <c r="E16" s="43" t="str">
        <f>IF(IFERROR(INDEX(Consulta!$A:$DF,MATCH('MM01'!$B16,Consulta!$C:$C,0),'MM01'!E$2),"")=0,"",IFERROR(INDEX(Consulta!$A:$DF,MATCH('MM01'!$B16,Consulta!$C:$C,0),'MM01'!E$2),""))</f>
        <v/>
      </c>
      <c r="F16" s="44" t="s">
        <v>100</v>
      </c>
      <c r="G16" s="49" t="str">
        <f>IF(IFERROR(INDEX(Consulta!$A:$DF,MATCH('MM01'!$B16,Consulta!$C:$C,0),'MM01'!G$2),"")=0,"",IFERROR(INDEX(Consulta!$A:$DF,MATCH('MM01'!$B16,Consulta!$C:$C,0),'MM01'!G$2),""))</f>
        <v/>
      </c>
      <c r="H16" s="49" t="str">
        <f>IF(IFERROR(INDEX(Consulta!$A:$DF,MATCH('MM01'!$B16,Consulta!$C:$C,0),'MM01'!H$2),"")=0,"",IFERROR(INDEX(Consulta!$A:$DF,MATCH('MM01'!$B16,Consulta!$C:$C,0),'MM01'!H$2),""))</f>
        <v/>
      </c>
      <c r="I16" s="49" t="str">
        <f t="shared" si="1"/>
        <v/>
      </c>
      <c r="J16" s="49" t="str">
        <f>IF(IFERROR(INDEX(Consulta!$A:$DF,MATCH('MM01'!$B16,Consulta!$C:$C,0),'MM01'!J$2),"")=0,"",IFERROR(INDEX(Consulta!$A:$DF,MATCH('MM01'!$B16,Consulta!$C:$C,0),'MM01'!J$2),""))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IF(IFERROR(INDEX(Consulta!$A:$DF,MATCH('MM01'!$B16,Consulta!$C:$C,0),'MM01'!AP$2),"")=0,"",IFERROR(INDEX(Consulta!$A:$DF,MATCH('MM01'!$B16,Consulta!$C:$C,0),'MM01'!AP$2),""))</f>
        <v/>
      </c>
      <c r="AQ16" s="45"/>
      <c r="AR16" s="43" t="str">
        <f>IF(IFERROR(INDEX(Consulta!$A:$DF,MATCH('MM01'!$B16,Consulta!$C:$C,0),'MM01'!AR$2),"")=0,"",IFERROR(INDEX(Consulta!$A:$DF,MATCH('MM01'!$B16,Consulta!$C:$C,0),'MM01'!AR$2),""))</f>
        <v/>
      </c>
      <c r="AS16" s="43" t="str">
        <f>IF(IFERROR(INDEX(Consulta!$A:$DF,MATCH('MM01'!$B16,Consulta!$C:$C,0),'MM01'!AS$2),"")=0,"",IF(AR16="68",5102,IFERROR(INDEX(Consulta!$A:$DF,MATCH('MM01'!$B16,Consulta!$C:$C,0),'MM01'!AS$2),"")))</f>
        <v/>
      </c>
      <c r="AT16" s="45"/>
      <c r="AU16" s="46" t="str">
        <f t="shared" ca="1" si="3"/>
        <v/>
      </c>
      <c r="AV16" s="47" t="s">
        <v>796</v>
      </c>
      <c r="AW16" s="43" t="str">
        <f>IF(IFERROR(INDEX(Consulta!$A:$DF,MATCH('MM01'!$B16,Consulta!$C:$C,0),'MM01'!AW$2),"")=0,"",IFERROR(ROUND(INDEX(Consulta!$A:$DF,MATCH('MM01'!$B16,Consulta!$C:$C,0),'MM01'!AW$2),3),""))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IF(IFERROR(INDEX(Consulta!$A:$DF,MATCH('MM01'!$B16,Consulta!$C:$C,0),'MM01'!BA$2),"")=0,"",IFERROR(INDEX(Consulta!$A:$DF,MATCH('MM01'!$B16,Consulta!$C:$C,0),'MM01'!BA$2),""))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IF(IFERROR(INDEX(Consulta!$A:$DF,MATCH('MM01'!$B16,Consulta!$C:$C,0),'MM01'!BL$2),"")=0,"",IFERROR(INDEX(Consulta!$A:$DF,MATCH('MM01'!$B16,Consulta!$C:$C,0),'MM01'!BL$2),""))</f>
        <v/>
      </c>
      <c r="BM16" s="45">
        <v>99</v>
      </c>
      <c r="BN16" s="46" t="str">
        <f t="shared" ca="1" si="13"/>
        <v>28.04.2022</v>
      </c>
      <c r="BO16" s="49" t="str">
        <f t="shared" si="14"/>
        <v/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IF(IFERROR(INDEX(Consulta!$A:$DF,MATCH('MM01'!$B16,Consulta!$C:$C,0),'MM01'!BX$2),"")=0,"",IFERROR(INDEX(Consulta!$A:$DF,MATCH('MM01'!$B16,Consulta!$C:$C,0),'MM01'!BX$2),""))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15"/>
        <v/>
      </c>
      <c r="CD16" s="45" t="s">
        <v>430</v>
      </c>
      <c r="CE16" s="45">
        <v>1</v>
      </c>
      <c r="CF16" s="45" t="s">
        <v>496</v>
      </c>
      <c r="CG16" s="45"/>
      <c r="CH16" s="44">
        <v>2</v>
      </c>
      <c r="CI16" s="49" t="str">
        <f t="shared" si="16"/>
        <v/>
      </c>
      <c r="CJ16" s="49" t="str">
        <f t="shared" si="17"/>
        <v/>
      </c>
      <c r="CK16" s="45"/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8"/>
        <v>K00_P_</v>
      </c>
      <c r="CS16" s="45">
        <v>5000</v>
      </c>
      <c r="CT16" s="43" t="str">
        <f>IF(IFERROR(INDEX(Consulta!$A:$DF,MATCH('MM01'!$B16,Consulta!$C:$C,0),'MM01'!CT$2),"")=0,"",IFERROR(INDEX(Consulta!$A:$DF,MATCH('MM01'!$B16,Consulta!$C:$C,0),'MM01'!CT$2),""))</f>
        <v/>
      </c>
      <c r="CU16" s="43" t="str">
        <f>IF(IFERROR(INDEX(Consulta!$A:$DF,MATCH('MM01'!$B16,Consulta!$C:$C,0),'MM01'!CU$2),"")=0,"",IFERROR(INDEX(Consulta!$A:$DF,MATCH('MM01'!$B16,Consulta!$C:$C,0),'MM01'!CU$2),""))</f>
        <v/>
      </c>
      <c r="CV16" s="43" t="str">
        <f>IF(IFERROR(INDEX(Consulta!$A:$DF,MATCH('MM01'!$B16,Consulta!$C:$C,0),'MM01'!CV$2),"")=0,"",IFERROR(INDEX(Consulta!$A:$DF,MATCH('MM01'!$B16,Consulta!$C:$C,0),'MM01'!CV$2),""))</f>
        <v/>
      </c>
      <c r="CW16" s="43" t="str">
        <f>IF(IFERROR(INDEX(Consulta!$A:$DF,MATCH('MM01'!$B16,Consulta!$C:$C,0),'MM01'!CW$2),"")=0,"",IFERROR(INDEX(Consulta!$A:$DF,MATCH('MM01'!$B16,Consulta!$C:$C,0),'MM01'!CW$2),""))</f>
        <v/>
      </c>
      <c r="CX16" s="43" t="str">
        <f t="shared" si="19"/>
        <v/>
      </c>
      <c r="CY16" s="43" t="str">
        <f t="shared" si="20"/>
        <v/>
      </c>
      <c r="CZ16" s="43" t="str">
        <f t="shared" si="21"/>
        <v/>
      </c>
      <c r="DA16" s="43" t="str">
        <f>IF(IFERROR(INDEX(Consulta!$A:$DF,MATCH('MM01'!$B16,Consulta!$C:$C,0),'MM01'!DA$2),"")=0,"",IFERROR(INDEX(Consulta!$A:$DF,MATCH('MM01'!$B16,Consulta!$C:$C,0),'MM01'!DA$2),""))</f>
        <v/>
      </c>
      <c r="DB16" s="43" t="str">
        <f t="shared" si="22"/>
        <v/>
      </c>
      <c r="DC16" s="43" t="str">
        <f>IF(IFERROR(INDEX(Consulta!$A:$DF,MATCH('MM01'!$B16,Consulta!$C:$C,0),'MM01'!DC$2),"")=0,"",IFERROR(INDEX(Consulta!$A:$DF,MATCH('MM01'!$B16,Consulta!$C:$C,0),'MM01'!DC$2),""))</f>
        <v/>
      </c>
      <c r="DD16" s="45">
        <v>0</v>
      </c>
      <c r="DE16" s="45">
        <v>0</v>
      </c>
      <c r="DF16" s="43" t="str">
        <f t="shared" si="23"/>
        <v/>
      </c>
      <c r="DG16" s="43" t="str">
        <f t="shared" si="24"/>
        <v/>
      </c>
      <c r="DH16" s="55"/>
      <c r="DI16" s="43" t="str">
        <f t="shared" ca="1" si="25"/>
        <v/>
      </c>
      <c r="DJ16" s="43" t="str">
        <f t="shared" si="26"/>
        <v/>
      </c>
      <c r="DK16" s="43" t="str">
        <f t="shared" si="27"/>
        <v/>
      </c>
      <c r="DL16" s="55"/>
      <c r="DM16" s="43" t="str">
        <f t="shared" ca="1" si="28"/>
        <v/>
      </c>
      <c r="DN16" s="43" t="str">
        <f t="shared" si="29"/>
        <v/>
      </c>
      <c r="DO16" s="43" t="str">
        <f t="shared" si="30"/>
        <v/>
      </c>
      <c r="DP16" s="55"/>
      <c r="DQ16" s="43" t="str">
        <f t="shared" ca="1" si="31"/>
        <v/>
      </c>
      <c r="DR16" s="43" t="str">
        <f t="shared" si="32"/>
        <v/>
      </c>
      <c r="DS16" s="43" t="str">
        <f t="shared" si="33"/>
        <v/>
      </c>
      <c r="DT16" s="55"/>
      <c r="DU16" s="43" t="str">
        <f t="shared" ca="1" si="34"/>
        <v/>
      </c>
      <c r="DV16" s="43" t="str">
        <f t="shared" si="35"/>
        <v/>
      </c>
      <c r="DX16" s="44">
        <v>1</v>
      </c>
      <c r="DY16" s="44" t="s">
        <v>774</v>
      </c>
      <c r="DZ16" s="43">
        <f t="shared" si="36"/>
        <v>0.01</v>
      </c>
      <c r="EA16" s="43" t="str">
        <f t="shared" si="37"/>
        <v>M</v>
      </c>
      <c r="EB16" s="43" t="str">
        <f>IF(IFERROR(INDEX(Consulta!$A:$DF,MATCH('MM01'!$B16,Consulta!$C:$C,0),'MM01'!EB$2),"")=0,"7925",IF(IFERROR(INDEX(Consulta!$A:$DF,MATCH('MM01'!$B16,Consulta!$C:$C,0),'MM01'!EB$2),"")="68","7910","7925"))</f>
        <v>7925</v>
      </c>
      <c r="EC16" s="44">
        <v>100</v>
      </c>
      <c r="ED16" s="60">
        <v>1</v>
      </c>
      <c r="EE16" s="43">
        <f t="shared" si="38"/>
        <v>100</v>
      </c>
      <c r="EF16" s="44">
        <v>1</v>
      </c>
      <c r="EG16" s="44">
        <v>0</v>
      </c>
      <c r="EH16" s="44" t="s">
        <v>867</v>
      </c>
      <c r="EI16" s="45">
        <v>0</v>
      </c>
      <c r="EJ16" s="43">
        <f t="shared" si="39"/>
        <v>5000</v>
      </c>
      <c r="EK16" s="65"/>
    </row>
    <row r="17" spans="1:141" x14ac:dyDescent="0.3">
      <c r="A17" s="7" t="str">
        <f t="shared" si="0"/>
        <v>Execução 13</v>
      </c>
      <c r="B17" s="42"/>
      <c r="C17" s="43" t="str">
        <f>IF(IFERROR(INDEX(Consulta!$A:$DF,MATCH('MM01'!$B17,Consulta!$C:$C,0),'MM01'!C$2),"")=0,"",IFERROR(INDEX(Consulta!$A:$DF,MATCH('MM01'!$B17,Consulta!$C:$C,0),'MM01'!C$2),""))</f>
        <v/>
      </c>
      <c r="D17" s="43" t="str">
        <f>IF(IFERROR(INDEX(Consulta!$A:$DF,MATCH('MM01'!$B17,Consulta!$C:$C,0),'MM01'!D$2),"")=0,"",IFERROR(INDEX(Consulta!$A:$DF,MATCH('MM01'!$B17,Consulta!$C:$C,0),'MM01'!D$2),""))</f>
        <v/>
      </c>
      <c r="E17" s="43" t="str">
        <f>IF(IFERROR(INDEX(Consulta!$A:$DF,MATCH('MM01'!$B17,Consulta!$C:$C,0),'MM01'!E$2),"")=0,"",IFERROR(INDEX(Consulta!$A:$DF,MATCH('MM01'!$B17,Consulta!$C:$C,0),'MM01'!E$2),""))</f>
        <v/>
      </c>
      <c r="F17" s="44" t="s">
        <v>100</v>
      </c>
      <c r="G17" s="49" t="str">
        <f>IF(IFERROR(INDEX(Consulta!$A:$DF,MATCH('MM01'!$B17,Consulta!$C:$C,0),'MM01'!G$2),"")=0,"",IFERROR(INDEX(Consulta!$A:$DF,MATCH('MM01'!$B17,Consulta!$C:$C,0),'MM01'!G$2),""))</f>
        <v/>
      </c>
      <c r="H17" s="49" t="str">
        <f>IF(IFERROR(INDEX(Consulta!$A:$DF,MATCH('MM01'!$B17,Consulta!$C:$C,0),'MM01'!H$2),"")=0,"",IFERROR(INDEX(Consulta!$A:$DF,MATCH('MM01'!$B17,Consulta!$C:$C,0),'MM01'!H$2),""))</f>
        <v/>
      </c>
      <c r="I17" s="49" t="str">
        <f t="shared" si="1"/>
        <v/>
      </c>
      <c r="J17" s="49" t="str">
        <f>IF(IFERROR(INDEX(Consulta!$A:$DF,MATCH('MM01'!$B17,Consulta!$C:$C,0),'MM01'!J$2),"")=0,"",IFERROR(INDEX(Consulta!$A:$DF,MATCH('MM01'!$B17,Consulta!$C:$C,0),'MM01'!J$2),""))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IF(IFERROR(INDEX(Consulta!$A:$DF,MATCH('MM01'!$B17,Consulta!$C:$C,0),'MM01'!AP$2),"")=0,"",IFERROR(INDEX(Consulta!$A:$DF,MATCH('MM01'!$B17,Consulta!$C:$C,0),'MM01'!AP$2),""))</f>
        <v/>
      </c>
      <c r="AQ17" s="45"/>
      <c r="AR17" s="43" t="str">
        <f>IF(IFERROR(INDEX(Consulta!$A:$DF,MATCH('MM01'!$B17,Consulta!$C:$C,0),'MM01'!AR$2),"")=0,"",IFERROR(INDEX(Consulta!$A:$DF,MATCH('MM01'!$B17,Consulta!$C:$C,0),'MM01'!AR$2),""))</f>
        <v/>
      </c>
      <c r="AS17" s="43" t="str">
        <f>IF(IFERROR(INDEX(Consulta!$A:$DF,MATCH('MM01'!$B17,Consulta!$C:$C,0),'MM01'!AS$2),"")=0,"",IF(AR17="68",5102,IFERROR(INDEX(Consulta!$A:$DF,MATCH('MM01'!$B17,Consulta!$C:$C,0),'MM01'!AS$2),"")))</f>
        <v/>
      </c>
      <c r="AT17" s="45"/>
      <c r="AU17" s="46" t="str">
        <f t="shared" ca="1" si="3"/>
        <v/>
      </c>
      <c r="AV17" s="47" t="s">
        <v>796</v>
      </c>
      <c r="AW17" s="43" t="str">
        <f>IF(IFERROR(INDEX(Consulta!$A:$DF,MATCH('MM01'!$B17,Consulta!$C:$C,0),'MM01'!AW$2),"")=0,"",IFERROR(ROUND(INDEX(Consulta!$A:$DF,MATCH('MM01'!$B17,Consulta!$C:$C,0),'MM01'!AW$2),3),""))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IF(IFERROR(INDEX(Consulta!$A:$DF,MATCH('MM01'!$B17,Consulta!$C:$C,0),'MM01'!BA$2),"")=0,"",IFERROR(INDEX(Consulta!$A:$DF,MATCH('MM01'!$B17,Consulta!$C:$C,0),'MM01'!BA$2),""))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IF(IFERROR(INDEX(Consulta!$A:$DF,MATCH('MM01'!$B17,Consulta!$C:$C,0),'MM01'!BL$2),"")=0,"",IFERROR(INDEX(Consulta!$A:$DF,MATCH('MM01'!$B17,Consulta!$C:$C,0),'MM01'!BL$2),""))</f>
        <v/>
      </c>
      <c r="BM17" s="45">
        <v>99</v>
      </c>
      <c r="BN17" s="46" t="str">
        <f t="shared" ca="1" si="13"/>
        <v>28.04.2022</v>
      </c>
      <c r="BO17" s="49" t="str">
        <f t="shared" si="14"/>
        <v/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IF(IFERROR(INDEX(Consulta!$A:$DF,MATCH('MM01'!$B17,Consulta!$C:$C,0),'MM01'!BX$2),"")=0,"",IFERROR(INDEX(Consulta!$A:$DF,MATCH('MM01'!$B17,Consulta!$C:$C,0),'MM01'!BX$2),""))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15"/>
        <v/>
      </c>
      <c r="CD17" s="45" t="s">
        <v>430</v>
      </c>
      <c r="CE17" s="45">
        <v>1</v>
      </c>
      <c r="CF17" s="45" t="s">
        <v>496</v>
      </c>
      <c r="CG17" s="45"/>
      <c r="CH17" s="44">
        <v>2</v>
      </c>
      <c r="CI17" s="49" t="str">
        <f t="shared" si="16"/>
        <v/>
      </c>
      <c r="CJ17" s="49" t="str">
        <f t="shared" si="17"/>
        <v/>
      </c>
      <c r="CK17" s="45"/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8"/>
        <v>K00_P_</v>
      </c>
      <c r="CS17" s="45">
        <v>5000</v>
      </c>
      <c r="CT17" s="43" t="str">
        <f>IF(IFERROR(INDEX(Consulta!$A:$DF,MATCH('MM01'!$B17,Consulta!$C:$C,0),'MM01'!CT$2),"")=0,"",IFERROR(INDEX(Consulta!$A:$DF,MATCH('MM01'!$B17,Consulta!$C:$C,0),'MM01'!CT$2),""))</f>
        <v/>
      </c>
      <c r="CU17" s="43" t="str">
        <f>IF(IFERROR(INDEX(Consulta!$A:$DF,MATCH('MM01'!$B17,Consulta!$C:$C,0),'MM01'!CU$2),"")=0,"",IFERROR(INDEX(Consulta!$A:$DF,MATCH('MM01'!$B17,Consulta!$C:$C,0),'MM01'!CU$2),""))</f>
        <v/>
      </c>
      <c r="CV17" s="43" t="str">
        <f>IF(IFERROR(INDEX(Consulta!$A:$DF,MATCH('MM01'!$B17,Consulta!$C:$C,0),'MM01'!CV$2),"")=0,"",IFERROR(INDEX(Consulta!$A:$DF,MATCH('MM01'!$B17,Consulta!$C:$C,0),'MM01'!CV$2),""))</f>
        <v/>
      </c>
      <c r="CW17" s="43" t="str">
        <f>IF(IFERROR(INDEX(Consulta!$A:$DF,MATCH('MM01'!$B17,Consulta!$C:$C,0),'MM01'!CW$2),"")=0,"",IFERROR(INDEX(Consulta!$A:$DF,MATCH('MM01'!$B17,Consulta!$C:$C,0),'MM01'!CW$2),""))</f>
        <v/>
      </c>
      <c r="CX17" s="43" t="str">
        <f t="shared" si="19"/>
        <v/>
      </c>
      <c r="CY17" s="43" t="str">
        <f t="shared" si="20"/>
        <v/>
      </c>
      <c r="CZ17" s="43" t="str">
        <f t="shared" si="21"/>
        <v/>
      </c>
      <c r="DA17" s="43" t="str">
        <f>IF(IFERROR(INDEX(Consulta!$A:$DF,MATCH('MM01'!$B17,Consulta!$C:$C,0),'MM01'!DA$2),"")=0,"",IFERROR(INDEX(Consulta!$A:$DF,MATCH('MM01'!$B17,Consulta!$C:$C,0),'MM01'!DA$2),""))</f>
        <v/>
      </c>
      <c r="DB17" s="43" t="str">
        <f t="shared" si="22"/>
        <v/>
      </c>
      <c r="DC17" s="43" t="str">
        <f>IF(IFERROR(INDEX(Consulta!$A:$DF,MATCH('MM01'!$B17,Consulta!$C:$C,0),'MM01'!DC$2),"")=0,"",IFERROR(INDEX(Consulta!$A:$DF,MATCH('MM01'!$B17,Consulta!$C:$C,0),'MM01'!DC$2),""))</f>
        <v/>
      </c>
      <c r="DD17" s="45">
        <v>0</v>
      </c>
      <c r="DE17" s="45">
        <v>0</v>
      </c>
      <c r="DF17" s="43" t="str">
        <f t="shared" si="23"/>
        <v/>
      </c>
      <c r="DG17" s="43" t="str">
        <f t="shared" si="24"/>
        <v/>
      </c>
      <c r="DH17" s="55"/>
      <c r="DI17" s="43" t="str">
        <f t="shared" ca="1" si="25"/>
        <v/>
      </c>
      <c r="DJ17" s="43" t="str">
        <f t="shared" si="26"/>
        <v/>
      </c>
      <c r="DK17" s="43" t="str">
        <f t="shared" si="27"/>
        <v/>
      </c>
      <c r="DL17" s="55"/>
      <c r="DM17" s="43" t="str">
        <f t="shared" ca="1" si="28"/>
        <v/>
      </c>
      <c r="DN17" s="43" t="str">
        <f t="shared" si="29"/>
        <v/>
      </c>
      <c r="DO17" s="43" t="str">
        <f t="shared" si="30"/>
        <v/>
      </c>
      <c r="DP17" s="55"/>
      <c r="DQ17" s="43" t="str">
        <f t="shared" ca="1" si="31"/>
        <v/>
      </c>
      <c r="DR17" s="43" t="str">
        <f t="shared" si="32"/>
        <v/>
      </c>
      <c r="DS17" s="43" t="str">
        <f t="shared" si="33"/>
        <v/>
      </c>
      <c r="DT17" s="55"/>
      <c r="DU17" s="43" t="str">
        <f t="shared" ca="1" si="34"/>
        <v/>
      </c>
      <c r="DV17" s="43" t="str">
        <f t="shared" si="35"/>
        <v/>
      </c>
      <c r="DX17" s="44">
        <v>1</v>
      </c>
      <c r="DY17" s="44" t="s">
        <v>774</v>
      </c>
      <c r="DZ17" s="43">
        <f t="shared" si="36"/>
        <v>0.01</v>
      </c>
      <c r="EA17" s="43" t="str">
        <f t="shared" si="37"/>
        <v>M</v>
      </c>
      <c r="EB17" s="43" t="str">
        <f>IF(IFERROR(INDEX(Consulta!$A:$DF,MATCH('MM01'!$B17,Consulta!$C:$C,0),'MM01'!EB$2),"")=0,"7925",IF(IFERROR(INDEX(Consulta!$A:$DF,MATCH('MM01'!$B17,Consulta!$C:$C,0),'MM01'!EB$2),"")="68","7910","7925"))</f>
        <v>7925</v>
      </c>
      <c r="EC17" s="44">
        <v>100</v>
      </c>
      <c r="ED17" s="60">
        <v>1</v>
      </c>
      <c r="EE17" s="43">
        <f t="shared" si="38"/>
        <v>100</v>
      </c>
      <c r="EF17" s="44">
        <v>1</v>
      </c>
      <c r="EG17" s="44">
        <v>0</v>
      </c>
      <c r="EH17" s="44" t="s">
        <v>867</v>
      </c>
      <c r="EI17" s="45">
        <v>0</v>
      </c>
      <c r="EJ17" s="43">
        <f t="shared" si="39"/>
        <v>5000</v>
      </c>
      <c r="EK17" s="65"/>
    </row>
    <row r="18" spans="1:141" x14ac:dyDescent="0.3">
      <c r="A18" s="7" t="str">
        <f t="shared" si="0"/>
        <v>Execução 14</v>
      </c>
      <c r="B18" s="42"/>
      <c r="C18" s="43" t="str">
        <f>IF(IFERROR(INDEX(Consulta!$A:$DF,MATCH('MM01'!$B18,Consulta!$C:$C,0),'MM01'!C$2),"")=0,"",IFERROR(INDEX(Consulta!$A:$DF,MATCH('MM01'!$B18,Consulta!$C:$C,0),'MM01'!C$2),""))</f>
        <v/>
      </c>
      <c r="D18" s="43" t="str">
        <f>IF(IFERROR(INDEX(Consulta!$A:$DF,MATCH('MM01'!$B18,Consulta!$C:$C,0),'MM01'!D$2),"")=0,"",IFERROR(INDEX(Consulta!$A:$DF,MATCH('MM01'!$B18,Consulta!$C:$C,0),'MM01'!D$2),""))</f>
        <v/>
      </c>
      <c r="E18" s="43" t="str">
        <f>IF(IFERROR(INDEX(Consulta!$A:$DF,MATCH('MM01'!$B18,Consulta!$C:$C,0),'MM01'!E$2),"")=0,"",IFERROR(INDEX(Consulta!$A:$DF,MATCH('MM01'!$B18,Consulta!$C:$C,0),'MM01'!E$2),""))</f>
        <v/>
      </c>
      <c r="F18" s="44" t="s">
        <v>100</v>
      </c>
      <c r="G18" s="49" t="str">
        <f>IF(IFERROR(INDEX(Consulta!$A:$DF,MATCH('MM01'!$B18,Consulta!$C:$C,0),'MM01'!G$2),"")=0,"",IFERROR(INDEX(Consulta!$A:$DF,MATCH('MM01'!$B18,Consulta!$C:$C,0),'MM01'!G$2),""))</f>
        <v/>
      </c>
      <c r="H18" s="49" t="str">
        <f>IF(IFERROR(INDEX(Consulta!$A:$DF,MATCH('MM01'!$B18,Consulta!$C:$C,0),'MM01'!H$2),"")=0,"",IFERROR(INDEX(Consulta!$A:$DF,MATCH('MM01'!$B18,Consulta!$C:$C,0),'MM01'!H$2),""))</f>
        <v/>
      </c>
      <c r="I18" s="49" t="str">
        <f t="shared" si="1"/>
        <v/>
      </c>
      <c r="J18" s="49" t="str">
        <f>IF(IFERROR(INDEX(Consulta!$A:$DF,MATCH('MM01'!$B18,Consulta!$C:$C,0),'MM01'!J$2),"")=0,"",IFERROR(INDEX(Consulta!$A:$DF,MATCH('MM01'!$B18,Consulta!$C:$C,0),'MM01'!J$2),""))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IF(IFERROR(INDEX(Consulta!$A:$DF,MATCH('MM01'!$B18,Consulta!$C:$C,0),'MM01'!AP$2),"")=0,"",IFERROR(INDEX(Consulta!$A:$DF,MATCH('MM01'!$B18,Consulta!$C:$C,0),'MM01'!AP$2),""))</f>
        <v/>
      </c>
      <c r="AQ18" s="45"/>
      <c r="AR18" s="43" t="str">
        <f>IF(IFERROR(INDEX(Consulta!$A:$DF,MATCH('MM01'!$B18,Consulta!$C:$C,0),'MM01'!AR$2),"")=0,"",IFERROR(INDEX(Consulta!$A:$DF,MATCH('MM01'!$B18,Consulta!$C:$C,0),'MM01'!AR$2),""))</f>
        <v/>
      </c>
      <c r="AS18" s="43" t="str">
        <f>IF(IFERROR(INDEX(Consulta!$A:$DF,MATCH('MM01'!$B18,Consulta!$C:$C,0),'MM01'!AS$2),"")=0,"",IF(AR18="68",5102,IFERROR(INDEX(Consulta!$A:$DF,MATCH('MM01'!$B18,Consulta!$C:$C,0),'MM01'!AS$2),"")))</f>
        <v/>
      </c>
      <c r="AT18" s="45"/>
      <c r="AU18" s="46" t="str">
        <f t="shared" ca="1" si="3"/>
        <v/>
      </c>
      <c r="AV18" s="47" t="s">
        <v>796</v>
      </c>
      <c r="AW18" s="43" t="str">
        <f>IF(IFERROR(INDEX(Consulta!$A:$DF,MATCH('MM01'!$B18,Consulta!$C:$C,0),'MM01'!AW$2),"")=0,"",IFERROR(ROUND(INDEX(Consulta!$A:$DF,MATCH('MM01'!$B18,Consulta!$C:$C,0),'MM01'!AW$2),3),""))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IF(IFERROR(INDEX(Consulta!$A:$DF,MATCH('MM01'!$B18,Consulta!$C:$C,0),'MM01'!BA$2),"")=0,"",IFERROR(INDEX(Consulta!$A:$DF,MATCH('MM01'!$B18,Consulta!$C:$C,0),'MM01'!BA$2),""))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IF(IFERROR(INDEX(Consulta!$A:$DF,MATCH('MM01'!$B18,Consulta!$C:$C,0),'MM01'!BL$2),"")=0,"",IFERROR(INDEX(Consulta!$A:$DF,MATCH('MM01'!$B18,Consulta!$C:$C,0),'MM01'!BL$2),""))</f>
        <v/>
      </c>
      <c r="BM18" s="45">
        <v>99</v>
      </c>
      <c r="BN18" s="46" t="str">
        <f t="shared" ca="1" si="13"/>
        <v>28.04.2022</v>
      </c>
      <c r="BO18" s="49" t="str">
        <f t="shared" si="14"/>
        <v/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IF(IFERROR(INDEX(Consulta!$A:$DF,MATCH('MM01'!$B18,Consulta!$C:$C,0),'MM01'!BX$2),"")=0,"",IFERROR(INDEX(Consulta!$A:$DF,MATCH('MM01'!$B18,Consulta!$C:$C,0),'MM01'!BX$2),""))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15"/>
        <v/>
      </c>
      <c r="CD18" s="45" t="s">
        <v>430</v>
      </c>
      <c r="CE18" s="45">
        <v>1</v>
      </c>
      <c r="CF18" s="45" t="s">
        <v>496</v>
      </c>
      <c r="CG18" s="45"/>
      <c r="CH18" s="44">
        <v>2</v>
      </c>
      <c r="CI18" s="49" t="str">
        <f t="shared" si="16"/>
        <v/>
      </c>
      <c r="CJ18" s="49" t="str">
        <f t="shared" si="17"/>
        <v/>
      </c>
      <c r="CK18" s="45"/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8"/>
        <v>K00_P_</v>
      </c>
      <c r="CS18" s="45">
        <v>5000</v>
      </c>
      <c r="CT18" s="43" t="str">
        <f>IF(IFERROR(INDEX(Consulta!$A:$DF,MATCH('MM01'!$B18,Consulta!$C:$C,0),'MM01'!CT$2),"")=0,"",IFERROR(INDEX(Consulta!$A:$DF,MATCH('MM01'!$B18,Consulta!$C:$C,0),'MM01'!CT$2),""))</f>
        <v/>
      </c>
      <c r="CU18" s="43" t="str">
        <f>IF(IFERROR(INDEX(Consulta!$A:$DF,MATCH('MM01'!$B18,Consulta!$C:$C,0),'MM01'!CU$2),"")=0,"",IFERROR(INDEX(Consulta!$A:$DF,MATCH('MM01'!$B18,Consulta!$C:$C,0),'MM01'!CU$2),""))</f>
        <v/>
      </c>
      <c r="CV18" s="43" t="str">
        <f>IF(IFERROR(INDEX(Consulta!$A:$DF,MATCH('MM01'!$B18,Consulta!$C:$C,0),'MM01'!CV$2),"")=0,"",IFERROR(INDEX(Consulta!$A:$DF,MATCH('MM01'!$B18,Consulta!$C:$C,0),'MM01'!CV$2),""))</f>
        <v/>
      </c>
      <c r="CW18" s="43" t="str">
        <f>IF(IFERROR(INDEX(Consulta!$A:$DF,MATCH('MM01'!$B18,Consulta!$C:$C,0),'MM01'!CW$2),"")=0,"",IFERROR(INDEX(Consulta!$A:$DF,MATCH('MM01'!$B18,Consulta!$C:$C,0),'MM01'!CW$2),""))</f>
        <v/>
      </c>
      <c r="CX18" s="43" t="str">
        <f t="shared" si="19"/>
        <v/>
      </c>
      <c r="CY18" s="43" t="str">
        <f t="shared" si="20"/>
        <v/>
      </c>
      <c r="CZ18" s="43" t="str">
        <f t="shared" si="21"/>
        <v/>
      </c>
      <c r="DA18" s="43" t="str">
        <f>IF(IFERROR(INDEX(Consulta!$A:$DF,MATCH('MM01'!$B18,Consulta!$C:$C,0),'MM01'!DA$2),"")=0,"",IFERROR(INDEX(Consulta!$A:$DF,MATCH('MM01'!$B18,Consulta!$C:$C,0),'MM01'!DA$2),""))</f>
        <v/>
      </c>
      <c r="DB18" s="43" t="str">
        <f t="shared" si="22"/>
        <v/>
      </c>
      <c r="DC18" s="43" t="str">
        <f>IF(IFERROR(INDEX(Consulta!$A:$DF,MATCH('MM01'!$B18,Consulta!$C:$C,0),'MM01'!DC$2),"")=0,"",IFERROR(INDEX(Consulta!$A:$DF,MATCH('MM01'!$B18,Consulta!$C:$C,0),'MM01'!DC$2),""))</f>
        <v/>
      </c>
      <c r="DD18" s="45">
        <v>0</v>
      </c>
      <c r="DE18" s="45">
        <v>0</v>
      </c>
      <c r="DF18" s="43" t="str">
        <f t="shared" si="23"/>
        <v/>
      </c>
      <c r="DG18" s="43" t="str">
        <f t="shared" si="24"/>
        <v/>
      </c>
      <c r="DH18" s="55"/>
      <c r="DI18" s="43" t="str">
        <f t="shared" ca="1" si="25"/>
        <v/>
      </c>
      <c r="DJ18" s="43" t="str">
        <f t="shared" si="26"/>
        <v/>
      </c>
      <c r="DK18" s="43" t="str">
        <f t="shared" si="27"/>
        <v/>
      </c>
      <c r="DL18" s="55"/>
      <c r="DM18" s="43" t="str">
        <f t="shared" ca="1" si="28"/>
        <v/>
      </c>
      <c r="DN18" s="43" t="str">
        <f t="shared" si="29"/>
        <v/>
      </c>
      <c r="DO18" s="43" t="str">
        <f t="shared" si="30"/>
        <v/>
      </c>
      <c r="DP18" s="55"/>
      <c r="DQ18" s="43" t="str">
        <f t="shared" ca="1" si="31"/>
        <v/>
      </c>
      <c r="DR18" s="43" t="str">
        <f t="shared" si="32"/>
        <v/>
      </c>
      <c r="DS18" s="43" t="str">
        <f t="shared" si="33"/>
        <v/>
      </c>
      <c r="DT18" s="55"/>
      <c r="DU18" s="43" t="str">
        <f t="shared" ca="1" si="34"/>
        <v/>
      </c>
      <c r="DV18" s="43" t="str">
        <f t="shared" si="35"/>
        <v/>
      </c>
      <c r="DX18" s="44">
        <v>1</v>
      </c>
      <c r="DY18" s="44" t="s">
        <v>774</v>
      </c>
      <c r="DZ18" s="43">
        <f t="shared" si="36"/>
        <v>0.01</v>
      </c>
      <c r="EA18" s="43" t="str">
        <f t="shared" si="37"/>
        <v>M</v>
      </c>
      <c r="EB18" s="43" t="str">
        <f>IF(IFERROR(INDEX(Consulta!$A:$DF,MATCH('MM01'!$B18,Consulta!$C:$C,0),'MM01'!EB$2),"")=0,"7925",IF(IFERROR(INDEX(Consulta!$A:$DF,MATCH('MM01'!$B18,Consulta!$C:$C,0),'MM01'!EB$2),"")="68","7910","7925"))</f>
        <v>7925</v>
      </c>
      <c r="EC18" s="44">
        <v>100</v>
      </c>
      <c r="ED18" s="60">
        <v>1</v>
      </c>
      <c r="EE18" s="43">
        <f t="shared" si="38"/>
        <v>100</v>
      </c>
      <c r="EF18" s="44">
        <v>1</v>
      </c>
      <c r="EG18" s="44">
        <v>0</v>
      </c>
      <c r="EH18" s="44" t="s">
        <v>867</v>
      </c>
      <c r="EI18" s="45">
        <v>0</v>
      </c>
      <c r="EJ18" s="43">
        <f t="shared" si="39"/>
        <v>5000</v>
      </c>
      <c r="EK18" s="65"/>
    </row>
    <row r="19" spans="1:141" x14ac:dyDescent="0.3">
      <c r="A19" s="7" t="str">
        <f t="shared" si="0"/>
        <v>Execução 15</v>
      </c>
      <c r="B19" s="42"/>
      <c r="C19" s="43" t="str">
        <f>IF(IFERROR(INDEX(Consulta!$A:$DF,MATCH('MM01'!$B19,Consulta!$C:$C,0),'MM01'!C$2),"")=0,"",IFERROR(INDEX(Consulta!$A:$DF,MATCH('MM01'!$B19,Consulta!$C:$C,0),'MM01'!C$2),""))</f>
        <v/>
      </c>
      <c r="D19" s="43" t="str">
        <f>IF(IFERROR(INDEX(Consulta!$A:$DF,MATCH('MM01'!$B19,Consulta!$C:$C,0),'MM01'!D$2),"")=0,"",IFERROR(INDEX(Consulta!$A:$DF,MATCH('MM01'!$B19,Consulta!$C:$C,0),'MM01'!D$2),""))</f>
        <v/>
      </c>
      <c r="E19" s="43" t="str">
        <f>IF(IFERROR(INDEX(Consulta!$A:$DF,MATCH('MM01'!$B19,Consulta!$C:$C,0),'MM01'!E$2),"")=0,"",IFERROR(INDEX(Consulta!$A:$DF,MATCH('MM01'!$B19,Consulta!$C:$C,0),'MM01'!E$2),""))</f>
        <v/>
      </c>
      <c r="F19" s="44" t="s">
        <v>100</v>
      </c>
      <c r="G19" s="49" t="str">
        <f>IF(IFERROR(INDEX(Consulta!$A:$DF,MATCH('MM01'!$B19,Consulta!$C:$C,0),'MM01'!G$2),"")=0,"",IFERROR(INDEX(Consulta!$A:$DF,MATCH('MM01'!$B19,Consulta!$C:$C,0),'MM01'!G$2),""))</f>
        <v/>
      </c>
      <c r="H19" s="49" t="str">
        <f>IF(IFERROR(INDEX(Consulta!$A:$DF,MATCH('MM01'!$B19,Consulta!$C:$C,0),'MM01'!H$2),"")=0,"",IFERROR(INDEX(Consulta!$A:$DF,MATCH('MM01'!$B19,Consulta!$C:$C,0),'MM01'!H$2),""))</f>
        <v/>
      </c>
      <c r="I19" s="49" t="str">
        <f t="shared" si="1"/>
        <v/>
      </c>
      <c r="J19" s="49" t="str">
        <f>IF(IFERROR(INDEX(Consulta!$A:$DF,MATCH('MM01'!$B19,Consulta!$C:$C,0),'MM01'!J$2),"")=0,"",IFERROR(INDEX(Consulta!$A:$DF,MATCH('MM01'!$B19,Consulta!$C:$C,0),'MM01'!J$2),""))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IF(IFERROR(INDEX(Consulta!$A:$DF,MATCH('MM01'!$B19,Consulta!$C:$C,0),'MM01'!AP$2),"")=0,"",IFERROR(INDEX(Consulta!$A:$DF,MATCH('MM01'!$B19,Consulta!$C:$C,0),'MM01'!AP$2),""))</f>
        <v/>
      </c>
      <c r="AQ19" s="45"/>
      <c r="AR19" s="43" t="str">
        <f>IF(IFERROR(INDEX(Consulta!$A:$DF,MATCH('MM01'!$B19,Consulta!$C:$C,0),'MM01'!AR$2),"")=0,"",IFERROR(INDEX(Consulta!$A:$DF,MATCH('MM01'!$B19,Consulta!$C:$C,0),'MM01'!AR$2),""))</f>
        <v/>
      </c>
      <c r="AS19" s="43" t="str">
        <f>IF(IFERROR(INDEX(Consulta!$A:$DF,MATCH('MM01'!$B19,Consulta!$C:$C,0),'MM01'!AS$2),"")=0,"",IF(AR19="68",5102,IFERROR(INDEX(Consulta!$A:$DF,MATCH('MM01'!$B19,Consulta!$C:$C,0),'MM01'!AS$2),"")))</f>
        <v/>
      </c>
      <c r="AT19" s="45"/>
      <c r="AU19" s="46" t="str">
        <f t="shared" ca="1" si="3"/>
        <v/>
      </c>
      <c r="AV19" s="47" t="s">
        <v>796</v>
      </c>
      <c r="AW19" s="43" t="str">
        <f>IF(IFERROR(INDEX(Consulta!$A:$DF,MATCH('MM01'!$B19,Consulta!$C:$C,0),'MM01'!AW$2),"")=0,"",IFERROR(ROUND(INDEX(Consulta!$A:$DF,MATCH('MM01'!$B19,Consulta!$C:$C,0),'MM01'!AW$2),3),""))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IF(IFERROR(INDEX(Consulta!$A:$DF,MATCH('MM01'!$B19,Consulta!$C:$C,0),'MM01'!BA$2),"")=0,"",IFERROR(INDEX(Consulta!$A:$DF,MATCH('MM01'!$B19,Consulta!$C:$C,0),'MM01'!BA$2),""))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IF(IFERROR(INDEX(Consulta!$A:$DF,MATCH('MM01'!$B19,Consulta!$C:$C,0),'MM01'!BL$2),"")=0,"",IFERROR(INDEX(Consulta!$A:$DF,MATCH('MM01'!$B19,Consulta!$C:$C,0),'MM01'!BL$2),""))</f>
        <v/>
      </c>
      <c r="BM19" s="45">
        <v>99</v>
      </c>
      <c r="BN19" s="46" t="str">
        <f t="shared" ca="1" si="13"/>
        <v>28.04.2022</v>
      </c>
      <c r="BO19" s="49" t="str">
        <f t="shared" si="14"/>
        <v/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IF(IFERROR(INDEX(Consulta!$A:$DF,MATCH('MM01'!$B19,Consulta!$C:$C,0),'MM01'!BX$2),"")=0,"",IFERROR(INDEX(Consulta!$A:$DF,MATCH('MM01'!$B19,Consulta!$C:$C,0),'MM01'!BX$2),""))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15"/>
        <v/>
      </c>
      <c r="CD19" s="45" t="s">
        <v>430</v>
      </c>
      <c r="CE19" s="45">
        <v>1</v>
      </c>
      <c r="CF19" s="45" t="s">
        <v>496</v>
      </c>
      <c r="CG19" s="45"/>
      <c r="CH19" s="44">
        <v>2</v>
      </c>
      <c r="CI19" s="49" t="str">
        <f t="shared" si="16"/>
        <v/>
      </c>
      <c r="CJ19" s="49" t="str">
        <f t="shared" si="17"/>
        <v/>
      </c>
      <c r="CK19" s="45"/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8"/>
        <v>K00_P_</v>
      </c>
      <c r="CS19" s="45">
        <v>5000</v>
      </c>
      <c r="CT19" s="43" t="str">
        <f>IF(IFERROR(INDEX(Consulta!$A:$DF,MATCH('MM01'!$B19,Consulta!$C:$C,0),'MM01'!CT$2),"")=0,"",IFERROR(INDEX(Consulta!$A:$DF,MATCH('MM01'!$B19,Consulta!$C:$C,0),'MM01'!CT$2),""))</f>
        <v/>
      </c>
      <c r="CU19" s="43" t="str">
        <f>IF(IFERROR(INDEX(Consulta!$A:$DF,MATCH('MM01'!$B19,Consulta!$C:$C,0),'MM01'!CU$2),"")=0,"",IFERROR(INDEX(Consulta!$A:$DF,MATCH('MM01'!$B19,Consulta!$C:$C,0),'MM01'!CU$2),""))</f>
        <v/>
      </c>
      <c r="CV19" s="43" t="str">
        <f>IF(IFERROR(INDEX(Consulta!$A:$DF,MATCH('MM01'!$B19,Consulta!$C:$C,0),'MM01'!CV$2),"")=0,"",IFERROR(INDEX(Consulta!$A:$DF,MATCH('MM01'!$B19,Consulta!$C:$C,0),'MM01'!CV$2),""))</f>
        <v/>
      </c>
      <c r="CW19" s="43" t="str">
        <f>IF(IFERROR(INDEX(Consulta!$A:$DF,MATCH('MM01'!$B19,Consulta!$C:$C,0),'MM01'!CW$2),"")=0,"",IFERROR(INDEX(Consulta!$A:$DF,MATCH('MM01'!$B19,Consulta!$C:$C,0),'MM01'!CW$2),""))</f>
        <v/>
      </c>
      <c r="CX19" s="43" t="str">
        <f t="shared" si="19"/>
        <v/>
      </c>
      <c r="CY19" s="43" t="str">
        <f t="shared" si="20"/>
        <v/>
      </c>
      <c r="CZ19" s="43" t="str">
        <f t="shared" si="21"/>
        <v/>
      </c>
      <c r="DA19" s="43" t="str">
        <f>IF(IFERROR(INDEX(Consulta!$A:$DF,MATCH('MM01'!$B19,Consulta!$C:$C,0),'MM01'!DA$2),"")=0,"",IFERROR(INDEX(Consulta!$A:$DF,MATCH('MM01'!$B19,Consulta!$C:$C,0),'MM01'!DA$2),""))</f>
        <v/>
      </c>
      <c r="DB19" s="43" t="str">
        <f t="shared" si="22"/>
        <v/>
      </c>
      <c r="DC19" s="43" t="str">
        <f>IF(IFERROR(INDEX(Consulta!$A:$DF,MATCH('MM01'!$B19,Consulta!$C:$C,0),'MM01'!DC$2),"")=0,"",IFERROR(INDEX(Consulta!$A:$DF,MATCH('MM01'!$B19,Consulta!$C:$C,0),'MM01'!DC$2),""))</f>
        <v/>
      </c>
      <c r="DD19" s="45">
        <v>0</v>
      </c>
      <c r="DE19" s="45">
        <v>0</v>
      </c>
      <c r="DF19" s="43" t="str">
        <f t="shared" si="23"/>
        <v/>
      </c>
      <c r="DG19" s="43" t="str">
        <f t="shared" si="24"/>
        <v/>
      </c>
      <c r="DH19" s="55"/>
      <c r="DI19" s="43" t="str">
        <f t="shared" ca="1" si="25"/>
        <v/>
      </c>
      <c r="DJ19" s="43" t="str">
        <f t="shared" si="26"/>
        <v/>
      </c>
      <c r="DK19" s="43" t="str">
        <f t="shared" si="27"/>
        <v/>
      </c>
      <c r="DL19" s="55"/>
      <c r="DM19" s="43" t="str">
        <f t="shared" ca="1" si="28"/>
        <v/>
      </c>
      <c r="DN19" s="43" t="str">
        <f t="shared" si="29"/>
        <v/>
      </c>
      <c r="DO19" s="43" t="str">
        <f t="shared" si="30"/>
        <v/>
      </c>
      <c r="DP19" s="55"/>
      <c r="DQ19" s="43" t="str">
        <f t="shared" ca="1" si="31"/>
        <v/>
      </c>
      <c r="DR19" s="43" t="str">
        <f t="shared" si="32"/>
        <v/>
      </c>
      <c r="DS19" s="43" t="str">
        <f t="shared" si="33"/>
        <v/>
      </c>
      <c r="DT19" s="55"/>
      <c r="DU19" s="43" t="str">
        <f t="shared" ca="1" si="34"/>
        <v/>
      </c>
      <c r="DV19" s="43" t="str">
        <f t="shared" si="35"/>
        <v/>
      </c>
      <c r="DX19" s="44">
        <v>1</v>
      </c>
      <c r="DY19" s="44" t="s">
        <v>774</v>
      </c>
      <c r="DZ19" s="43">
        <f t="shared" si="36"/>
        <v>0.01</v>
      </c>
      <c r="EA19" s="43" t="str">
        <f t="shared" si="37"/>
        <v>M</v>
      </c>
      <c r="EB19" s="43" t="str">
        <f>IF(IFERROR(INDEX(Consulta!$A:$DF,MATCH('MM01'!$B19,Consulta!$C:$C,0),'MM01'!EB$2),"")=0,"7925",IF(IFERROR(INDEX(Consulta!$A:$DF,MATCH('MM01'!$B19,Consulta!$C:$C,0),'MM01'!EB$2),"")="68","7910","7925"))</f>
        <v>7925</v>
      </c>
      <c r="EC19" s="44">
        <v>100</v>
      </c>
      <c r="ED19" s="60">
        <v>1</v>
      </c>
      <c r="EE19" s="43">
        <f t="shared" si="38"/>
        <v>100</v>
      </c>
      <c r="EF19" s="44">
        <v>1</v>
      </c>
      <c r="EG19" s="44">
        <v>0</v>
      </c>
      <c r="EH19" s="44" t="s">
        <v>867</v>
      </c>
      <c r="EI19" s="45">
        <v>0</v>
      </c>
      <c r="EJ19" s="43">
        <f t="shared" si="39"/>
        <v>5000</v>
      </c>
      <c r="EK19" s="65"/>
    </row>
    <row r="20" spans="1:141" x14ac:dyDescent="0.3">
      <c r="A20" s="7" t="str">
        <f t="shared" si="0"/>
        <v>Execução 16</v>
      </c>
      <c r="B20" s="42"/>
      <c r="C20" s="43" t="str">
        <f>IF(IFERROR(INDEX(Consulta!$A:$DF,MATCH('MM01'!$B20,Consulta!$C:$C,0),'MM01'!C$2),"")=0,"",IFERROR(INDEX(Consulta!$A:$DF,MATCH('MM01'!$B20,Consulta!$C:$C,0),'MM01'!C$2),""))</f>
        <v/>
      </c>
      <c r="D20" s="43" t="str">
        <f>IF(IFERROR(INDEX(Consulta!$A:$DF,MATCH('MM01'!$B20,Consulta!$C:$C,0),'MM01'!D$2),"")=0,"",IFERROR(INDEX(Consulta!$A:$DF,MATCH('MM01'!$B20,Consulta!$C:$C,0),'MM01'!D$2),""))</f>
        <v/>
      </c>
      <c r="E20" s="43" t="str">
        <f>IF(IFERROR(INDEX(Consulta!$A:$DF,MATCH('MM01'!$B20,Consulta!$C:$C,0),'MM01'!E$2),"")=0,"",IFERROR(INDEX(Consulta!$A:$DF,MATCH('MM01'!$B20,Consulta!$C:$C,0),'MM01'!E$2),""))</f>
        <v/>
      </c>
      <c r="F20" s="44" t="s">
        <v>100</v>
      </c>
      <c r="G20" s="49" t="str">
        <f>IF(IFERROR(INDEX(Consulta!$A:$DF,MATCH('MM01'!$B20,Consulta!$C:$C,0),'MM01'!G$2),"")=0,"",IFERROR(INDEX(Consulta!$A:$DF,MATCH('MM01'!$B20,Consulta!$C:$C,0),'MM01'!G$2),""))</f>
        <v/>
      </c>
      <c r="H20" s="49" t="str">
        <f>IF(IFERROR(INDEX(Consulta!$A:$DF,MATCH('MM01'!$B20,Consulta!$C:$C,0),'MM01'!H$2),"")=0,"",IFERROR(INDEX(Consulta!$A:$DF,MATCH('MM01'!$B20,Consulta!$C:$C,0),'MM01'!H$2),""))</f>
        <v/>
      </c>
      <c r="I20" s="49" t="str">
        <f t="shared" si="1"/>
        <v/>
      </c>
      <c r="J20" s="49" t="str">
        <f>IF(IFERROR(INDEX(Consulta!$A:$DF,MATCH('MM01'!$B20,Consulta!$C:$C,0),'MM01'!J$2),"")=0,"",IFERROR(INDEX(Consulta!$A:$DF,MATCH('MM01'!$B20,Consulta!$C:$C,0),'MM01'!J$2),""))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IF(IFERROR(INDEX(Consulta!$A:$DF,MATCH('MM01'!$B20,Consulta!$C:$C,0),'MM01'!AP$2),"")=0,"",IFERROR(INDEX(Consulta!$A:$DF,MATCH('MM01'!$B20,Consulta!$C:$C,0),'MM01'!AP$2),""))</f>
        <v/>
      </c>
      <c r="AQ20" s="45"/>
      <c r="AR20" s="43" t="str">
        <f>IF(IFERROR(INDEX(Consulta!$A:$DF,MATCH('MM01'!$B20,Consulta!$C:$C,0),'MM01'!AR$2),"")=0,"",IFERROR(INDEX(Consulta!$A:$DF,MATCH('MM01'!$B20,Consulta!$C:$C,0),'MM01'!AR$2),""))</f>
        <v/>
      </c>
      <c r="AS20" s="43" t="str">
        <f>IF(IFERROR(INDEX(Consulta!$A:$DF,MATCH('MM01'!$B20,Consulta!$C:$C,0),'MM01'!AS$2),"")=0,"",IF(AR20="68",5102,IFERROR(INDEX(Consulta!$A:$DF,MATCH('MM01'!$B20,Consulta!$C:$C,0),'MM01'!AS$2),"")))</f>
        <v/>
      </c>
      <c r="AT20" s="45"/>
      <c r="AU20" s="46" t="str">
        <f t="shared" ca="1" si="3"/>
        <v/>
      </c>
      <c r="AV20" s="47" t="s">
        <v>796</v>
      </c>
      <c r="AW20" s="43" t="str">
        <f>IF(IFERROR(INDEX(Consulta!$A:$DF,MATCH('MM01'!$B20,Consulta!$C:$C,0),'MM01'!AW$2),"")=0,"",IFERROR(ROUND(INDEX(Consulta!$A:$DF,MATCH('MM01'!$B20,Consulta!$C:$C,0),'MM01'!AW$2),3),""))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IF(IFERROR(INDEX(Consulta!$A:$DF,MATCH('MM01'!$B20,Consulta!$C:$C,0),'MM01'!BA$2),"")=0,"",IFERROR(INDEX(Consulta!$A:$DF,MATCH('MM01'!$B20,Consulta!$C:$C,0),'MM01'!BA$2),""))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IF(IFERROR(INDEX(Consulta!$A:$DF,MATCH('MM01'!$B20,Consulta!$C:$C,0),'MM01'!BL$2),"")=0,"",IFERROR(INDEX(Consulta!$A:$DF,MATCH('MM01'!$B20,Consulta!$C:$C,0),'MM01'!BL$2),""))</f>
        <v/>
      </c>
      <c r="BM20" s="45">
        <v>99</v>
      </c>
      <c r="BN20" s="46" t="str">
        <f t="shared" ca="1" si="13"/>
        <v>28.04.2022</v>
      </c>
      <c r="BO20" s="49" t="str">
        <f t="shared" si="14"/>
        <v/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IF(IFERROR(INDEX(Consulta!$A:$DF,MATCH('MM01'!$B20,Consulta!$C:$C,0),'MM01'!BX$2),"")=0,"",IFERROR(INDEX(Consulta!$A:$DF,MATCH('MM01'!$B20,Consulta!$C:$C,0),'MM01'!BX$2),""))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15"/>
        <v/>
      </c>
      <c r="CD20" s="45" t="s">
        <v>430</v>
      </c>
      <c r="CE20" s="45">
        <v>1</v>
      </c>
      <c r="CF20" s="45" t="s">
        <v>496</v>
      </c>
      <c r="CG20" s="45"/>
      <c r="CH20" s="44">
        <v>2</v>
      </c>
      <c r="CI20" s="49" t="str">
        <f t="shared" si="16"/>
        <v/>
      </c>
      <c r="CJ20" s="49" t="str">
        <f t="shared" si="17"/>
        <v/>
      </c>
      <c r="CK20" s="45"/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8"/>
        <v>K00_P_</v>
      </c>
      <c r="CS20" s="45">
        <v>5000</v>
      </c>
      <c r="CT20" s="43" t="str">
        <f>IF(IFERROR(INDEX(Consulta!$A:$DF,MATCH('MM01'!$B20,Consulta!$C:$C,0),'MM01'!CT$2),"")=0,"",IFERROR(INDEX(Consulta!$A:$DF,MATCH('MM01'!$B20,Consulta!$C:$C,0),'MM01'!CT$2),""))</f>
        <v/>
      </c>
      <c r="CU20" s="43" t="str">
        <f>IF(IFERROR(INDEX(Consulta!$A:$DF,MATCH('MM01'!$B20,Consulta!$C:$C,0),'MM01'!CU$2),"")=0,"",IFERROR(INDEX(Consulta!$A:$DF,MATCH('MM01'!$B20,Consulta!$C:$C,0),'MM01'!CU$2),""))</f>
        <v/>
      </c>
      <c r="CV20" s="43" t="str">
        <f>IF(IFERROR(INDEX(Consulta!$A:$DF,MATCH('MM01'!$B20,Consulta!$C:$C,0),'MM01'!CV$2),"")=0,"",IFERROR(INDEX(Consulta!$A:$DF,MATCH('MM01'!$B20,Consulta!$C:$C,0),'MM01'!CV$2),""))</f>
        <v/>
      </c>
      <c r="CW20" s="43" t="str">
        <f>IF(IFERROR(INDEX(Consulta!$A:$DF,MATCH('MM01'!$B20,Consulta!$C:$C,0),'MM01'!CW$2),"")=0,"",IFERROR(INDEX(Consulta!$A:$DF,MATCH('MM01'!$B20,Consulta!$C:$C,0),'MM01'!CW$2),""))</f>
        <v/>
      </c>
      <c r="CX20" s="43" t="str">
        <f t="shared" si="19"/>
        <v/>
      </c>
      <c r="CY20" s="43" t="str">
        <f t="shared" si="20"/>
        <v/>
      </c>
      <c r="CZ20" s="43" t="str">
        <f t="shared" si="21"/>
        <v/>
      </c>
      <c r="DA20" s="43" t="str">
        <f>IF(IFERROR(INDEX(Consulta!$A:$DF,MATCH('MM01'!$B20,Consulta!$C:$C,0),'MM01'!DA$2),"")=0,"",IFERROR(INDEX(Consulta!$A:$DF,MATCH('MM01'!$B20,Consulta!$C:$C,0),'MM01'!DA$2),""))</f>
        <v/>
      </c>
      <c r="DB20" s="43" t="str">
        <f t="shared" si="22"/>
        <v/>
      </c>
      <c r="DC20" s="43" t="str">
        <f>IF(IFERROR(INDEX(Consulta!$A:$DF,MATCH('MM01'!$B20,Consulta!$C:$C,0),'MM01'!DC$2),"")=0,"",IFERROR(INDEX(Consulta!$A:$DF,MATCH('MM01'!$B20,Consulta!$C:$C,0),'MM01'!DC$2),""))</f>
        <v/>
      </c>
      <c r="DD20" s="45">
        <v>0</v>
      </c>
      <c r="DE20" s="45">
        <v>0</v>
      </c>
      <c r="DF20" s="43" t="str">
        <f t="shared" si="23"/>
        <v/>
      </c>
      <c r="DG20" s="43" t="str">
        <f t="shared" si="24"/>
        <v/>
      </c>
      <c r="DH20" s="55"/>
      <c r="DI20" s="43" t="str">
        <f t="shared" ca="1" si="25"/>
        <v/>
      </c>
      <c r="DJ20" s="43" t="str">
        <f t="shared" si="26"/>
        <v/>
      </c>
      <c r="DK20" s="43" t="str">
        <f t="shared" si="27"/>
        <v/>
      </c>
      <c r="DL20" s="55"/>
      <c r="DM20" s="43" t="str">
        <f t="shared" ca="1" si="28"/>
        <v/>
      </c>
      <c r="DN20" s="43" t="str">
        <f t="shared" si="29"/>
        <v/>
      </c>
      <c r="DO20" s="43" t="str">
        <f t="shared" si="30"/>
        <v/>
      </c>
      <c r="DP20" s="55"/>
      <c r="DQ20" s="43" t="str">
        <f t="shared" ca="1" si="31"/>
        <v/>
      </c>
      <c r="DR20" s="43" t="str">
        <f t="shared" si="32"/>
        <v/>
      </c>
      <c r="DS20" s="43" t="str">
        <f t="shared" si="33"/>
        <v/>
      </c>
      <c r="DT20" s="55"/>
      <c r="DU20" s="43" t="str">
        <f t="shared" ca="1" si="34"/>
        <v/>
      </c>
      <c r="DV20" s="43" t="str">
        <f t="shared" si="35"/>
        <v/>
      </c>
      <c r="DX20" s="44">
        <v>1</v>
      </c>
      <c r="DY20" s="44" t="s">
        <v>774</v>
      </c>
      <c r="DZ20" s="43">
        <f t="shared" si="36"/>
        <v>0.01</v>
      </c>
      <c r="EA20" s="43" t="str">
        <f t="shared" si="37"/>
        <v>M</v>
      </c>
      <c r="EB20" s="43" t="str">
        <f>IF(IFERROR(INDEX(Consulta!$A:$DF,MATCH('MM01'!$B20,Consulta!$C:$C,0),'MM01'!EB$2),"")=0,"7925",IF(IFERROR(INDEX(Consulta!$A:$DF,MATCH('MM01'!$B20,Consulta!$C:$C,0),'MM01'!EB$2),"")="68","7910","7925"))</f>
        <v>7925</v>
      </c>
      <c r="EC20" s="44">
        <v>100</v>
      </c>
      <c r="ED20" s="60">
        <v>1</v>
      </c>
      <c r="EE20" s="43">
        <f t="shared" si="38"/>
        <v>100</v>
      </c>
      <c r="EF20" s="44">
        <v>1</v>
      </c>
      <c r="EG20" s="44">
        <v>0</v>
      </c>
      <c r="EH20" s="44" t="s">
        <v>867</v>
      </c>
      <c r="EI20" s="45">
        <v>0</v>
      </c>
      <c r="EJ20" s="43">
        <f t="shared" si="39"/>
        <v>5000</v>
      </c>
      <c r="EK20" s="65"/>
    </row>
    <row r="21" spans="1:141" x14ac:dyDescent="0.3">
      <c r="A21" s="7" t="str">
        <f t="shared" si="0"/>
        <v>Execução 17</v>
      </c>
      <c r="B21" s="42"/>
      <c r="C21" s="43" t="str">
        <f>IF(IFERROR(INDEX(Consulta!$A:$DF,MATCH('MM01'!$B21,Consulta!$C:$C,0),'MM01'!C$2),"")=0,"",IFERROR(INDEX(Consulta!$A:$DF,MATCH('MM01'!$B21,Consulta!$C:$C,0),'MM01'!C$2),""))</f>
        <v/>
      </c>
      <c r="D21" s="43" t="str">
        <f>IF(IFERROR(INDEX(Consulta!$A:$DF,MATCH('MM01'!$B21,Consulta!$C:$C,0),'MM01'!D$2),"")=0,"",IFERROR(INDEX(Consulta!$A:$DF,MATCH('MM01'!$B21,Consulta!$C:$C,0),'MM01'!D$2),""))</f>
        <v/>
      </c>
      <c r="E21" s="43" t="str">
        <f>IF(IFERROR(INDEX(Consulta!$A:$DF,MATCH('MM01'!$B21,Consulta!$C:$C,0),'MM01'!E$2),"")=0,"",IFERROR(INDEX(Consulta!$A:$DF,MATCH('MM01'!$B21,Consulta!$C:$C,0),'MM01'!E$2),""))</f>
        <v/>
      </c>
      <c r="F21" s="44" t="s">
        <v>100</v>
      </c>
      <c r="G21" s="49" t="str">
        <f>IF(IFERROR(INDEX(Consulta!$A:$DF,MATCH('MM01'!$B21,Consulta!$C:$C,0),'MM01'!G$2),"")=0,"",IFERROR(INDEX(Consulta!$A:$DF,MATCH('MM01'!$B21,Consulta!$C:$C,0),'MM01'!G$2),""))</f>
        <v/>
      </c>
      <c r="H21" s="49" t="str">
        <f>IF(IFERROR(INDEX(Consulta!$A:$DF,MATCH('MM01'!$B21,Consulta!$C:$C,0),'MM01'!H$2),"")=0,"",IFERROR(INDEX(Consulta!$A:$DF,MATCH('MM01'!$B21,Consulta!$C:$C,0),'MM01'!H$2),""))</f>
        <v/>
      </c>
      <c r="I21" s="49" t="str">
        <f t="shared" si="1"/>
        <v/>
      </c>
      <c r="J21" s="49" t="str">
        <f>IF(IFERROR(INDEX(Consulta!$A:$DF,MATCH('MM01'!$B21,Consulta!$C:$C,0),'MM01'!J$2),"")=0,"",IFERROR(INDEX(Consulta!$A:$DF,MATCH('MM01'!$B21,Consulta!$C:$C,0),'MM01'!J$2),""))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IF(IFERROR(INDEX(Consulta!$A:$DF,MATCH('MM01'!$B21,Consulta!$C:$C,0),'MM01'!AP$2),"")=0,"",IFERROR(INDEX(Consulta!$A:$DF,MATCH('MM01'!$B21,Consulta!$C:$C,0),'MM01'!AP$2),""))</f>
        <v/>
      </c>
      <c r="AQ21" s="45"/>
      <c r="AR21" s="43" t="str">
        <f>IF(IFERROR(INDEX(Consulta!$A:$DF,MATCH('MM01'!$B21,Consulta!$C:$C,0),'MM01'!AR$2),"")=0,"",IFERROR(INDEX(Consulta!$A:$DF,MATCH('MM01'!$B21,Consulta!$C:$C,0),'MM01'!AR$2),""))</f>
        <v/>
      </c>
      <c r="AS21" s="43" t="str">
        <f>IF(IFERROR(INDEX(Consulta!$A:$DF,MATCH('MM01'!$B21,Consulta!$C:$C,0),'MM01'!AS$2),"")=0,"",IF(AR21="68",5102,IFERROR(INDEX(Consulta!$A:$DF,MATCH('MM01'!$B21,Consulta!$C:$C,0),'MM01'!AS$2),"")))</f>
        <v/>
      </c>
      <c r="AT21" s="45"/>
      <c r="AU21" s="46" t="str">
        <f t="shared" ca="1" si="3"/>
        <v/>
      </c>
      <c r="AV21" s="47" t="s">
        <v>796</v>
      </c>
      <c r="AW21" s="43" t="str">
        <f>IF(IFERROR(INDEX(Consulta!$A:$DF,MATCH('MM01'!$B21,Consulta!$C:$C,0),'MM01'!AW$2),"")=0,"",IFERROR(ROUND(INDEX(Consulta!$A:$DF,MATCH('MM01'!$B21,Consulta!$C:$C,0),'MM01'!AW$2),3),""))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IF(IFERROR(INDEX(Consulta!$A:$DF,MATCH('MM01'!$B21,Consulta!$C:$C,0),'MM01'!BA$2),"")=0,"",IFERROR(INDEX(Consulta!$A:$DF,MATCH('MM01'!$B21,Consulta!$C:$C,0),'MM01'!BA$2),""))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IF(IFERROR(INDEX(Consulta!$A:$DF,MATCH('MM01'!$B21,Consulta!$C:$C,0),'MM01'!BL$2),"")=0,"",IFERROR(INDEX(Consulta!$A:$DF,MATCH('MM01'!$B21,Consulta!$C:$C,0),'MM01'!BL$2),""))</f>
        <v/>
      </c>
      <c r="BM21" s="45">
        <v>99</v>
      </c>
      <c r="BN21" s="46" t="str">
        <f t="shared" ca="1" si="13"/>
        <v>28.04.2022</v>
      </c>
      <c r="BO21" s="49" t="str">
        <f t="shared" si="14"/>
        <v/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IF(IFERROR(INDEX(Consulta!$A:$DF,MATCH('MM01'!$B21,Consulta!$C:$C,0),'MM01'!BX$2),"")=0,"",IFERROR(INDEX(Consulta!$A:$DF,MATCH('MM01'!$B21,Consulta!$C:$C,0),'MM01'!BX$2),""))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15"/>
        <v/>
      </c>
      <c r="CD21" s="45" t="s">
        <v>430</v>
      </c>
      <c r="CE21" s="45">
        <v>1</v>
      </c>
      <c r="CF21" s="45" t="s">
        <v>496</v>
      </c>
      <c r="CG21" s="45"/>
      <c r="CH21" s="44">
        <v>2</v>
      </c>
      <c r="CI21" s="49" t="str">
        <f t="shared" si="16"/>
        <v/>
      </c>
      <c r="CJ21" s="49" t="str">
        <f t="shared" si="17"/>
        <v/>
      </c>
      <c r="CK21" s="45"/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8"/>
        <v>K00_P_</v>
      </c>
      <c r="CS21" s="45">
        <v>5000</v>
      </c>
      <c r="CT21" s="43" t="str">
        <f>IF(IFERROR(INDEX(Consulta!$A:$DF,MATCH('MM01'!$B21,Consulta!$C:$C,0),'MM01'!CT$2),"")=0,"",IFERROR(INDEX(Consulta!$A:$DF,MATCH('MM01'!$B21,Consulta!$C:$C,0),'MM01'!CT$2),""))</f>
        <v/>
      </c>
      <c r="CU21" s="43" t="str">
        <f>IF(IFERROR(INDEX(Consulta!$A:$DF,MATCH('MM01'!$B21,Consulta!$C:$C,0),'MM01'!CU$2),"")=0,"",IFERROR(INDEX(Consulta!$A:$DF,MATCH('MM01'!$B21,Consulta!$C:$C,0),'MM01'!CU$2),""))</f>
        <v/>
      </c>
      <c r="CV21" s="43" t="str">
        <f>IF(IFERROR(INDEX(Consulta!$A:$DF,MATCH('MM01'!$B21,Consulta!$C:$C,0),'MM01'!CV$2),"")=0,"",IFERROR(INDEX(Consulta!$A:$DF,MATCH('MM01'!$B21,Consulta!$C:$C,0),'MM01'!CV$2),""))</f>
        <v/>
      </c>
      <c r="CW21" s="43" t="str">
        <f>IF(IFERROR(INDEX(Consulta!$A:$DF,MATCH('MM01'!$B21,Consulta!$C:$C,0),'MM01'!CW$2),"")=0,"",IFERROR(INDEX(Consulta!$A:$DF,MATCH('MM01'!$B21,Consulta!$C:$C,0),'MM01'!CW$2),""))</f>
        <v/>
      </c>
      <c r="CX21" s="43" t="str">
        <f t="shared" si="19"/>
        <v/>
      </c>
      <c r="CY21" s="43" t="str">
        <f t="shared" si="20"/>
        <v/>
      </c>
      <c r="CZ21" s="43" t="str">
        <f t="shared" si="21"/>
        <v/>
      </c>
      <c r="DA21" s="43" t="str">
        <f>IF(IFERROR(INDEX(Consulta!$A:$DF,MATCH('MM01'!$B21,Consulta!$C:$C,0),'MM01'!DA$2),"")=0,"",IFERROR(INDEX(Consulta!$A:$DF,MATCH('MM01'!$B21,Consulta!$C:$C,0),'MM01'!DA$2),""))</f>
        <v/>
      </c>
      <c r="DB21" s="43" t="str">
        <f t="shared" si="22"/>
        <v/>
      </c>
      <c r="DC21" s="43" t="str">
        <f>IF(IFERROR(INDEX(Consulta!$A:$DF,MATCH('MM01'!$B21,Consulta!$C:$C,0),'MM01'!DC$2),"")=0,"",IFERROR(INDEX(Consulta!$A:$DF,MATCH('MM01'!$B21,Consulta!$C:$C,0),'MM01'!DC$2),""))</f>
        <v/>
      </c>
      <c r="DD21" s="45">
        <v>0</v>
      </c>
      <c r="DE21" s="45">
        <v>0</v>
      </c>
      <c r="DF21" s="43" t="str">
        <f t="shared" si="23"/>
        <v/>
      </c>
      <c r="DG21" s="43" t="str">
        <f t="shared" si="24"/>
        <v/>
      </c>
      <c r="DH21" s="55"/>
      <c r="DI21" s="43" t="str">
        <f t="shared" ca="1" si="25"/>
        <v/>
      </c>
      <c r="DJ21" s="43" t="str">
        <f t="shared" si="26"/>
        <v/>
      </c>
      <c r="DK21" s="43" t="str">
        <f t="shared" si="27"/>
        <v/>
      </c>
      <c r="DL21" s="55"/>
      <c r="DM21" s="43" t="str">
        <f t="shared" ca="1" si="28"/>
        <v/>
      </c>
      <c r="DN21" s="43" t="str">
        <f t="shared" si="29"/>
        <v/>
      </c>
      <c r="DO21" s="43" t="str">
        <f t="shared" si="30"/>
        <v/>
      </c>
      <c r="DP21" s="55"/>
      <c r="DQ21" s="43" t="str">
        <f t="shared" ca="1" si="31"/>
        <v/>
      </c>
      <c r="DR21" s="43" t="str">
        <f t="shared" si="32"/>
        <v/>
      </c>
      <c r="DS21" s="43" t="str">
        <f t="shared" si="33"/>
        <v/>
      </c>
      <c r="DT21" s="55"/>
      <c r="DU21" s="43" t="str">
        <f t="shared" ca="1" si="34"/>
        <v/>
      </c>
      <c r="DV21" s="43" t="str">
        <f t="shared" si="35"/>
        <v/>
      </c>
      <c r="DX21" s="44">
        <v>1</v>
      </c>
      <c r="DY21" s="44" t="s">
        <v>774</v>
      </c>
      <c r="DZ21" s="43">
        <f t="shared" si="36"/>
        <v>0.01</v>
      </c>
      <c r="EA21" s="43" t="str">
        <f t="shared" si="37"/>
        <v>M</v>
      </c>
      <c r="EB21" s="43" t="str">
        <f>IF(IFERROR(INDEX(Consulta!$A:$DF,MATCH('MM01'!$B21,Consulta!$C:$C,0),'MM01'!EB$2),"")=0,"7925",IF(IFERROR(INDEX(Consulta!$A:$DF,MATCH('MM01'!$B21,Consulta!$C:$C,0),'MM01'!EB$2),"")="68","7910","7925"))</f>
        <v>7925</v>
      </c>
      <c r="EC21" s="44">
        <v>100</v>
      </c>
      <c r="ED21" s="60">
        <v>1</v>
      </c>
      <c r="EE21" s="43">
        <f t="shared" si="38"/>
        <v>100</v>
      </c>
      <c r="EF21" s="44">
        <v>1</v>
      </c>
      <c r="EG21" s="44">
        <v>0</v>
      </c>
      <c r="EH21" s="44" t="s">
        <v>867</v>
      </c>
      <c r="EI21" s="45">
        <v>0</v>
      </c>
      <c r="EJ21" s="43">
        <f t="shared" si="39"/>
        <v>5000</v>
      </c>
      <c r="EK21" s="65"/>
    </row>
    <row r="22" spans="1:141" x14ac:dyDescent="0.3">
      <c r="A22" s="7" t="str">
        <f t="shared" si="0"/>
        <v>Execução 18</v>
      </c>
      <c r="B22" s="42"/>
      <c r="C22" s="43" t="str">
        <f>IF(IFERROR(INDEX(Consulta!$A:$DF,MATCH('MM01'!$B22,Consulta!$C:$C,0),'MM01'!C$2),"")=0,"",IFERROR(INDEX(Consulta!$A:$DF,MATCH('MM01'!$B22,Consulta!$C:$C,0),'MM01'!C$2),""))</f>
        <v/>
      </c>
      <c r="D22" s="43" t="str">
        <f>IF(IFERROR(INDEX(Consulta!$A:$DF,MATCH('MM01'!$B22,Consulta!$C:$C,0),'MM01'!D$2),"")=0,"",IFERROR(INDEX(Consulta!$A:$DF,MATCH('MM01'!$B22,Consulta!$C:$C,0),'MM01'!D$2),""))</f>
        <v/>
      </c>
      <c r="E22" s="43" t="str">
        <f>IF(IFERROR(INDEX(Consulta!$A:$DF,MATCH('MM01'!$B22,Consulta!$C:$C,0),'MM01'!E$2),"")=0,"",IFERROR(INDEX(Consulta!$A:$DF,MATCH('MM01'!$B22,Consulta!$C:$C,0),'MM01'!E$2),""))</f>
        <v/>
      </c>
      <c r="F22" s="44" t="s">
        <v>100</v>
      </c>
      <c r="G22" s="49" t="str">
        <f>IF(IFERROR(INDEX(Consulta!$A:$DF,MATCH('MM01'!$B22,Consulta!$C:$C,0),'MM01'!G$2),"")=0,"",IFERROR(INDEX(Consulta!$A:$DF,MATCH('MM01'!$B22,Consulta!$C:$C,0),'MM01'!G$2),""))</f>
        <v/>
      </c>
      <c r="H22" s="49" t="str">
        <f>IF(IFERROR(INDEX(Consulta!$A:$DF,MATCH('MM01'!$B22,Consulta!$C:$C,0),'MM01'!H$2),"")=0,"",IFERROR(INDEX(Consulta!$A:$DF,MATCH('MM01'!$B22,Consulta!$C:$C,0),'MM01'!H$2),""))</f>
        <v/>
      </c>
      <c r="I22" s="49" t="str">
        <f t="shared" si="1"/>
        <v/>
      </c>
      <c r="J22" s="49" t="str">
        <f>IF(IFERROR(INDEX(Consulta!$A:$DF,MATCH('MM01'!$B22,Consulta!$C:$C,0),'MM01'!J$2),"")=0,"",IFERROR(INDEX(Consulta!$A:$DF,MATCH('MM01'!$B22,Consulta!$C:$C,0),'MM01'!J$2),""))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IF(IFERROR(INDEX(Consulta!$A:$DF,MATCH('MM01'!$B22,Consulta!$C:$C,0),'MM01'!AP$2),"")=0,"",IFERROR(INDEX(Consulta!$A:$DF,MATCH('MM01'!$B22,Consulta!$C:$C,0),'MM01'!AP$2),""))</f>
        <v/>
      </c>
      <c r="AQ22" s="45"/>
      <c r="AR22" s="43" t="str">
        <f>IF(IFERROR(INDEX(Consulta!$A:$DF,MATCH('MM01'!$B22,Consulta!$C:$C,0),'MM01'!AR$2),"")=0,"",IFERROR(INDEX(Consulta!$A:$DF,MATCH('MM01'!$B22,Consulta!$C:$C,0),'MM01'!AR$2),""))</f>
        <v/>
      </c>
      <c r="AS22" s="43" t="str">
        <f>IF(IFERROR(INDEX(Consulta!$A:$DF,MATCH('MM01'!$B22,Consulta!$C:$C,0),'MM01'!AS$2),"")=0,"",IF(AR22="68",5102,IFERROR(INDEX(Consulta!$A:$DF,MATCH('MM01'!$B22,Consulta!$C:$C,0),'MM01'!AS$2),"")))</f>
        <v/>
      </c>
      <c r="AT22" s="45"/>
      <c r="AU22" s="46" t="str">
        <f t="shared" ca="1" si="3"/>
        <v/>
      </c>
      <c r="AV22" s="47" t="s">
        <v>796</v>
      </c>
      <c r="AW22" s="43" t="str">
        <f>IF(IFERROR(INDEX(Consulta!$A:$DF,MATCH('MM01'!$B22,Consulta!$C:$C,0),'MM01'!AW$2),"")=0,"",IFERROR(ROUND(INDEX(Consulta!$A:$DF,MATCH('MM01'!$B22,Consulta!$C:$C,0),'MM01'!AW$2),3),""))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IF(IFERROR(INDEX(Consulta!$A:$DF,MATCH('MM01'!$B22,Consulta!$C:$C,0),'MM01'!BA$2),"")=0,"",IFERROR(INDEX(Consulta!$A:$DF,MATCH('MM01'!$B22,Consulta!$C:$C,0),'MM01'!BA$2),""))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IF(IFERROR(INDEX(Consulta!$A:$DF,MATCH('MM01'!$B22,Consulta!$C:$C,0),'MM01'!BL$2),"")=0,"",IFERROR(INDEX(Consulta!$A:$DF,MATCH('MM01'!$B22,Consulta!$C:$C,0),'MM01'!BL$2),""))</f>
        <v/>
      </c>
      <c r="BM22" s="45">
        <v>99</v>
      </c>
      <c r="BN22" s="46" t="str">
        <f t="shared" ca="1" si="13"/>
        <v>28.04.2022</v>
      </c>
      <c r="BO22" s="49" t="str">
        <f t="shared" si="14"/>
        <v/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IF(IFERROR(INDEX(Consulta!$A:$DF,MATCH('MM01'!$B22,Consulta!$C:$C,0),'MM01'!BX$2),"")=0,"",IFERROR(INDEX(Consulta!$A:$DF,MATCH('MM01'!$B22,Consulta!$C:$C,0),'MM01'!BX$2),""))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15"/>
        <v/>
      </c>
      <c r="CD22" s="45" t="s">
        <v>430</v>
      </c>
      <c r="CE22" s="45">
        <v>1</v>
      </c>
      <c r="CF22" s="45" t="s">
        <v>496</v>
      </c>
      <c r="CG22" s="45"/>
      <c r="CH22" s="44">
        <v>2</v>
      </c>
      <c r="CI22" s="49" t="str">
        <f t="shared" si="16"/>
        <v/>
      </c>
      <c r="CJ22" s="49" t="str">
        <f t="shared" si="17"/>
        <v/>
      </c>
      <c r="CK22" s="45"/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8"/>
        <v>K00_P_</v>
      </c>
      <c r="CS22" s="45">
        <v>5000</v>
      </c>
      <c r="CT22" s="43" t="str">
        <f>IF(IFERROR(INDEX(Consulta!$A:$DF,MATCH('MM01'!$B22,Consulta!$C:$C,0),'MM01'!CT$2),"")=0,"",IFERROR(INDEX(Consulta!$A:$DF,MATCH('MM01'!$B22,Consulta!$C:$C,0),'MM01'!CT$2),""))</f>
        <v/>
      </c>
      <c r="CU22" s="43" t="str">
        <f>IF(IFERROR(INDEX(Consulta!$A:$DF,MATCH('MM01'!$B22,Consulta!$C:$C,0),'MM01'!CU$2),"")=0,"",IFERROR(INDEX(Consulta!$A:$DF,MATCH('MM01'!$B22,Consulta!$C:$C,0),'MM01'!CU$2),""))</f>
        <v/>
      </c>
      <c r="CV22" s="43" t="str">
        <f>IF(IFERROR(INDEX(Consulta!$A:$DF,MATCH('MM01'!$B22,Consulta!$C:$C,0),'MM01'!CV$2),"")=0,"",IFERROR(INDEX(Consulta!$A:$DF,MATCH('MM01'!$B22,Consulta!$C:$C,0),'MM01'!CV$2),""))</f>
        <v/>
      </c>
      <c r="CW22" s="43" t="str">
        <f>IF(IFERROR(INDEX(Consulta!$A:$DF,MATCH('MM01'!$B22,Consulta!$C:$C,0),'MM01'!CW$2),"")=0,"",IFERROR(INDEX(Consulta!$A:$DF,MATCH('MM01'!$B22,Consulta!$C:$C,0),'MM01'!CW$2),""))</f>
        <v/>
      </c>
      <c r="CX22" s="43" t="str">
        <f t="shared" si="19"/>
        <v/>
      </c>
      <c r="CY22" s="43" t="str">
        <f t="shared" si="20"/>
        <v/>
      </c>
      <c r="CZ22" s="43" t="str">
        <f t="shared" si="21"/>
        <v/>
      </c>
      <c r="DA22" s="43" t="str">
        <f>IF(IFERROR(INDEX(Consulta!$A:$DF,MATCH('MM01'!$B22,Consulta!$C:$C,0),'MM01'!DA$2),"")=0,"",IFERROR(INDEX(Consulta!$A:$DF,MATCH('MM01'!$B22,Consulta!$C:$C,0),'MM01'!DA$2),""))</f>
        <v/>
      </c>
      <c r="DB22" s="43" t="str">
        <f t="shared" si="22"/>
        <v/>
      </c>
      <c r="DC22" s="43" t="str">
        <f>IF(IFERROR(INDEX(Consulta!$A:$DF,MATCH('MM01'!$B22,Consulta!$C:$C,0),'MM01'!DC$2),"")=0,"",IFERROR(INDEX(Consulta!$A:$DF,MATCH('MM01'!$B22,Consulta!$C:$C,0),'MM01'!DC$2),""))</f>
        <v/>
      </c>
      <c r="DD22" s="45">
        <v>0</v>
      </c>
      <c r="DE22" s="45">
        <v>0</v>
      </c>
      <c r="DF22" s="43" t="str">
        <f t="shared" si="23"/>
        <v/>
      </c>
      <c r="DG22" s="43" t="str">
        <f t="shared" si="24"/>
        <v/>
      </c>
      <c r="DH22" s="55"/>
      <c r="DI22" s="43" t="str">
        <f t="shared" ca="1" si="25"/>
        <v/>
      </c>
      <c r="DJ22" s="43" t="str">
        <f t="shared" si="26"/>
        <v/>
      </c>
      <c r="DK22" s="43" t="str">
        <f t="shared" si="27"/>
        <v/>
      </c>
      <c r="DL22" s="55"/>
      <c r="DM22" s="43" t="str">
        <f t="shared" ca="1" si="28"/>
        <v/>
      </c>
      <c r="DN22" s="43" t="str">
        <f t="shared" si="29"/>
        <v/>
      </c>
      <c r="DO22" s="43" t="str">
        <f t="shared" si="30"/>
        <v/>
      </c>
      <c r="DP22" s="55"/>
      <c r="DQ22" s="43" t="str">
        <f t="shared" ca="1" si="31"/>
        <v/>
      </c>
      <c r="DR22" s="43" t="str">
        <f t="shared" si="32"/>
        <v/>
      </c>
      <c r="DS22" s="43" t="str">
        <f t="shared" si="33"/>
        <v/>
      </c>
      <c r="DT22" s="55"/>
      <c r="DU22" s="43" t="str">
        <f t="shared" ca="1" si="34"/>
        <v/>
      </c>
      <c r="DV22" s="43" t="str">
        <f t="shared" si="35"/>
        <v/>
      </c>
      <c r="DX22" s="44">
        <v>1</v>
      </c>
      <c r="DY22" s="44" t="s">
        <v>774</v>
      </c>
      <c r="DZ22" s="43">
        <f t="shared" si="36"/>
        <v>0.01</v>
      </c>
      <c r="EA22" s="43" t="str">
        <f t="shared" si="37"/>
        <v>M</v>
      </c>
      <c r="EB22" s="43" t="str">
        <f>IF(IFERROR(INDEX(Consulta!$A:$DF,MATCH('MM01'!$B22,Consulta!$C:$C,0),'MM01'!EB$2),"")=0,"7925",IF(IFERROR(INDEX(Consulta!$A:$DF,MATCH('MM01'!$B22,Consulta!$C:$C,0),'MM01'!EB$2),"")="68","7910","7925"))</f>
        <v>7925</v>
      </c>
      <c r="EC22" s="44">
        <v>100</v>
      </c>
      <c r="ED22" s="60">
        <v>1</v>
      </c>
      <c r="EE22" s="43">
        <f t="shared" si="38"/>
        <v>100</v>
      </c>
      <c r="EF22" s="44">
        <v>1</v>
      </c>
      <c r="EG22" s="44">
        <v>0</v>
      </c>
      <c r="EH22" s="44" t="s">
        <v>867</v>
      </c>
      <c r="EI22" s="45">
        <v>0</v>
      </c>
      <c r="EJ22" s="43">
        <f t="shared" si="39"/>
        <v>5000</v>
      </c>
      <c r="EK22" s="65"/>
    </row>
    <row r="23" spans="1:141" x14ac:dyDescent="0.3">
      <c r="A23" s="7" t="str">
        <f t="shared" si="0"/>
        <v>Execução 19</v>
      </c>
      <c r="B23" s="42"/>
      <c r="C23" s="43" t="str">
        <f>IF(IFERROR(INDEX(Consulta!$A:$DF,MATCH('MM01'!$B23,Consulta!$C:$C,0),'MM01'!C$2),"")=0,"",IFERROR(INDEX(Consulta!$A:$DF,MATCH('MM01'!$B23,Consulta!$C:$C,0),'MM01'!C$2),""))</f>
        <v/>
      </c>
      <c r="D23" s="43" t="str">
        <f>IF(IFERROR(INDEX(Consulta!$A:$DF,MATCH('MM01'!$B23,Consulta!$C:$C,0),'MM01'!D$2),"")=0,"",IFERROR(INDEX(Consulta!$A:$DF,MATCH('MM01'!$B23,Consulta!$C:$C,0),'MM01'!D$2),""))</f>
        <v/>
      </c>
      <c r="E23" s="43" t="str">
        <f>IF(IFERROR(INDEX(Consulta!$A:$DF,MATCH('MM01'!$B23,Consulta!$C:$C,0),'MM01'!E$2),"")=0,"",IFERROR(INDEX(Consulta!$A:$DF,MATCH('MM01'!$B23,Consulta!$C:$C,0),'MM01'!E$2),""))</f>
        <v/>
      </c>
      <c r="F23" s="44" t="s">
        <v>100</v>
      </c>
      <c r="G23" s="49" t="str">
        <f>IF(IFERROR(INDEX(Consulta!$A:$DF,MATCH('MM01'!$B23,Consulta!$C:$C,0),'MM01'!G$2),"")=0,"",IFERROR(INDEX(Consulta!$A:$DF,MATCH('MM01'!$B23,Consulta!$C:$C,0),'MM01'!G$2),""))</f>
        <v/>
      </c>
      <c r="H23" s="49" t="str">
        <f>IF(IFERROR(INDEX(Consulta!$A:$DF,MATCH('MM01'!$B23,Consulta!$C:$C,0),'MM01'!H$2),"")=0,"",IFERROR(INDEX(Consulta!$A:$DF,MATCH('MM01'!$B23,Consulta!$C:$C,0),'MM01'!H$2),""))</f>
        <v/>
      </c>
      <c r="I23" s="49" t="str">
        <f t="shared" si="1"/>
        <v/>
      </c>
      <c r="J23" s="49" t="str">
        <f>IF(IFERROR(INDEX(Consulta!$A:$DF,MATCH('MM01'!$B23,Consulta!$C:$C,0),'MM01'!J$2),"")=0,"",IFERROR(INDEX(Consulta!$A:$DF,MATCH('MM01'!$B23,Consulta!$C:$C,0),'MM01'!J$2),""))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IF(IFERROR(INDEX(Consulta!$A:$DF,MATCH('MM01'!$B23,Consulta!$C:$C,0),'MM01'!AP$2),"")=0,"",IFERROR(INDEX(Consulta!$A:$DF,MATCH('MM01'!$B23,Consulta!$C:$C,0),'MM01'!AP$2),""))</f>
        <v/>
      </c>
      <c r="AQ23" s="45"/>
      <c r="AR23" s="43" t="str">
        <f>IF(IFERROR(INDEX(Consulta!$A:$DF,MATCH('MM01'!$B23,Consulta!$C:$C,0),'MM01'!AR$2),"")=0,"",IFERROR(INDEX(Consulta!$A:$DF,MATCH('MM01'!$B23,Consulta!$C:$C,0),'MM01'!AR$2),""))</f>
        <v/>
      </c>
      <c r="AS23" s="43" t="str">
        <f>IF(IFERROR(INDEX(Consulta!$A:$DF,MATCH('MM01'!$B23,Consulta!$C:$C,0),'MM01'!AS$2),"")=0,"",IF(AR23="68",5102,IFERROR(INDEX(Consulta!$A:$DF,MATCH('MM01'!$B23,Consulta!$C:$C,0),'MM01'!AS$2),"")))</f>
        <v/>
      </c>
      <c r="AT23" s="45"/>
      <c r="AU23" s="46" t="str">
        <f t="shared" ca="1" si="3"/>
        <v/>
      </c>
      <c r="AV23" s="47" t="s">
        <v>796</v>
      </c>
      <c r="AW23" s="43" t="str">
        <f>IF(IFERROR(INDEX(Consulta!$A:$DF,MATCH('MM01'!$B23,Consulta!$C:$C,0),'MM01'!AW$2),"")=0,"",IFERROR(ROUND(INDEX(Consulta!$A:$DF,MATCH('MM01'!$B23,Consulta!$C:$C,0),'MM01'!AW$2),3),""))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IF(IFERROR(INDEX(Consulta!$A:$DF,MATCH('MM01'!$B23,Consulta!$C:$C,0),'MM01'!BA$2),"")=0,"",IFERROR(INDEX(Consulta!$A:$DF,MATCH('MM01'!$B23,Consulta!$C:$C,0),'MM01'!BA$2),""))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IF(IFERROR(INDEX(Consulta!$A:$DF,MATCH('MM01'!$B23,Consulta!$C:$C,0),'MM01'!BL$2),"")=0,"",IFERROR(INDEX(Consulta!$A:$DF,MATCH('MM01'!$B23,Consulta!$C:$C,0),'MM01'!BL$2),""))</f>
        <v/>
      </c>
      <c r="BM23" s="45">
        <v>99</v>
      </c>
      <c r="BN23" s="46" t="str">
        <f t="shared" ca="1" si="13"/>
        <v>28.04.2022</v>
      </c>
      <c r="BO23" s="49" t="str">
        <f t="shared" si="14"/>
        <v/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IF(IFERROR(INDEX(Consulta!$A:$DF,MATCH('MM01'!$B23,Consulta!$C:$C,0),'MM01'!BX$2),"")=0,"",IFERROR(INDEX(Consulta!$A:$DF,MATCH('MM01'!$B23,Consulta!$C:$C,0),'MM01'!BX$2),""))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15"/>
        <v/>
      </c>
      <c r="CD23" s="45" t="s">
        <v>430</v>
      </c>
      <c r="CE23" s="45">
        <v>1</v>
      </c>
      <c r="CF23" s="45" t="s">
        <v>496</v>
      </c>
      <c r="CG23" s="45"/>
      <c r="CH23" s="44">
        <v>2</v>
      </c>
      <c r="CI23" s="49" t="str">
        <f t="shared" si="16"/>
        <v/>
      </c>
      <c r="CJ23" s="49" t="str">
        <f t="shared" si="17"/>
        <v/>
      </c>
      <c r="CK23" s="45"/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8"/>
        <v>K00_P_</v>
      </c>
      <c r="CS23" s="45">
        <v>5000</v>
      </c>
      <c r="CT23" s="43" t="str">
        <f>IF(IFERROR(INDEX(Consulta!$A:$DF,MATCH('MM01'!$B23,Consulta!$C:$C,0),'MM01'!CT$2),"")=0,"",IFERROR(INDEX(Consulta!$A:$DF,MATCH('MM01'!$B23,Consulta!$C:$C,0),'MM01'!CT$2),""))</f>
        <v/>
      </c>
      <c r="CU23" s="43" t="str">
        <f>IF(IFERROR(INDEX(Consulta!$A:$DF,MATCH('MM01'!$B23,Consulta!$C:$C,0),'MM01'!CU$2),"")=0,"",IFERROR(INDEX(Consulta!$A:$DF,MATCH('MM01'!$B23,Consulta!$C:$C,0),'MM01'!CU$2),""))</f>
        <v/>
      </c>
      <c r="CV23" s="43" t="str">
        <f>IF(IFERROR(INDEX(Consulta!$A:$DF,MATCH('MM01'!$B23,Consulta!$C:$C,0),'MM01'!CV$2),"")=0,"",IFERROR(INDEX(Consulta!$A:$DF,MATCH('MM01'!$B23,Consulta!$C:$C,0),'MM01'!CV$2),""))</f>
        <v/>
      </c>
      <c r="CW23" s="43" t="str">
        <f>IF(IFERROR(INDEX(Consulta!$A:$DF,MATCH('MM01'!$B23,Consulta!$C:$C,0),'MM01'!CW$2),"")=0,"",IFERROR(INDEX(Consulta!$A:$DF,MATCH('MM01'!$B23,Consulta!$C:$C,0),'MM01'!CW$2),""))</f>
        <v/>
      </c>
      <c r="CX23" s="43" t="str">
        <f t="shared" si="19"/>
        <v/>
      </c>
      <c r="CY23" s="43" t="str">
        <f t="shared" si="20"/>
        <v/>
      </c>
      <c r="CZ23" s="43" t="str">
        <f t="shared" si="21"/>
        <v/>
      </c>
      <c r="DA23" s="43" t="str">
        <f>IF(IFERROR(INDEX(Consulta!$A:$DF,MATCH('MM01'!$B23,Consulta!$C:$C,0),'MM01'!DA$2),"")=0,"",IFERROR(INDEX(Consulta!$A:$DF,MATCH('MM01'!$B23,Consulta!$C:$C,0),'MM01'!DA$2),""))</f>
        <v/>
      </c>
      <c r="DB23" s="43" t="str">
        <f t="shared" si="22"/>
        <v/>
      </c>
      <c r="DC23" s="43" t="str">
        <f>IF(IFERROR(INDEX(Consulta!$A:$DF,MATCH('MM01'!$B23,Consulta!$C:$C,0),'MM01'!DC$2),"")=0,"",IFERROR(INDEX(Consulta!$A:$DF,MATCH('MM01'!$B23,Consulta!$C:$C,0),'MM01'!DC$2),""))</f>
        <v/>
      </c>
      <c r="DD23" s="45">
        <v>0</v>
      </c>
      <c r="DE23" s="45">
        <v>0</v>
      </c>
      <c r="DF23" s="43" t="str">
        <f t="shared" si="23"/>
        <v/>
      </c>
      <c r="DG23" s="43" t="str">
        <f t="shared" si="24"/>
        <v/>
      </c>
      <c r="DH23" s="55"/>
      <c r="DI23" s="43" t="str">
        <f t="shared" ca="1" si="25"/>
        <v/>
      </c>
      <c r="DJ23" s="43" t="str">
        <f t="shared" si="26"/>
        <v/>
      </c>
      <c r="DK23" s="43" t="str">
        <f t="shared" si="27"/>
        <v/>
      </c>
      <c r="DL23" s="55"/>
      <c r="DM23" s="43" t="str">
        <f t="shared" ca="1" si="28"/>
        <v/>
      </c>
      <c r="DN23" s="43" t="str">
        <f t="shared" si="29"/>
        <v/>
      </c>
      <c r="DO23" s="43" t="str">
        <f t="shared" si="30"/>
        <v/>
      </c>
      <c r="DP23" s="55"/>
      <c r="DQ23" s="43" t="str">
        <f t="shared" ca="1" si="31"/>
        <v/>
      </c>
      <c r="DR23" s="43" t="str">
        <f t="shared" si="32"/>
        <v/>
      </c>
      <c r="DS23" s="43" t="str">
        <f t="shared" si="33"/>
        <v/>
      </c>
      <c r="DT23" s="55"/>
      <c r="DU23" s="43" t="str">
        <f t="shared" ca="1" si="34"/>
        <v/>
      </c>
      <c r="DV23" s="43" t="str">
        <f t="shared" si="35"/>
        <v/>
      </c>
      <c r="DX23" s="44">
        <v>1</v>
      </c>
      <c r="DY23" s="44" t="s">
        <v>774</v>
      </c>
      <c r="DZ23" s="43">
        <f t="shared" si="36"/>
        <v>0.01</v>
      </c>
      <c r="EA23" s="43" t="str">
        <f t="shared" si="37"/>
        <v>M</v>
      </c>
      <c r="EB23" s="43" t="str">
        <f>IF(IFERROR(INDEX(Consulta!$A:$DF,MATCH('MM01'!$B23,Consulta!$C:$C,0),'MM01'!EB$2),"")=0,"7925",IF(IFERROR(INDEX(Consulta!$A:$DF,MATCH('MM01'!$B23,Consulta!$C:$C,0),'MM01'!EB$2),"")="68","7910","7925"))</f>
        <v>7925</v>
      </c>
      <c r="EC23" s="44">
        <v>100</v>
      </c>
      <c r="ED23" s="60">
        <v>1</v>
      </c>
      <c r="EE23" s="43">
        <f t="shared" si="38"/>
        <v>100</v>
      </c>
      <c r="EF23" s="44">
        <v>1</v>
      </c>
      <c r="EG23" s="44">
        <v>0</v>
      </c>
      <c r="EH23" s="44" t="s">
        <v>867</v>
      </c>
      <c r="EI23" s="45">
        <v>0</v>
      </c>
      <c r="EJ23" s="43">
        <f t="shared" si="39"/>
        <v>5000</v>
      </c>
      <c r="EK23" s="65"/>
    </row>
    <row r="24" spans="1:141" x14ac:dyDescent="0.3">
      <c r="A24" s="7" t="str">
        <f t="shared" si="0"/>
        <v>Execução 20</v>
      </c>
      <c r="B24" s="42"/>
      <c r="C24" s="43" t="str">
        <f>IF(IFERROR(INDEX(Consulta!$A:$DF,MATCH('MM01'!$B24,Consulta!$C:$C,0),'MM01'!C$2),"")=0,"",IFERROR(INDEX(Consulta!$A:$DF,MATCH('MM01'!$B24,Consulta!$C:$C,0),'MM01'!C$2),""))</f>
        <v/>
      </c>
      <c r="D24" s="43" t="str">
        <f>IF(IFERROR(INDEX(Consulta!$A:$DF,MATCH('MM01'!$B24,Consulta!$C:$C,0),'MM01'!D$2),"")=0,"",IFERROR(INDEX(Consulta!$A:$DF,MATCH('MM01'!$B24,Consulta!$C:$C,0),'MM01'!D$2),""))</f>
        <v/>
      </c>
      <c r="E24" s="43" t="str">
        <f>IF(IFERROR(INDEX(Consulta!$A:$DF,MATCH('MM01'!$B24,Consulta!$C:$C,0),'MM01'!E$2),"")=0,"",IFERROR(INDEX(Consulta!$A:$DF,MATCH('MM01'!$B24,Consulta!$C:$C,0),'MM01'!E$2),""))</f>
        <v/>
      </c>
      <c r="F24" s="44" t="s">
        <v>100</v>
      </c>
      <c r="G24" s="49" t="str">
        <f>IF(IFERROR(INDEX(Consulta!$A:$DF,MATCH('MM01'!$B24,Consulta!$C:$C,0),'MM01'!G$2),"")=0,"",IFERROR(INDEX(Consulta!$A:$DF,MATCH('MM01'!$B24,Consulta!$C:$C,0),'MM01'!G$2),""))</f>
        <v/>
      </c>
      <c r="H24" s="49" t="str">
        <f>IF(IFERROR(INDEX(Consulta!$A:$DF,MATCH('MM01'!$B24,Consulta!$C:$C,0),'MM01'!H$2),"")=0,"",IFERROR(INDEX(Consulta!$A:$DF,MATCH('MM01'!$B24,Consulta!$C:$C,0),'MM01'!H$2),""))</f>
        <v/>
      </c>
      <c r="I24" s="49" t="str">
        <f t="shared" si="1"/>
        <v/>
      </c>
      <c r="J24" s="49" t="str">
        <f>IF(IFERROR(INDEX(Consulta!$A:$DF,MATCH('MM01'!$B24,Consulta!$C:$C,0),'MM01'!J$2),"")=0,"",IFERROR(INDEX(Consulta!$A:$DF,MATCH('MM01'!$B24,Consulta!$C:$C,0),'MM01'!J$2),""))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IF(IFERROR(INDEX(Consulta!$A:$DF,MATCH('MM01'!$B24,Consulta!$C:$C,0),'MM01'!AP$2),"")=0,"",IFERROR(INDEX(Consulta!$A:$DF,MATCH('MM01'!$B24,Consulta!$C:$C,0),'MM01'!AP$2),""))</f>
        <v/>
      </c>
      <c r="AQ24" s="45"/>
      <c r="AR24" s="43" t="str">
        <f>IF(IFERROR(INDEX(Consulta!$A:$DF,MATCH('MM01'!$B24,Consulta!$C:$C,0),'MM01'!AR$2),"")=0,"",IFERROR(INDEX(Consulta!$A:$DF,MATCH('MM01'!$B24,Consulta!$C:$C,0),'MM01'!AR$2),""))</f>
        <v/>
      </c>
      <c r="AS24" s="43" t="str">
        <f>IF(IFERROR(INDEX(Consulta!$A:$DF,MATCH('MM01'!$B24,Consulta!$C:$C,0),'MM01'!AS$2),"")=0,"",IF(AR24="68",5102,IFERROR(INDEX(Consulta!$A:$DF,MATCH('MM01'!$B24,Consulta!$C:$C,0),'MM01'!AS$2),"")))</f>
        <v/>
      </c>
      <c r="AT24" s="45"/>
      <c r="AU24" s="46" t="str">
        <f t="shared" ca="1" si="3"/>
        <v/>
      </c>
      <c r="AV24" s="47" t="s">
        <v>796</v>
      </c>
      <c r="AW24" s="43" t="str">
        <f>IF(IFERROR(INDEX(Consulta!$A:$DF,MATCH('MM01'!$B24,Consulta!$C:$C,0),'MM01'!AW$2),"")=0,"",IFERROR(ROUND(INDEX(Consulta!$A:$DF,MATCH('MM01'!$B24,Consulta!$C:$C,0),'MM01'!AW$2),3),""))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IF(IFERROR(INDEX(Consulta!$A:$DF,MATCH('MM01'!$B24,Consulta!$C:$C,0),'MM01'!BA$2),"")=0,"",IFERROR(INDEX(Consulta!$A:$DF,MATCH('MM01'!$B24,Consulta!$C:$C,0),'MM01'!BA$2),""))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IF(IFERROR(INDEX(Consulta!$A:$DF,MATCH('MM01'!$B24,Consulta!$C:$C,0),'MM01'!BL$2),"")=0,"",IFERROR(INDEX(Consulta!$A:$DF,MATCH('MM01'!$B24,Consulta!$C:$C,0),'MM01'!BL$2),""))</f>
        <v/>
      </c>
      <c r="BM24" s="45">
        <v>99</v>
      </c>
      <c r="BN24" s="46" t="str">
        <f t="shared" ca="1" si="13"/>
        <v>28.04.2022</v>
      </c>
      <c r="BO24" s="49" t="str">
        <f t="shared" si="14"/>
        <v/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IF(IFERROR(INDEX(Consulta!$A:$DF,MATCH('MM01'!$B24,Consulta!$C:$C,0),'MM01'!BX$2),"")=0,"",IFERROR(INDEX(Consulta!$A:$DF,MATCH('MM01'!$B24,Consulta!$C:$C,0),'MM01'!BX$2),""))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15"/>
        <v/>
      </c>
      <c r="CD24" s="45" t="s">
        <v>430</v>
      </c>
      <c r="CE24" s="45">
        <v>1</v>
      </c>
      <c r="CF24" s="45" t="s">
        <v>496</v>
      </c>
      <c r="CG24" s="45"/>
      <c r="CH24" s="44">
        <v>2</v>
      </c>
      <c r="CI24" s="49" t="str">
        <f t="shared" si="16"/>
        <v/>
      </c>
      <c r="CJ24" s="49" t="str">
        <f t="shared" si="17"/>
        <v/>
      </c>
      <c r="CK24" s="45"/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8"/>
        <v>K00_P_</v>
      </c>
      <c r="CS24" s="45">
        <v>5000</v>
      </c>
      <c r="CT24" s="43" t="str">
        <f>IF(IFERROR(INDEX(Consulta!$A:$DF,MATCH('MM01'!$B24,Consulta!$C:$C,0),'MM01'!CT$2),"")=0,"",IFERROR(INDEX(Consulta!$A:$DF,MATCH('MM01'!$B24,Consulta!$C:$C,0),'MM01'!CT$2),""))</f>
        <v/>
      </c>
      <c r="CU24" s="43" t="str">
        <f>IF(IFERROR(INDEX(Consulta!$A:$DF,MATCH('MM01'!$B24,Consulta!$C:$C,0),'MM01'!CU$2),"")=0,"",IFERROR(INDEX(Consulta!$A:$DF,MATCH('MM01'!$B24,Consulta!$C:$C,0),'MM01'!CU$2),""))</f>
        <v/>
      </c>
      <c r="CV24" s="43" t="str">
        <f>IF(IFERROR(INDEX(Consulta!$A:$DF,MATCH('MM01'!$B24,Consulta!$C:$C,0),'MM01'!CV$2),"")=0,"",IFERROR(INDEX(Consulta!$A:$DF,MATCH('MM01'!$B24,Consulta!$C:$C,0),'MM01'!CV$2),""))</f>
        <v/>
      </c>
      <c r="CW24" s="43" t="str">
        <f>IF(IFERROR(INDEX(Consulta!$A:$DF,MATCH('MM01'!$B24,Consulta!$C:$C,0),'MM01'!CW$2),"")=0,"",IFERROR(INDEX(Consulta!$A:$DF,MATCH('MM01'!$B24,Consulta!$C:$C,0),'MM01'!CW$2),""))</f>
        <v/>
      </c>
      <c r="CX24" s="43" t="str">
        <f t="shared" si="19"/>
        <v/>
      </c>
      <c r="CY24" s="43" t="str">
        <f t="shared" si="20"/>
        <v/>
      </c>
      <c r="CZ24" s="43" t="str">
        <f t="shared" si="21"/>
        <v/>
      </c>
      <c r="DA24" s="43" t="str">
        <f>IF(IFERROR(INDEX(Consulta!$A:$DF,MATCH('MM01'!$B24,Consulta!$C:$C,0),'MM01'!DA$2),"")=0,"",IFERROR(INDEX(Consulta!$A:$DF,MATCH('MM01'!$B24,Consulta!$C:$C,0),'MM01'!DA$2),""))</f>
        <v/>
      </c>
      <c r="DB24" s="43" t="str">
        <f t="shared" si="22"/>
        <v/>
      </c>
      <c r="DC24" s="43" t="str">
        <f>IF(IFERROR(INDEX(Consulta!$A:$DF,MATCH('MM01'!$B24,Consulta!$C:$C,0),'MM01'!DC$2),"")=0,"",IFERROR(INDEX(Consulta!$A:$DF,MATCH('MM01'!$B24,Consulta!$C:$C,0),'MM01'!DC$2),""))</f>
        <v/>
      </c>
      <c r="DD24" s="45">
        <v>0</v>
      </c>
      <c r="DE24" s="45">
        <v>0</v>
      </c>
      <c r="DF24" s="43" t="str">
        <f t="shared" si="23"/>
        <v/>
      </c>
      <c r="DG24" s="43" t="str">
        <f t="shared" si="24"/>
        <v/>
      </c>
      <c r="DH24" s="55"/>
      <c r="DI24" s="43" t="str">
        <f t="shared" ca="1" si="25"/>
        <v/>
      </c>
      <c r="DJ24" s="43" t="str">
        <f t="shared" si="26"/>
        <v/>
      </c>
      <c r="DK24" s="43" t="str">
        <f t="shared" si="27"/>
        <v/>
      </c>
      <c r="DL24" s="55"/>
      <c r="DM24" s="43" t="str">
        <f t="shared" ca="1" si="28"/>
        <v/>
      </c>
      <c r="DN24" s="43" t="str">
        <f t="shared" si="29"/>
        <v/>
      </c>
      <c r="DO24" s="43" t="str">
        <f t="shared" si="30"/>
        <v/>
      </c>
      <c r="DP24" s="55"/>
      <c r="DQ24" s="43" t="str">
        <f t="shared" ca="1" si="31"/>
        <v/>
      </c>
      <c r="DR24" s="43" t="str">
        <f t="shared" si="32"/>
        <v/>
      </c>
      <c r="DS24" s="43" t="str">
        <f t="shared" si="33"/>
        <v/>
      </c>
      <c r="DT24" s="55"/>
      <c r="DU24" s="43" t="str">
        <f t="shared" ca="1" si="34"/>
        <v/>
      </c>
      <c r="DV24" s="43" t="str">
        <f t="shared" si="35"/>
        <v/>
      </c>
      <c r="DX24" s="44">
        <v>1</v>
      </c>
      <c r="DY24" s="44" t="s">
        <v>774</v>
      </c>
      <c r="DZ24" s="43">
        <f t="shared" si="36"/>
        <v>0.01</v>
      </c>
      <c r="EA24" s="43" t="str">
        <f t="shared" si="37"/>
        <v>M</v>
      </c>
      <c r="EB24" s="43" t="str">
        <f>IF(IFERROR(INDEX(Consulta!$A:$DF,MATCH('MM01'!$B24,Consulta!$C:$C,0),'MM01'!EB$2),"")=0,"7925",IF(IFERROR(INDEX(Consulta!$A:$DF,MATCH('MM01'!$B24,Consulta!$C:$C,0),'MM01'!EB$2),"")="68","7910","7925"))</f>
        <v>7925</v>
      </c>
      <c r="EC24" s="44">
        <v>100</v>
      </c>
      <c r="ED24" s="60">
        <v>1</v>
      </c>
      <c r="EE24" s="43">
        <f t="shared" si="38"/>
        <v>100</v>
      </c>
      <c r="EF24" s="44">
        <v>1</v>
      </c>
      <c r="EG24" s="44">
        <v>0</v>
      </c>
      <c r="EH24" s="44" t="s">
        <v>867</v>
      </c>
      <c r="EI24" s="45">
        <v>0</v>
      </c>
      <c r="EJ24" s="43">
        <f t="shared" si="39"/>
        <v>5000</v>
      </c>
      <c r="EK24" s="65"/>
    </row>
    <row r="25" spans="1:141" x14ac:dyDescent="0.3">
      <c r="A25" s="7" t="str">
        <f t="shared" si="0"/>
        <v>Execução 21</v>
      </c>
      <c r="B25" s="42"/>
      <c r="C25" s="43" t="str">
        <f>IF(IFERROR(INDEX(Consulta!$A:$DF,MATCH('MM01'!$B25,Consulta!$C:$C,0),'MM01'!C$2),"")=0,"",IFERROR(INDEX(Consulta!$A:$DF,MATCH('MM01'!$B25,Consulta!$C:$C,0),'MM01'!C$2),""))</f>
        <v/>
      </c>
      <c r="D25" s="43" t="str">
        <f>IF(IFERROR(INDEX(Consulta!$A:$DF,MATCH('MM01'!$B25,Consulta!$C:$C,0),'MM01'!D$2),"")=0,"",IFERROR(INDEX(Consulta!$A:$DF,MATCH('MM01'!$B25,Consulta!$C:$C,0),'MM01'!D$2),""))</f>
        <v/>
      </c>
      <c r="E25" s="43" t="str">
        <f>IF(IFERROR(INDEX(Consulta!$A:$DF,MATCH('MM01'!$B25,Consulta!$C:$C,0),'MM01'!E$2),"")=0,"",IFERROR(INDEX(Consulta!$A:$DF,MATCH('MM01'!$B25,Consulta!$C:$C,0),'MM01'!E$2),""))</f>
        <v/>
      </c>
      <c r="F25" s="44" t="s">
        <v>100</v>
      </c>
      <c r="G25" s="49" t="str">
        <f>IF(IFERROR(INDEX(Consulta!$A:$DF,MATCH('MM01'!$B25,Consulta!$C:$C,0),'MM01'!G$2),"")=0,"",IFERROR(INDEX(Consulta!$A:$DF,MATCH('MM01'!$B25,Consulta!$C:$C,0),'MM01'!G$2),""))</f>
        <v/>
      </c>
      <c r="H25" s="49" t="str">
        <f>IF(IFERROR(INDEX(Consulta!$A:$DF,MATCH('MM01'!$B25,Consulta!$C:$C,0),'MM01'!H$2),"")=0,"",IFERROR(INDEX(Consulta!$A:$DF,MATCH('MM01'!$B25,Consulta!$C:$C,0),'MM01'!H$2),""))</f>
        <v/>
      </c>
      <c r="I25" s="49" t="str">
        <f t="shared" si="1"/>
        <v/>
      </c>
      <c r="J25" s="49" t="str">
        <f>IF(IFERROR(INDEX(Consulta!$A:$DF,MATCH('MM01'!$B25,Consulta!$C:$C,0),'MM01'!J$2),"")=0,"",IFERROR(INDEX(Consulta!$A:$DF,MATCH('MM01'!$B25,Consulta!$C:$C,0),'MM01'!J$2),""))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IF(IFERROR(INDEX(Consulta!$A:$DF,MATCH('MM01'!$B25,Consulta!$C:$C,0),'MM01'!AP$2),"")=0,"",IFERROR(INDEX(Consulta!$A:$DF,MATCH('MM01'!$B25,Consulta!$C:$C,0),'MM01'!AP$2),""))</f>
        <v/>
      </c>
      <c r="AQ25" s="45"/>
      <c r="AR25" s="43" t="str">
        <f>IF(IFERROR(INDEX(Consulta!$A:$DF,MATCH('MM01'!$B25,Consulta!$C:$C,0),'MM01'!AR$2),"")=0,"",IFERROR(INDEX(Consulta!$A:$DF,MATCH('MM01'!$B25,Consulta!$C:$C,0),'MM01'!AR$2),""))</f>
        <v/>
      </c>
      <c r="AS25" s="43" t="str">
        <f>IF(IFERROR(INDEX(Consulta!$A:$DF,MATCH('MM01'!$B25,Consulta!$C:$C,0),'MM01'!AS$2),"")=0,"",IF(AR25="68",5102,IFERROR(INDEX(Consulta!$A:$DF,MATCH('MM01'!$B25,Consulta!$C:$C,0),'MM01'!AS$2),"")))</f>
        <v/>
      </c>
      <c r="AT25" s="45"/>
      <c r="AU25" s="46" t="str">
        <f t="shared" ca="1" si="3"/>
        <v/>
      </c>
      <c r="AV25" s="47" t="s">
        <v>796</v>
      </c>
      <c r="AW25" s="43" t="str">
        <f>IF(IFERROR(INDEX(Consulta!$A:$DF,MATCH('MM01'!$B25,Consulta!$C:$C,0),'MM01'!AW$2),"")=0,"",IFERROR(ROUND(INDEX(Consulta!$A:$DF,MATCH('MM01'!$B25,Consulta!$C:$C,0),'MM01'!AW$2),3),""))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IF(IFERROR(INDEX(Consulta!$A:$DF,MATCH('MM01'!$B25,Consulta!$C:$C,0),'MM01'!BA$2),"")=0,"",IFERROR(INDEX(Consulta!$A:$DF,MATCH('MM01'!$B25,Consulta!$C:$C,0),'MM01'!BA$2),""))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IF(IFERROR(INDEX(Consulta!$A:$DF,MATCH('MM01'!$B25,Consulta!$C:$C,0),'MM01'!BL$2),"")=0,"",IFERROR(INDEX(Consulta!$A:$DF,MATCH('MM01'!$B25,Consulta!$C:$C,0),'MM01'!BL$2),""))</f>
        <v/>
      </c>
      <c r="BM25" s="45">
        <v>99</v>
      </c>
      <c r="BN25" s="46" t="str">
        <f t="shared" ca="1" si="13"/>
        <v>28.04.2022</v>
      </c>
      <c r="BO25" s="49" t="str">
        <f t="shared" si="14"/>
        <v/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IF(IFERROR(INDEX(Consulta!$A:$DF,MATCH('MM01'!$B25,Consulta!$C:$C,0),'MM01'!BX$2),"")=0,"",IFERROR(INDEX(Consulta!$A:$DF,MATCH('MM01'!$B25,Consulta!$C:$C,0),'MM01'!BX$2),""))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15"/>
        <v/>
      </c>
      <c r="CD25" s="45" t="s">
        <v>430</v>
      </c>
      <c r="CE25" s="45">
        <v>1</v>
      </c>
      <c r="CF25" s="45" t="s">
        <v>496</v>
      </c>
      <c r="CG25" s="45"/>
      <c r="CH25" s="44">
        <v>2</v>
      </c>
      <c r="CI25" s="49" t="str">
        <f t="shared" si="16"/>
        <v/>
      </c>
      <c r="CJ25" s="49" t="str">
        <f t="shared" si="17"/>
        <v/>
      </c>
      <c r="CK25" s="45"/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8"/>
        <v>K00_P_</v>
      </c>
      <c r="CS25" s="45">
        <v>5000</v>
      </c>
      <c r="CT25" s="43" t="str">
        <f>IF(IFERROR(INDEX(Consulta!$A:$DF,MATCH('MM01'!$B25,Consulta!$C:$C,0),'MM01'!CT$2),"")=0,"",IFERROR(INDEX(Consulta!$A:$DF,MATCH('MM01'!$B25,Consulta!$C:$C,0),'MM01'!CT$2),""))</f>
        <v/>
      </c>
      <c r="CU25" s="43" t="str">
        <f>IF(IFERROR(INDEX(Consulta!$A:$DF,MATCH('MM01'!$B25,Consulta!$C:$C,0),'MM01'!CU$2),"")=0,"",IFERROR(INDEX(Consulta!$A:$DF,MATCH('MM01'!$B25,Consulta!$C:$C,0),'MM01'!CU$2),""))</f>
        <v/>
      </c>
      <c r="CV25" s="43" t="str">
        <f>IF(IFERROR(INDEX(Consulta!$A:$DF,MATCH('MM01'!$B25,Consulta!$C:$C,0),'MM01'!CV$2),"")=0,"",IFERROR(INDEX(Consulta!$A:$DF,MATCH('MM01'!$B25,Consulta!$C:$C,0),'MM01'!CV$2),""))</f>
        <v/>
      </c>
      <c r="CW25" s="43" t="str">
        <f>IF(IFERROR(INDEX(Consulta!$A:$DF,MATCH('MM01'!$B25,Consulta!$C:$C,0),'MM01'!CW$2),"")=0,"",IFERROR(INDEX(Consulta!$A:$DF,MATCH('MM01'!$B25,Consulta!$C:$C,0),'MM01'!CW$2),""))</f>
        <v/>
      </c>
      <c r="CX25" s="43" t="str">
        <f t="shared" si="19"/>
        <v/>
      </c>
      <c r="CY25" s="43" t="str">
        <f t="shared" si="20"/>
        <v/>
      </c>
      <c r="CZ25" s="43" t="str">
        <f t="shared" si="21"/>
        <v/>
      </c>
      <c r="DA25" s="43" t="str">
        <f>IF(IFERROR(INDEX(Consulta!$A:$DF,MATCH('MM01'!$B25,Consulta!$C:$C,0),'MM01'!DA$2),"")=0,"",IFERROR(INDEX(Consulta!$A:$DF,MATCH('MM01'!$B25,Consulta!$C:$C,0),'MM01'!DA$2),""))</f>
        <v/>
      </c>
      <c r="DB25" s="43" t="str">
        <f t="shared" si="22"/>
        <v/>
      </c>
      <c r="DC25" s="43" t="str">
        <f>IF(IFERROR(INDEX(Consulta!$A:$DF,MATCH('MM01'!$B25,Consulta!$C:$C,0),'MM01'!DC$2),"")=0,"",IFERROR(INDEX(Consulta!$A:$DF,MATCH('MM01'!$B25,Consulta!$C:$C,0),'MM01'!DC$2),""))</f>
        <v/>
      </c>
      <c r="DD25" s="45">
        <v>0</v>
      </c>
      <c r="DE25" s="45">
        <v>0</v>
      </c>
      <c r="DF25" s="43" t="str">
        <f t="shared" si="23"/>
        <v/>
      </c>
      <c r="DG25" s="43" t="str">
        <f t="shared" si="24"/>
        <v/>
      </c>
      <c r="DH25" s="55"/>
      <c r="DI25" s="43" t="str">
        <f t="shared" ca="1" si="25"/>
        <v/>
      </c>
      <c r="DJ25" s="43" t="str">
        <f t="shared" si="26"/>
        <v/>
      </c>
      <c r="DK25" s="43" t="str">
        <f t="shared" si="27"/>
        <v/>
      </c>
      <c r="DL25" s="55"/>
      <c r="DM25" s="43" t="str">
        <f t="shared" ca="1" si="28"/>
        <v/>
      </c>
      <c r="DN25" s="43" t="str">
        <f t="shared" si="29"/>
        <v/>
      </c>
      <c r="DO25" s="43" t="str">
        <f t="shared" si="30"/>
        <v/>
      </c>
      <c r="DP25" s="55"/>
      <c r="DQ25" s="43" t="str">
        <f t="shared" ca="1" si="31"/>
        <v/>
      </c>
      <c r="DR25" s="43" t="str">
        <f t="shared" si="32"/>
        <v/>
      </c>
      <c r="DS25" s="43" t="str">
        <f t="shared" si="33"/>
        <v/>
      </c>
      <c r="DT25" s="55"/>
      <c r="DU25" s="43" t="str">
        <f t="shared" ca="1" si="34"/>
        <v/>
      </c>
      <c r="DV25" s="43" t="str">
        <f t="shared" si="35"/>
        <v/>
      </c>
      <c r="DX25" s="44">
        <v>1</v>
      </c>
      <c r="DY25" s="44" t="s">
        <v>774</v>
      </c>
      <c r="DZ25" s="43">
        <f t="shared" si="36"/>
        <v>0.01</v>
      </c>
      <c r="EA25" s="43" t="str">
        <f t="shared" si="37"/>
        <v>M</v>
      </c>
      <c r="EB25" s="43" t="str">
        <f>IF(IFERROR(INDEX(Consulta!$A:$DF,MATCH('MM01'!$B25,Consulta!$C:$C,0),'MM01'!EB$2),"")=0,"7925",IF(IFERROR(INDEX(Consulta!$A:$DF,MATCH('MM01'!$B25,Consulta!$C:$C,0),'MM01'!EB$2),"")="68","7910","7925"))</f>
        <v>7925</v>
      </c>
      <c r="EC25" s="44">
        <v>100</v>
      </c>
      <c r="ED25" s="60">
        <v>1</v>
      </c>
      <c r="EE25" s="43">
        <f t="shared" si="38"/>
        <v>100</v>
      </c>
      <c r="EF25" s="44">
        <v>1</v>
      </c>
      <c r="EG25" s="44">
        <v>0</v>
      </c>
      <c r="EH25" s="44" t="s">
        <v>867</v>
      </c>
      <c r="EI25" s="45">
        <v>0</v>
      </c>
      <c r="EJ25" s="43">
        <f t="shared" si="39"/>
        <v>5000</v>
      </c>
      <c r="EK25" s="65"/>
    </row>
    <row r="26" spans="1:141" x14ac:dyDescent="0.3">
      <c r="A26" s="7" t="str">
        <f t="shared" si="0"/>
        <v>Execução 22</v>
      </c>
      <c r="B26" s="42"/>
      <c r="C26" s="43" t="str">
        <f>IF(IFERROR(INDEX(Consulta!$A:$DF,MATCH('MM01'!$B26,Consulta!$C:$C,0),'MM01'!C$2),"")=0,"",IFERROR(INDEX(Consulta!$A:$DF,MATCH('MM01'!$B26,Consulta!$C:$C,0),'MM01'!C$2),""))</f>
        <v/>
      </c>
      <c r="D26" s="43" t="str">
        <f>IF(IFERROR(INDEX(Consulta!$A:$DF,MATCH('MM01'!$B26,Consulta!$C:$C,0),'MM01'!D$2),"")=0,"",IFERROR(INDEX(Consulta!$A:$DF,MATCH('MM01'!$B26,Consulta!$C:$C,0),'MM01'!D$2),""))</f>
        <v/>
      </c>
      <c r="E26" s="43" t="str">
        <f>IF(IFERROR(INDEX(Consulta!$A:$DF,MATCH('MM01'!$B26,Consulta!$C:$C,0),'MM01'!E$2),"")=0,"",IFERROR(INDEX(Consulta!$A:$DF,MATCH('MM01'!$B26,Consulta!$C:$C,0),'MM01'!E$2),""))</f>
        <v/>
      </c>
      <c r="F26" s="44" t="s">
        <v>100</v>
      </c>
      <c r="G26" s="49" t="str">
        <f>IF(IFERROR(INDEX(Consulta!$A:$DF,MATCH('MM01'!$B26,Consulta!$C:$C,0),'MM01'!G$2),"")=0,"",IFERROR(INDEX(Consulta!$A:$DF,MATCH('MM01'!$B26,Consulta!$C:$C,0),'MM01'!G$2),""))</f>
        <v/>
      </c>
      <c r="H26" s="49" t="str">
        <f>IF(IFERROR(INDEX(Consulta!$A:$DF,MATCH('MM01'!$B26,Consulta!$C:$C,0),'MM01'!H$2),"")=0,"",IFERROR(INDEX(Consulta!$A:$DF,MATCH('MM01'!$B26,Consulta!$C:$C,0),'MM01'!H$2),""))</f>
        <v/>
      </c>
      <c r="I26" s="49" t="str">
        <f t="shared" si="1"/>
        <v/>
      </c>
      <c r="J26" s="49" t="str">
        <f>IF(IFERROR(INDEX(Consulta!$A:$DF,MATCH('MM01'!$B26,Consulta!$C:$C,0),'MM01'!J$2),"")=0,"",IFERROR(INDEX(Consulta!$A:$DF,MATCH('MM01'!$B26,Consulta!$C:$C,0),'MM01'!J$2),""))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IF(IFERROR(INDEX(Consulta!$A:$DF,MATCH('MM01'!$B26,Consulta!$C:$C,0),'MM01'!AP$2),"")=0,"",IFERROR(INDEX(Consulta!$A:$DF,MATCH('MM01'!$B26,Consulta!$C:$C,0),'MM01'!AP$2),""))</f>
        <v/>
      </c>
      <c r="AQ26" s="45"/>
      <c r="AR26" s="43" t="str">
        <f>IF(IFERROR(INDEX(Consulta!$A:$DF,MATCH('MM01'!$B26,Consulta!$C:$C,0),'MM01'!AR$2),"")=0,"",IFERROR(INDEX(Consulta!$A:$DF,MATCH('MM01'!$B26,Consulta!$C:$C,0),'MM01'!AR$2),""))</f>
        <v/>
      </c>
      <c r="AS26" s="43" t="str">
        <f>IF(IFERROR(INDEX(Consulta!$A:$DF,MATCH('MM01'!$B26,Consulta!$C:$C,0),'MM01'!AS$2),"")=0,"",IF(AR26="68",5102,IFERROR(INDEX(Consulta!$A:$DF,MATCH('MM01'!$B26,Consulta!$C:$C,0),'MM01'!AS$2),"")))</f>
        <v/>
      </c>
      <c r="AT26" s="45"/>
      <c r="AU26" s="46" t="str">
        <f t="shared" ca="1" si="3"/>
        <v/>
      </c>
      <c r="AV26" s="47" t="s">
        <v>796</v>
      </c>
      <c r="AW26" s="43" t="str">
        <f>IF(IFERROR(INDEX(Consulta!$A:$DF,MATCH('MM01'!$B26,Consulta!$C:$C,0),'MM01'!AW$2),"")=0,"",IFERROR(ROUND(INDEX(Consulta!$A:$DF,MATCH('MM01'!$B26,Consulta!$C:$C,0),'MM01'!AW$2),3),""))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IF(IFERROR(INDEX(Consulta!$A:$DF,MATCH('MM01'!$B26,Consulta!$C:$C,0),'MM01'!BA$2),"")=0,"",IFERROR(INDEX(Consulta!$A:$DF,MATCH('MM01'!$B26,Consulta!$C:$C,0),'MM01'!BA$2),""))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IF(IFERROR(INDEX(Consulta!$A:$DF,MATCH('MM01'!$B26,Consulta!$C:$C,0),'MM01'!BL$2),"")=0,"",IFERROR(INDEX(Consulta!$A:$DF,MATCH('MM01'!$B26,Consulta!$C:$C,0),'MM01'!BL$2),""))</f>
        <v/>
      </c>
      <c r="BM26" s="45">
        <v>99</v>
      </c>
      <c r="BN26" s="46" t="str">
        <f t="shared" ca="1" si="13"/>
        <v>28.04.2022</v>
      </c>
      <c r="BO26" s="49" t="str">
        <f t="shared" si="14"/>
        <v/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IF(IFERROR(INDEX(Consulta!$A:$DF,MATCH('MM01'!$B26,Consulta!$C:$C,0),'MM01'!BX$2),"")=0,"",IFERROR(INDEX(Consulta!$A:$DF,MATCH('MM01'!$B26,Consulta!$C:$C,0),'MM01'!BX$2),""))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15"/>
        <v/>
      </c>
      <c r="CD26" s="45" t="s">
        <v>430</v>
      </c>
      <c r="CE26" s="45">
        <v>1</v>
      </c>
      <c r="CF26" s="45" t="s">
        <v>496</v>
      </c>
      <c r="CG26" s="45"/>
      <c r="CH26" s="44">
        <v>2</v>
      </c>
      <c r="CI26" s="49" t="str">
        <f t="shared" si="16"/>
        <v/>
      </c>
      <c r="CJ26" s="49" t="str">
        <f t="shared" si="17"/>
        <v/>
      </c>
      <c r="CK26" s="45"/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8"/>
        <v>K00_P_</v>
      </c>
      <c r="CS26" s="45">
        <v>5000</v>
      </c>
      <c r="CT26" s="43" t="str">
        <f>IF(IFERROR(INDEX(Consulta!$A:$DF,MATCH('MM01'!$B26,Consulta!$C:$C,0),'MM01'!CT$2),"")=0,"",IFERROR(INDEX(Consulta!$A:$DF,MATCH('MM01'!$B26,Consulta!$C:$C,0),'MM01'!CT$2),""))</f>
        <v/>
      </c>
      <c r="CU26" s="43" t="str">
        <f>IF(IFERROR(INDEX(Consulta!$A:$DF,MATCH('MM01'!$B26,Consulta!$C:$C,0),'MM01'!CU$2),"")=0,"",IFERROR(INDEX(Consulta!$A:$DF,MATCH('MM01'!$B26,Consulta!$C:$C,0),'MM01'!CU$2),""))</f>
        <v/>
      </c>
      <c r="CV26" s="43" t="str">
        <f>IF(IFERROR(INDEX(Consulta!$A:$DF,MATCH('MM01'!$B26,Consulta!$C:$C,0),'MM01'!CV$2),"")=0,"",IFERROR(INDEX(Consulta!$A:$DF,MATCH('MM01'!$B26,Consulta!$C:$C,0),'MM01'!CV$2),""))</f>
        <v/>
      </c>
      <c r="CW26" s="43" t="str">
        <f>IF(IFERROR(INDEX(Consulta!$A:$DF,MATCH('MM01'!$B26,Consulta!$C:$C,0),'MM01'!CW$2),"")=0,"",IFERROR(INDEX(Consulta!$A:$DF,MATCH('MM01'!$B26,Consulta!$C:$C,0),'MM01'!CW$2),""))</f>
        <v/>
      </c>
      <c r="CX26" s="43" t="str">
        <f t="shared" si="19"/>
        <v/>
      </c>
      <c r="CY26" s="43" t="str">
        <f t="shared" si="20"/>
        <v/>
      </c>
      <c r="CZ26" s="43" t="str">
        <f t="shared" si="21"/>
        <v/>
      </c>
      <c r="DA26" s="43" t="str">
        <f>IF(IFERROR(INDEX(Consulta!$A:$DF,MATCH('MM01'!$B26,Consulta!$C:$C,0),'MM01'!DA$2),"")=0,"",IFERROR(INDEX(Consulta!$A:$DF,MATCH('MM01'!$B26,Consulta!$C:$C,0),'MM01'!DA$2),""))</f>
        <v/>
      </c>
      <c r="DB26" s="43" t="str">
        <f t="shared" si="22"/>
        <v/>
      </c>
      <c r="DC26" s="43" t="str">
        <f>IF(IFERROR(INDEX(Consulta!$A:$DF,MATCH('MM01'!$B26,Consulta!$C:$C,0),'MM01'!DC$2),"")=0,"",IFERROR(INDEX(Consulta!$A:$DF,MATCH('MM01'!$B26,Consulta!$C:$C,0),'MM01'!DC$2),""))</f>
        <v/>
      </c>
      <c r="DD26" s="45">
        <v>0</v>
      </c>
      <c r="DE26" s="45">
        <v>0</v>
      </c>
      <c r="DF26" s="43" t="str">
        <f t="shared" si="23"/>
        <v/>
      </c>
      <c r="DG26" s="43" t="str">
        <f t="shared" si="24"/>
        <v/>
      </c>
      <c r="DH26" s="55"/>
      <c r="DI26" s="43" t="str">
        <f t="shared" ca="1" si="25"/>
        <v/>
      </c>
      <c r="DJ26" s="43" t="str">
        <f t="shared" si="26"/>
        <v/>
      </c>
      <c r="DK26" s="43" t="str">
        <f t="shared" si="27"/>
        <v/>
      </c>
      <c r="DL26" s="55"/>
      <c r="DM26" s="43" t="str">
        <f t="shared" ca="1" si="28"/>
        <v/>
      </c>
      <c r="DN26" s="43" t="str">
        <f t="shared" si="29"/>
        <v/>
      </c>
      <c r="DO26" s="43" t="str">
        <f t="shared" si="30"/>
        <v/>
      </c>
      <c r="DP26" s="55"/>
      <c r="DQ26" s="43" t="str">
        <f t="shared" ca="1" si="31"/>
        <v/>
      </c>
      <c r="DR26" s="43" t="str">
        <f t="shared" si="32"/>
        <v/>
      </c>
      <c r="DS26" s="43" t="str">
        <f t="shared" si="33"/>
        <v/>
      </c>
      <c r="DT26" s="55"/>
      <c r="DU26" s="43" t="str">
        <f t="shared" ca="1" si="34"/>
        <v/>
      </c>
      <c r="DV26" s="43" t="str">
        <f t="shared" si="35"/>
        <v/>
      </c>
      <c r="DX26" s="44">
        <v>1</v>
      </c>
      <c r="DY26" s="44" t="s">
        <v>774</v>
      </c>
      <c r="DZ26" s="43">
        <f t="shared" si="36"/>
        <v>0.01</v>
      </c>
      <c r="EA26" s="43" t="str">
        <f t="shared" si="37"/>
        <v>M</v>
      </c>
      <c r="EB26" s="43" t="str">
        <f>IF(IFERROR(INDEX(Consulta!$A:$DF,MATCH('MM01'!$B26,Consulta!$C:$C,0),'MM01'!EB$2),"")=0,"7925",IF(IFERROR(INDEX(Consulta!$A:$DF,MATCH('MM01'!$B26,Consulta!$C:$C,0),'MM01'!EB$2),"")="68","7910","7925"))</f>
        <v>7925</v>
      </c>
      <c r="EC26" s="44">
        <v>100</v>
      </c>
      <c r="ED26" s="60">
        <v>1</v>
      </c>
      <c r="EE26" s="43">
        <f t="shared" si="38"/>
        <v>100</v>
      </c>
      <c r="EF26" s="44">
        <v>1</v>
      </c>
      <c r="EG26" s="44">
        <v>0</v>
      </c>
      <c r="EH26" s="44" t="s">
        <v>867</v>
      </c>
      <c r="EI26" s="45">
        <v>0</v>
      </c>
      <c r="EJ26" s="43">
        <f t="shared" si="39"/>
        <v>5000</v>
      </c>
      <c r="EK26" s="65"/>
    </row>
    <row r="27" spans="1:141" x14ac:dyDescent="0.3">
      <c r="A27" s="7" t="str">
        <f t="shared" si="0"/>
        <v>Execução 23</v>
      </c>
      <c r="B27" s="42"/>
      <c r="C27" s="43" t="str">
        <f>IF(IFERROR(INDEX(Consulta!$A:$DF,MATCH('MM01'!$B27,Consulta!$C:$C,0),'MM01'!C$2),"")=0,"",IFERROR(INDEX(Consulta!$A:$DF,MATCH('MM01'!$B27,Consulta!$C:$C,0),'MM01'!C$2),""))</f>
        <v/>
      </c>
      <c r="D27" s="43" t="str">
        <f>IF(IFERROR(INDEX(Consulta!$A:$DF,MATCH('MM01'!$B27,Consulta!$C:$C,0),'MM01'!D$2),"")=0,"",IFERROR(INDEX(Consulta!$A:$DF,MATCH('MM01'!$B27,Consulta!$C:$C,0),'MM01'!D$2),""))</f>
        <v/>
      </c>
      <c r="E27" s="43" t="str">
        <f>IF(IFERROR(INDEX(Consulta!$A:$DF,MATCH('MM01'!$B27,Consulta!$C:$C,0),'MM01'!E$2),"")=0,"",IFERROR(INDEX(Consulta!$A:$DF,MATCH('MM01'!$B27,Consulta!$C:$C,0),'MM01'!E$2),""))</f>
        <v/>
      </c>
      <c r="F27" s="44" t="s">
        <v>100</v>
      </c>
      <c r="G27" s="49" t="str">
        <f>IF(IFERROR(INDEX(Consulta!$A:$DF,MATCH('MM01'!$B27,Consulta!$C:$C,0),'MM01'!G$2),"")=0,"",IFERROR(INDEX(Consulta!$A:$DF,MATCH('MM01'!$B27,Consulta!$C:$C,0),'MM01'!G$2),""))</f>
        <v/>
      </c>
      <c r="H27" s="49" t="str">
        <f>IF(IFERROR(INDEX(Consulta!$A:$DF,MATCH('MM01'!$B27,Consulta!$C:$C,0),'MM01'!H$2),"")=0,"",IFERROR(INDEX(Consulta!$A:$DF,MATCH('MM01'!$B27,Consulta!$C:$C,0),'MM01'!H$2),""))</f>
        <v/>
      </c>
      <c r="I27" s="49" t="str">
        <f t="shared" si="1"/>
        <v/>
      </c>
      <c r="J27" s="49" t="str">
        <f>IF(IFERROR(INDEX(Consulta!$A:$DF,MATCH('MM01'!$B27,Consulta!$C:$C,0),'MM01'!J$2),"")=0,"",IFERROR(INDEX(Consulta!$A:$DF,MATCH('MM01'!$B27,Consulta!$C:$C,0),'MM01'!J$2),""))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IF(IFERROR(INDEX(Consulta!$A:$DF,MATCH('MM01'!$B27,Consulta!$C:$C,0),'MM01'!AP$2),"")=0,"",IFERROR(INDEX(Consulta!$A:$DF,MATCH('MM01'!$B27,Consulta!$C:$C,0),'MM01'!AP$2),""))</f>
        <v/>
      </c>
      <c r="AQ27" s="45"/>
      <c r="AR27" s="43" t="str">
        <f>IF(IFERROR(INDEX(Consulta!$A:$DF,MATCH('MM01'!$B27,Consulta!$C:$C,0),'MM01'!AR$2),"")=0,"",IFERROR(INDEX(Consulta!$A:$DF,MATCH('MM01'!$B27,Consulta!$C:$C,0),'MM01'!AR$2),""))</f>
        <v/>
      </c>
      <c r="AS27" s="43" t="str">
        <f>IF(IFERROR(INDEX(Consulta!$A:$DF,MATCH('MM01'!$B27,Consulta!$C:$C,0),'MM01'!AS$2),"")=0,"",IF(AR27="68",5102,IFERROR(INDEX(Consulta!$A:$DF,MATCH('MM01'!$B27,Consulta!$C:$C,0),'MM01'!AS$2),"")))</f>
        <v/>
      </c>
      <c r="AT27" s="45"/>
      <c r="AU27" s="46" t="str">
        <f t="shared" ca="1" si="3"/>
        <v/>
      </c>
      <c r="AV27" s="47" t="s">
        <v>796</v>
      </c>
      <c r="AW27" s="43" t="str">
        <f>IF(IFERROR(INDEX(Consulta!$A:$DF,MATCH('MM01'!$B27,Consulta!$C:$C,0),'MM01'!AW$2),"")=0,"",IFERROR(ROUND(INDEX(Consulta!$A:$DF,MATCH('MM01'!$B27,Consulta!$C:$C,0),'MM01'!AW$2),3),""))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IF(IFERROR(INDEX(Consulta!$A:$DF,MATCH('MM01'!$B27,Consulta!$C:$C,0),'MM01'!BA$2),"")=0,"",IFERROR(INDEX(Consulta!$A:$DF,MATCH('MM01'!$B27,Consulta!$C:$C,0),'MM01'!BA$2),""))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IF(IFERROR(INDEX(Consulta!$A:$DF,MATCH('MM01'!$B27,Consulta!$C:$C,0),'MM01'!BL$2),"")=0,"",IFERROR(INDEX(Consulta!$A:$DF,MATCH('MM01'!$B27,Consulta!$C:$C,0),'MM01'!BL$2),""))</f>
        <v/>
      </c>
      <c r="BM27" s="45">
        <v>99</v>
      </c>
      <c r="BN27" s="46" t="str">
        <f t="shared" ca="1" si="13"/>
        <v>28.04.2022</v>
      </c>
      <c r="BO27" s="49" t="str">
        <f t="shared" si="14"/>
        <v/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IF(IFERROR(INDEX(Consulta!$A:$DF,MATCH('MM01'!$B27,Consulta!$C:$C,0),'MM01'!BX$2),"")=0,"",IFERROR(INDEX(Consulta!$A:$DF,MATCH('MM01'!$B27,Consulta!$C:$C,0),'MM01'!BX$2),""))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15"/>
        <v/>
      </c>
      <c r="CD27" s="45" t="s">
        <v>430</v>
      </c>
      <c r="CE27" s="45">
        <v>1</v>
      </c>
      <c r="CF27" s="45" t="s">
        <v>496</v>
      </c>
      <c r="CG27" s="45"/>
      <c r="CH27" s="44">
        <v>2</v>
      </c>
      <c r="CI27" s="49" t="str">
        <f t="shared" si="16"/>
        <v/>
      </c>
      <c r="CJ27" s="49" t="str">
        <f t="shared" si="17"/>
        <v/>
      </c>
      <c r="CK27" s="45"/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8"/>
        <v>K00_P_</v>
      </c>
      <c r="CS27" s="45">
        <v>5000</v>
      </c>
      <c r="CT27" s="43" t="str">
        <f>IF(IFERROR(INDEX(Consulta!$A:$DF,MATCH('MM01'!$B27,Consulta!$C:$C,0),'MM01'!CT$2),"")=0,"",IFERROR(INDEX(Consulta!$A:$DF,MATCH('MM01'!$B27,Consulta!$C:$C,0),'MM01'!CT$2),""))</f>
        <v/>
      </c>
      <c r="CU27" s="43" t="str">
        <f>IF(IFERROR(INDEX(Consulta!$A:$DF,MATCH('MM01'!$B27,Consulta!$C:$C,0),'MM01'!CU$2),"")=0,"",IFERROR(INDEX(Consulta!$A:$DF,MATCH('MM01'!$B27,Consulta!$C:$C,0),'MM01'!CU$2),""))</f>
        <v/>
      </c>
      <c r="CV27" s="43" t="str">
        <f>IF(IFERROR(INDEX(Consulta!$A:$DF,MATCH('MM01'!$B27,Consulta!$C:$C,0),'MM01'!CV$2),"")=0,"",IFERROR(INDEX(Consulta!$A:$DF,MATCH('MM01'!$B27,Consulta!$C:$C,0),'MM01'!CV$2),""))</f>
        <v/>
      </c>
      <c r="CW27" s="43" t="str">
        <f>IF(IFERROR(INDEX(Consulta!$A:$DF,MATCH('MM01'!$B27,Consulta!$C:$C,0),'MM01'!CW$2),"")=0,"",IFERROR(INDEX(Consulta!$A:$DF,MATCH('MM01'!$B27,Consulta!$C:$C,0),'MM01'!CW$2),""))</f>
        <v/>
      </c>
      <c r="CX27" s="43" t="str">
        <f t="shared" si="19"/>
        <v/>
      </c>
      <c r="CY27" s="43" t="str">
        <f t="shared" si="20"/>
        <v/>
      </c>
      <c r="CZ27" s="43" t="str">
        <f t="shared" si="21"/>
        <v/>
      </c>
      <c r="DA27" s="43" t="str">
        <f>IF(IFERROR(INDEX(Consulta!$A:$DF,MATCH('MM01'!$B27,Consulta!$C:$C,0),'MM01'!DA$2),"")=0,"",IFERROR(INDEX(Consulta!$A:$DF,MATCH('MM01'!$B27,Consulta!$C:$C,0),'MM01'!DA$2),""))</f>
        <v/>
      </c>
      <c r="DB27" s="43" t="str">
        <f t="shared" si="22"/>
        <v/>
      </c>
      <c r="DC27" s="43" t="str">
        <f>IF(IFERROR(INDEX(Consulta!$A:$DF,MATCH('MM01'!$B27,Consulta!$C:$C,0),'MM01'!DC$2),"")=0,"",IFERROR(INDEX(Consulta!$A:$DF,MATCH('MM01'!$B27,Consulta!$C:$C,0),'MM01'!DC$2),""))</f>
        <v/>
      </c>
      <c r="DD27" s="45">
        <v>0</v>
      </c>
      <c r="DE27" s="45">
        <v>0</v>
      </c>
      <c r="DF27" s="43" t="str">
        <f t="shared" si="23"/>
        <v/>
      </c>
      <c r="DG27" s="43" t="str">
        <f t="shared" si="24"/>
        <v/>
      </c>
      <c r="DH27" s="55"/>
      <c r="DI27" s="43" t="str">
        <f t="shared" ca="1" si="25"/>
        <v/>
      </c>
      <c r="DJ27" s="43" t="str">
        <f t="shared" si="26"/>
        <v/>
      </c>
      <c r="DK27" s="43" t="str">
        <f t="shared" si="27"/>
        <v/>
      </c>
      <c r="DL27" s="55"/>
      <c r="DM27" s="43" t="str">
        <f t="shared" ca="1" si="28"/>
        <v/>
      </c>
      <c r="DN27" s="43" t="str">
        <f t="shared" si="29"/>
        <v/>
      </c>
      <c r="DO27" s="43" t="str">
        <f t="shared" si="30"/>
        <v/>
      </c>
      <c r="DP27" s="55"/>
      <c r="DQ27" s="43" t="str">
        <f t="shared" ca="1" si="31"/>
        <v/>
      </c>
      <c r="DR27" s="43" t="str">
        <f t="shared" si="32"/>
        <v/>
      </c>
      <c r="DS27" s="43" t="str">
        <f t="shared" si="33"/>
        <v/>
      </c>
      <c r="DT27" s="55"/>
      <c r="DU27" s="43" t="str">
        <f t="shared" ca="1" si="34"/>
        <v/>
      </c>
      <c r="DV27" s="43" t="str">
        <f t="shared" si="35"/>
        <v/>
      </c>
      <c r="DX27" s="44">
        <v>1</v>
      </c>
      <c r="DY27" s="44" t="s">
        <v>774</v>
      </c>
      <c r="DZ27" s="43">
        <f t="shared" si="36"/>
        <v>0.01</v>
      </c>
      <c r="EA27" s="43" t="str">
        <f t="shared" si="37"/>
        <v>M</v>
      </c>
      <c r="EB27" s="43" t="str">
        <f>IF(IFERROR(INDEX(Consulta!$A:$DF,MATCH('MM01'!$B27,Consulta!$C:$C,0),'MM01'!EB$2),"")=0,"7925",IF(IFERROR(INDEX(Consulta!$A:$DF,MATCH('MM01'!$B27,Consulta!$C:$C,0),'MM01'!EB$2),"")="68","7910","7925"))</f>
        <v>7925</v>
      </c>
      <c r="EC27" s="44">
        <v>100</v>
      </c>
      <c r="ED27" s="60">
        <v>1</v>
      </c>
      <c r="EE27" s="43">
        <f t="shared" si="38"/>
        <v>100</v>
      </c>
      <c r="EF27" s="44">
        <v>1</v>
      </c>
      <c r="EG27" s="44">
        <v>0</v>
      </c>
      <c r="EH27" s="44" t="s">
        <v>867</v>
      </c>
      <c r="EI27" s="45">
        <v>0</v>
      </c>
      <c r="EJ27" s="43">
        <f t="shared" si="39"/>
        <v>5000</v>
      </c>
      <c r="EK27" s="65"/>
    </row>
    <row r="28" spans="1:141" x14ac:dyDescent="0.3">
      <c r="A28" s="7" t="str">
        <f t="shared" si="0"/>
        <v>Execução 24</v>
      </c>
      <c r="B28" s="42"/>
      <c r="C28" s="43" t="str">
        <f>IF(IFERROR(INDEX(Consulta!$A:$DF,MATCH('MM01'!$B28,Consulta!$C:$C,0),'MM01'!C$2),"")=0,"",IFERROR(INDEX(Consulta!$A:$DF,MATCH('MM01'!$B28,Consulta!$C:$C,0),'MM01'!C$2),""))</f>
        <v/>
      </c>
      <c r="D28" s="43" t="str">
        <f>IF(IFERROR(INDEX(Consulta!$A:$DF,MATCH('MM01'!$B28,Consulta!$C:$C,0),'MM01'!D$2),"")=0,"",IFERROR(INDEX(Consulta!$A:$DF,MATCH('MM01'!$B28,Consulta!$C:$C,0),'MM01'!D$2),""))</f>
        <v/>
      </c>
      <c r="E28" s="43" t="str">
        <f>IF(IFERROR(INDEX(Consulta!$A:$DF,MATCH('MM01'!$B28,Consulta!$C:$C,0),'MM01'!E$2),"")=0,"",IFERROR(INDEX(Consulta!$A:$DF,MATCH('MM01'!$B28,Consulta!$C:$C,0),'MM01'!E$2),""))</f>
        <v/>
      </c>
      <c r="F28" s="44" t="s">
        <v>100</v>
      </c>
      <c r="G28" s="49" t="str">
        <f>IF(IFERROR(INDEX(Consulta!$A:$DF,MATCH('MM01'!$B28,Consulta!$C:$C,0),'MM01'!G$2),"")=0,"",IFERROR(INDEX(Consulta!$A:$DF,MATCH('MM01'!$B28,Consulta!$C:$C,0),'MM01'!G$2),""))</f>
        <v/>
      </c>
      <c r="H28" s="49" t="str">
        <f>IF(IFERROR(INDEX(Consulta!$A:$DF,MATCH('MM01'!$B28,Consulta!$C:$C,0),'MM01'!H$2),"")=0,"",IFERROR(INDEX(Consulta!$A:$DF,MATCH('MM01'!$B28,Consulta!$C:$C,0),'MM01'!H$2),""))</f>
        <v/>
      </c>
      <c r="I28" s="49" t="str">
        <f t="shared" si="1"/>
        <v/>
      </c>
      <c r="J28" s="49" t="str">
        <f>IF(IFERROR(INDEX(Consulta!$A:$DF,MATCH('MM01'!$B28,Consulta!$C:$C,0),'MM01'!J$2),"")=0,"",IFERROR(INDEX(Consulta!$A:$DF,MATCH('MM01'!$B28,Consulta!$C:$C,0),'MM01'!J$2),""))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IF(IFERROR(INDEX(Consulta!$A:$DF,MATCH('MM01'!$B28,Consulta!$C:$C,0),'MM01'!AP$2),"")=0,"",IFERROR(INDEX(Consulta!$A:$DF,MATCH('MM01'!$B28,Consulta!$C:$C,0),'MM01'!AP$2),""))</f>
        <v/>
      </c>
      <c r="AQ28" s="45"/>
      <c r="AR28" s="43" t="str">
        <f>IF(IFERROR(INDEX(Consulta!$A:$DF,MATCH('MM01'!$B28,Consulta!$C:$C,0),'MM01'!AR$2),"")=0,"",IFERROR(INDEX(Consulta!$A:$DF,MATCH('MM01'!$B28,Consulta!$C:$C,0),'MM01'!AR$2),""))</f>
        <v/>
      </c>
      <c r="AS28" s="43" t="str">
        <f>IF(IFERROR(INDEX(Consulta!$A:$DF,MATCH('MM01'!$B28,Consulta!$C:$C,0),'MM01'!AS$2),"")=0,"",IF(AR28="68",5102,IFERROR(INDEX(Consulta!$A:$DF,MATCH('MM01'!$B28,Consulta!$C:$C,0),'MM01'!AS$2),"")))</f>
        <v/>
      </c>
      <c r="AT28" s="45"/>
      <c r="AU28" s="46" t="str">
        <f t="shared" ca="1" si="3"/>
        <v/>
      </c>
      <c r="AV28" s="47" t="s">
        <v>796</v>
      </c>
      <c r="AW28" s="43" t="str">
        <f>IF(IFERROR(INDEX(Consulta!$A:$DF,MATCH('MM01'!$B28,Consulta!$C:$C,0),'MM01'!AW$2),"")=0,"",IFERROR(ROUND(INDEX(Consulta!$A:$DF,MATCH('MM01'!$B28,Consulta!$C:$C,0),'MM01'!AW$2),3),""))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IF(IFERROR(INDEX(Consulta!$A:$DF,MATCH('MM01'!$B28,Consulta!$C:$C,0),'MM01'!BA$2),"")=0,"",IFERROR(INDEX(Consulta!$A:$DF,MATCH('MM01'!$B28,Consulta!$C:$C,0),'MM01'!BA$2),""))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IF(IFERROR(INDEX(Consulta!$A:$DF,MATCH('MM01'!$B28,Consulta!$C:$C,0),'MM01'!BL$2),"")=0,"",IFERROR(INDEX(Consulta!$A:$DF,MATCH('MM01'!$B28,Consulta!$C:$C,0),'MM01'!BL$2),""))</f>
        <v/>
      </c>
      <c r="BM28" s="45">
        <v>99</v>
      </c>
      <c r="BN28" s="46" t="str">
        <f t="shared" ca="1" si="13"/>
        <v>28.04.2022</v>
      </c>
      <c r="BO28" s="49" t="str">
        <f t="shared" si="14"/>
        <v/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IF(IFERROR(INDEX(Consulta!$A:$DF,MATCH('MM01'!$B28,Consulta!$C:$C,0),'MM01'!BX$2),"")=0,"",IFERROR(INDEX(Consulta!$A:$DF,MATCH('MM01'!$B28,Consulta!$C:$C,0),'MM01'!BX$2),""))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15"/>
        <v/>
      </c>
      <c r="CD28" s="45" t="s">
        <v>430</v>
      </c>
      <c r="CE28" s="45">
        <v>1</v>
      </c>
      <c r="CF28" s="45" t="s">
        <v>496</v>
      </c>
      <c r="CG28" s="45"/>
      <c r="CH28" s="44">
        <v>2</v>
      </c>
      <c r="CI28" s="49" t="str">
        <f t="shared" si="16"/>
        <v/>
      </c>
      <c r="CJ28" s="49" t="str">
        <f t="shared" si="17"/>
        <v/>
      </c>
      <c r="CK28" s="45"/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8"/>
        <v>K00_P_</v>
      </c>
      <c r="CS28" s="45">
        <v>5000</v>
      </c>
      <c r="CT28" s="43" t="str">
        <f>IF(IFERROR(INDEX(Consulta!$A:$DF,MATCH('MM01'!$B28,Consulta!$C:$C,0),'MM01'!CT$2),"")=0,"",IFERROR(INDEX(Consulta!$A:$DF,MATCH('MM01'!$B28,Consulta!$C:$C,0),'MM01'!CT$2),""))</f>
        <v/>
      </c>
      <c r="CU28" s="43" t="str">
        <f>IF(IFERROR(INDEX(Consulta!$A:$DF,MATCH('MM01'!$B28,Consulta!$C:$C,0),'MM01'!CU$2),"")=0,"",IFERROR(INDEX(Consulta!$A:$DF,MATCH('MM01'!$B28,Consulta!$C:$C,0),'MM01'!CU$2),""))</f>
        <v/>
      </c>
      <c r="CV28" s="43" t="str">
        <f>IF(IFERROR(INDEX(Consulta!$A:$DF,MATCH('MM01'!$B28,Consulta!$C:$C,0),'MM01'!CV$2),"")=0,"",IFERROR(INDEX(Consulta!$A:$DF,MATCH('MM01'!$B28,Consulta!$C:$C,0),'MM01'!CV$2),""))</f>
        <v/>
      </c>
      <c r="CW28" s="43" t="str">
        <f>IF(IFERROR(INDEX(Consulta!$A:$DF,MATCH('MM01'!$B28,Consulta!$C:$C,0),'MM01'!CW$2),"")=0,"",IFERROR(INDEX(Consulta!$A:$DF,MATCH('MM01'!$B28,Consulta!$C:$C,0),'MM01'!CW$2),""))</f>
        <v/>
      </c>
      <c r="CX28" s="43" t="str">
        <f t="shared" si="19"/>
        <v/>
      </c>
      <c r="CY28" s="43" t="str">
        <f t="shared" si="20"/>
        <v/>
      </c>
      <c r="CZ28" s="43" t="str">
        <f t="shared" si="21"/>
        <v/>
      </c>
      <c r="DA28" s="43" t="str">
        <f>IF(IFERROR(INDEX(Consulta!$A:$DF,MATCH('MM01'!$B28,Consulta!$C:$C,0),'MM01'!DA$2),"")=0,"",IFERROR(INDEX(Consulta!$A:$DF,MATCH('MM01'!$B28,Consulta!$C:$C,0),'MM01'!DA$2),""))</f>
        <v/>
      </c>
      <c r="DB28" s="43" t="str">
        <f t="shared" si="22"/>
        <v/>
      </c>
      <c r="DC28" s="43" t="str">
        <f>IF(IFERROR(INDEX(Consulta!$A:$DF,MATCH('MM01'!$B28,Consulta!$C:$C,0),'MM01'!DC$2),"")=0,"",IFERROR(INDEX(Consulta!$A:$DF,MATCH('MM01'!$B28,Consulta!$C:$C,0),'MM01'!DC$2),""))</f>
        <v/>
      </c>
      <c r="DD28" s="45">
        <v>0</v>
      </c>
      <c r="DE28" s="45">
        <v>0</v>
      </c>
      <c r="DF28" s="43" t="str">
        <f t="shared" si="23"/>
        <v/>
      </c>
      <c r="DG28" s="43" t="str">
        <f t="shared" si="24"/>
        <v/>
      </c>
      <c r="DH28" s="55"/>
      <c r="DI28" s="43" t="str">
        <f t="shared" ca="1" si="25"/>
        <v/>
      </c>
      <c r="DJ28" s="43" t="str">
        <f t="shared" si="26"/>
        <v/>
      </c>
      <c r="DK28" s="43" t="str">
        <f t="shared" si="27"/>
        <v/>
      </c>
      <c r="DL28" s="55"/>
      <c r="DM28" s="43" t="str">
        <f t="shared" ca="1" si="28"/>
        <v/>
      </c>
      <c r="DN28" s="43" t="str">
        <f t="shared" si="29"/>
        <v/>
      </c>
      <c r="DO28" s="43" t="str">
        <f t="shared" si="30"/>
        <v/>
      </c>
      <c r="DP28" s="55"/>
      <c r="DQ28" s="43" t="str">
        <f t="shared" ca="1" si="31"/>
        <v/>
      </c>
      <c r="DR28" s="43" t="str">
        <f t="shared" si="32"/>
        <v/>
      </c>
      <c r="DS28" s="43" t="str">
        <f t="shared" si="33"/>
        <v/>
      </c>
      <c r="DT28" s="55"/>
      <c r="DU28" s="43" t="str">
        <f t="shared" ca="1" si="34"/>
        <v/>
      </c>
      <c r="DV28" s="43" t="str">
        <f t="shared" si="35"/>
        <v/>
      </c>
      <c r="DX28" s="44">
        <v>1</v>
      </c>
      <c r="DY28" s="44" t="s">
        <v>774</v>
      </c>
      <c r="DZ28" s="43">
        <f t="shared" si="36"/>
        <v>0.01</v>
      </c>
      <c r="EA28" s="43" t="str">
        <f t="shared" si="37"/>
        <v>M</v>
      </c>
      <c r="EB28" s="43" t="str">
        <f>IF(IFERROR(INDEX(Consulta!$A:$DF,MATCH('MM01'!$B28,Consulta!$C:$C,0),'MM01'!EB$2),"")=0,"7925",IF(IFERROR(INDEX(Consulta!$A:$DF,MATCH('MM01'!$B28,Consulta!$C:$C,0),'MM01'!EB$2),"")="68","7910","7925"))</f>
        <v>7925</v>
      </c>
      <c r="EC28" s="44">
        <v>100</v>
      </c>
      <c r="ED28" s="60">
        <v>1</v>
      </c>
      <c r="EE28" s="43">
        <f t="shared" si="38"/>
        <v>100</v>
      </c>
      <c r="EF28" s="44">
        <v>1</v>
      </c>
      <c r="EG28" s="44">
        <v>0</v>
      </c>
      <c r="EH28" s="44" t="s">
        <v>867</v>
      </c>
      <c r="EI28" s="45">
        <v>0</v>
      </c>
      <c r="EJ28" s="43">
        <f t="shared" si="39"/>
        <v>5000</v>
      </c>
      <c r="EK28" s="65"/>
    </row>
    <row r="29" spans="1:141" x14ac:dyDescent="0.3">
      <c r="A29" s="7" t="str">
        <f t="shared" si="0"/>
        <v>Execução 25</v>
      </c>
      <c r="B29" s="42"/>
      <c r="C29" s="43" t="str">
        <f>IF(IFERROR(INDEX(Consulta!$A:$DF,MATCH('MM01'!$B29,Consulta!$C:$C,0),'MM01'!C$2),"")=0,"",IFERROR(INDEX(Consulta!$A:$DF,MATCH('MM01'!$B29,Consulta!$C:$C,0),'MM01'!C$2),""))</f>
        <v/>
      </c>
      <c r="D29" s="43" t="str">
        <f>IF(IFERROR(INDEX(Consulta!$A:$DF,MATCH('MM01'!$B29,Consulta!$C:$C,0),'MM01'!D$2),"")=0,"",IFERROR(INDEX(Consulta!$A:$DF,MATCH('MM01'!$B29,Consulta!$C:$C,0),'MM01'!D$2),""))</f>
        <v/>
      </c>
      <c r="E29" s="43" t="str">
        <f>IF(IFERROR(INDEX(Consulta!$A:$DF,MATCH('MM01'!$B29,Consulta!$C:$C,0),'MM01'!E$2),"")=0,"",IFERROR(INDEX(Consulta!$A:$DF,MATCH('MM01'!$B29,Consulta!$C:$C,0),'MM01'!E$2),""))</f>
        <v/>
      </c>
      <c r="F29" s="44" t="s">
        <v>100</v>
      </c>
      <c r="G29" s="49" t="str">
        <f>IF(IFERROR(INDEX(Consulta!$A:$DF,MATCH('MM01'!$B29,Consulta!$C:$C,0),'MM01'!G$2),"")=0,"",IFERROR(INDEX(Consulta!$A:$DF,MATCH('MM01'!$B29,Consulta!$C:$C,0),'MM01'!G$2),""))</f>
        <v/>
      </c>
      <c r="H29" s="49" t="str">
        <f>IF(IFERROR(INDEX(Consulta!$A:$DF,MATCH('MM01'!$B29,Consulta!$C:$C,0),'MM01'!H$2),"")=0,"",IFERROR(INDEX(Consulta!$A:$DF,MATCH('MM01'!$B29,Consulta!$C:$C,0),'MM01'!H$2),""))</f>
        <v/>
      </c>
      <c r="I29" s="49" t="str">
        <f t="shared" si="1"/>
        <v/>
      </c>
      <c r="J29" s="49" t="str">
        <f>IF(IFERROR(INDEX(Consulta!$A:$DF,MATCH('MM01'!$B29,Consulta!$C:$C,0),'MM01'!J$2),"")=0,"",IFERROR(INDEX(Consulta!$A:$DF,MATCH('MM01'!$B29,Consulta!$C:$C,0),'MM01'!J$2),""))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IF(IFERROR(INDEX(Consulta!$A:$DF,MATCH('MM01'!$B29,Consulta!$C:$C,0),'MM01'!AP$2),"")=0,"",IFERROR(INDEX(Consulta!$A:$DF,MATCH('MM01'!$B29,Consulta!$C:$C,0),'MM01'!AP$2),""))</f>
        <v/>
      </c>
      <c r="AQ29" s="45"/>
      <c r="AR29" s="43" t="str">
        <f>IF(IFERROR(INDEX(Consulta!$A:$DF,MATCH('MM01'!$B29,Consulta!$C:$C,0),'MM01'!AR$2),"")=0,"",IFERROR(INDEX(Consulta!$A:$DF,MATCH('MM01'!$B29,Consulta!$C:$C,0),'MM01'!AR$2),""))</f>
        <v/>
      </c>
      <c r="AS29" s="43" t="str">
        <f>IF(IFERROR(INDEX(Consulta!$A:$DF,MATCH('MM01'!$B29,Consulta!$C:$C,0),'MM01'!AS$2),"")=0,"",IF(AR29="68",5102,IFERROR(INDEX(Consulta!$A:$DF,MATCH('MM01'!$B29,Consulta!$C:$C,0),'MM01'!AS$2),"")))</f>
        <v/>
      </c>
      <c r="AT29" s="45"/>
      <c r="AU29" s="46" t="str">
        <f t="shared" ca="1" si="3"/>
        <v/>
      </c>
      <c r="AV29" s="47" t="s">
        <v>796</v>
      </c>
      <c r="AW29" s="43" t="str">
        <f>IF(IFERROR(INDEX(Consulta!$A:$DF,MATCH('MM01'!$B29,Consulta!$C:$C,0),'MM01'!AW$2),"")=0,"",IFERROR(ROUND(INDEX(Consulta!$A:$DF,MATCH('MM01'!$B29,Consulta!$C:$C,0),'MM01'!AW$2),3),""))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IF(IFERROR(INDEX(Consulta!$A:$DF,MATCH('MM01'!$B29,Consulta!$C:$C,0),'MM01'!BA$2),"")=0,"",IFERROR(INDEX(Consulta!$A:$DF,MATCH('MM01'!$B29,Consulta!$C:$C,0),'MM01'!BA$2),""))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IF(IFERROR(INDEX(Consulta!$A:$DF,MATCH('MM01'!$B29,Consulta!$C:$C,0),'MM01'!BL$2),"")=0,"",IFERROR(INDEX(Consulta!$A:$DF,MATCH('MM01'!$B29,Consulta!$C:$C,0),'MM01'!BL$2),""))</f>
        <v/>
      </c>
      <c r="BM29" s="45">
        <v>99</v>
      </c>
      <c r="BN29" s="46" t="str">
        <f t="shared" ca="1" si="13"/>
        <v>28.04.2022</v>
      </c>
      <c r="BO29" s="49" t="str">
        <f t="shared" si="14"/>
        <v/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IF(IFERROR(INDEX(Consulta!$A:$DF,MATCH('MM01'!$B29,Consulta!$C:$C,0),'MM01'!BX$2),"")=0,"",IFERROR(INDEX(Consulta!$A:$DF,MATCH('MM01'!$B29,Consulta!$C:$C,0),'MM01'!BX$2),""))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15"/>
        <v/>
      </c>
      <c r="CD29" s="45" t="s">
        <v>430</v>
      </c>
      <c r="CE29" s="45">
        <v>1</v>
      </c>
      <c r="CF29" s="45" t="s">
        <v>496</v>
      </c>
      <c r="CG29" s="45"/>
      <c r="CH29" s="44">
        <v>2</v>
      </c>
      <c r="CI29" s="49" t="str">
        <f t="shared" si="16"/>
        <v/>
      </c>
      <c r="CJ29" s="49" t="str">
        <f t="shared" si="17"/>
        <v/>
      </c>
      <c r="CK29" s="45"/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8"/>
        <v>K00_P_</v>
      </c>
      <c r="CS29" s="45">
        <v>5000</v>
      </c>
      <c r="CT29" s="43" t="str">
        <f>IF(IFERROR(INDEX(Consulta!$A:$DF,MATCH('MM01'!$B29,Consulta!$C:$C,0),'MM01'!CT$2),"")=0,"",IFERROR(INDEX(Consulta!$A:$DF,MATCH('MM01'!$B29,Consulta!$C:$C,0),'MM01'!CT$2),""))</f>
        <v/>
      </c>
      <c r="CU29" s="43" t="str">
        <f>IF(IFERROR(INDEX(Consulta!$A:$DF,MATCH('MM01'!$B29,Consulta!$C:$C,0),'MM01'!CU$2),"")=0,"",IFERROR(INDEX(Consulta!$A:$DF,MATCH('MM01'!$B29,Consulta!$C:$C,0),'MM01'!CU$2),""))</f>
        <v/>
      </c>
      <c r="CV29" s="43" t="str">
        <f>IF(IFERROR(INDEX(Consulta!$A:$DF,MATCH('MM01'!$B29,Consulta!$C:$C,0),'MM01'!CV$2),"")=0,"",IFERROR(INDEX(Consulta!$A:$DF,MATCH('MM01'!$B29,Consulta!$C:$C,0),'MM01'!CV$2),""))</f>
        <v/>
      </c>
      <c r="CW29" s="43" t="str">
        <f>IF(IFERROR(INDEX(Consulta!$A:$DF,MATCH('MM01'!$B29,Consulta!$C:$C,0),'MM01'!CW$2),"")=0,"",IFERROR(INDEX(Consulta!$A:$DF,MATCH('MM01'!$B29,Consulta!$C:$C,0),'MM01'!CW$2),""))</f>
        <v/>
      </c>
      <c r="CX29" s="43" t="str">
        <f t="shared" si="19"/>
        <v/>
      </c>
      <c r="CY29" s="43" t="str">
        <f t="shared" si="20"/>
        <v/>
      </c>
      <c r="CZ29" s="43" t="str">
        <f t="shared" si="21"/>
        <v/>
      </c>
      <c r="DA29" s="43" t="str">
        <f>IF(IFERROR(INDEX(Consulta!$A:$DF,MATCH('MM01'!$B29,Consulta!$C:$C,0),'MM01'!DA$2),"")=0,"",IFERROR(INDEX(Consulta!$A:$DF,MATCH('MM01'!$B29,Consulta!$C:$C,0),'MM01'!DA$2),""))</f>
        <v/>
      </c>
      <c r="DB29" s="43" t="str">
        <f t="shared" si="22"/>
        <v/>
      </c>
      <c r="DC29" s="43" t="str">
        <f>IF(IFERROR(INDEX(Consulta!$A:$DF,MATCH('MM01'!$B29,Consulta!$C:$C,0),'MM01'!DC$2),"")=0,"",IFERROR(INDEX(Consulta!$A:$DF,MATCH('MM01'!$B29,Consulta!$C:$C,0),'MM01'!DC$2),""))</f>
        <v/>
      </c>
      <c r="DD29" s="45">
        <v>0</v>
      </c>
      <c r="DE29" s="45">
        <v>0</v>
      </c>
      <c r="DF29" s="43" t="str">
        <f t="shared" si="23"/>
        <v/>
      </c>
      <c r="DG29" s="43" t="str">
        <f t="shared" si="24"/>
        <v/>
      </c>
      <c r="DH29" s="55"/>
      <c r="DI29" s="43" t="str">
        <f t="shared" ca="1" si="25"/>
        <v/>
      </c>
      <c r="DJ29" s="43" t="str">
        <f t="shared" si="26"/>
        <v/>
      </c>
      <c r="DK29" s="43" t="str">
        <f t="shared" si="27"/>
        <v/>
      </c>
      <c r="DL29" s="55"/>
      <c r="DM29" s="43" t="str">
        <f t="shared" ca="1" si="28"/>
        <v/>
      </c>
      <c r="DN29" s="43" t="str">
        <f t="shared" si="29"/>
        <v/>
      </c>
      <c r="DO29" s="43" t="str">
        <f t="shared" si="30"/>
        <v/>
      </c>
      <c r="DP29" s="55"/>
      <c r="DQ29" s="43" t="str">
        <f t="shared" ca="1" si="31"/>
        <v/>
      </c>
      <c r="DR29" s="43" t="str">
        <f t="shared" si="32"/>
        <v/>
      </c>
      <c r="DS29" s="43" t="str">
        <f t="shared" si="33"/>
        <v/>
      </c>
      <c r="DT29" s="55"/>
      <c r="DU29" s="43" t="str">
        <f t="shared" ca="1" si="34"/>
        <v/>
      </c>
      <c r="DV29" s="43" t="str">
        <f t="shared" si="35"/>
        <v/>
      </c>
      <c r="DX29" s="44">
        <v>1</v>
      </c>
      <c r="DY29" s="44" t="s">
        <v>774</v>
      </c>
      <c r="DZ29" s="43">
        <f t="shared" si="36"/>
        <v>0.01</v>
      </c>
      <c r="EA29" s="43" t="str">
        <f t="shared" si="37"/>
        <v>M</v>
      </c>
      <c r="EB29" s="43" t="str">
        <f>IF(IFERROR(INDEX(Consulta!$A:$DF,MATCH('MM01'!$B29,Consulta!$C:$C,0),'MM01'!EB$2),"")=0,"7925",IF(IFERROR(INDEX(Consulta!$A:$DF,MATCH('MM01'!$B29,Consulta!$C:$C,0),'MM01'!EB$2),"")="68","7910","7925"))</f>
        <v>7925</v>
      </c>
      <c r="EC29" s="44">
        <v>100</v>
      </c>
      <c r="ED29" s="60">
        <v>1</v>
      </c>
      <c r="EE29" s="43">
        <f t="shared" si="38"/>
        <v>100</v>
      </c>
      <c r="EF29" s="44">
        <v>1</v>
      </c>
      <c r="EG29" s="44">
        <v>0</v>
      </c>
      <c r="EH29" s="44" t="s">
        <v>867</v>
      </c>
      <c r="EI29" s="45">
        <v>0</v>
      </c>
      <c r="EJ29" s="43">
        <f t="shared" si="39"/>
        <v>5000</v>
      </c>
      <c r="EK29" s="65"/>
    </row>
    <row r="30" spans="1:141" x14ac:dyDescent="0.3">
      <c r="A30" s="7" t="str">
        <f t="shared" si="0"/>
        <v>Execução 26</v>
      </c>
      <c r="B30" s="42"/>
      <c r="C30" s="43" t="str">
        <f>IF(IFERROR(INDEX(Consulta!$A:$DF,MATCH('MM01'!$B30,Consulta!$C:$C,0),'MM01'!C$2),"")=0,"",IFERROR(INDEX(Consulta!$A:$DF,MATCH('MM01'!$B30,Consulta!$C:$C,0),'MM01'!C$2),""))</f>
        <v/>
      </c>
      <c r="D30" s="43" t="str">
        <f>IF(IFERROR(INDEX(Consulta!$A:$DF,MATCH('MM01'!$B30,Consulta!$C:$C,0),'MM01'!D$2),"")=0,"",IFERROR(INDEX(Consulta!$A:$DF,MATCH('MM01'!$B30,Consulta!$C:$C,0),'MM01'!D$2),""))</f>
        <v/>
      </c>
      <c r="E30" s="43" t="str">
        <f>IF(IFERROR(INDEX(Consulta!$A:$DF,MATCH('MM01'!$B30,Consulta!$C:$C,0),'MM01'!E$2),"")=0,"",IFERROR(INDEX(Consulta!$A:$DF,MATCH('MM01'!$B30,Consulta!$C:$C,0),'MM01'!E$2),""))</f>
        <v/>
      </c>
      <c r="F30" s="44" t="s">
        <v>100</v>
      </c>
      <c r="G30" s="49" t="str">
        <f>IF(IFERROR(INDEX(Consulta!$A:$DF,MATCH('MM01'!$B30,Consulta!$C:$C,0),'MM01'!G$2),"")=0,"",IFERROR(INDEX(Consulta!$A:$DF,MATCH('MM01'!$B30,Consulta!$C:$C,0),'MM01'!G$2),""))</f>
        <v/>
      </c>
      <c r="H30" s="49" t="str">
        <f>IF(IFERROR(INDEX(Consulta!$A:$DF,MATCH('MM01'!$B30,Consulta!$C:$C,0),'MM01'!H$2),"")=0,"",IFERROR(INDEX(Consulta!$A:$DF,MATCH('MM01'!$B30,Consulta!$C:$C,0),'MM01'!H$2),""))</f>
        <v/>
      </c>
      <c r="I30" s="49" t="str">
        <f t="shared" si="1"/>
        <v/>
      </c>
      <c r="J30" s="49" t="str">
        <f>IF(IFERROR(INDEX(Consulta!$A:$DF,MATCH('MM01'!$B30,Consulta!$C:$C,0),'MM01'!J$2),"")=0,"",IFERROR(INDEX(Consulta!$A:$DF,MATCH('MM01'!$B30,Consulta!$C:$C,0),'MM01'!J$2),""))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IF(IFERROR(INDEX(Consulta!$A:$DF,MATCH('MM01'!$B30,Consulta!$C:$C,0),'MM01'!AP$2),"")=0,"",IFERROR(INDEX(Consulta!$A:$DF,MATCH('MM01'!$B30,Consulta!$C:$C,0),'MM01'!AP$2),""))</f>
        <v/>
      </c>
      <c r="AQ30" s="45"/>
      <c r="AR30" s="43" t="str">
        <f>IF(IFERROR(INDEX(Consulta!$A:$DF,MATCH('MM01'!$B30,Consulta!$C:$C,0),'MM01'!AR$2),"")=0,"",IFERROR(INDEX(Consulta!$A:$DF,MATCH('MM01'!$B30,Consulta!$C:$C,0),'MM01'!AR$2),""))</f>
        <v/>
      </c>
      <c r="AS30" s="43" t="str">
        <f>IF(IFERROR(INDEX(Consulta!$A:$DF,MATCH('MM01'!$B30,Consulta!$C:$C,0),'MM01'!AS$2),"")=0,"",IF(AR30="68",5102,IFERROR(INDEX(Consulta!$A:$DF,MATCH('MM01'!$B30,Consulta!$C:$C,0),'MM01'!AS$2),"")))</f>
        <v/>
      </c>
      <c r="AT30" s="45"/>
      <c r="AU30" s="46" t="str">
        <f t="shared" ca="1" si="3"/>
        <v/>
      </c>
      <c r="AV30" s="47" t="s">
        <v>796</v>
      </c>
      <c r="AW30" s="43" t="str">
        <f>IF(IFERROR(INDEX(Consulta!$A:$DF,MATCH('MM01'!$B30,Consulta!$C:$C,0),'MM01'!AW$2),"")=0,"",IFERROR(ROUND(INDEX(Consulta!$A:$DF,MATCH('MM01'!$B30,Consulta!$C:$C,0),'MM01'!AW$2),3),""))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IF(IFERROR(INDEX(Consulta!$A:$DF,MATCH('MM01'!$B30,Consulta!$C:$C,0),'MM01'!BA$2),"")=0,"",IFERROR(INDEX(Consulta!$A:$DF,MATCH('MM01'!$B30,Consulta!$C:$C,0),'MM01'!BA$2),""))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IF(IFERROR(INDEX(Consulta!$A:$DF,MATCH('MM01'!$B30,Consulta!$C:$C,0),'MM01'!BL$2),"")=0,"",IFERROR(INDEX(Consulta!$A:$DF,MATCH('MM01'!$B30,Consulta!$C:$C,0),'MM01'!BL$2),""))</f>
        <v/>
      </c>
      <c r="BM30" s="45">
        <v>99</v>
      </c>
      <c r="BN30" s="46" t="str">
        <f t="shared" ca="1" si="13"/>
        <v>28.04.2022</v>
      </c>
      <c r="BO30" s="49" t="str">
        <f t="shared" si="14"/>
        <v/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IF(IFERROR(INDEX(Consulta!$A:$DF,MATCH('MM01'!$B30,Consulta!$C:$C,0),'MM01'!BX$2),"")=0,"",IFERROR(INDEX(Consulta!$A:$DF,MATCH('MM01'!$B30,Consulta!$C:$C,0),'MM01'!BX$2),""))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15"/>
        <v/>
      </c>
      <c r="CD30" s="45" t="s">
        <v>430</v>
      </c>
      <c r="CE30" s="45">
        <v>1</v>
      </c>
      <c r="CF30" s="45" t="s">
        <v>496</v>
      </c>
      <c r="CG30" s="45"/>
      <c r="CH30" s="44">
        <v>2</v>
      </c>
      <c r="CI30" s="49" t="str">
        <f t="shared" si="16"/>
        <v/>
      </c>
      <c r="CJ30" s="49" t="str">
        <f t="shared" si="17"/>
        <v/>
      </c>
      <c r="CK30" s="45"/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8"/>
        <v>K00_P_</v>
      </c>
      <c r="CS30" s="45">
        <v>5000</v>
      </c>
      <c r="CT30" s="43" t="str">
        <f>IF(IFERROR(INDEX(Consulta!$A:$DF,MATCH('MM01'!$B30,Consulta!$C:$C,0),'MM01'!CT$2),"")=0,"",IFERROR(INDEX(Consulta!$A:$DF,MATCH('MM01'!$B30,Consulta!$C:$C,0),'MM01'!CT$2),""))</f>
        <v/>
      </c>
      <c r="CU30" s="43" t="str">
        <f>IF(IFERROR(INDEX(Consulta!$A:$DF,MATCH('MM01'!$B30,Consulta!$C:$C,0),'MM01'!CU$2),"")=0,"",IFERROR(INDEX(Consulta!$A:$DF,MATCH('MM01'!$B30,Consulta!$C:$C,0),'MM01'!CU$2),""))</f>
        <v/>
      </c>
      <c r="CV30" s="43" t="str">
        <f>IF(IFERROR(INDEX(Consulta!$A:$DF,MATCH('MM01'!$B30,Consulta!$C:$C,0),'MM01'!CV$2),"")=0,"",IFERROR(INDEX(Consulta!$A:$DF,MATCH('MM01'!$B30,Consulta!$C:$C,0),'MM01'!CV$2),""))</f>
        <v/>
      </c>
      <c r="CW30" s="43" t="str">
        <f>IF(IFERROR(INDEX(Consulta!$A:$DF,MATCH('MM01'!$B30,Consulta!$C:$C,0),'MM01'!CW$2),"")=0,"",IFERROR(INDEX(Consulta!$A:$DF,MATCH('MM01'!$B30,Consulta!$C:$C,0),'MM01'!CW$2),""))</f>
        <v/>
      </c>
      <c r="CX30" s="43" t="str">
        <f t="shared" si="19"/>
        <v/>
      </c>
      <c r="CY30" s="43" t="str">
        <f t="shared" si="20"/>
        <v/>
      </c>
      <c r="CZ30" s="43" t="str">
        <f t="shared" si="21"/>
        <v/>
      </c>
      <c r="DA30" s="43" t="str">
        <f>IF(IFERROR(INDEX(Consulta!$A:$DF,MATCH('MM01'!$B30,Consulta!$C:$C,0),'MM01'!DA$2),"")=0,"",IFERROR(INDEX(Consulta!$A:$DF,MATCH('MM01'!$B30,Consulta!$C:$C,0),'MM01'!DA$2),""))</f>
        <v/>
      </c>
      <c r="DB30" s="43" t="str">
        <f t="shared" si="22"/>
        <v/>
      </c>
      <c r="DC30" s="43" t="str">
        <f>IF(IFERROR(INDEX(Consulta!$A:$DF,MATCH('MM01'!$B30,Consulta!$C:$C,0),'MM01'!DC$2),"")=0,"",IFERROR(INDEX(Consulta!$A:$DF,MATCH('MM01'!$B30,Consulta!$C:$C,0),'MM01'!DC$2),""))</f>
        <v/>
      </c>
      <c r="DD30" s="45">
        <v>0</v>
      </c>
      <c r="DE30" s="45">
        <v>0</v>
      </c>
      <c r="DF30" s="43" t="str">
        <f t="shared" si="23"/>
        <v/>
      </c>
      <c r="DG30" s="43" t="str">
        <f t="shared" si="24"/>
        <v/>
      </c>
      <c r="DH30" s="55"/>
      <c r="DI30" s="43" t="str">
        <f t="shared" ca="1" si="25"/>
        <v/>
      </c>
      <c r="DJ30" s="43" t="str">
        <f t="shared" si="26"/>
        <v/>
      </c>
      <c r="DK30" s="43" t="str">
        <f t="shared" si="27"/>
        <v/>
      </c>
      <c r="DL30" s="55"/>
      <c r="DM30" s="43" t="str">
        <f t="shared" ca="1" si="28"/>
        <v/>
      </c>
      <c r="DN30" s="43" t="str">
        <f t="shared" si="29"/>
        <v/>
      </c>
      <c r="DO30" s="43" t="str">
        <f t="shared" si="30"/>
        <v/>
      </c>
      <c r="DP30" s="55"/>
      <c r="DQ30" s="43" t="str">
        <f t="shared" ca="1" si="31"/>
        <v/>
      </c>
      <c r="DR30" s="43" t="str">
        <f t="shared" si="32"/>
        <v/>
      </c>
      <c r="DS30" s="43" t="str">
        <f t="shared" si="33"/>
        <v/>
      </c>
      <c r="DT30" s="55"/>
      <c r="DU30" s="43" t="str">
        <f t="shared" ca="1" si="34"/>
        <v/>
      </c>
      <c r="DV30" s="43" t="str">
        <f t="shared" si="35"/>
        <v/>
      </c>
      <c r="DX30" s="44">
        <v>1</v>
      </c>
      <c r="DY30" s="44" t="s">
        <v>774</v>
      </c>
      <c r="DZ30" s="43">
        <f t="shared" si="36"/>
        <v>0.01</v>
      </c>
      <c r="EA30" s="43" t="str">
        <f t="shared" si="37"/>
        <v>M</v>
      </c>
      <c r="EB30" s="43" t="str">
        <f>IF(IFERROR(INDEX(Consulta!$A:$DF,MATCH('MM01'!$B30,Consulta!$C:$C,0),'MM01'!EB$2),"")=0,"7925",IF(IFERROR(INDEX(Consulta!$A:$DF,MATCH('MM01'!$B30,Consulta!$C:$C,0),'MM01'!EB$2),"")="68","7910","7925"))</f>
        <v>7925</v>
      </c>
      <c r="EC30" s="44">
        <v>100</v>
      </c>
      <c r="ED30" s="60">
        <v>1</v>
      </c>
      <c r="EE30" s="43">
        <f t="shared" si="38"/>
        <v>100</v>
      </c>
      <c r="EF30" s="44">
        <v>1</v>
      </c>
      <c r="EG30" s="44">
        <v>0</v>
      </c>
      <c r="EH30" s="44" t="s">
        <v>867</v>
      </c>
      <c r="EI30" s="45">
        <v>0</v>
      </c>
      <c r="EJ30" s="43">
        <f t="shared" si="39"/>
        <v>5000</v>
      </c>
      <c r="EK30" s="65"/>
    </row>
    <row r="31" spans="1:141" x14ac:dyDescent="0.3">
      <c r="A31" s="7" t="str">
        <f t="shared" si="0"/>
        <v>Execução 27</v>
      </c>
      <c r="B31" s="42"/>
      <c r="C31" s="43" t="str">
        <f>IF(IFERROR(INDEX(Consulta!$A:$DF,MATCH('MM01'!$B31,Consulta!$C:$C,0),'MM01'!C$2),"")=0,"",IFERROR(INDEX(Consulta!$A:$DF,MATCH('MM01'!$B31,Consulta!$C:$C,0),'MM01'!C$2),""))</f>
        <v/>
      </c>
      <c r="D31" s="43" t="str">
        <f>IF(IFERROR(INDEX(Consulta!$A:$DF,MATCH('MM01'!$B31,Consulta!$C:$C,0),'MM01'!D$2),"")=0,"",IFERROR(INDEX(Consulta!$A:$DF,MATCH('MM01'!$B31,Consulta!$C:$C,0),'MM01'!D$2),""))</f>
        <v/>
      </c>
      <c r="E31" s="43" t="str">
        <f>IF(IFERROR(INDEX(Consulta!$A:$DF,MATCH('MM01'!$B31,Consulta!$C:$C,0),'MM01'!E$2),"")=0,"",IFERROR(INDEX(Consulta!$A:$DF,MATCH('MM01'!$B31,Consulta!$C:$C,0),'MM01'!E$2),""))</f>
        <v/>
      </c>
      <c r="F31" s="44" t="s">
        <v>100</v>
      </c>
      <c r="G31" s="49" t="str">
        <f>IF(IFERROR(INDEX(Consulta!$A:$DF,MATCH('MM01'!$B31,Consulta!$C:$C,0),'MM01'!G$2),"")=0,"",IFERROR(INDEX(Consulta!$A:$DF,MATCH('MM01'!$B31,Consulta!$C:$C,0),'MM01'!G$2),""))</f>
        <v/>
      </c>
      <c r="H31" s="49" t="str">
        <f>IF(IFERROR(INDEX(Consulta!$A:$DF,MATCH('MM01'!$B31,Consulta!$C:$C,0),'MM01'!H$2),"")=0,"",IFERROR(INDEX(Consulta!$A:$DF,MATCH('MM01'!$B31,Consulta!$C:$C,0),'MM01'!H$2),""))</f>
        <v/>
      </c>
      <c r="I31" s="49" t="str">
        <f t="shared" si="1"/>
        <v/>
      </c>
      <c r="J31" s="49" t="str">
        <f>IF(IFERROR(INDEX(Consulta!$A:$DF,MATCH('MM01'!$B31,Consulta!$C:$C,0),'MM01'!J$2),"")=0,"",IFERROR(INDEX(Consulta!$A:$DF,MATCH('MM01'!$B31,Consulta!$C:$C,0),'MM01'!J$2),""))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IF(IFERROR(INDEX(Consulta!$A:$DF,MATCH('MM01'!$B31,Consulta!$C:$C,0),'MM01'!AP$2),"")=0,"",IFERROR(INDEX(Consulta!$A:$DF,MATCH('MM01'!$B31,Consulta!$C:$C,0),'MM01'!AP$2),""))</f>
        <v/>
      </c>
      <c r="AQ31" s="45"/>
      <c r="AR31" s="43" t="str">
        <f>IF(IFERROR(INDEX(Consulta!$A:$DF,MATCH('MM01'!$B31,Consulta!$C:$C,0),'MM01'!AR$2),"")=0,"",IFERROR(INDEX(Consulta!$A:$DF,MATCH('MM01'!$B31,Consulta!$C:$C,0),'MM01'!AR$2),""))</f>
        <v/>
      </c>
      <c r="AS31" s="43" t="str">
        <f>IF(IFERROR(INDEX(Consulta!$A:$DF,MATCH('MM01'!$B31,Consulta!$C:$C,0),'MM01'!AS$2),"")=0,"",IF(AR31="68",5102,IFERROR(INDEX(Consulta!$A:$DF,MATCH('MM01'!$B31,Consulta!$C:$C,0),'MM01'!AS$2),"")))</f>
        <v/>
      </c>
      <c r="AT31" s="45"/>
      <c r="AU31" s="46" t="str">
        <f t="shared" ca="1" si="3"/>
        <v/>
      </c>
      <c r="AV31" s="47" t="s">
        <v>796</v>
      </c>
      <c r="AW31" s="43" t="str">
        <f>IF(IFERROR(INDEX(Consulta!$A:$DF,MATCH('MM01'!$B31,Consulta!$C:$C,0),'MM01'!AW$2),"")=0,"",IFERROR(ROUND(INDEX(Consulta!$A:$DF,MATCH('MM01'!$B31,Consulta!$C:$C,0),'MM01'!AW$2),3),""))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IF(IFERROR(INDEX(Consulta!$A:$DF,MATCH('MM01'!$B31,Consulta!$C:$C,0),'MM01'!BA$2),"")=0,"",IFERROR(INDEX(Consulta!$A:$DF,MATCH('MM01'!$B31,Consulta!$C:$C,0),'MM01'!BA$2),""))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IF(IFERROR(INDEX(Consulta!$A:$DF,MATCH('MM01'!$B31,Consulta!$C:$C,0),'MM01'!BL$2),"")=0,"",IFERROR(INDEX(Consulta!$A:$DF,MATCH('MM01'!$B31,Consulta!$C:$C,0),'MM01'!BL$2),""))</f>
        <v/>
      </c>
      <c r="BM31" s="45">
        <v>99</v>
      </c>
      <c r="BN31" s="46" t="str">
        <f t="shared" ca="1" si="13"/>
        <v>28.04.2022</v>
      </c>
      <c r="BO31" s="49" t="str">
        <f t="shared" si="14"/>
        <v/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IF(IFERROR(INDEX(Consulta!$A:$DF,MATCH('MM01'!$B31,Consulta!$C:$C,0),'MM01'!BX$2),"")=0,"",IFERROR(INDEX(Consulta!$A:$DF,MATCH('MM01'!$B31,Consulta!$C:$C,0),'MM01'!BX$2),""))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15"/>
        <v/>
      </c>
      <c r="CD31" s="45" t="s">
        <v>430</v>
      </c>
      <c r="CE31" s="45">
        <v>1</v>
      </c>
      <c r="CF31" s="45" t="s">
        <v>496</v>
      </c>
      <c r="CG31" s="45"/>
      <c r="CH31" s="44">
        <v>2</v>
      </c>
      <c r="CI31" s="49" t="str">
        <f t="shared" si="16"/>
        <v/>
      </c>
      <c r="CJ31" s="49" t="str">
        <f t="shared" si="17"/>
        <v/>
      </c>
      <c r="CK31" s="45"/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8"/>
        <v>K00_P_</v>
      </c>
      <c r="CS31" s="45">
        <v>5000</v>
      </c>
      <c r="CT31" s="43" t="str">
        <f>IF(IFERROR(INDEX(Consulta!$A:$DF,MATCH('MM01'!$B31,Consulta!$C:$C,0),'MM01'!CT$2),"")=0,"",IFERROR(INDEX(Consulta!$A:$DF,MATCH('MM01'!$B31,Consulta!$C:$C,0),'MM01'!CT$2),""))</f>
        <v/>
      </c>
      <c r="CU31" s="43" t="str">
        <f>IF(IFERROR(INDEX(Consulta!$A:$DF,MATCH('MM01'!$B31,Consulta!$C:$C,0),'MM01'!CU$2),"")=0,"",IFERROR(INDEX(Consulta!$A:$DF,MATCH('MM01'!$B31,Consulta!$C:$C,0),'MM01'!CU$2),""))</f>
        <v/>
      </c>
      <c r="CV31" s="43" t="str">
        <f>IF(IFERROR(INDEX(Consulta!$A:$DF,MATCH('MM01'!$B31,Consulta!$C:$C,0),'MM01'!CV$2),"")=0,"",IFERROR(INDEX(Consulta!$A:$DF,MATCH('MM01'!$B31,Consulta!$C:$C,0),'MM01'!CV$2),""))</f>
        <v/>
      </c>
      <c r="CW31" s="43" t="str">
        <f>IF(IFERROR(INDEX(Consulta!$A:$DF,MATCH('MM01'!$B31,Consulta!$C:$C,0),'MM01'!CW$2),"")=0,"",IFERROR(INDEX(Consulta!$A:$DF,MATCH('MM01'!$B31,Consulta!$C:$C,0),'MM01'!CW$2),""))</f>
        <v/>
      </c>
      <c r="CX31" s="43" t="str">
        <f t="shared" si="19"/>
        <v/>
      </c>
      <c r="CY31" s="43" t="str">
        <f t="shared" si="20"/>
        <v/>
      </c>
      <c r="CZ31" s="43" t="str">
        <f t="shared" si="21"/>
        <v/>
      </c>
      <c r="DA31" s="43" t="str">
        <f>IF(IFERROR(INDEX(Consulta!$A:$DF,MATCH('MM01'!$B31,Consulta!$C:$C,0),'MM01'!DA$2),"")=0,"",IFERROR(INDEX(Consulta!$A:$DF,MATCH('MM01'!$B31,Consulta!$C:$C,0),'MM01'!DA$2),""))</f>
        <v/>
      </c>
      <c r="DB31" s="43" t="str">
        <f t="shared" si="22"/>
        <v/>
      </c>
      <c r="DC31" s="43" t="str">
        <f>IF(IFERROR(INDEX(Consulta!$A:$DF,MATCH('MM01'!$B31,Consulta!$C:$C,0),'MM01'!DC$2),"")=0,"",IFERROR(INDEX(Consulta!$A:$DF,MATCH('MM01'!$B31,Consulta!$C:$C,0),'MM01'!DC$2),""))</f>
        <v/>
      </c>
      <c r="DD31" s="45">
        <v>0</v>
      </c>
      <c r="DE31" s="45">
        <v>0</v>
      </c>
      <c r="DF31" s="43" t="str">
        <f t="shared" si="23"/>
        <v/>
      </c>
      <c r="DG31" s="43" t="str">
        <f t="shared" si="24"/>
        <v/>
      </c>
      <c r="DH31" s="55"/>
      <c r="DI31" s="43" t="str">
        <f t="shared" ca="1" si="25"/>
        <v/>
      </c>
      <c r="DJ31" s="43" t="str">
        <f t="shared" si="26"/>
        <v/>
      </c>
      <c r="DK31" s="43" t="str">
        <f t="shared" si="27"/>
        <v/>
      </c>
      <c r="DL31" s="55"/>
      <c r="DM31" s="43" t="str">
        <f t="shared" ca="1" si="28"/>
        <v/>
      </c>
      <c r="DN31" s="43" t="str">
        <f t="shared" si="29"/>
        <v/>
      </c>
      <c r="DO31" s="43" t="str">
        <f t="shared" si="30"/>
        <v/>
      </c>
      <c r="DP31" s="55"/>
      <c r="DQ31" s="43" t="str">
        <f t="shared" ca="1" si="31"/>
        <v/>
      </c>
      <c r="DR31" s="43" t="str">
        <f t="shared" si="32"/>
        <v/>
      </c>
      <c r="DS31" s="43" t="str">
        <f t="shared" si="33"/>
        <v/>
      </c>
      <c r="DT31" s="55"/>
      <c r="DU31" s="43" t="str">
        <f t="shared" ca="1" si="34"/>
        <v/>
      </c>
      <c r="DV31" s="43" t="str">
        <f t="shared" si="35"/>
        <v/>
      </c>
      <c r="DX31" s="44">
        <v>1</v>
      </c>
      <c r="DY31" s="44" t="s">
        <v>774</v>
      </c>
      <c r="DZ31" s="43">
        <f t="shared" si="36"/>
        <v>0.01</v>
      </c>
      <c r="EA31" s="43" t="str">
        <f t="shared" si="37"/>
        <v>M</v>
      </c>
      <c r="EB31" s="43" t="str">
        <f>IF(IFERROR(INDEX(Consulta!$A:$DF,MATCH('MM01'!$B31,Consulta!$C:$C,0),'MM01'!EB$2),"")=0,"7925",IF(IFERROR(INDEX(Consulta!$A:$DF,MATCH('MM01'!$B31,Consulta!$C:$C,0),'MM01'!EB$2),"")="68","7910","7925"))</f>
        <v>7925</v>
      </c>
      <c r="EC31" s="44">
        <v>100</v>
      </c>
      <c r="ED31" s="60">
        <v>1</v>
      </c>
      <c r="EE31" s="43">
        <f t="shared" si="38"/>
        <v>100</v>
      </c>
      <c r="EF31" s="44">
        <v>1</v>
      </c>
      <c r="EG31" s="44">
        <v>0</v>
      </c>
      <c r="EH31" s="44" t="s">
        <v>867</v>
      </c>
      <c r="EI31" s="45">
        <v>0</v>
      </c>
      <c r="EJ31" s="43">
        <f t="shared" si="39"/>
        <v>5000</v>
      </c>
      <c r="EK31" s="65"/>
    </row>
    <row r="32" spans="1:141" x14ac:dyDescent="0.3">
      <c r="A32" s="7" t="str">
        <f t="shared" si="0"/>
        <v>Execução 28</v>
      </c>
      <c r="B32" s="42"/>
      <c r="C32" s="43" t="str">
        <f>IF(IFERROR(INDEX(Consulta!$A:$DF,MATCH('MM01'!$B32,Consulta!$C:$C,0),'MM01'!C$2),"")=0,"",IFERROR(INDEX(Consulta!$A:$DF,MATCH('MM01'!$B32,Consulta!$C:$C,0),'MM01'!C$2),""))</f>
        <v/>
      </c>
      <c r="D32" s="43" t="str">
        <f>IF(IFERROR(INDEX(Consulta!$A:$DF,MATCH('MM01'!$B32,Consulta!$C:$C,0),'MM01'!D$2),"")=0,"",IFERROR(INDEX(Consulta!$A:$DF,MATCH('MM01'!$B32,Consulta!$C:$C,0),'MM01'!D$2),""))</f>
        <v/>
      </c>
      <c r="E32" s="43" t="str">
        <f>IF(IFERROR(INDEX(Consulta!$A:$DF,MATCH('MM01'!$B32,Consulta!$C:$C,0),'MM01'!E$2),"")=0,"",IFERROR(INDEX(Consulta!$A:$DF,MATCH('MM01'!$B32,Consulta!$C:$C,0),'MM01'!E$2),""))</f>
        <v/>
      </c>
      <c r="F32" s="44" t="s">
        <v>100</v>
      </c>
      <c r="G32" s="49" t="str">
        <f>IF(IFERROR(INDEX(Consulta!$A:$DF,MATCH('MM01'!$B32,Consulta!$C:$C,0),'MM01'!G$2),"")=0,"",IFERROR(INDEX(Consulta!$A:$DF,MATCH('MM01'!$B32,Consulta!$C:$C,0),'MM01'!G$2),""))</f>
        <v/>
      </c>
      <c r="H32" s="49" t="str">
        <f>IF(IFERROR(INDEX(Consulta!$A:$DF,MATCH('MM01'!$B32,Consulta!$C:$C,0),'MM01'!H$2),"")=0,"",IFERROR(INDEX(Consulta!$A:$DF,MATCH('MM01'!$B32,Consulta!$C:$C,0),'MM01'!H$2),""))</f>
        <v/>
      </c>
      <c r="I32" s="49" t="str">
        <f t="shared" si="1"/>
        <v/>
      </c>
      <c r="J32" s="49" t="str">
        <f>IF(IFERROR(INDEX(Consulta!$A:$DF,MATCH('MM01'!$B32,Consulta!$C:$C,0),'MM01'!J$2),"")=0,"",IFERROR(INDEX(Consulta!$A:$DF,MATCH('MM01'!$B32,Consulta!$C:$C,0),'MM01'!J$2),""))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IF(IFERROR(INDEX(Consulta!$A:$DF,MATCH('MM01'!$B32,Consulta!$C:$C,0),'MM01'!AP$2),"")=0,"",IFERROR(INDEX(Consulta!$A:$DF,MATCH('MM01'!$B32,Consulta!$C:$C,0),'MM01'!AP$2),""))</f>
        <v/>
      </c>
      <c r="AQ32" s="45"/>
      <c r="AR32" s="43" t="str">
        <f>IF(IFERROR(INDEX(Consulta!$A:$DF,MATCH('MM01'!$B32,Consulta!$C:$C,0),'MM01'!AR$2),"")=0,"",IFERROR(INDEX(Consulta!$A:$DF,MATCH('MM01'!$B32,Consulta!$C:$C,0),'MM01'!AR$2),""))</f>
        <v/>
      </c>
      <c r="AS32" s="43" t="str">
        <f>IF(IFERROR(INDEX(Consulta!$A:$DF,MATCH('MM01'!$B32,Consulta!$C:$C,0),'MM01'!AS$2),"")=0,"",IF(AR32="68",5102,IFERROR(INDEX(Consulta!$A:$DF,MATCH('MM01'!$B32,Consulta!$C:$C,0),'MM01'!AS$2),"")))</f>
        <v/>
      </c>
      <c r="AT32" s="45"/>
      <c r="AU32" s="46" t="str">
        <f t="shared" ca="1" si="3"/>
        <v/>
      </c>
      <c r="AV32" s="47" t="s">
        <v>796</v>
      </c>
      <c r="AW32" s="43" t="str">
        <f>IF(IFERROR(INDEX(Consulta!$A:$DF,MATCH('MM01'!$B32,Consulta!$C:$C,0),'MM01'!AW$2),"")=0,"",IFERROR(ROUND(INDEX(Consulta!$A:$DF,MATCH('MM01'!$B32,Consulta!$C:$C,0),'MM01'!AW$2),3),""))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IF(IFERROR(INDEX(Consulta!$A:$DF,MATCH('MM01'!$B32,Consulta!$C:$C,0),'MM01'!BA$2),"")=0,"",IFERROR(INDEX(Consulta!$A:$DF,MATCH('MM01'!$B32,Consulta!$C:$C,0),'MM01'!BA$2),""))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IF(IFERROR(INDEX(Consulta!$A:$DF,MATCH('MM01'!$B32,Consulta!$C:$C,0),'MM01'!BL$2),"")=0,"",IFERROR(INDEX(Consulta!$A:$DF,MATCH('MM01'!$B32,Consulta!$C:$C,0),'MM01'!BL$2),""))</f>
        <v/>
      </c>
      <c r="BM32" s="45">
        <v>99</v>
      </c>
      <c r="BN32" s="46" t="str">
        <f t="shared" ca="1" si="13"/>
        <v>28.04.2022</v>
      </c>
      <c r="BO32" s="49" t="str">
        <f t="shared" si="14"/>
        <v/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IF(IFERROR(INDEX(Consulta!$A:$DF,MATCH('MM01'!$B32,Consulta!$C:$C,0),'MM01'!BX$2),"")=0,"",IFERROR(INDEX(Consulta!$A:$DF,MATCH('MM01'!$B32,Consulta!$C:$C,0),'MM01'!BX$2),""))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15"/>
        <v/>
      </c>
      <c r="CD32" s="45" t="s">
        <v>430</v>
      </c>
      <c r="CE32" s="45">
        <v>1</v>
      </c>
      <c r="CF32" s="45" t="s">
        <v>496</v>
      </c>
      <c r="CG32" s="45"/>
      <c r="CH32" s="44">
        <v>2</v>
      </c>
      <c r="CI32" s="49" t="str">
        <f t="shared" si="16"/>
        <v/>
      </c>
      <c r="CJ32" s="49" t="str">
        <f t="shared" si="17"/>
        <v/>
      </c>
      <c r="CK32" s="45"/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8"/>
        <v>K00_P_</v>
      </c>
      <c r="CS32" s="45">
        <v>5000</v>
      </c>
      <c r="CT32" s="43" t="str">
        <f>IF(IFERROR(INDEX(Consulta!$A:$DF,MATCH('MM01'!$B32,Consulta!$C:$C,0),'MM01'!CT$2),"")=0,"",IFERROR(INDEX(Consulta!$A:$DF,MATCH('MM01'!$B32,Consulta!$C:$C,0),'MM01'!CT$2),""))</f>
        <v/>
      </c>
      <c r="CU32" s="43" t="str">
        <f>IF(IFERROR(INDEX(Consulta!$A:$DF,MATCH('MM01'!$B32,Consulta!$C:$C,0),'MM01'!CU$2),"")=0,"",IFERROR(INDEX(Consulta!$A:$DF,MATCH('MM01'!$B32,Consulta!$C:$C,0),'MM01'!CU$2),""))</f>
        <v/>
      </c>
      <c r="CV32" s="43" t="str">
        <f>IF(IFERROR(INDEX(Consulta!$A:$DF,MATCH('MM01'!$B32,Consulta!$C:$C,0),'MM01'!CV$2),"")=0,"",IFERROR(INDEX(Consulta!$A:$DF,MATCH('MM01'!$B32,Consulta!$C:$C,0),'MM01'!CV$2),""))</f>
        <v/>
      </c>
      <c r="CW32" s="43" t="str">
        <f>IF(IFERROR(INDEX(Consulta!$A:$DF,MATCH('MM01'!$B32,Consulta!$C:$C,0),'MM01'!CW$2),"")=0,"",IFERROR(INDEX(Consulta!$A:$DF,MATCH('MM01'!$B32,Consulta!$C:$C,0),'MM01'!CW$2),""))</f>
        <v/>
      </c>
      <c r="CX32" s="43" t="str">
        <f t="shared" si="19"/>
        <v/>
      </c>
      <c r="CY32" s="43" t="str">
        <f t="shared" si="20"/>
        <v/>
      </c>
      <c r="CZ32" s="43" t="str">
        <f t="shared" si="21"/>
        <v/>
      </c>
      <c r="DA32" s="43" t="str">
        <f>IF(IFERROR(INDEX(Consulta!$A:$DF,MATCH('MM01'!$B32,Consulta!$C:$C,0),'MM01'!DA$2),"")=0,"",IFERROR(INDEX(Consulta!$A:$DF,MATCH('MM01'!$B32,Consulta!$C:$C,0),'MM01'!DA$2),""))</f>
        <v/>
      </c>
      <c r="DB32" s="43" t="str">
        <f t="shared" si="22"/>
        <v/>
      </c>
      <c r="DC32" s="43" t="str">
        <f>IF(IFERROR(INDEX(Consulta!$A:$DF,MATCH('MM01'!$B32,Consulta!$C:$C,0),'MM01'!DC$2),"")=0,"",IFERROR(INDEX(Consulta!$A:$DF,MATCH('MM01'!$B32,Consulta!$C:$C,0),'MM01'!DC$2),""))</f>
        <v/>
      </c>
      <c r="DD32" s="45">
        <v>0</v>
      </c>
      <c r="DE32" s="45">
        <v>0</v>
      </c>
      <c r="DF32" s="43" t="str">
        <f t="shared" si="23"/>
        <v/>
      </c>
      <c r="DG32" s="43" t="str">
        <f t="shared" si="24"/>
        <v/>
      </c>
      <c r="DH32" s="55"/>
      <c r="DI32" s="43" t="str">
        <f t="shared" ca="1" si="25"/>
        <v/>
      </c>
      <c r="DJ32" s="43" t="str">
        <f t="shared" si="26"/>
        <v/>
      </c>
      <c r="DK32" s="43" t="str">
        <f t="shared" si="27"/>
        <v/>
      </c>
      <c r="DL32" s="55"/>
      <c r="DM32" s="43" t="str">
        <f t="shared" ca="1" si="28"/>
        <v/>
      </c>
      <c r="DN32" s="43" t="str">
        <f t="shared" si="29"/>
        <v/>
      </c>
      <c r="DO32" s="43" t="str">
        <f t="shared" si="30"/>
        <v/>
      </c>
      <c r="DP32" s="55"/>
      <c r="DQ32" s="43" t="str">
        <f t="shared" ca="1" si="31"/>
        <v/>
      </c>
      <c r="DR32" s="43" t="str">
        <f t="shared" si="32"/>
        <v/>
      </c>
      <c r="DS32" s="43" t="str">
        <f t="shared" si="33"/>
        <v/>
      </c>
      <c r="DT32" s="55"/>
      <c r="DU32" s="43" t="str">
        <f t="shared" ca="1" si="34"/>
        <v/>
      </c>
      <c r="DV32" s="43" t="str">
        <f t="shared" si="35"/>
        <v/>
      </c>
      <c r="DX32" s="44">
        <v>1</v>
      </c>
      <c r="DY32" s="44" t="s">
        <v>774</v>
      </c>
      <c r="DZ32" s="43">
        <f t="shared" si="36"/>
        <v>0.01</v>
      </c>
      <c r="EA32" s="43" t="str">
        <f t="shared" si="37"/>
        <v>M</v>
      </c>
      <c r="EB32" s="43" t="str">
        <f>IF(IFERROR(INDEX(Consulta!$A:$DF,MATCH('MM01'!$B32,Consulta!$C:$C,0),'MM01'!EB$2),"")=0,"7925",IF(IFERROR(INDEX(Consulta!$A:$DF,MATCH('MM01'!$B32,Consulta!$C:$C,0),'MM01'!EB$2),"")="68","7910","7925"))</f>
        <v>7925</v>
      </c>
      <c r="EC32" s="44">
        <v>100</v>
      </c>
      <c r="ED32" s="60">
        <v>1</v>
      </c>
      <c r="EE32" s="43">
        <f t="shared" si="38"/>
        <v>100</v>
      </c>
      <c r="EF32" s="44">
        <v>1</v>
      </c>
      <c r="EG32" s="44">
        <v>0</v>
      </c>
      <c r="EH32" s="44" t="s">
        <v>867</v>
      </c>
      <c r="EI32" s="45">
        <v>0</v>
      </c>
      <c r="EJ32" s="43">
        <f t="shared" si="39"/>
        <v>5000</v>
      </c>
      <c r="EK32" s="65"/>
    </row>
    <row r="33" spans="1:141" x14ac:dyDescent="0.3">
      <c r="A33" s="7" t="str">
        <f t="shared" si="0"/>
        <v>Execução 29</v>
      </c>
      <c r="B33" s="42"/>
      <c r="C33" s="43" t="str">
        <f>IF(IFERROR(INDEX(Consulta!$A:$DF,MATCH('MM01'!$B33,Consulta!$C:$C,0),'MM01'!C$2),"")=0,"",IFERROR(INDEX(Consulta!$A:$DF,MATCH('MM01'!$B33,Consulta!$C:$C,0),'MM01'!C$2),""))</f>
        <v/>
      </c>
      <c r="D33" s="43" t="str">
        <f>IF(IFERROR(INDEX(Consulta!$A:$DF,MATCH('MM01'!$B33,Consulta!$C:$C,0),'MM01'!D$2),"")=0,"",IFERROR(INDEX(Consulta!$A:$DF,MATCH('MM01'!$B33,Consulta!$C:$C,0),'MM01'!D$2),""))</f>
        <v/>
      </c>
      <c r="E33" s="43" t="str">
        <f>IF(IFERROR(INDEX(Consulta!$A:$DF,MATCH('MM01'!$B33,Consulta!$C:$C,0),'MM01'!E$2),"")=0,"",IFERROR(INDEX(Consulta!$A:$DF,MATCH('MM01'!$B33,Consulta!$C:$C,0),'MM01'!E$2),""))</f>
        <v/>
      </c>
      <c r="F33" s="44" t="s">
        <v>100</v>
      </c>
      <c r="G33" s="49" t="str">
        <f>IF(IFERROR(INDEX(Consulta!$A:$DF,MATCH('MM01'!$B33,Consulta!$C:$C,0),'MM01'!G$2),"")=0,"",IFERROR(INDEX(Consulta!$A:$DF,MATCH('MM01'!$B33,Consulta!$C:$C,0),'MM01'!G$2),""))</f>
        <v/>
      </c>
      <c r="H33" s="49" t="str">
        <f>IF(IFERROR(INDEX(Consulta!$A:$DF,MATCH('MM01'!$B33,Consulta!$C:$C,0),'MM01'!H$2),"")=0,"",IFERROR(INDEX(Consulta!$A:$DF,MATCH('MM01'!$B33,Consulta!$C:$C,0),'MM01'!H$2),""))</f>
        <v/>
      </c>
      <c r="I33" s="49" t="str">
        <f t="shared" si="1"/>
        <v/>
      </c>
      <c r="J33" s="49" t="str">
        <f>IF(IFERROR(INDEX(Consulta!$A:$DF,MATCH('MM01'!$B33,Consulta!$C:$C,0),'MM01'!J$2),"")=0,"",IFERROR(INDEX(Consulta!$A:$DF,MATCH('MM01'!$B33,Consulta!$C:$C,0),'MM01'!J$2),""))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IF(IFERROR(INDEX(Consulta!$A:$DF,MATCH('MM01'!$B33,Consulta!$C:$C,0),'MM01'!AP$2),"")=0,"",IFERROR(INDEX(Consulta!$A:$DF,MATCH('MM01'!$B33,Consulta!$C:$C,0),'MM01'!AP$2),""))</f>
        <v/>
      </c>
      <c r="AQ33" s="45"/>
      <c r="AR33" s="43" t="str">
        <f>IF(IFERROR(INDEX(Consulta!$A:$DF,MATCH('MM01'!$B33,Consulta!$C:$C,0),'MM01'!AR$2),"")=0,"",IFERROR(INDEX(Consulta!$A:$DF,MATCH('MM01'!$B33,Consulta!$C:$C,0),'MM01'!AR$2),""))</f>
        <v/>
      </c>
      <c r="AS33" s="43" t="str">
        <f>IF(IFERROR(INDEX(Consulta!$A:$DF,MATCH('MM01'!$B33,Consulta!$C:$C,0),'MM01'!AS$2),"")=0,"",IF(AR33="68",5102,IFERROR(INDEX(Consulta!$A:$DF,MATCH('MM01'!$B33,Consulta!$C:$C,0),'MM01'!AS$2),"")))</f>
        <v/>
      </c>
      <c r="AT33" s="45"/>
      <c r="AU33" s="46" t="str">
        <f t="shared" ca="1" si="3"/>
        <v/>
      </c>
      <c r="AV33" s="47" t="s">
        <v>796</v>
      </c>
      <c r="AW33" s="43" t="str">
        <f>IF(IFERROR(INDEX(Consulta!$A:$DF,MATCH('MM01'!$B33,Consulta!$C:$C,0),'MM01'!AW$2),"")=0,"",IFERROR(ROUND(INDEX(Consulta!$A:$DF,MATCH('MM01'!$B33,Consulta!$C:$C,0),'MM01'!AW$2),3),""))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IF(IFERROR(INDEX(Consulta!$A:$DF,MATCH('MM01'!$B33,Consulta!$C:$C,0),'MM01'!BA$2),"")=0,"",IFERROR(INDEX(Consulta!$A:$DF,MATCH('MM01'!$B33,Consulta!$C:$C,0),'MM01'!BA$2),""))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IF(IFERROR(INDEX(Consulta!$A:$DF,MATCH('MM01'!$B33,Consulta!$C:$C,0),'MM01'!BL$2),"")=0,"",IFERROR(INDEX(Consulta!$A:$DF,MATCH('MM01'!$B33,Consulta!$C:$C,0),'MM01'!BL$2),""))</f>
        <v/>
      </c>
      <c r="BM33" s="45">
        <v>99</v>
      </c>
      <c r="BN33" s="46" t="str">
        <f t="shared" ca="1" si="13"/>
        <v>28.04.2022</v>
      </c>
      <c r="BO33" s="49" t="str">
        <f t="shared" si="14"/>
        <v/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IF(IFERROR(INDEX(Consulta!$A:$DF,MATCH('MM01'!$B33,Consulta!$C:$C,0),'MM01'!BX$2),"")=0,"",IFERROR(INDEX(Consulta!$A:$DF,MATCH('MM01'!$B33,Consulta!$C:$C,0),'MM01'!BX$2),""))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15"/>
        <v/>
      </c>
      <c r="CD33" s="45" t="s">
        <v>430</v>
      </c>
      <c r="CE33" s="45">
        <v>1</v>
      </c>
      <c r="CF33" s="45" t="s">
        <v>496</v>
      </c>
      <c r="CG33" s="45"/>
      <c r="CH33" s="44">
        <v>2</v>
      </c>
      <c r="CI33" s="49" t="str">
        <f t="shared" si="16"/>
        <v/>
      </c>
      <c r="CJ33" s="49" t="str">
        <f t="shared" si="17"/>
        <v/>
      </c>
      <c r="CK33" s="45"/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8"/>
        <v>K00_P_</v>
      </c>
      <c r="CS33" s="45">
        <v>5000</v>
      </c>
      <c r="CT33" s="43" t="str">
        <f>IF(IFERROR(INDEX(Consulta!$A:$DF,MATCH('MM01'!$B33,Consulta!$C:$C,0),'MM01'!CT$2),"")=0,"",IFERROR(INDEX(Consulta!$A:$DF,MATCH('MM01'!$B33,Consulta!$C:$C,0),'MM01'!CT$2),""))</f>
        <v/>
      </c>
      <c r="CU33" s="43" t="str">
        <f>IF(IFERROR(INDEX(Consulta!$A:$DF,MATCH('MM01'!$B33,Consulta!$C:$C,0),'MM01'!CU$2),"")=0,"",IFERROR(INDEX(Consulta!$A:$DF,MATCH('MM01'!$B33,Consulta!$C:$C,0),'MM01'!CU$2),""))</f>
        <v/>
      </c>
      <c r="CV33" s="43" t="str">
        <f>IF(IFERROR(INDEX(Consulta!$A:$DF,MATCH('MM01'!$B33,Consulta!$C:$C,0),'MM01'!CV$2),"")=0,"",IFERROR(INDEX(Consulta!$A:$DF,MATCH('MM01'!$B33,Consulta!$C:$C,0),'MM01'!CV$2),""))</f>
        <v/>
      </c>
      <c r="CW33" s="43" t="str">
        <f>IF(IFERROR(INDEX(Consulta!$A:$DF,MATCH('MM01'!$B33,Consulta!$C:$C,0),'MM01'!CW$2),"")=0,"",IFERROR(INDEX(Consulta!$A:$DF,MATCH('MM01'!$B33,Consulta!$C:$C,0),'MM01'!CW$2),""))</f>
        <v/>
      </c>
      <c r="CX33" s="43" t="str">
        <f t="shared" si="19"/>
        <v/>
      </c>
      <c r="CY33" s="43" t="str">
        <f t="shared" si="20"/>
        <v/>
      </c>
      <c r="CZ33" s="43" t="str">
        <f t="shared" si="21"/>
        <v/>
      </c>
      <c r="DA33" s="43" t="str">
        <f>IF(IFERROR(INDEX(Consulta!$A:$DF,MATCH('MM01'!$B33,Consulta!$C:$C,0),'MM01'!DA$2),"")=0,"",IFERROR(INDEX(Consulta!$A:$DF,MATCH('MM01'!$B33,Consulta!$C:$C,0),'MM01'!DA$2),""))</f>
        <v/>
      </c>
      <c r="DB33" s="43" t="str">
        <f t="shared" si="22"/>
        <v/>
      </c>
      <c r="DC33" s="43" t="str">
        <f>IF(IFERROR(INDEX(Consulta!$A:$DF,MATCH('MM01'!$B33,Consulta!$C:$C,0),'MM01'!DC$2),"")=0,"",IFERROR(INDEX(Consulta!$A:$DF,MATCH('MM01'!$B33,Consulta!$C:$C,0),'MM01'!DC$2),""))</f>
        <v/>
      </c>
      <c r="DD33" s="45">
        <v>0</v>
      </c>
      <c r="DE33" s="45">
        <v>0</v>
      </c>
      <c r="DF33" s="43" t="str">
        <f t="shared" si="23"/>
        <v/>
      </c>
      <c r="DG33" s="43" t="str">
        <f t="shared" si="24"/>
        <v/>
      </c>
      <c r="DH33" s="55"/>
      <c r="DI33" s="43" t="str">
        <f t="shared" ca="1" si="25"/>
        <v/>
      </c>
      <c r="DJ33" s="43" t="str">
        <f t="shared" si="26"/>
        <v/>
      </c>
      <c r="DK33" s="43" t="str">
        <f t="shared" si="27"/>
        <v/>
      </c>
      <c r="DL33" s="55"/>
      <c r="DM33" s="43" t="str">
        <f t="shared" ca="1" si="28"/>
        <v/>
      </c>
      <c r="DN33" s="43" t="str">
        <f t="shared" si="29"/>
        <v/>
      </c>
      <c r="DO33" s="43" t="str">
        <f t="shared" si="30"/>
        <v/>
      </c>
      <c r="DP33" s="55"/>
      <c r="DQ33" s="43" t="str">
        <f t="shared" ca="1" si="31"/>
        <v/>
      </c>
      <c r="DR33" s="43" t="str">
        <f t="shared" si="32"/>
        <v/>
      </c>
      <c r="DS33" s="43" t="str">
        <f t="shared" si="33"/>
        <v/>
      </c>
      <c r="DT33" s="55"/>
      <c r="DU33" s="43" t="str">
        <f t="shared" ca="1" si="34"/>
        <v/>
      </c>
      <c r="DV33" s="43" t="str">
        <f t="shared" si="35"/>
        <v/>
      </c>
      <c r="DX33" s="44">
        <v>1</v>
      </c>
      <c r="DY33" s="44" t="s">
        <v>774</v>
      </c>
      <c r="DZ33" s="43">
        <f t="shared" si="36"/>
        <v>0.01</v>
      </c>
      <c r="EA33" s="43" t="str">
        <f t="shared" si="37"/>
        <v>M</v>
      </c>
      <c r="EB33" s="43" t="str">
        <f>IF(IFERROR(INDEX(Consulta!$A:$DF,MATCH('MM01'!$B33,Consulta!$C:$C,0),'MM01'!EB$2),"")=0,"7925",IF(IFERROR(INDEX(Consulta!$A:$DF,MATCH('MM01'!$B33,Consulta!$C:$C,0),'MM01'!EB$2),"")="68","7910","7925"))</f>
        <v>7925</v>
      </c>
      <c r="EC33" s="44">
        <v>100</v>
      </c>
      <c r="ED33" s="60">
        <v>1</v>
      </c>
      <c r="EE33" s="43">
        <f t="shared" si="38"/>
        <v>100</v>
      </c>
      <c r="EF33" s="44">
        <v>1</v>
      </c>
      <c r="EG33" s="44">
        <v>0</v>
      </c>
      <c r="EH33" s="44" t="s">
        <v>867</v>
      </c>
      <c r="EI33" s="45">
        <v>0</v>
      </c>
      <c r="EJ33" s="43">
        <f t="shared" si="39"/>
        <v>5000</v>
      </c>
      <c r="EK33" s="65"/>
    </row>
    <row r="34" spans="1:141" x14ac:dyDescent="0.3">
      <c r="A34" s="7" t="str">
        <f t="shared" si="0"/>
        <v>Execução 30</v>
      </c>
      <c r="B34" s="42"/>
      <c r="C34" s="43" t="str">
        <f>IF(IFERROR(INDEX(Consulta!$A:$DF,MATCH('MM01'!$B34,Consulta!$C:$C,0),'MM01'!C$2),"")=0,"",IFERROR(INDEX(Consulta!$A:$DF,MATCH('MM01'!$B34,Consulta!$C:$C,0),'MM01'!C$2),""))</f>
        <v/>
      </c>
      <c r="D34" s="43" t="str">
        <f>IF(IFERROR(INDEX(Consulta!$A:$DF,MATCH('MM01'!$B34,Consulta!$C:$C,0),'MM01'!D$2),"")=0,"",IFERROR(INDEX(Consulta!$A:$DF,MATCH('MM01'!$B34,Consulta!$C:$C,0),'MM01'!D$2),""))</f>
        <v/>
      </c>
      <c r="E34" s="43" t="str">
        <f>IF(IFERROR(INDEX(Consulta!$A:$DF,MATCH('MM01'!$B34,Consulta!$C:$C,0),'MM01'!E$2),"")=0,"",IFERROR(INDEX(Consulta!$A:$DF,MATCH('MM01'!$B34,Consulta!$C:$C,0),'MM01'!E$2),""))</f>
        <v/>
      </c>
      <c r="F34" s="44" t="s">
        <v>100</v>
      </c>
      <c r="G34" s="49" t="str">
        <f>IF(IFERROR(INDEX(Consulta!$A:$DF,MATCH('MM01'!$B34,Consulta!$C:$C,0),'MM01'!G$2),"")=0,"",IFERROR(INDEX(Consulta!$A:$DF,MATCH('MM01'!$B34,Consulta!$C:$C,0),'MM01'!G$2),""))</f>
        <v/>
      </c>
      <c r="H34" s="49" t="str">
        <f>IF(IFERROR(INDEX(Consulta!$A:$DF,MATCH('MM01'!$B34,Consulta!$C:$C,0),'MM01'!H$2),"")=0,"",IFERROR(INDEX(Consulta!$A:$DF,MATCH('MM01'!$B34,Consulta!$C:$C,0),'MM01'!H$2),""))</f>
        <v/>
      </c>
      <c r="I34" s="49" t="str">
        <f t="shared" si="1"/>
        <v/>
      </c>
      <c r="J34" s="49" t="str">
        <f>IF(IFERROR(INDEX(Consulta!$A:$DF,MATCH('MM01'!$B34,Consulta!$C:$C,0),'MM01'!J$2),"")=0,"",IFERROR(INDEX(Consulta!$A:$DF,MATCH('MM01'!$B34,Consulta!$C:$C,0),'MM01'!J$2),""))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IF(IFERROR(INDEX(Consulta!$A:$DF,MATCH('MM01'!$B34,Consulta!$C:$C,0),'MM01'!AP$2),"")=0,"",IFERROR(INDEX(Consulta!$A:$DF,MATCH('MM01'!$B34,Consulta!$C:$C,0),'MM01'!AP$2),""))</f>
        <v/>
      </c>
      <c r="AQ34" s="45"/>
      <c r="AR34" s="43" t="str">
        <f>IF(IFERROR(INDEX(Consulta!$A:$DF,MATCH('MM01'!$B34,Consulta!$C:$C,0),'MM01'!AR$2),"")=0,"",IFERROR(INDEX(Consulta!$A:$DF,MATCH('MM01'!$B34,Consulta!$C:$C,0),'MM01'!AR$2),""))</f>
        <v/>
      </c>
      <c r="AS34" s="43" t="str">
        <f>IF(IFERROR(INDEX(Consulta!$A:$DF,MATCH('MM01'!$B34,Consulta!$C:$C,0),'MM01'!AS$2),"")=0,"",IF(AR34="68",5102,IFERROR(INDEX(Consulta!$A:$DF,MATCH('MM01'!$B34,Consulta!$C:$C,0),'MM01'!AS$2),"")))</f>
        <v/>
      </c>
      <c r="AT34" s="45"/>
      <c r="AU34" s="46" t="str">
        <f t="shared" ca="1" si="3"/>
        <v/>
      </c>
      <c r="AV34" s="47" t="s">
        <v>796</v>
      </c>
      <c r="AW34" s="43" t="str">
        <f>IF(IFERROR(INDEX(Consulta!$A:$DF,MATCH('MM01'!$B34,Consulta!$C:$C,0),'MM01'!AW$2),"")=0,"",IFERROR(ROUND(INDEX(Consulta!$A:$DF,MATCH('MM01'!$B34,Consulta!$C:$C,0),'MM01'!AW$2),3),""))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IF(IFERROR(INDEX(Consulta!$A:$DF,MATCH('MM01'!$B34,Consulta!$C:$C,0),'MM01'!BA$2),"")=0,"",IFERROR(INDEX(Consulta!$A:$DF,MATCH('MM01'!$B34,Consulta!$C:$C,0),'MM01'!BA$2),""))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IF(IFERROR(INDEX(Consulta!$A:$DF,MATCH('MM01'!$B34,Consulta!$C:$C,0),'MM01'!BL$2),"")=0,"",IFERROR(INDEX(Consulta!$A:$DF,MATCH('MM01'!$B34,Consulta!$C:$C,0),'MM01'!BL$2),""))</f>
        <v/>
      </c>
      <c r="BM34" s="45">
        <v>99</v>
      </c>
      <c r="BN34" s="46" t="str">
        <f t="shared" ca="1" si="13"/>
        <v>28.04.2022</v>
      </c>
      <c r="BO34" s="49" t="str">
        <f t="shared" si="14"/>
        <v/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IF(IFERROR(INDEX(Consulta!$A:$DF,MATCH('MM01'!$B34,Consulta!$C:$C,0),'MM01'!BX$2),"")=0,"",IFERROR(INDEX(Consulta!$A:$DF,MATCH('MM01'!$B34,Consulta!$C:$C,0),'MM01'!BX$2),""))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15"/>
        <v/>
      </c>
      <c r="CD34" s="45" t="s">
        <v>430</v>
      </c>
      <c r="CE34" s="45">
        <v>1</v>
      </c>
      <c r="CF34" s="45" t="s">
        <v>496</v>
      </c>
      <c r="CG34" s="45"/>
      <c r="CH34" s="44">
        <v>2</v>
      </c>
      <c r="CI34" s="49" t="str">
        <f t="shared" si="16"/>
        <v/>
      </c>
      <c r="CJ34" s="49" t="str">
        <f t="shared" si="17"/>
        <v/>
      </c>
      <c r="CK34" s="45"/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8"/>
        <v>K00_P_</v>
      </c>
      <c r="CS34" s="45">
        <v>5000</v>
      </c>
      <c r="CT34" s="43" t="str">
        <f>IF(IFERROR(INDEX(Consulta!$A:$DF,MATCH('MM01'!$B34,Consulta!$C:$C,0),'MM01'!CT$2),"")=0,"",IFERROR(INDEX(Consulta!$A:$DF,MATCH('MM01'!$B34,Consulta!$C:$C,0),'MM01'!CT$2),""))</f>
        <v/>
      </c>
      <c r="CU34" s="43" t="str">
        <f>IF(IFERROR(INDEX(Consulta!$A:$DF,MATCH('MM01'!$B34,Consulta!$C:$C,0),'MM01'!CU$2),"")=0,"",IFERROR(INDEX(Consulta!$A:$DF,MATCH('MM01'!$B34,Consulta!$C:$C,0),'MM01'!CU$2),""))</f>
        <v/>
      </c>
      <c r="CV34" s="43" t="str">
        <f>IF(IFERROR(INDEX(Consulta!$A:$DF,MATCH('MM01'!$B34,Consulta!$C:$C,0),'MM01'!CV$2),"")=0,"",IFERROR(INDEX(Consulta!$A:$DF,MATCH('MM01'!$B34,Consulta!$C:$C,0),'MM01'!CV$2),""))</f>
        <v/>
      </c>
      <c r="CW34" s="43" t="str">
        <f>IF(IFERROR(INDEX(Consulta!$A:$DF,MATCH('MM01'!$B34,Consulta!$C:$C,0),'MM01'!CW$2),"")=0,"",IFERROR(INDEX(Consulta!$A:$DF,MATCH('MM01'!$B34,Consulta!$C:$C,0),'MM01'!CW$2),""))</f>
        <v/>
      </c>
      <c r="CX34" s="43" t="str">
        <f t="shared" si="19"/>
        <v/>
      </c>
      <c r="CY34" s="43" t="str">
        <f t="shared" si="20"/>
        <v/>
      </c>
      <c r="CZ34" s="43" t="str">
        <f t="shared" si="21"/>
        <v/>
      </c>
      <c r="DA34" s="43" t="str">
        <f>IF(IFERROR(INDEX(Consulta!$A:$DF,MATCH('MM01'!$B34,Consulta!$C:$C,0),'MM01'!DA$2),"")=0,"",IFERROR(INDEX(Consulta!$A:$DF,MATCH('MM01'!$B34,Consulta!$C:$C,0),'MM01'!DA$2),""))</f>
        <v/>
      </c>
      <c r="DB34" s="43" t="str">
        <f t="shared" si="22"/>
        <v/>
      </c>
      <c r="DC34" s="43" t="str">
        <f>IF(IFERROR(INDEX(Consulta!$A:$DF,MATCH('MM01'!$B34,Consulta!$C:$C,0),'MM01'!DC$2),"")=0,"",IFERROR(INDEX(Consulta!$A:$DF,MATCH('MM01'!$B34,Consulta!$C:$C,0),'MM01'!DC$2),""))</f>
        <v/>
      </c>
      <c r="DD34" s="45">
        <v>0</v>
      </c>
      <c r="DE34" s="45">
        <v>0</v>
      </c>
      <c r="DF34" s="43" t="str">
        <f t="shared" si="23"/>
        <v/>
      </c>
      <c r="DG34" s="43" t="str">
        <f t="shared" si="24"/>
        <v/>
      </c>
      <c r="DH34" s="55"/>
      <c r="DI34" s="43" t="str">
        <f t="shared" ca="1" si="25"/>
        <v/>
      </c>
      <c r="DJ34" s="43" t="str">
        <f t="shared" si="26"/>
        <v/>
      </c>
      <c r="DK34" s="43" t="str">
        <f t="shared" si="27"/>
        <v/>
      </c>
      <c r="DL34" s="55"/>
      <c r="DM34" s="43" t="str">
        <f t="shared" ca="1" si="28"/>
        <v/>
      </c>
      <c r="DN34" s="43" t="str">
        <f t="shared" si="29"/>
        <v/>
      </c>
      <c r="DO34" s="43" t="str">
        <f t="shared" si="30"/>
        <v/>
      </c>
      <c r="DP34" s="55"/>
      <c r="DQ34" s="43" t="str">
        <f t="shared" ca="1" si="31"/>
        <v/>
      </c>
      <c r="DR34" s="43" t="str">
        <f t="shared" si="32"/>
        <v/>
      </c>
      <c r="DS34" s="43" t="str">
        <f t="shared" si="33"/>
        <v/>
      </c>
      <c r="DT34" s="55"/>
      <c r="DU34" s="43" t="str">
        <f t="shared" ca="1" si="34"/>
        <v/>
      </c>
      <c r="DV34" s="43" t="str">
        <f t="shared" si="35"/>
        <v/>
      </c>
      <c r="DX34" s="44">
        <v>1</v>
      </c>
      <c r="DY34" s="44" t="s">
        <v>774</v>
      </c>
      <c r="DZ34" s="43">
        <f t="shared" si="36"/>
        <v>0.01</v>
      </c>
      <c r="EA34" s="43" t="str">
        <f t="shared" si="37"/>
        <v>M</v>
      </c>
      <c r="EB34" s="43" t="str">
        <f>IF(IFERROR(INDEX(Consulta!$A:$DF,MATCH('MM01'!$B34,Consulta!$C:$C,0),'MM01'!EB$2),"")=0,"7925",IF(IFERROR(INDEX(Consulta!$A:$DF,MATCH('MM01'!$B34,Consulta!$C:$C,0),'MM01'!EB$2),"")="68","7910","7925"))</f>
        <v>7925</v>
      </c>
      <c r="EC34" s="44">
        <v>100</v>
      </c>
      <c r="ED34" s="60">
        <v>1</v>
      </c>
      <c r="EE34" s="43">
        <f t="shared" si="38"/>
        <v>100</v>
      </c>
      <c r="EF34" s="44">
        <v>1</v>
      </c>
      <c r="EG34" s="44">
        <v>0</v>
      </c>
      <c r="EH34" s="44" t="s">
        <v>867</v>
      </c>
      <c r="EI34" s="45">
        <v>0</v>
      </c>
      <c r="EJ34" s="43">
        <f t="shared" si="39"/>
        <v>5000</v>
      </c>
      <c r="EK34" s="65"/>
    </row>
    <row r="35" spans="1:141" x14ac:dyDescent="0.3">
      <c r="A35" s="7" t="str">
        <f t="shared" si="0"/>
        <v>Execução 31</v>
      </c>
      <c r="B35" s="42"/>
      <c r="C35" s="43" t="str">
        <f>IF(IFERROR(INDEX(Consulta!$A:$DF,MATCH('MM01'!$B35,Consulta!$C:$C,0),'MM01'!C$2),"")=0,"",IFERROR(INDEX(Consulta!$A:$DF,MATCH('MM01'!$B35,Consulta!$C:$C,0),'MM01'!C$2),""))</f>
        <v/>
      </c>
      <c r="D35" s="43" t="str">
        <f>IF(IFERROR(INDEX(Consulta!$A:$DF,MATCH('MM01'!$B35,Consulta!$C:$C,0),'MM01'!D$2),"")=0,"",IFERROR(INDEX(Consulta!$A:$DF,MATCH('MM01'!$B35,Consulta!$C:$C,0),'MM01'!D$2),""))</f>
        <v/>
      </c>
      <c r="E35" s="43" t="str">
        <f>IF(IFERROR(INDEX(Consulta!$A:$DF,MATCH('MM01'!$B35,Consulta!$C:$C,0),'MM01'!E$2),"")=0,"",IFERROR(INDEX(Consulta!$A:$DF,MATCH('MM01'!$B35,Consulta!$C:$C,0),'MM01'!E$2),""))</f>
        <v/>
      </c>
      <c r="F35" s="44" t="s">
        <v>100</v>
      </c>
      <c r="G35" s="49" t="str">
        <f>IF(IFERROR(INDEX(Consulta!$A:$DF,MATCH('MM01'!$B35,Consulta!$C:$C,0),'MM01'!G$2),"")=0,"",IFERROR(INDEX(Consulta!$A:$DF,MATCH('MM01'!$B35,Consulta!$C:$C,0),'MM01'!G$2),""))</f>
        <v/>
      </c>
      <c r="H35" s="49" t="str">
        <f>IF(IFERROR(INDEX(Consulta!$A:$DF,MATCH('MM01'!$B35,Consulta!$C:$C,0),'MM01'!H$2),"")=0,"",IFERROR(INDEX(Consulta!$A:$DF,MATCH('MM01'!$B35,Consulta!$C:$C,0),'MM01'!H$2),""))</f>
        <v/>
      </c>
      <c r="I35" s="49" t="str">
        <f t="shared" si="1"/>
        <v/>
      </c>
      <c r="J35" s="49" t="str">
        <f>IF(IFERROR(INDEX(Consulta!$A:$DF,MATCH('MM01'!$B35,Consulta!$C:$C,0),'MM01'!J$2),"")=0,"",IFERROR(INDEX(Consulta!$A:$DF,MATCH('MM01'!$B35,Consulta!$C:$C,0),'MM01'!J$2),""))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IF(IFERROR(INDEX(Consulta!$A:$DF,MATCH('MM01'!$B35,Consulta!$C:$C,0),'MM01'!AP$2),"")=0,"",IFERROR(INDEX(Consulta!$A:$DF,MATCH('MM01'!$B35,Consulta!$C:$C,0),'MM01'!AP$2),""))</f>
        <v/>
      </c>
      <c r="AQ35" s="45"/>
      <c r="AR35" s="43" t="str">
        <f>IF(IFERROR(INDEX(Consulta!$A:$DF,MATCH('MM01'!$B35,Consulta!$C:$C,0),'MM01'!AR$2),"")=0,"",IFERROR(INDEX(Consulta!$A:$DF,MATCH('MM01'!$B35,Consulta!$C:$C,0),'MM01'!AR$2),""))</f>
        <v/>
      </c>
      <c r="AS35" s="43" t="str">
        <f>IF(IFERROR(INDEX(Consulta!$A:$DF,MATCH('MM01'!$B35,Consulta!$C:$C,0),'MM01'!AS$2),"")=0,"",IF(AR35="68",5102,IFERROR(INDEX(Consulta!$A:$DF,MATCH('MM01'!$B35,Consulta!$C:$C,0),'MM01'!AS$2),"")))</f>
        <v/>
      </c>
      <c r="AT35" s="45"/>
      <c r="AU35" s="46" t="str">
        <f t="shared" ca="1" si="3"/>
        <v/>
      </c>
      <c r="AV35" s="47" t="s">
        <v>796</v>
      </c>
      <c r="AW35" s="43" t="str">
        <f>IF(IFERROR(INDEX(Consulta!$A:$DF,MATCH('MM01'!$B35,Consulta!$C:$C,0),'MM01'!AW$2),"")=0,"",IFERROR(ROUND(INDEX(Consulta!$A:$DF,MATCH('MM01'!$B35,Consulta!$C:$C,0),'MM01'!AW$2),3),""))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IF(IFERROR(INDEX(Consulta!$A:$DF,MATCH('MM01'!$B35,Consulta!$C:$C,0),'MM01'!BA$2),"")=0,"",IFERROR(INDEX(Consulta!$A:$DF,MATCH('MM01'!$B35,Consulta!$C:$C,0),'MM01'!BA$2),""))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IF(IFERROR(INDEX(Consulta!$A:$DF,MATCH('MM01'!$B35,Consulta!$C:$C,0),'MM01'!BL$2),"")=0,"",IFERROR(INDEX(Consulta!$A:$DF,MATCH('MM01'!$B35,Consulta!$C:$C,0),'MM01'!BL$2),""))</f>
        <v/>
      </c>
      <c r="BM35" s="45">
        <v>99</v>
      </c>
      <c r="BN35" s="46" t="str">
        <f t="shared" ca="1" si="13"/>
        <v>28.04.2022</v>
      </c>
      <c r="BO35" s="49" t="str">
        <f t="shared" si="14"/>
        <v/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IF(IFERROR(INDEX(Consulta!$A:$DF,MATCH('MM01'!$B35,Consulta!$C:$C,0),'MM01'!BX$2),"")=0,"",IFERROR(INDEX(Consulta!$A:$DF,MATCH('MM01'!$B35,Consulta!$C:$C,0),'MM01'!BX$2),""))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15"/>
        <v/>
      </c>
      <c r="CD35" s="45" t="s">
        <v>430</v>
      </c>
      <c r="CE35" s="45">
        <v>1</v>
      </c>
      <c r="CF35" s="45" t="s">
        <v>496</v>
      </c>
      <c r="CG35" s="45"/>
      <c r="CH35" s="44">
        <v>2</v>
      </c>
      <c r="CI35" s="49" t="str">
        <f t="shared" si="16"/>
        <v/>
      </c>
      <c r="CJ35" s="49" t="str">
        <f t="shared" si="17"/>
        <v/>
      </c>
      <c r="CK35" s="45"/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8"/>
        <v>K00_P_</v>
      </c>
      <c r="CS35" s="45">
        <v>5000</v>
      </c>
      <c r="CT35" s="43" t="str">
        <f>IF(IFERROR(INDEX(Consulta!$A:$DF,MATCH('MM01'!$B35,Consulta!$C:$C,0),'MM01'!CT$2),"")=0,"",IFERROR(INDEX(Consulta!$A:$DF,MATCH('MM01'!$B35,Consulta!$C:$C,0),'MM01'!CT$2),""))</f>
        <v/>
      </c>
      <c r="CU35" s="43" t="str">
        <f>IF(IFERROR(INDEX(Consulta!$A:$DF,MATCH('MM01'!$B35,Consulta!$C:$C,0),'MM01'!CU$2),"")=0,"",IFERROR(INDEX(Consulta!$A:$DF,MATCH('MM01'!$B35,Consulta!$C:$C,0),'MM01'!CU$2),""))</f>
        <v/>
      </c>
      <c r="CV35" s="43" t="str">
        <f>IF(IFERROR(INDEX(Consulta!$A:$DF,MATCH('MM01'!$B35,Consulta!$C:$C,0),'MM01'!CV$2),"")=0,"",IFERROR(INDEX(Consulta!$A:$DF,MATCH('MM01'!$B35,Consulta!$C:$C,0),'MM01'!CV$2),""))</f>
        <v/>
      </c>
      <c r="CW35" s="43" t="str">
        <f>IF(IFERROR(INDEX(Consulta!$A:$DF,MATCH('MM01'!$B35,Consulta!$C:$C,0),'MM01'!CW$2),"")=0,"",IFERROR(INDEX(Consulta!$A:$DF,MATCH('MM01'!$B35,Consulta!$C:$C,0),'MM01'!CW$2),""))</f>
        <v/>
      </c>
      <c r="CX35" s="43" t="str">
        <f t="shared" si="19"/>
        <v/>
      </c>
      <c r="CY35" s="43" t="str">
        <f t="shared" si="20"/>
        <v/>
      </c>
      <c r="CZ35" s="43" t="str">
        <f t="shared" si="21"/>
        <v/>
      </c>
      <c r="DA35" s="43" t="str">
        <f>IF(IFERROR(INDEX(Consulta!$A:$DF,MATCH('MM01'!$B35,Consulta!$C:$C,0),'MM01'!DA$2),"")=0,"",IFERROR(INDEX(Consulta!$A:$DF,MATCH('MM01'!$B35,Consulta!$C:$C,0),'MM01'!DA$2),""))</f>
        <v/>
      </c>
      <c r="DB35" s="43" t="str">
        <f t="shared" si="22"/>
        <v/>
      </c>
      <c r="DC35" s="43" t="str">
        <f>IF(IFERROR(INDEX(Consulta!$A:$DF,MATCH('MM01'!$B35,Consulta!$C:$C,0),'MM01'!DC$2),"")=0,"",IFERROR(INDEX(Consulta!$A:$DF,MATCH('MM01'!$B35,Consulta!$C:$C,0),'MM01'!DC$2),""))</f>
        <v/>
      </c>
      <c r="DD35" s="45">
        <v>0</v>
      </c>
      <c r="DE35" s="45">
        <v>0</v>
      </c>
      <c r="DF35" s="43" t="str">
        <f t="shared" si="23"/>
        <v/>
      </c>
      <c r="DG35" s="43" t="str">
        <f t="shared" si="24"/>
        <v/>
      </c>
      <c r="DH35" s="55"/>
      <c r="DI35" s="43" t="str">
        <f t="shared" ca="1" si="25"/>
        <v/>
      </c>
      <c r="DJ35" s="43" t="str">
        <f t="shared" si="26"/>
        <v/>
      </c>
      <c r="DK35" s="43" t="str">
        <f t="shared" si="27"/>
        <v/>
      </c>
      <c r="DL35" s="55"/>
      <c r="DM35" s="43" t="str">
        <f t="shared" ca="1" si="28"/>
        <v/>
      </c>
      <c r="DN35" s="43" t="str">
        <f t="shared" si="29"/>
        <v/>
      </c>
      <c r="DO35" s="43" t="str">
        <f t="shared" si="30"/>
        <v/>
      </c>
      <c r="DP35" s="55"/>
      <c r="DQ35" s="43" t="str">
        <f t="shared" ca="1" si="31"/>
        <v/>
      </c>
      <c r="DR35" s="43" t="str">
        <f t="shared" si="32"/>
        <v/>
      </c>
      <c r="DS35" s="43" t="str">
        <f t="shared" si="33"/>
        <v/>
      </c>
      <c r="DT35" s="55"/>
      <c r="DU35" s="43" t="str">
        <f t="shared" ca="1" si="34"/>
        <v/>
      </c>
      <c r="DV35" s="43" t="str">
        <f t="shared" si="35"/>
        <v/>
      </c>
      <c r="DX35" s="44">
        <v>1</v>
      </c>
      <c r="DY35" s="44" t="s">
        <v>774</v>
      </c>
      <c r="DZ35" s="43">
        <f t="shared" si="36"/>
        <v>0.01</v>
      </c>
      <c r="EA35" s="43" t="str">
        <f t="shared" si="37"/>
        <v>M</v>
      </c>
      <c r="EB35" s="43" t="str">
        <f>IF(IFERROR(INDEX(Consulta!$A:$DF,MATCH('MM01'!$B35,Consulta!$C:$C,0),'MM01'!EB$2),"")=0,"7925",IF(IFERROR(INDEX(Consulta!$A:$DF,MATCH('MM01'!$B35,Consulta!$C:$C,0),'MM01'!EB$2),"")="68","7910","7925"))</f>
        <v>7925</v>
      </c>
      <c r="EC35" s="44">
        <v>100</v>
      </c>
      <c r="ED35" s="60">
        <v>1</v>
      </c>
      <c r="EE35" s="43">
        <f t="shared" si="38"/>
        <v>100</v>
      </c>
      <c r="EF35" s="44">
        <v>1</v>
      </c>
      <c r="EG35" s="44">
        <v>0</v>
      </c>
      <c r="EH35" s="44" t="s">
        <v>867</v>
      </c>
      <c r="EI35" s="45">
        <v>0</v>
      </c>
      <c r="EJ35" s="43">
        <f t="shared" si="39"/>
        <v>5000</v>
      </c>
      <c r="EK35" s="65"/>
    </row>
    <row r="36" spans="1:141" x14ac:dyDescent="0.3">
      <c r="A36" s="7" t="str">
        <f t="shared" si="0"/>
        <v>Execução 32</v>
      </c>
      <c r="B36" s="42"/>
      <c r="C36" s="43" t="str">
        <f>IF(IFERROR(INDEX(Consulta!$A:$DF,MATCH('MM01'!$B36,Consulta!$C:$C,0),'MM01'!C$2),"")=0,"",IFERROR(INDEX(Consulta!$A:$DF,MATCH('MM01'!$B36,Consulta!$C:$C,0),'MM01'!C$2),""))</f>
        <v/>
      </c>
      <c r="D36" s="43" t="str">
        <f>IF(IFERROR(INDEX(Consulta!$A:$DF,MATCH('MM01'!$B36,Consulta!$C:$C,0),'MM01'!D$2),"")=0,"",IFERROR(INDEX(Consulta!$A:$DF,MATCH('MM01'!$B36,Consulta!$C:$C,0),'MM01'!D$2),""))</f>
        <v/>
      </c>
      <c r="E36" s="43" t="str">
        <f>IF(IFERROR(INDEX(Consulta!$A:$DF,MATCH('MM01'!$B36,Consulta!$C:$C,0),'MM01'!E$2),"")=0,"",IFERROR(INDEX(Consulta!$A:$DF,MATCH('MM01'!$B36,Consulta!$C:$C,0),'MM01'!E$2),""))</f>
        <v/>
      </c>
      <c r="F36" s="44" t="s">
        <v>100</v>
      </c>
      <c r="G36" s="49" t="str">
        <f>IF(IFERROR(INDEX(Consulta!$A:$DF,MATCH('MM01'!$B36,Consulta!$C:$C,0),'MM01'!G$2),"")=0,"",IFERROR(INDEX(Consulta!$A:$DF,MATCH('MM01'!$B36,Consulta!$C:$C,0),'MM01'!G$2),""))</f>
        <v/>
      </c>
      <c r="H36" s="49" t="str">
        <f>IF(IFERROR(INDEX(Consulta!$A:$DF,MATCH('MM01'!$B36,Consulta!$C:$C,0),'MM01'!H$2),"")=0,"",IFERROR(INDEX(Consulta!$A:$DF,MATCH('MM01'!$B36,Consulta!$C:$C,0),'MM01'!H$2),""))</f>
        <v/>
      </c>
      <c r="I36" s="49" t="str">
        <f t="shared" si="1"/>
        <v/>
      </c>
      <c r="J36" s="49" t="str">
        <f>IF(IFERROR(INDEX(Consulta!$A:$DF,MATCH('MM01'!$B36,Consulta!$C:$C,0),'MM01'!J$2),"")=0,"",IFERROR(INDEX(Consulta!$A:$DF,MATCH('MM01'!$B36,Consulta!$C:$C,0),'MM01'!J$2),""))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IF(IFERROR(INDEX(Consulta!$A:$DF,MATCH('MM01'!$B36,Consulta!$C:$C,0),'MM01'!AP$2),"")=0,"",IFERROR(INDEX(Consulta!$A:$DF,MATCH('MM01'!$B36,Consulta!$C:$C,0),'MM01'!AP$2),""))</f>
        <v/>
      </c>
      <c r="AQ36" s="45"/>
      <c r="AR36" s="43" t="str">
        <f>IF(IFERROR(INDEX(Consulta!$A:$DF,MATCH('MM01'!$B36,Consulta!$C:$C,0),'MM01'!AR$2),"")=0,"",IFERROR(INDEX(Consulta!$A:$DF,MATCH('MM01'!$B36,Consulta!$C:$C,0),'MM01'!AR$2),""))</f>
        <v/>
      </c>
      <c r="AS36" s="43" t="str">
        <f>IF(IFERROR(INDEX(Consulta!$A:$DF,MATCH('MM01'!$B36,Consulta!$C:$C,0),'MM01'!AS$2),"")=0,"",IF(AR36="68",5102,IFERROR(INDEX(Consulta!$A:$DF,MATCH('MM01'!$B36,Consulta!$C:$C,0),'MM01'!AS$2),"")))</f>
        <v/>
      </c>
      <c r="AT36" s="45"/>
      <c r="AU36" s="46" t="str">
        <f t="shared" ca="1" si="3"/>
        <v/>
      </c>
      <c r="AV36" s="47" t="s">
        <v>796</v>
      </c>
      <c r="AW36" s="43" t="str">
        <f>IF(IFERROR(INDEX(Consulta!$A:$DF,MATCH('MM01'!$B36,Consulta!$C:$C,0),'MM01'!AW$2),"")=0,"",IFERROR(ROUND(INDEX(Consulta!$A:$DF,MATCH('MM01'!$B36,Consulta!$C:$C,0),'MM01'!AW$2),3),""))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IF(IFERROR(INDEX(Consulta!$A:$DF,MATCH('MM01'!$B36,Consulta!$C:$C,0),'MM01'!BA$2),"")=0,"",IFERROR(INDEX(Consulta!$A:$DF,MATCH('MM01'!$B36,Consulta!$C:$C,0),'MM01'!BA$2),""))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IF(IFERROR(INDEX(Consulta!$A:$DF,MATCH('MM01'!$B36,Consulta!$C:$C,0),'MM01'!BL$2),"")=0,"",IFERROR(INDEX(Consulta!$A:$DF,MATCH('MM01'!$B36,Consulta!$C:$C,0),'MM01'!BL$2),""))</f>
        <v/>
      </c>
      <c r="BM36" s="45">
        <v>99</v>
      </c>
      <c r="BN36" s="46" t="str">
        <f t="shared" ca="1" si="13"/>
        <v>28.04.2022</v>
      </c>
      <c r="BO36" s="49" t="str">
        <f t="shared" si="14"/>
        <v/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IF(IFERROR(INDEX(Consulta!$A:$DF,MATCH('MM01'!$B36,Consulta!$C:$C,0),'MM01'!BX$2),"")=0,"",IFERROR(INDEX(Consulta!$A:$DF,MATCH('MM01'!$B36,Consulta!$C:$C,0),'MM01'!BX$2),""))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15"/>
        <v/>
      </c>
      <c r="CD36" s="45" t="s">
        <v>430</v>
      </c>
      <c r="CE36" s="45">
        <v>1</v>
      </c>
      <c r="CF36" s="45" t="s">
        <v>496</v>
      </c>
      <c r="CG36" s="45"/>
      <c r="CH36" s="44">
        <v>2</v>
      </c>
      <c r="CI36" s="49" t="str">
        <f t="shared" si="16"/>
        <v/>
      </c>
      <c r="CJ36" s="49" t="str">
        <f t="shared" si="17"/>
        <v/>
      </c>
      <c r="CK36" s="45"/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8"/>
        <v>K00_P_</v>
      </c>
      <c r="CS36" s="45">
        <v>5000</v>
      </c>
      <c r="CT36" s="43" t="str">
        <f>IF(IFERROR(INDEX(Consulta!$A:$DF,MATCH('MM01'!$B36,Consulta!$C:$C,0),'MM01'!CT$2),"")=0,"",IFERROR(INDEX(Consulta!$A:$DF,MATCH('MM01'!$B36,Consulta!$C:$C,0),'MM01'!CT$2),""))</f>
        <v/>
      </c>
      <c r="CU36" s="43" t="str">
        <f>IF(IFERROR(INDEX(Consulta!$A:$DF,MATCH('MM01'!$B36,Consulta!$C:$C,0),'MM01'!CU$2),"")=0,"",IFERROR(INDEX(Consulta!$A:$DF,MATCH('MM01'!$B36,Consulta!$C:$C,0),'MM01'!CU$2),""))</f>
        <v/>
      </c>
      <c r="CV36" s="43" t="str">
        <f>IF(IFERROR(INDEX(Consulta!$A:$DF,MATCH('MM01'!$B36,Consulta!$C:$C,0),'MM01'!CV$2),"")=0,"",IFERROR(INDEX(Consulta!$A:$DF,MATCH('MM01'!$B36,Consulta!$C:$C,0),'MM01'!CV$2),""))</f>
        <v/>
      </c>
      <c r="CW36" s="43" t="str">
        <f>IF(IFERROR(INDEX(Consulta!$A:$DF,MATCH('MM01'!$B36,Consulta!$C:$C,0),'MM01'!CW$2),"")=0,"",IFERROR(INDEX(Consulta!$A:$DF,MATCH('MM01'!$B36,Consulta!$C:$C,0),'MM01'!CW$2),""))</f>
        <v/>
      </c>
      <c r="CX36" s="43" t="str">
        <f t="shared" si="19"/>
        <v/>
      </c>
      <c r="CY36" s="43" t="str">
        <f t="shared" si="20"/>
        <v/>
      </c>
      <c r="CZ36" s="43" t="str">
        <f t="shared" si="21"/>
        <v/>
      </c>
      <c r="DA36" s="43" t="str">
        <f>IF(IFERROR(INDEX(Consulta!$A:$DF,MATCH('MM01'!$B36,Consulta!$C:$C,0),'MM01'!DA$2),"")=0,"",IFERROR(INDEX(Consulta!$A:$DF,MATCH('MM01'!$B36,Consulta!$C:$C,0),'MM01'!DA$2),""))</f>
        <v/>
      </c>
      <c r="DB36" s="43" t="str">
        <f t="shared" si="22"/>
        <v/>
      </c>
      <c r="DC36" s="43" t="str">
        <f>IF(IFERROR(INDEX(Consulta!$A:$DF,MATCH('MM01'!$B36,Consulta!$C:$C,0),'MM01'!DC$2),"")=0,"",IFERROR(INDEX(Consulta!$A:$DF,MATCH('MM01'!$B36,Consulta!$C:$C,0),'MM01'!DC$2),""))</f>
        <v/>
      </c>
      <c r="DD36" s="45">
        <v>0</v>
      </c>
      <c r="DE36" s="45">
        <v>0</v>
      </c>
      <c r="DF36" s="43" t="str">
        <f t="shared" si="23"/>
        <v/>
      </c>
      <c r="DG36" s="43" t="str">
        <f t="shared" si="24"/>
        <v/>
      </c>
      <c r="DH36" s="55"/>
      <c r="DI36" s="43" t="str">
        <f t="shared" ca="1" si="25"/>
        <v/>
      </c>
      <c r="DJ36" s="43" t="str">
        <f t="shared" si="26"/>
        <v/>
      </c>
      <c r="DK36" s="43" t="str">
        <f t="shared" si="27"/>
        <v/>
      </c>
      <c r="DL36" s="55"/>
      <c r="DM36" s="43" t="str">
        <f t="shared" ca="1" si="28"/>
        <v/>
      </c>
      <c r="DN36" s="43" t="str">
        <f t="shared" si="29"/>
        <v/>
      </c>
      <c r="DO36" s="43" t="str">
        <f t="shared" si="30"/>
        <v/>
      </c>
      <c r="DP36" s="55"/>
      <c r="DQ36" s="43" t="str">
        <f t="shared" ca="1" si="31"/>
        <v/>
      </c>
      <c r="DR36" s="43" t="str">
        <f t="shared" si="32"/>
        <v/>
      </c>
      <c r="DS36" s="43" t="str">
        <f t="shared" si="33"/>
        <v/>
      </c>
      <c r="DT36" s="55"/>
      <c r="DU36" s="43" t="str">
        <f t="shared" ca="1" si="34"/>
        <v/>
      </c>
      <c r="DV36" s="43" t="str">
        <f t="shared" si="35"/>
        <v/>
      </c>
      <c r="DX36" s="44">
        <v>1</v>
      </c>
      <c r="DY36" s="44" t="s">
        <v>774</v>
      </c>
      <c r="DZ36" s="43">
        <f t="shared" si="36"/>
        <v>0.01</v>
      </c>
      <c r="EA36" s="43" t="str">
        <f t="shared" si="37"/>
        <v>M</v>
      </c>
      <c r="EB36" s="43" t="str">
        <f>IF(IFERROR(INDEX(Consulta!$A:$DF,MATCH('MM01'!$B36,Consulta!$C:$C,0),'MM01'!EB$2),"")=0,"7925",IF(IFERROR(INDEX(Consulta!$A:$DF,MATCH('MM01'!$B36,Consulta!$C:$C,0),'MM01'!EB$2),"")="68","7910","7925"))</f>
        <v>7925</v>
      </c>
      <c r="EC36" s="44">
        <v>100</v>
      </c>
      <c r="ED36" s="60">
        <v>1</v>
      </c>
      <c r="EE36" s="43">
        <f t="shared" si="38"/>
        <v>100</v>
      </c>
      <c r="EF36" s="44">
        <v>1</v>
      </c>
      <c r="EG36" s="44">
        <v>0</v>
      </c>
      <c r="EH36" s="44" t="s">
        <v>867</v>
      </c>
      <c r="EI36" s="45">
        <v>0</v>
      </c>
      <c r="EJ36" s="43">
        <f t="shared" si="39"/>
        <v>5000</v>
      </c>
      <c r="EK36" s="65"/>
    </row>
    <row r="37" spans="1:141" x14ac:dyDescent="0.3">
      <c r="A37" s="7" t="str">
        <f t="shared" si="0"/>
        <v>Execução 33</v>
      </c>
      <c r="B37" s="42"/>
      <c r="C37" s="43" t="str">
        <f>IF(IFERROR(INDEX(Consulta!$A:$DF,MATCH('MM01'!$B37,Consulta!$C:$C,0),'MM01'!C$2),"")=0,"",IFERROR(INDEX(Consulta!$A:$DF,MATCH('MM01'!$B37,Consulta!$C:$C,0),'MM01'!C$2),""))</f>
        <v/>
      </c>
      <c r="D37" s="43" t="str">
        <f>IF(IFERROR(INDEX(Consulta!$A:$DF,MATCH('MM01'!$B37,Consulta!$C:$C,0),'MM01'!D$2),"")=0,"",IFERROR(INDEX(Consulta!$A:$DF,MATCH('MM01'!$B37,Consulta!$C:$C,0),'MM01'!D$2),""))</f>
        <v/>
      </c>
      <c r="E37" s="43" t="str">
        <f>IF(IFERROR(INDEX(Consulta!$A:$DF,MATCH('MM01'!$B37,Consulta!$C:$C,0),'MM01'!E$2),"")=0,"",IFERROR(INDEX(Consulta!$A:$DF,MATCH('MM01'!$B37,Consulta!$C:$C,0),'MM01'!E$2),""))</f>
        <v/>
      </c>
      <c r="F37" s="44" t="s">
        <v>100</v>
      </c>
      <c r="G37" s="49" t="str">
        <f>IF(IFERROR(INDEX(Consulta!$A:$DF,MATCH('MM01'!$B37,Consulta!$C:$C,0),'MM01'!G$2),"")=0,"",IFERROR(INDEX(Consulta!$A:$DF,MATCH('MM01'!$B37,Consulta!$C:$C,0),'MM01'!G$2),""))</f>
        <v/>
      </c>
      <c r="H37" s="49" t="str">
        <f>IF(IFERROR(INDEX(Consulta!$A:$DF,MATCH('MM01'!$B37,Consulta!$C:$C,0),'MM01'!H$2),"")=0,"",IFERROR(INDEX(Consulta!$A:$DF,MATCH('MM01'!$B37,Consulta!$C:$C,0),'MM01'!H$2),""))</f>
        <v/>
      </c>
      <c r="I37" s="49" t="str">
        <f t="shared" si="1"/>
        <v/>
      </c>
      <c r="J37" s="49" t="str">
        <f>IF(IFERROR(INDEX(Consulta!$A:$DF,MATCH('MM01'!$B37,Consulta!$C:$C,0),'MM01'!J$2),"")=0,"",IFERROR(INDEX(Consulta!$A:$DF,MATCH('MM01'!$B37,Consulta!$C:$C,0),'MM01'!J$2),""))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IF(IFERROR(INDEX(Consulta!$A:$DF,MATCH('MM01'!$B37,Consulta!$C:$C,0),'MM01'!AP$2),"")=0,"",IFERROR(INDEX(Consulta!$A:$DF,MATCH('MM01'!$B37,Consulta!$C:$C,0),'MM01'!AP$2),""))</f>
        <v/>
      </c>
      <c r="AQ37" s="45"/>
      <c r="AR37" s="43" t="str">
        <f>IF(IFERROR(INDEX(Consulta!$A:$DF,MATCH('MM01'!$B37,Consulta!$C:$C,0),'MM01'!AR$2),"")=0,"",IFERROR(INDEX(Consulta!$A:$DF,MATCH('MM01'!$B37,Consulta!$C:$C,0),'MM01'!AR$2),""))</f>
        <v/>
      </c>
      <c r="AS37" s="43" t="str">
        <f>IF(IFERROR(INDEX(Consulta!$A:$DF,MATCH('MM01'!$B37,Consulta!$C:$C,0),'MM01'!AS$2),"")=0,"",IF(AR37="68",5102,IFERROR(INDEX(Consulta!$A:$DF,MATCH('MM01'!$B37,Consulta!$C:$C,0),'MM01'!AS$2),"")))</f>
        <v/>
      </c>
      <c r="AT37" s="45"/>
      <c r="AU37" s="46" t="str">
        <f t="shared" ca="1" si="3"/>
        <v/>
      </c>
      <c r="AV37" s="47" t="s">
        <v>796</v>
      </c>
      <c r="AW37" s="43" t="str">
        <f>IF(IFERROR(INDEX(Consulta!$A:$DF,MATCH('MM01'!$B37,Consulta!$C:$C,0),'MM01'!AW$2),"")=0,"",IFERROR(ROUND(INDEX(Consulta!$A:$DF,MATCH('MM01'!$B37,Consulta!$C:$C,0),'MM01'!AW$2),3),""))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IF(IFERROR(INDEX(Consulta!$A:$DF,MATCH('MM01'!$B37,Consulta!$C:$C,0),'MM01'!BA$2),"")=0,"",IFERROR(INDEX(Consulta!$A:$DF,MATCH('MM01'!$B37,Consulta!$C:$C,0),'MM01'!BA$2),""))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IF(IFERROR(INDEX(Consulta!$A:$DF,MATCH('MM01'!$B37,Consulta!$C:$C,0),'MM01'!BL$2),"")=0,"",IFERROR(INDEX(Consulta!$A:$DF,MATCH('MM01'!$B37,Consulta!$C:$C,0),'MM01'!BL$2),""))</f>
        <v/>
      </c>
      <c r="BM37" s="45">
        <v>99</v>
      </c>
      <c r="BN37" s="46" t="str">
        <f t="shared" ca="1" si="13"/>
        <v>28.04.2022</v>
      </c>
      <c r="BO37" s="49" t="str">
        <f t="shared" si="14"/>
        <v/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IF(IFERROR(INDEX(Consulta!$A:$DF,MATCH('MM01'!$B37,Consulta!$C:$C,0),'MM01'!BX$2),"")=0,"",IFERROR(INDEX(Consulta!$A:$DF,MATCH('MM01'!$B37,Consulta!$C:$C,0),'MM01'!BX$2),""))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15"/>
        <v/>
      </c>
      <c r="CD37" s="45" t="s">
        <v>430</v>
      </c>
      <c r="CE37" s="45">
        <v>1</v>
      </c>
      <c r="CF37" s="45" t="s">
        <v>496</v>
      </c>
      <c r="CG37" s="45"/>
      <c r="CH37" s="44">
        <v>2</v>
      </c>
      <c r="CI37" s="49" t="str">
        <f t="shared" si="16"/>
        <v/>
      </c>
      <c r="CJ37" s="49" t="str">
        <f t="shared" si="17"/>
        <v/>
      </c>
      <c r="CK37" s="45"/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si="18"/>
        <v>K00_P_</v>
      </c>
      <c r="CS37" s="45">
        <v>5000</v>
      </c>
      <c r="CT37" s="43" t="str">
        <f>IF(IFERROR(INDEX(Consulta!$A:$DF,MATCH('MM01'!$B37,Consulta!$C:$C,0),'MM01'!CT$2),"")=0,"",IFERROR(INDEX(Consulta!$A:$DF,MATCH('MM01'!$B37,Consulta!$C:$C,0),'MM01'!CT$2),""))</f>
        <v/>
      </c>
      <c r="CU37" s="43" t="str">
        <f>IF(IFERROR(INDEX(Consulta!$A:$DF,MATCH('MM01'!$B37,Consulta!$C:$C,0),'MM01'!CU$2),"")=0,"",IFERROR(INDEX(Consulta!$A:$DF,MATCH('MM01'!$B37,Consulta!$C:$C,0),'MM01'!CU$2),""))</f>
        <v/>
      </c>
      <c r="CV37" s="43" t="str">
        <f>IF(IFERROR(INDEX(Consulta!$A:$DF,MATCH('MM01'!$B37,Consulta!$C:$C,0),'MM01'!CV$2),"")=0,"",IFERROR(INDEX(Consulta!$A:$DF,MATCH('MM01'!$B37,Consulta!$C:$C,0),'MM01'!CV$2),""))</f>
        <v/>
      </c>
      <c r="CW37" s="43" t="str">
        <f>IF(IFERROR(INDEX(Consulta!$A:$DF,MATCH('MM01'!$B37,Consulta!$C:$C,0),'MM01'!CW$2),"")=0,"",IFERROR(INDEX(Consulta!$A:$DF,MATCH('MM01'!$B37,Consulta!$C:$C,0),'MM01'!CW$2),""))</f>
        <v/>
      </c>
      <c r="CX37" s="43" t="str">
        <f t="shared" si="19"/>
        <v/>
      </c>
      <c r="CY37" s="43" t="str">
        <f t="shared" si="20"/>
        <v/>
      </c>
      <c r="CZ37" s="43" t="str">
        <f t="shared" si="21"/>
        <v/>
      </c>
      <c r="DA37" s="43" t="str">
        <f>IF(IFERROR(INDEX(Consulta!$A:$DF,MATCH('MM01'!$B37,Consulta!$C:$C,0),'MM01'!DA$2),"")=0,"",IFERROR(INDEX(Consulta!$A:$DF,MATCH('MM01'!$B37,Consulta!$C:$C,0),'MM01'!DA$2),""))</f>
        <v/>
      </c>
      <c r="DB37" s="43" t="str">
        <f t="shared" si="22"/>
        <v/>
      </c>
      <c r="DC37" s="43" t="str">
        <f>IF(IFERROR(INDEX(Consulta!$A:$DF,MATCH('MM01'!$B37,Consulta!$C:$C,0),'MM01'!DC$2),"")=0,"",IFERROR(INDEX(Consulta!$A:$DF,MATCH('MM01'!$B37,Consulta!$C:$C,0),'MM01'!DC$2),""))</f>
        <v/>
      </c>
      <c r="DD37" s="45">
        <v>0</v>
      </c>
      <c r="DE37" s="45">
        <v>0</v>
      </c>
      <c r="DF37" s="43" t="str">
        <f t="shared" si="23"/>
        <v/>
      </c>
      <c r="DG37" s="43" t="str">
        <f t="shared" si="24"/>
        <v/>
      </c>
      <c r="DH37" s="55"/>
      <c r="DI37" s="43" t="str">
        <f t="shared" ca="1" si="25"/>
        <v/>
      </c>
      <c r="DJ37" s="43" t="str">
        <f t="shared" si="26"/>
        <v/>
      </c>
      <c r="DK37" s="43" t="str">
        <f t="shared" si="27"/>
        <v/>
      </c>
      <c r="DL37" s="55"/>
      <c r="DM37" s="43" t="str">
        <f t="shared" ca="1" si="28"/>
        <v/>
      </c>
      <c r="DN37" s="43" t="str">
        <f t="shared" si="29"/>
        <v/>
      </c>
      <c r="DO37" s="43" t="str">
        <f t="shared" si="30"/>
        <v/>
      </c>
      <c r="DP37" s="55"/>
      <c r="DQ37" s="43" t="str">
        <f t="shared" ca="1" si="31"/>
        <v/>
      </c>
      <c r="DR37" s="43" t="str">
        <f t="shared" si="32"/>
        <v/>
      </c>
      <c r="DS37" s="43" t="str">
        <f t="shared" si="33"/>
        <v/>
      </c>
      <c r="DT37" s="55"/>
      <c r="DU37" s="43" t="str">
        <f t="shared" ca="1" si="34"/>
        <v/>
      </c>
      <c r="DV37" s="43" t="str">
        <f t="shared" si="35"/>
        <v/>
      </c>
      <c r="DX37" s="44">
        <v>1</v>
      </c>
      <c r="DY37" s="44" t="s">
        <v>774</v>
      </c>
      <c r="DZ37" s="43">
        <f t="shared" si="36"/>
        <v>0.01</v>
      </c>
      <c r="EA37" s="43" t="str">
        <f t="shared" si="37"/>
        <v>M</v>
      </c>
      <c r="EB37" s="43" t="str">
        <f>IF(IFERROR(INDEX(Consulta!$A:$DF,MATCH('MM01'!$B37,Consulta!$C:$C,0),'MM01'!EB$2),"")=0,"7925",IF(IFERROR(INDEX(Consulta!$A:$DF,MATCH('MM01'!$B37,Consulta!$C:$C,0),'MM01'!EB$2),"")="68","7910","7925"))</f>
        <v>7925</v>
      </c>
      <c r="EC37" s="44">
        <v>100</v>
      </c>
      <c r="ED37" s="60">
        <v>1</v>
      </c>
      <c r="EE37" s="43">
        <f t="shared" si="38"/>
        <v>100</v>
      </c>
      <c r="EF37" s="44">
        <v>1</v>
      </c>
      <c r="EG37" s="44">
        <v>0</v>
      </c>
      <c r="EH37" s="44" t="s">
        <v>867</v>
      </c>
      <c r="EI37" s="45">
        <v>0</v>
      </c>
      <c r="EJ37" s="43">
        <f t="shared" si="39"/>
        <v>5000</v>
      </c>
      <c r="EK37" s="65"/>
    </row>
    <row r="38" spans="1:141" x14ac:dyDescent="0.3">
      <c r="A38" s="7" t="str">
        <f t="shared" si="0"/>
        <v>Execução 34</v>
      </c>
      <c r="B38" s="42"/>
      <c r="C38" s="43" t="str">
        <f>IF(IFERROR(INDEX(Consulta!$A:$DF,MATCH('MM01'!$B38,Consulta!$C:$C,0),'MM01'!C$2),"")=0,"",IFERROR(INDEX(Consulta!$A:$DF,MATCH('MM01'!$B38,Consulta!$C:$C,0),'MM01'!C$2),""))</f>
        <v/>
      </c>
      <c r="D38" s="43" t="str">
        <f>IF(IFERROR(INDEX(Consulta!$A:$DF,MATCH('MM01'!$B38,Consulta!$C:$C,0),'MM01'!D$2),"")=0,"",IFERROR(INDEX(Consulta!$A:$DF,MATCH('MM01'!$B38,Consulta!$C:$C,0),'MM01'!D$2),""))</f>
        <v/>
      </c>
      <c r="E38" s="43" t="str">
        <f>IF(IFERROR(INDEX(Consulta!$A:$DF,MATCH('MM01'!$B38,Consulta!$C:$C,0),'MM01'!E$2),"")=0,"",IFERROR(INDEX(Consulta!$A:$DF,MATCH('MM01'!$B38,Consulta!$C:$C,0),'MM01'!E$2),""))</f>
        <v/>
      </c>
      <c r="F38" s="44" t="s">
        <v>100</v>
      </c>
      <c r="G38" s="49" t="str">
        <f>IF(IFERROR(INDEX(Consulta!$A:$DF,MATCH('MM01'!$B38,Consulta!$C:$C,0),'MM01'!G$2),"")=0,"",IFERROR(INDEX(Consulta!$A:$DF,MATCH('MM01'!$B38,Consulta!$C:$C,0),'MM01'!G$2),""))</f>
        <v/>
      </c>
      <c r="H38" s="49" t="str">
        <f>IF(IFERROR(INDEX(Consulta!$A:$DF,MATCH('MM01'!$B38,Consulta!$C:$C,0),'MM01'!H$2),"")=0,"",IFERROR(INDEX(Consulta!$A:$DF,MATCH('MM01'!$B38,Consulta!$C:$C,0),'MM01'!H$2),""))</f>
        <v/>
      </c>
      <c r="I38" s="49" t="str">
        <f t="shared" si="1"/>
        <v/>
      </c>
      <c r="J38" s="49" t="str">
        <f>IF(IFERROR(INDEX(Consulta!$A:$DF,MATCH('MM01'!$B38,Consulta!$C:$C,0),'MM01'!J$2),"")=0,"",IFERROR(INDEX(Consulta!$A:$DF,MATCH('MM01'!$B38,Consulta!$C:$C,0),'MM01'!J$2),""))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IF(IFERROR(INDEX(Consulta!$A:$DF,MATCH('MM01'!$B38,Consulta!$C:$C,0),'MM01'!AP$2),"")=0,"",IFERROR(INDEX(Consulta!$A:$DF,MATCH('MM01'!$B38,Consulta!$C:$C,0),'MM01'!AP$2),""))</f>
        <v/>
      </c>
      <c r="AQ38" s="45"/>
      <c r="AR38" s="43" t="str">
        <f>IF(IFERROR(INDEX(Consulta!$A:$DF,MATCH('MM01'!$B38,Consulta!$C:$C,0),'MM01'!AR$2),"")=0,"",IFERROR(INDEX(Consulta!$A:$DF,MATCH('MM01'!$B38,Consulta!$C:$C,0),'MM01'!AR$2),""))</f>
        <v/>
      </c>
      <c r="AS38" s="43" t="str">
        <f>IF(IFERROR(INDEX(Consulta!$A:$DF,MATCH('MM01'!$B38,Consulta!$C:$C,0),'MM01'!AS$2),"")=0,"",IF(AR38="68",5102,IFERROR(INDEX(Consulta!$A:$DF,MATCH('MM01'!$B38,Consulta!$C:$C,0),'MM01'!AS$2),"")))</f>
        <v/>
      </c>
      <c r="AT38" s="45"/>
      <c r="AU38" s="46" t="str">
        <f t="shared" ca="1" si="3"/>
        <v/>
      </c>
      <c r="AV38" s="47" t="s">
        <v>796</v>
      </c>
      <c r="AW38" s="43" t="str">
        <f>IF(IFERROR(INDEX(Consulta!$A:$DF,MATCH('MM01'!$B38,Consulta!$C:$C,0),'MM01'!AW$2),"")=0,"",IFERROR(ROUND(INDEX(Consulta!$A:$DF,MATCH('MM01'!$B38,Consulta!$C:$C,0),'MM01'!AW$2),3),""))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IF(IFERROR(INDEX(Consulta!$A:$DF,MATCH('MM01'!$B38,Consulta!$C:$C,0),'MM01'!BA$2),"")=0,"",IFERROR(INDEX(Consulta!$A:$DF,MATCH('MM01'!$B38,Consulta!$C:$C,0),'MM01'!BA$2),""))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IF(IFERROR(INDEX(Consulta!$A:$DF,MATCH('MM01'!$B38,Consulta!$C:$C,0),'MM01'!BL$2),"")=0,"",IFERROR(INDEX(Consulta!$A:$DF,MATCH('MM01'!$B38,Consulta!$C:$C,0),'MM01'!BL$2),""))</f>
        <v/>
      </c>
      <c r="BM38" s="45">
        <v>99</v>
      </c>
      <c r="BN38" s="46" t="str">
        <f t="shared" ca="1" si="13"/>
        <v>28.04.2022</v>
      </c>
      <c r="BO38" s="49" t="str">
        <f t="shared" si="14"/>
        <v/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IF(IFERROR(INDEX(Consulta!$A:$DF,MATCH('MM01'!$B38,Consulta!$C:$C,0),'MM01'!BX$2),"")=0,"",IFERROR(INDEX(Consulta!$A:$DF,MATCH('MM01'!$B38,Consulta!$C:$C,0),'MM01'!BX$2),""))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15"/>
        <v/>
      </c>
      <c r="CD38" s="45" t="s">
        <v>430</v>
      </c>
      <c r="CE38" s="45">
        <v>1</v>
      </c>
      <c r="CF38" s="45" t="s">
        <v>496</v>
      </c>
      <c r="CG38" s="45"/>
      <c r="CH38" s="44">
        <v>2</v>
      </c>
      <c r="CI38" s="49" t="str">
        <f t="shared" si="16"/>
        <v/>
      </c>
      <c r="CJ38" s="49" t="str">
        <f t="shared" si="17"/>
        <v/>
      </c>
      <c r="CK38" s="45"/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18"/>
        <v>K00_P_</v>
      </c>
      <c r="CS38" s="45">
        <v>5000</v>
      </c>
      <c r="CT38" s="43" t="str">
        <f>IF(IFERROR(INDEX(Consulta!$A:$DF,MATCH('MM01'!$B38,Consulta!$C:$C,0),'MM01'!CT$2),"")=0,"",IFERROR(INDEX(Consulta!$A:$DF,MATCH('MM01'!$B38,Consulta!$C:$C,0),'MM01'!CT$2),""))</f>
        <v/>
      </c>
      <c r="CU38" s="43" t="str">
        <f>IF(IFERROR(INDEX(Consulta!$A:$DF,MATCH('MM01'!$B38,Consulta!$C:$C,0),'MM01'!CU$2),"")=0,"",IFERROR(INDEX(Consulta!$A:$DF,MATCH('MM01'!$B38,Consulta!$C:$C,0),'MM01'!CU$2),""))</f>
        <v/>
      </c>
      <c r="CV38" s="43" t="str">
        <f>IF(IFERROR(INDEX(Consulta!$A:$DF,MATCH('MM01'!$B38,Consulta!$C:$C,0),'MM01'!CV$2),"")=0,"",IFERROR(INDEX(Consulta!$A:$DF,MATCH('MM01'!$B38,Consulta!$C:$C,0),'MM01'!CV$2),""))</f>
        <v/>
      </c>
      <c r="CW38" s="43" t="str">
        <f>IF(IFERROR(INDEX(Consulta!$A:$DF,MATCH('MM01'!$B38,Consulta!$C:$C,0),'MM01'!CW$2),"")=0,"",IFERROR(INDEX(Consulta!$A:$DF,MATCH('MM01'!$B38,Consulta!$C:$C,0),'MM01'!CW$2),""))</f>
        <v/>
      </c>
      <c r="CX38" s="43" t="str">
        <f t="shared" si="19"/>
        <v/>
      </c>
      <c r="CY38" s="43" t="str">
        <f t="shared" si="20"/>
        <v/>
      </c>
      <c r="CZ38" s="43" t="str">
        <f t="shared" si="21"/>
        <v/>
      </c>
      <c r="DA38" s="43" t="str">
        <f>IF(IFERROR(INDEX(Consulta!$A:$DF,MATCH('MM01'!$B38,Consulta!$C:$C,0),'MM01'!DA$2),"")=0,"",IFERROR(INDEX(Consulta!$A:$DF,MATCH('MM01'!$B38,Consulta!$C:$C,0),'MM01'!DA$2),""))</f>
        <v/>
      </c>
      <c r="DB38" s="43" t="str">
        <f t="shared" si="22"/>
        <v/>
      </c>
      <c r="DC38" s="43" t="str">
        <f>IF(IFERROR(INDEX(Consulta!$A:$DF,MATCH('MM01'!$B38,Consulta!$C:$C,0),'MM01'!DC$2),"")=0,"",IFERROR(INDEX(Consulta!$A:$DF,MATCH('MM01'!$B38,Consulta!$C:$C,0),'MM01'!DC$2),""))</f>
        <v/>
      </c>
      <c r="DD38" s="45">
        <v>0</v>
      </c>
      <c r="DE38" s="45">
        <v>0</v>
      </c>
      <c r="DF38" s="43" t="str">
        <f t="shared" si="23"/>
        <v/>
      </c>
      <c r="DG38" s="43" t="str">
        <f t="shared" si="24"/>
        <v/>
      </c>
      <c r="DH38" s="55"/>
      <c r="DI38" s="43" t="str">
        <f t="shared" ca="1" si="25"/>
        <v/>
      </c>
      <c r="DJ38" s="43" t="str">
        <f t="shared" si="26"/>
        <v/>
      </c>
      <c r="DK38" s="43" t="str">
        <f t="shared" si="27"/>
        <v/>
      </c>
      <c r="DL38" s="55"/>
      <c r="DM38" s="43" t="str">
        <f t="shared" ca="1" si="28"/>
        <v/>
      </c>
      <c r="DN38" s="43" t="str">
        <f t="shared" si="29"/>
        <v/>
      </c>
      <c r="DO38" s="43" t="str">
        <f t="shared" si="30"/>
        <v/>
      </c>
      <c r="DP38" s="55"/>
      <c r="DQ38" s="43" t="str">
        <f t="shared" ca="1" si="31"/>
        <v/>
      </c>
      <c r="DR38" s="43" t="str">
        <f t="shared" si="32"/>
        <v/>
      </c>
      <c r="DS38" s="43" t="str">
        <f t="shared" si="33"/>
        <v/>
      </c>
      <c r="DT38" s="55"/>
      <c r="DU38" s="43" t="str">
        <f t="shared" ca="1" si="34"/>
        <v/>
      </c>
      <c r="DV38" s="43" t="str">
        <f t="shared" si="35"/>
        <v/>
      </c>
      <c r="DX38" s="44">
        <v>1</v>
      </c>
      <c r="DY38" s="44" t="s">
        <v>774</v>
      </c>
      <c r="DZ38" s="43">
        <f t="shared" si="36"/>
        <v>0.01</v>
      </c>
      <c r="EA38" s="43" t="str">
        <f t="shared" si="37"/>
        <v>M</v>
      </c>
      <c r="EB38" s="43" t="str">
        <f>IF(IFERROR(INDEX(Consulta!$A:$DF,MATCH('MM01'!$B38,Consulta!$C:$C,0),'MM01'!EB$2),"")=0,"7925",IF(IFERROR(INDEX(Consulta!$A:$DF,MATCH('MM01'!$B38,Consulta!$C:$C,0),'MM01'!EB$2),"")="68","7910","7925"))</f>
        <v>7925</v>
      </c>
      <c r="EC38" s="44">
        <v>100</v>
      </c>
      <c r="ED38" s="60">
        <v>1</v>
      </c>
      <c r="EE38" s="43">
        <f t="shared" si="38"/>
        <v>100</v>
      </c>
      <c r="EF38" s="44">
        <v>1</v>
      </c>
      <c r="EG38" s="44">
        <v>0</v>
      </c>
      <c r="EH38" s="44" t="s">
        <v>867</v>
      </c>
      <c r="EI38" s="45">
        <v>0</v>
      </c>
      <c r="EJ38" s="43">
        <f t="shared" si="39"/>
        <v>5000</v>
      </c>
      <c r="EK38" s="65"/>
    </row>
    <row r="39" spans="1:141" x14ac:dyDescent="0.3">
      <c r="A39" s="7" t="str">
        <f t="shared" si="0"/>
        <v>Execução 35</v>
      </c>
      <c r="B39" s="42"/>
      <c r="C39" s="43" t="str">
        <f>IF(IFERROR(INDEX(Consulta!$A:$DF,MATCH('MM01'!$B39,Consulta!$C:$C,0),'MM01'!C$2),"")=0,"",IFERROR(INDEX(Consulta!$A:$DF,MATCH('MM01'!$B39,Consulta!$C:$C,0),'MM01'!C$2),""))</f>
        <v/>
      </c>
      <c r="D39" s="43" t="str">
        <f>IF(IFERROR(INDEX(Consulta!$A:$DF,MATCH('MM01'!$B39,Consulta!$C:$C,0),'MM01'!D$2),"")=0,"",IFERROR(INDEX(Consulta!$A:$DF,MATCH('MM01'!$B39,Consulta!$C:$C,0),'MM01'!D$2),""))</f>
        <v/>
      </c>
      <c r="E39" s="43" t="str">
        <f>IF(IFERROR(INDEX(Consulta!$A:$DF,MATCH('MM01'!$B39,Consulta!$C:$C,0),'MM01'!E$2),"")=0,"",IFERROR(INDEX(Consulta!$A:$DF,MATCH('MM01'!$B39,Consulta!$C:$C,0),'MM01'!E$2),""))</f>
        <v/>
      </c>
      <c r="F39" s="44" t="s">
        <v>100</v>
      </c>
      <c r="G39" s="49" t="str">
        <f>IF(IFERROR(INDEX(Consulta!$A:$DF,MATCH('MM01'!$B39,Consulta!$C:$C,0),'MM01'!G$2),"")=0,"",IFERROR(INDEX(Consulta!$A:$DF,MATCH('MM01'!$B39,Consulta!$C:$C,0),'MM01'!G$2),""))</f>
        <v/>
      </c>
      <c r="H39" s="49" t="str">
        <f>IF(IFERROR(INDEX(Consulta!$A:$DF,MATCH('MM01'!$B39,Consulta!$C:$C,0),'MM01'!H$2),"")=0,"",IFERROR(INDEX(Consulta!$A:$DF,MATCH('MM01'!$B39,Consulta!$C:$C,0),'MM01'!H$2),""))</f>
        <v/>
      </c>
      <c r="I39" s="49" t="str">
        <f t="shared" si="1"/>
        <v/>
      </c>
      <c r="J39" s="49" t="str">
        <f>IF(IFERROR(INDEX(Consulta!$A:$DF,MATCH('MM01'!$B39,Consulta!$C:$C,0),'MM01'!J$2),"")=0,"",IFERROR(INDEX(Consulta!$A:$DF,MATCH('MM01'!$B39,Consulta!$C:$C,0),'MM01'!J$2),""))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IF(IFERROR(INDEX(Consulta!$A:$DF,MATCH('MM01'!$B39,Consulta!$C:$C,0),'MM01'!AP$2),"")=0,"",IFERROR(INDEX(Consulta!$A:$DF,MATCH('MM01'!$B39,Consulta!$C:$C,0),'MM01'!AP$2),""))</f>
        <v/>
      </c>
      <c r="AQ39" s="45"/>
      <c r="AR39" s="43" t="str">
        <f>IF(IFERROR(INDEX(Consulta!$A:$DF,MATCH('MM01'!$B39,Consulta!$C:$C,0),'MM01'!AR$2),"")=0,"",IFERROR(INDEX(Consulta!$A:$DF,MATCH('MM01'!$B39,Consulta!$C:$C,0),'MM01'!AR$2),""))</f>
        <v/>
      </c>
      <c r="AS39" s="43" t="str">
        <f>IF(IFERROR(INDEX(Consulta!$A:$DF,MATCH('MM01'!$B39,Consulta!$C:$C,0),'MM01'!AS$2),"")=0,"",IF(AR39="68",5102,IFERROR(INDEX(Consulta!$A:$DF,MATCH('MM01'!$B39,Consulta!$C:$C,0),'MM01'!AS$2),"")))</f>
        <v/>
      </c>
      <c r="AT39" s="45"/>
      <c r="AU39" s="46" t="str">
        <f t="shared" ca="1" si="3"/>
        <v/>
      </c>
      <c r="AV39" s="47" t="s">
        <v>796</v>
      </c>
      <c r="AW39" s="43" t="str">
        <f>IF(IFERROR(INDEX(Consulta!$A:$DF,MATCH('MM01'!$B39,Consulta!$C:$C,0),'MM01'!AW$2),"")=0,"",IFERROR(ROUND(INDEX(Consulta!$A:$DF,MATCH('MM01'!$B39,Consulta!$C:$C,0),'MM01'!AW$2),3),""))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IF(IFERROR(INDEX(Consulta!$A:$DF,MATCH('MM01'!$B39,Consulta!$C:$C,0),'MM01'!BA$2),"")=0,"",IFERROR(INDEX(Consulta!$A:$DF,MATCH('MM01'!$B39,Consulta!$C:$C,0),'MM01'!BA$2),""))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IF(IFERROR(INDEX(Consulta!$A:$DF,MATCH('MM01'!$B39,Consulta!$C:$C,0),'MM01'!BL$2),"")=0,"",IFERROR(INDEX(Consulta!$A:$DF,MATCH('MM01'!$B39,Consulta!$C:$C,0),'MM01'!BL$2),""))</f>
        <v/>
      </c>
      <c r="BM39" s="45">
        <v>99</v>
      </c>
      <c r="BN39" s="46" t="str">
        <f t="shared" ca="1" si="13"/>
        <v>28.04.2022</v>
      </c>
      <c r="BO39" s="49" t="str">
        <f t="shared" si="14"/>
        <v/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IF(IFERROR(INDEX(Consulta!$A:$DF,MATCH('MM01'!$B39,Consulta!$C:$C,0),'MM01'!BX$2),"")=0,"",IFERROR(INDEX(Consulta!$A:$DF,MATCH('MM01'!$B39,Consulta!$C:$C,0),'MM01'!BX$2),""))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15"/>
        <v/>
      </c>
      <c r="CD39" s="45" t="s">
        <v>430</v>
      </c>
      <c r="CE39" s="45">
        <v>1</v>
      </c>
      <c r="CF39" s="45" t="s">
        <v>496</v>
      </c>
      <c r="CG39" s="45"/>
      <c r="CH39" s="44">
        <v>2</v>
      </c>
      <c r="CI39" s="49" t="str">
        <f t="shared" si="16"/>
        <v/>
      </c>
      <c r="CJ39" s="49" t="str">
        <f t="shared" si="17"/>
        <v/>
      </c>
      <c r="CK39" s="45"/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18"/>
        <v>K00_P_</v>
      </c>
      <c r="CS39" s="45">
        <v>5000</v>
      </c>
      <c r="CT39" s="43" t="str">
        <f>IF(IFERROR(INDEX(Consulta!$A:$DF,MATCH('MM01'!$B39,Consulta!$C:$C,0),'MM01'!CT$2),"")=0,"",IFERROR(INDEX(Consulta!$A:$DF,MATCH('MM01'!$B39,Consulta!$C:$C,0),'MM01'!CT$2),""))</f>
        <v/>
      </c>
      <c r="CU39" s="43" t="str">
        <f>IF(IFERROR(INDEX(Consulta!$A:$DF,MATCH('MM01'!$B39,Consulta!$C:$C,0),'MM01'!CU$2),"")=0,"",IFERROR(INDEX(Consulta!$A:$DF,MATCH('MM01'!$B39,Consulta!$C:$C,0),'MM01'!CU$2),""))</f>
        <v/>
      </c>
      <c r="CV39" s="43" t="str">
        <f>IF(IFERROR(INDEX(Consulta!$A:$DF,MATCH('MM01'!$B39,Consulta!$C:$C,0),'MM01'!CV$2),"")=0,"",IFERROR(INDEX(Consulta!$A:$DF,MATCH('MM01'!$B39,Consulta!$C:$C,0),'MM01'!CV$2),""))</f>
        <v/>
      </c>
      <c r="CW39" s="43" t="str">
        <f>IF(IFERROR(INDEX(Consulta!$A:$DF,MATCH('MM01'!$B39,Consulta!$C:$C,0),'MM01'!CW$2),"")=0,"",IFERROR(INDEX(Consulta!$A:$DF,MATCH('MM01'!$B39,Consulta!$C:$C,0),'MM01'!CW$2),""))</f>
        <v/>
      </c>
      <c r="CX39" s="43" t="str">
        <f t="shared" si="19"/>
        <v/>
      </c>
      <c r="CY39" s="43" t="str">
        <f t="shared" si="20"/>
        <v/>
      </c>
      <c r="CZ39" s="43" t="str">
        <f t="shared" si="21"/>
        <v/>
      </c>
      <c r="DA39" s="43" t="str">
        <f>IF(IFERROR(INDEX(Consulta!$A:$DF,MATCH('MM01'!$B39,Consulta!$C:$C,0),'MM01'!DA$2),"")=0,"",IFERROR(INDEX(Consulta!$A:$DF,MATCH('MM01'!$B39,Consulta!$C:$C,0),'MM01'!DA$2),""))</f>
        <v/>
      </c>
      <c r="DB39" s="43" t="str">
        <f t="shared" si="22"/>
        <v/>
      </c>
      <c r="DC39" s="43" t="str">
        <f>IF(IFERROR(INDEX(Consulta!$A:$DF,MATCH('MM01'!$B39,Consulta!$C:$C,0),'MM01'!DC$2),"")=0,"",IFERROR(INDEX(Consulta!$A:$DF,MATCH('MM01'!$B39,Consulta!$C:$C,0),'MM01'!DC$2),""))</f>
        <v/>
      </c>
      <c r="DD39" s="45">
        <v>0</v>
      </c>
      <c r="DE39" s="45">
        <v>0</v>
      </c>
      <c r="DF39" s="43" t="str">
        <f t="shared" si="23"/>
        <v/>
      </c>
      <c r="DG39" s="43" t="str">
        <f t="shared" si="24"/>
        <v/>
      </c>
      <c r="DH39" s="55"/>
      <c r="DI39" s="43" t="str">
        <f t="shared" ca="1" si="25"/>
        <v/>
      </c>
      <c r="DJ39" s="43" t="str">
        <f t="shared" si="26"/>
        <v/>
      </c>
      <c r="DK39" s="43" t="str">
        <f t="shared" si="27"/>
        <v/>
      </c>
      <c r="DL39" s="55"/>
      <c r="DM39" s="43" t="str">
        <f t="shared" ca="1" si="28"/>
        <v/>
      </c>
      <c r="DN39" s="43" t="str">
        <f t="shared" si="29"/>
        <v/>
      </c>
      <c r="DO39" s="43" t="str">
        <f t="shared" si="30"/>
        <v/>
      </c>
      <c r="DP39" s="55"/>
      <c r="DQ39" s="43" t="str">
        <f t="shared" ca="1" si="31"/>
        <v/>
      </c>
      <c r="DR39" s="43" t="str">
        <f t="shared" si="32"/>
        <v/>
      </c>
      <c r="DS39" s="43" t="str">
        <f t="shared" si="33"/>
        <v/>
      </c>
      <c r="DT39" s="55"/>
      <c r="DU39" s="43" t="str">
        <f t="shared" ca="1" si="34"/>
        <v/>
      </c>
      <c r="DV39" s="43" t="str">
        <f t="shared" si="35"/>
        <v/>
      </c>
      <c r="DX39" s="44">
        <v>1</v>
      </c>
      <c r="DY39" s="44" t="s">
        <v>774</v>
      </c>
      <c r="DZ39" s="43">
        <f t="shared" si="36"/>
        <v>0.01</v>
      </c>
      <c r="EA39" s="43" t="str">
        <f t="shared" si="37"/>
        <v>M</v>
      </c>
      <c r="EB39" s="43" t="str">
        <f>IF(IFERROR(INDEX(Consulta!$A:$DF,MATCH('MM01'!$B39,Consulta!$C:$C,0),'MM01'!EB$2),"")=0,"7925",IF(IFERROR(INDEX(Consulta!$A:$DF,MATCH('MM01'!$B39,Consulta!$C:$C,0),'MM01'!EB$2),"")="68","7910","7925"))</f>
        <v>7925</v>
      </c>
      <c r="EC39" s="44">
        <v>100</v>
      </c>
      <c r="ED39" s="60">
        <v>1</v>
      </c>
      <c r="EE39" s="43">
        <f t="shared" si="38"/>
        <v>100</v>
      </c>
      <c r="EF39" s="44">
        <v>1</v>
      </c>
      <c r="EG39" s="44">
        <v>0</v>
      </c>
      <c r="EH39" s="44" t="s">
        <v>867</v>
      </c>
      <c r="EI39" s="45">
        <v>0</v>
      </c>
      <c r="EJ39" s="43">
        <f t="shared" si="39"/>
        <v>5000</v>
      </c>
      <c r="EK39" s="65"/>
    </row>
    <row r="40" spans="1:141" x14ac:dyDescent="0.3">
      <c r="A40" s="7" t="str">
        <f t="shared" si="0"/>
        <v>Execução 36</v>
      </c>
      <c r="B40" s="42"/>
      <c r="C40" s="43" t="str">
        <f>IF(IFERROR(INDEX(Consulta!$A:$DF,MATCH('MM01'!$B40,Consulta!$C:$C,0),'MM01'!C$2),"")=0,"",IFERROR(INDEX(Consulta!$A:$DF,MATCH('MM01'!$B40,Consulta!$C:$C,0),'MM01'!C$2),""))</f>
        <v/>
      </c>
      <c r="D40" s="43" t="str">
        <f>IF(IFERROR(INDEX(Consulta!$A:$DF,MATCH('MM01'!$B40,Consulta!$C:$C,0),'MM01'!D$2),"")=0,"",IFERROR(INDEX(Consulta!$A:$DF,MATCH('MM01'!$B40,Consulta!$C:$C,0),'MM01'!D$2),""))</f>
        <v/>
      </c>
      <c r="E40" s="43" t="str">
        <f>IF(IFERROR(INDEX(Consulta!$A:$DF,MATCH('MM01'!$B40,Consulta!$C:$C,0),'MM01'!E$2),"")=0,"",IFERROR(INDEX(Consulta!$A:$DF,MATCH('MM01'!$B40,Consulta!$C:$C,0),'MM01'!E$2),""))</f>
        <v/>
      </c>
      <c r="F40" s="44" t="s">
        <v>100</v>
      </c>
      <c r="G40" s="49" t="str">
        <f>IF(IFERROR(INDEX(Consulta!$A:$DF,MATCH('MM01'!$B40,Consulta!$C:$C,0),'MM01'!G$2),"")=0,"",IFERROR(INDEX(Consulta!$A:$DF,MATCH('MM01'!$B40,Consulta!$C:$C,0),'MM01'!G$2),""))</f>
        <v/>
      </c>
      <c r="H40" s="49" t="str">
        <f>IF(IFERROR(INDEX(Consulta!$A:$DF,MATCH('MM01'!$B40,Consulta!$C:$C,0),'MM01'!H$2),"")=0,"",IFERROR(INDEX(Consulta!$A:$DF,MATCH('MM01'!$B40,Consulta!$C:$C,0),'MM01'!H$2),""))</f>
        <v/>
      </c>
      <c r="I40" s="49" t="str">
        <f t="shared" si="1"/>
        <v/>
      </c>
      <c r="J40" s="49" t="str">
        <f>IF(IFERROR(INDEX(Consulta!$A:$DF,MATCH('MM01'!$B40,Consulta!$C:$C,0),'MM01'!J$2),"")=0,"",IFERROR(INDEX(Consulta!$A:$DF,MATCH('MM01'!$B40,Consulta!$C:$C,0),'MM01'!J$2),""))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IF(IFERROR(INDEX(Consulta!$A:$DF,MATCH('MM01'!$B40,Consulta!$C:$C,0),'MM01'!AP$2),"")=0,"",IFERROR(INDEX(Consulta!$A:$DF,MATCH('MM01'!$B40,Consulta!$C:$C,0),'MM01'!AP$2),""))</f>
        <v/>
      </c>
      <c r="AQ40" s="45"/>
      <c r="AR40" s="43" t="str">
        <f>IF(IFERROR(INDEX(Consulta!$A:$DF,MATCH('MM01'!$B40,Consulta!$C:$C,0),'MM01'!AR$2),"")=0,"",IFERROR(INDEX(Consulta!$A:$DF,MATCH('MM01'!$B40,Consulta!$C:$C,0),'MM01'!AR$2),""))</f>
        <v/>
      </c>
      <c r="AS40" s="43" t="str">
        <f>IF(IFERROR(INDEX(Consulta!$A:$DF,MATCH('MM01'!$B40,Consulta!$C:$C,0),'MM01'!AS$2),"")=0,"",IF(AR40="68",5102,IFERROR(INDEX(Consulta!$A:$DF,MATCH('MM01'!$B40,Consulta!$C:$C,0),'MM01'!AS$2),"")))</f>
        <v/>
      </c>
      <c r="AT40" s="45"/>
      <c r="AU40" s="46" t="str">
        <f t="shared" ca="1" si="3"/>
        <v/>
      </c>
      <c r="AV40" s="47" t="s">
        <v>796</v>
      </c>
      <c r="AW40" s="43" t="str">
        <f>IF(IFERROR(INDEX(Consulta!$A:$DF,MATCH('MM01'!$B40,Consulta!$C:$C,0),'MM01'!AW$2),"")=0,"",IFERROR(ROUND(INDEX(Consulta!$A:$DF,MATCH('MM01'!$B40,Consulta!$C:$C,0),'MM01'!AW$2),3),""))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IF(IFERROR(INDEX(Consulta!$A:$DF,MATCH('MM01'!$B40,Consulta!$C:$C,0),'MM01'!BA$2),"")=0,"",IFERROR(INDEX(Consulta!$A:$DF,MATCH('MM01'!$B40,Consulta!$C:$C,0),'MM01'!BA$2),""))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IF(IFERROR(INDEX(Consulta!$A:$DF,MATCH('MM01'!$B40,Consulta!$C:$C,0),'MM01'!BL$2),"")=0,"",IFERROR(INDEX(Consulta!$A:$DF,MATCH('MM01'!$B40,Consulta!$C:$C,0),'MM01'!BL$2),""))</f>
        <v/>
      </c>
      <c r="BM40" s="45">
        <v>99</v>
      </c>
      <c r="BN40" s="46" t="str">
        <f t="shared" ca="1" si="13"/>
        <v>28.04.2022</v>
      </c>
      <c r="BO40" s="49" t="str">
        <f t="shared" si="14"/>
        <v/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IF(IFERROR(INDEX(Consulta!$A:$DF,MATCH('MM01'!$B40,Consulta!$C:$C,0),'MM01'!BX$2),"")=0,"",IFERROR(INDEX(Consulta!$A:$DF,MATCH('MM01'!$B40,Consulta!$C:$C,0),'MM01'!BX$2),""))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15"/>
        <v/>
      </c>
      <c r="CD40" s="45" t="s">
        <v>430</v>
      </c>
      <c r="CE40" s="45">
        <v>1</v>
      </c>
      <c r="CF40" s="45" t="s">
        <v>496</v>
      </c>
      <c r="CG40" s="45"/>
      <c r="CH40" s="44">
        <v>2</v>
      </c>
      <c r="CI40" s="49" t="str">
        <f t="shared" si="16"/>
        <v/>
      </c>
      <c r="CJ40" s="49" t="str">
        <f t="shared" si="17"/>
        <v/>
      </c>
      <c r="CK40" s="45"/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18"/>
        <v>K00_P_</v>
      </c>
      <c r="CS40" s="45">
        <v>5000</v>
      </c>
      <c r="CT40" s="43" t="str">
        <f>IF(IFERROR(INDEX(Consulta!$A:$DF,MATCH('MM01'!$B40,Consulta!$C:$C,0),'MM01'!CT$2),"")=0,"",IFERROR(INDEX(Consulta!$A:$DF,MATCH('MM01'!$B40,Consulta!$C:$C,0),'MM01'!CT$2),""))</f>
        <v/>
      </c>
      <c r="CU40" s="43" t="str">
        <f>IF(IFERROR(INDEX(Consulta!$A:$DF,MATCH('MM01'!$B40,Consulta!$C:$C,0),'MM01'!CU$2),"")=0,"",IFERROR(INDEX(Consulta!$A:$DF,MATCH('MM01'!$B40,Consulta!$C:$C,0),'MM01'!CU$2),""))</f>
        <v/>
      </c>
      <c r="CV40" s="43" t="str">
        <f>IF(IFERROR(INDEX(Consulta!$A:$DF,MATCH('MM01'!$B40,Consulta!$C:$C,0),'MM01'!CV$2),"")=0,"",IFERROR(INDEX(Consulta!$A:$DF,MATCH('MM01'!$B40,Consulta!$C:$C,0),'MM01'!CV$2),""))</f>
        <v/>
      </c>
      <c r="CW40" s="43" t="str">
        <f>IF(IFERROR(INDEX(Consulta!$A:$DF,MATCH('MM01'!$B40,Consulta!$C:$C,0),'MM01'!CW$2),"")=0,"",IFERROR(INDEX(Consulta!$A:$DF,MATCH('MM01'!$B40,Consulta!$C:$C,0),'MM01'!CW$2),""))</f>
        <v/>
      </c>
      <c r="CX40" s="43" t="str">
        <f t="shared" si="19"/>
        <v/>
      </c>
      <c r="CY40" s="43" t="str">
        <f t="shared" si="20"/>
        <v/>
      </c>
      <c r="CZ40" s="43" t="str">
        <f t="shared" si="21"/>
        <v/>
      </c>
      <c r="DA40" s="43" t="str">
        <f>IF(IFERROR(INDEX(Consulta!$A:$DF,MATCH('MM01'!$B40,Consulta!$C:$C,0),'MM01'!DA$2),"")=0,"",IFERROR(INDEX(Consulta!$A:$DF,MATCH('MM01'!$B40,Consulta!$C:$C,0),'MM01'!DA$2),""))</f>
        <v/>
      </c>
      <c r="DB40" s="43" t="str">
        <f t="shared" si="22"/>
        <v/>
      </c>
      <c r="DC40" s="43" t="str">
        <f>IF(IFERROR(INDEX(Consulta!$A:$DF,MATCH('MM01'!$B40,Consulta!$C:$C,0),'MM01'!DC$2),"")=0,"",IFERROR(INDEX(Consulta!$A:$DF,MATCH('MM01'!$B40,Consulta!$C:$C,0),'MM01'!DC$2),""))</f>
        <v/>
      </c>
      <c r="DD40" s="45">
        <v>0</v>
      </c>
      <c r="DE40" s="45">
        <v>0</v>
      </c>
      <c r="DF40" s="43" t="str">
        <f t="shared" si="23"/>
        <v/>
      </c>
      <c r="DG40" s="43" t="str">
        <f t="shared" si="24"/>
        <v/>
      </c>
      <c r="DH40" s="55"/>
      <c r="DI40" s="43" t="str">
        <f t="shared" ca="1" si="25"/>
        <v/>
      </c>
      <c r="DJ40" s="43" t="str">
        <f t="shared" si="26"/>
        <v/>
      </c>
      <c r="DK40" s="43" t="str">
        <f t="shared" si="27"/>
        <v/>
      </c>
      <c r="DL40" s="55"/>
      <c r="DM40" s="43" t="str">
        <f t="shared" ca="1" si="28"/>
        <v/>
      </c>
      <c r="DN40" s="43" t="str">
        <f t="shared" si="29"/>
        <v/>
      </c>
      <c r="DO40" s="43" t="str">
        <f t="shared" si="30"/>
        <v/>
      </c>
      <c r="DP40" s="55"/>
      <c r="DQ40" s="43" t="str">
        <f t="shared" ca="1" si="31"/>
        <v/>
      </c>
      <c r="DR40" s="43" t="str">
        <f t="shared" si="32"/>
        <v/>
      </c>
      <c r="DS40" s="43" t="str">
        <f t="shared" si="33"/>
        <v/>
      </c>
      <c r="DT40" s="55"/>
      <c r="DU40" s="43" t="str">
        <f t="shared" ca="1" si="34"/>
        <v/>
      </c>
      <c r="DV40" s="43" t="str">
        <f t="shared" si="35"/>
        <v/>
      </c>
      <c r="DX40" s="44">
        <v>1</v>
      </c>
      <c r="DY40" s="44" t="s">
        <v>774</v>
      </c>
      <c r="DZ40" s="43">
        <f t="shared" si="36"/>
        <v>0.01</v>
      </c>
      <c r="EA40" s="43" t="str">
        <f t="shared" si="37"/>
        <v>M</v>
      </c>
      <c r="EB40" s="43" t="str">
        <f>IF(IFERROR(INDEX(Consulta!$A:$DF,MATCH('MM01'!$B40,Consulta!$C:$C,0),'MM01'!EB$2),"")=0,"7925",IF(IFERROR(INDEX(Consulta!$A:$DF,MATCH('MM01'!$B40,Consulta!$C:$C,0),'MM01'!EB$2),"")="68","7910","7925"))</f>
        <v>7925</v>
      </c>
      <c r="EC40" s="44">
        <v>100</v>
      </c>
      <c r="ED40" s="60">
        <v>1</v>
      </c>
      <c r="EE40" s="43">
        <f t="shared" si="38"/>
        <v>100</v>
      </c>
      <c r="EF40" s="44">
        <v>1</v>
      </c>
      <c r="EG40" s="44">
        <v>0</v>
      </c>
      <c r="EH40" s="44" t="s">
        <v>867</v>
      </c>
      <c r="EI40" s="45">
        <v>0</v>
      </c>
      <c r="EJ40" s="43">
        <f t="shared" si="39"/>
        <v>5000</v>
      </c>
      <c r="EK40" s="65"/>
    </row>
    <row r="41" spans="1:141" x14ac:dyDescent="0.3">
      <c r="A41" s="7" t="str">
        <f t="shared" si="0"/>
        <v>Execução 37</v>
      </c>
      <c r="B41" s="42"/>
      <c r="C41" s="43" t="str">
        <f>IF(IFERROR(INDEX(Consulta!$A:$DF,MATCH('MM01'!$B41,Consulta!$C:$C,0),'MM01'!C$2),"")=0,"",IFERROR(INDEX(Consulta!$A:$DF,MATCH('MM01'!$B41,Consulta!$C:$C,0),'MM01'!C$2),""))</f>
        <v/>
      </c>
      <c r="D41" s="43" t="str">
        <f>IF(IFERROR(INDEX(Consulta!$A:$DF,MATCH('MM01'!$B41,Consulta!$C:$C,0),'MM01'!D$2),"")=0,"",IFERROR(INDEX(Consulta!$A:$DF,MATCH('MM01'!$B41,Consulta!$C:$C,0),'MM01'!D$2),""))</f>
        <v/>
      </c>
      <c r="E41" s="43" t="str">
        <f>IF(IFERROR(INDEX(Consulta!$A:$DF,MATCH('MM01'!$B41,Consulta!$C:$C,0),'MM01'!E$2),"")=0,"",IFERROR(INDEX(Consulta!$A:$DF,MATCH('MM01'!$B41,Consulta!$C:$C,0),'MM01'!E$2),""))</f>
        <v/>
      </c>
      <c r="F41" s="44" t="s">
        <v>100</v>
      </c>
      <c r="G41" s="49" t="str">
        <f>IF(IFERROR(INDEX(Consulta!$A:$DF,MATCH('MM01'!$B41,Consulta!$C:$C,0),'MM01'!G$2),"")=0,"",IFERROR(INDEX(Consulta!$A:$DF,MATCH('MM01'!$B41,Consulta!$C:$C,0),'MM01'!G$2),""))</f>
        <v/>
      </c>
      <c r="H41" s="49" t="str">
        <f>IF(IFERROR(INDEX(Consulta!$A:$DF,MATCH('MM01'!$B41,Consulta!$C:$C,0),'MM01'!H$2),"")=0,"",IFERROR(INDEX(Consulta!$A:$DF,MATCH('MM01'!$B41,Consulta!$C:$C,0),'MM01'!H$2),""))</f>
        <v/>
      </c>
      <c r="I41" s="49" t="str">
        <f t="shared" si="1"/>
        <v/>
      </c>
      <c r="J41" s="49" t="str">
        <f>IF(IFERROR(INDEX(Consulta!$A:$DF,MATCH('MM01'!$B41,Consulta!$C:$C,0),'MM01'!J$2),"")=0,"",IFERROR(INDEX(Consulta!$A:$DF,MATCH('MM01'!$B41,Consulta!$C:$C,0),'MM01'!J$2),""))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IF(IFERROR(INDEX(Consulta!$A:$DF,MATCH('MM01'!$B41,Consulta!$C:$C,0),'MM01'!AP$2),"")=0,"",IFERROR(INDEX(Consulta!$A:$DF,MATCH('MM01'!$B41,Consulta!$C:$C,0),'MM01'!AP$2),""))</f>
        <v/>
      </c>
      <c r="AQ41" s="45"/>
      <c r="AR41" s="43" t="str">
        <f>IF(IFERROR(INDEX(Consulta!$A:$DF,MATCH('MM01'!$B41,Consulta!$C:$C,0),'MM01'!AR$2),"")=0,"",IFERROR(INDEX(Consulta!$A:$DF,MATCH('MM01'!$B41,Consulta!$C:$C,0),'MM01'!AR$2),""))</f>
        <v/>
      </c>
      <c r="AS41" s="43" t="str">
        <f>IF(IFERROR(INDEX(Consulta!$A:$DF,MATCH('MM01'!$B41,Consulta!$C:$C,0),'MM01'!AS$2),"")=0,"",IF(AR41="68",5102,IFERROR(INDEX(Consulta!$A:$DF,MATCH('MM01'!$B41,Consulta!$C:$C,0),'MM01'!AS$2),"")))</f>
        <v/>
      </c>
      <c r="AT41" s="45"/>
      <c r="AU41" s="46" t="str">
        <f t="shared" ca="1" si="3"/>
        <v/>
      </c>
      <c r="AV41" s="47" t="s">
        <v>796</v>
      </c>
      <c r="AW41" s="43" t="str">
        <f>IF(IFERROR(INDEX(Consulta!$A:$DF,MATCH('MM01'!$B41,Consulta!$C:$C,0),'MM01'!AW$2),"")=0,"",IFERROR(ROUND(INDEX(Consulta!$A:$DF,MATCH('MM01'!$B41,Consulta!$C:$C,0),'MM01'!AW$2),3),""))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IF(IFERROR(INDEX(Consulta!$A:$DF,MATCH('MM01'!$B41,Consulta!$C:$C,0),'MM01'!BA$2),"")=0,"",IFERROR(INDEX(Consulta!$A:$DF,MATCH('MM01'!$B41,Consulta!$C:$C,0),'MM01'!BA$2),""))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IF(IFERROR(INDEX(Consulta!$A:$DF,MATCH('MM01'!$B41,Consulta!$C:$C,0),'MM01'!BL$2),"")=0,"",IFERROR(INDEX(Consulta!$A:$DF,MATCH('MM01'!$B41,Consulta!$C:$C,0),'MM01'!BL$2),""))</f>
        <v/>
      </c>
      <c r="BM41" s="45">
        <v>99</v>
      </c>
      <c r="BN41" s="46" t="str">
        <f t="shared" ca="1" si="13"/>
        <v>28.04.2022</v>
      </c>
      <c r="BO41" s="49" t="str">
        <f t="shared" si="14"/>
        <v/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IF(IFERROR(INDEX(Consulta!$A:$DF,MATCH('MM01'!$B41,Consulta!$C:$C,0),'MM01'!BX$2),"")=0,"",IFERROR(INDEX(Consulta!$A:$DF,MATCH('MM01'!$B41,Consulta!$C:$C,0),'MM01'!BX$2),""))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15"/>
        <v/>
      </c>
      <c r="CD41" s="45" t="s">
        <v>430</v>
      </c>
      <c r="CE41" s="45">
        <v>1</v>
      </c>
      <c r="CF41" s="45" t="s">
        <v>496</v>
      </c>
      <c r="CG41" s="45"/>
      <c r="CH41" s="44">
        <v>2</v>
      </c>
      <c r="CI41" s="49" t="str">
        <f t="shared" si="16"/>
        <v/>
      </c>
      <c r="CJ41" s="49" t="str">
        <f t="shared" si="17"/>
        <v/>
      </c>
      <c r="CK41" s="45"/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18"/>
        <v>K00_P_</v>
      </c>
      <c r="CS41" s="45">
        <v>5000</v>
      </c>
      <c r="CT41" s="43" t="str">
        <f>IF(IFERROR(INDEX(Consulta!$A:$DF,MATCH('MM01'!$B41,Consulta!$C:$C,0),'MM01'!CT$2),"")=0,"",IFERROR(INDEX(Consulta!$A:$DF,MATCH('MM01'!$B41,Consulta!$C:$C,0),'MM01'!CT$2),""))</f>
        <v/>
      </c>
      <c r="CU41" s="43" t="str">
        <f>IF(IFERROR(INDEX(Consulta!$A:$DF,MATCH('MM01'!$B41,Consulta!$C:$C,0),'MM01'!CU$2),"")=0,"",IFERROR(INDEX(Consulta!$A:$DF,MATCH('MM01'!$B41,Consulta!$C:$C,0),'MM01'!CU$2),""))</f>
        <v/>
      </c>
      <c r="CV41" s="43" t="str">
        <f>IF(IFERROR(INDEX(Consulta!$A:$DF,MATCH('MM01'!$B41,Consulta!$C:$C,0),'MM01'!CV$2),"")=0,"",IFERROR(INDEX(Consulta!$A:$DF,MATCH('MM01'!$B41,Consulta!$C:$C,0),'MM01'!CV$2),""))</f>
        <v/>
      </c>
      <c r="CW41" s="43" t="str">
        <f>IF(IFERROR(INDEX(Consulta!$A:$DF,MATCH('MM01'!$B41,Consulta!$C:$C,0),'MM01'!CW$2),"")=0,"",IFERROR(INDEX(Consulta!$A:$DF,MATCH('MM01'!$B41,Consulta!$C:$C,0),'MM01'!CW$2),""))</f>
        <v/>
      </c>
      <c r="CX41" s="43" t="str">
        <f t="shared" si="19"/>
        <v/>
      </c>
      <c r="CY41" s="43" t="str">
        <f t="shared" si="20"/>
        <v/>
      </c>
      <c r="CZ41" s="43" t="str">
        <f t="shared" si="21"/>
        <v/>
      </c>
      <c r="DA41" s="43" t="str">
        <f>IF(IFERROR(INDEX(Consulta!$A:$DF,MATCH('MM01'!$B41,Consulta!$C:$C,0),'MM01'!DA$2),"")=0,"",IFERROR(INDEX(Consulta!$A:$DF,MATCH('MM01'!$B41,Consulta!$C:$C,0),'MM01'!DA$2),""))</f>
        <v/>
      </c>
      <c r="DB41" s="43" t="str">
        <f t="shared" si="22"/>
        <v/>
      </c>
      <c r="DC41" s="43" t="str">
        <f>IF(IFERROR(INDEX(Consulta!$A:$DF,MATCH('MM01'!$B41,Consulta!$C:$C,0),'MM01'!DC$2),"")=0,"",IFERROR(INDEX(Consulta!$A:$DF,MATCH('MM01'!$B41,Consulta!$C:$C,0),'MM01'!DC$2),""))</f>
        <v/>
      </c>
      <c r="DD41" s="45">
        <v>0</v>
      </c>
      <c r="DE41" s="45">
        <v>0</v>
      </c>
      <c r="DF41" s="43" t="str">
        <f t="shared" si="23"/>
        <v/>
      </c>
      <c r="DG41" s="43" t="str">
        <f t="shared" si="24"/>
        <v/>
      </c>
      <c r="DH41" s="55"/>
      <c r="DI41" s="43" t="str">
        <f t="shared" ca="1" si="25"/>
        <v/>
      </c>
      <c r="DJ41" s="43" t="str">
        <f t="shared" si="26"/>
        <v/>
      </c>
      <c r="DK41" s="43" t="str">
        <f t="shared" si="27"/>
        <v/>
      </c>
      <c r="DL41" s="55"/>
      <c r="DM41" s="43" t="str">
        <f t="shared" ca="1" si="28"/>
        <v/>
      </c>
      <c r="DN41" s="43" t="str">
        <f t="shared" si="29"/>
        <v/>
      </c>
      <c r="DO41" s="43" t="str">
        <f t="shared" si="30"/>
        <v/>
      </c>
      <c r="DP41" s="55"/>
      <c r="DQ41" s="43" t="str">
        <f t="shared" ca="1" si="31"/>
        <v/>
      </c>
      <c r="DR41" s="43" t="str">
        <f t="shared" si="32"/>
        <v/>
      </c>
      <c r="DS41" s="43" t="str">
        <f t="shared" si="33"/>
        <v/>
      </c>
      <c r="DT41" s="55"/>
      <c r="DU41" s="43" t="str">
        <f t="shared" ca="1" si="34"/>
        <v/>
      </c>
      <c r="DV41" s="43" t="str">
        <f t="shared" si="35"/>
        <v/>
      </c>
      <c r="DX41" s="44">
        <v>1</v>
      </c>
      <c r="DY41" s="44" t="s">
        <v>774</v>
      </c>
      <c r="DZ41" s="43">
        <f t="shared" si="36"/>
        <v>0.01</v>
      </c>
      <c r="EA41" s="43" t="str">
        <f t="shared" si="37"/>
        <v>M</v>
      </c>
      <c r="EB41" s="43" t="str">
        <f>IF(IFERROR(INDEX(Consulta!$A:$DF,MATCH('MM01'!$B41,Consulta!$C:$C,0),'MM01'!EB$2),"")=0,"7925",IF(IFERROR(INDEX(Consulta!$A:$DF,MATCH('MM01'!$B41,Consulta!$C:$C,0),'MM01'!EB$2),"")="68","7910","7925"))</f>
        <v>7925</v>
      </c>
      <c r="EC41" s="44">
        <v>100</v>
      </c>
      <c r="ED41" s="60">
        <v>1</v>
      </c>
      <c r="EE41" s="43">
        <f t="shared" si="38"/>
        <v>100</v>
      </c>
      <c r="EF41" s="44">
        <v>1</v>
      </c>
      <c r="EG41" s="44">
        <v>0</v>
      </c>
      <c r="EH41" s="44" t="s">
        <v>867</v>
      </c>
      <c r="EI41" s="45">
        <v>0</v>
      </c>
      <c r="EJ41" s="43">
        <f t="shared" si="39"/>
        <v>5000</v>
      </c>
      <c r="EK41" s="65"/>
    </row>
    <row r="42" spans="1:141" x14ac:dyDescent="0.3">
      <c r="A42" s="7" t="str">
        <f t="shared" si="0"/>
        <v>Execução 38</v>
      </c>
      <c r="B42" s="42"/>
      <c r="C42" s="43" t="str">
        <f>IF(IFERROR(INDEX(Consulta!$A:$DF,MATCH('MM01'!$B42,Consulta!$C:$C,0),'MM01'!C$2),"")=0,"",IFERROR(INDEX(Consulta!$A:$DF,MATCH('MM01'!$B42,Consulta!$C:$C,0),'MM01'!C$2),""))</f>
        <v/>
      </c>
      <c r="D42" s="43" t="str">
        <f>IF(IFERROR(INDEX(Consulta!$A:$DF,MATCH('MM01'!$B42,Consulta!$C:$C,0),'MM01'!D$2),"")=0,"",IFERROR(INDEX(Consulta!$A:$DF,MATCH('MM01'!$B42,Consulta!$C:$C,0),'MM01'!D$2),""))</f>
        <v/>
      </c>
      <c r="E42" s="43" t="str">
        <f>IF(IFERROR(INDEX(Consulta!$A:$DF,MATCH('MM01'!$B42,Consulta!$C:$C,0),'MM01'!E$2),"")=0,"",IFERROR(INDEX(Consulta!$A:$DF,MATCH('MM01'!$B42,Consulta!$C:$C,0),'MM01'!E$2),""))</f>
        <v/>
      </c>
      <c r="F42" s="44" t="s">
        <v>100</v>
      </c>
      <c r="G42" s="49" t="str">
        <f>IF(IFERROR(INDEX(Consulta!$A:$DF,MATCH('MM01'!$B42,Consulta!$C:$C,0),'MM01'!G$2),"")=0,"",IFERROR(INDEX(Consulta!$A:$DF,MATCH('MM01'!$B42,Consulta!$C:$C,0),'MM01'!G$2),""))</f>
        <v/>
      </c>
      <c r="H42" s="49" t="str">
        <f>IF(IFERROR(INDEX(Consulta!$A:$DF,MATCH('MM01'!$B42,Consulta!$C:$C,0),'MM01'!H$2),"")=0,"",IFERROR(INDEX(Consulta!$A:$DF,MATCH('MM01'!$B42,Consulta!$C:$C,0),'MM01'!H$2),""))</f>
        <v/>
      </c>
      <c r="I42" s="49" t="str">
        <f t="shared" si="1"/>
        <v/>
      </c>
      <c r="J42" s="49" t="str">
        <f>IF(IFERROR(INDEX(Consulta!$A:$DF,MATCH('MM01'!$B42,Consulta!$C:$C,0),'MM01'!J$2),"")=0,"",IFERROR(INDEX(Consulta!$A:$DF,MATCH('MM01'!$B42,Consulta!$C:$C,0),'MM01'!J$2),""))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IF(IFERROR(INDEX(Consulta!$A:$DF,MATCH('MM01'!$B42,Consulta!$C:$C,0),'MM01'!AP$2),"")=0,"",IFERROR(INDEX(Consulta!$A:$DF,MATCH('MM01'!$B42,Consulta!$C:$C,0),'MM01'!AP$2),""))</f>
        <v/>
      </c>
      <c r="AQ42" s="45"/>
      <c r="AR42" s="43" t="str">
        <f>IF(IFERROR(INDEX(Consulta!$A:$DF,MATCH('MM01'!$B42,Consulta!$C:$C,0),'MM01'!AR$2),"")=0,"",IFERROR(INDEX(Consulta!$A:$DF,MATCH('MM01'!$B42,Consulta!$C:$C,0),'MM01'!AR$2),""))</f>
        <v/>
      </c>
      <c r="AS42" s="43" t="str">
        <f>IF(IFERROR(INDEX(Consulta!$A:$DF,MATCH('MM01'!$B42,Consulta!$C:$C,0),'MM01'!AS$2),"")=0,"",IF(AR42="68",5102,IFERROR(INDEX(Consulta!$A:$DF,MATCH('MM01'!$B42,Consulta!$C:$C,0),'MM01'!AS$2),"")))</f>
        <v/>
      </c>
      <c r="AT42" s="45"/>
      <c r="AU42" s="46" t="str">
        <f t="shared" ca="1" si="3"/>
        <v/>
      </c>
      <c r="AV42" s="47" t="s">
        <v>796</v>
      </c>
      <c r="AW42" s="43" t="str">
        <f>IF(IFERROR(INDEX(Consulta!$A:$DF,MATCH('MM01'!$B42,Consulta!$C:$C,0),'MM01'!AW$2),"")=0,"",IFERROR(ROUND(INDEX(Consulta!$A:$DF,MATCH('MM01'!$B42,Consulta!$C:$C,0),'MM01'!AW$2),3),""))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IF(IFERROR(INDEX(Consulta!$A:$DF,MATCH('MM01'!$B42,Consulta!$C:$C,0),'MM01'!BA$2),"")=0,"",IFERROR(INDEX(Consulta!$A:$DF,MATCH('MM01'!$B42,Consulta!$C:$C,0),'MM01'!BA$2),""))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IF(IFERROR(INDEX(Consulta!$A:$DF,MATCH('MM01'!$B42,Consulta!$C:$C,0),'MM01'!BL$2),"")=0,"",IFERROR(INDEX(Consulta!$A:$DF,MATCH('MM01'!$B42,Consulta!$C:$C,0),'MM01'!BL$2),""))</f>
        <v/>
      </c>
      <c r="BM42" s="45">
        <v>99</v>
      </c>
      <c r="BN42" s="46" t="str">
        <f t="shared" ca="1" si="13"/>
        <v>28.04.2022</v>
      </c>
      <c r="BO42" s="49" t="str">
        <f t="shared" si="14"/>
        <v/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IF(IFERROR(INDEX(Consulta!$A:$DF,MATCH('MM01'!$B42,Consulta!$C:$C,0),'MM01'!BX$2),"")=0,"",IFERROR(INDEX(Consulta!$A:$DF,MATCH('MM01'!$B42,Consulta!$C:$C,0),'MM01'!BX$2),""))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15"/>
        <v/>
      </c>
      <c r="CD42" s="45" t="s">
        <v>430</v>
      </c>
      <c r="CE42" s="45">
        <v>1</v>
      </c>
      <c r="CF42" s="45" t="s">
        <v>496</v>
      </c>
      <c r="CG42" s="45"/>
      <c r="CH42" s="44">
        <v>2</v>
      </c>
      <c r="CI42" s="49" t="str">
        <f t="shared" si="16"/>
        <v/>
      </c>
      <c r="CJ42" s="49" t="str">
        <f t="shared" si="17"/>
        <v/>
      </c>
      <c r="CK42" s="45"/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18"/>
        <v>K00_P_</v>
      </c>
      <c r="CS42" s="45">
        <v>5000</v>
      </c>
      <c r="CT42" s="43" t="str">
        <f>IF(IFERROR(INDEX(Consulta!$A:$DF,MATCH('MM01'!$B42,Consulta!$C:$C,0),'MM01'!CT$2),"")=0,"",IFERROR(INDEX(Consulta!$A:$DF,MATCH('MM01'!$B42,Consulta!$C:$C,0),'MM01'!CT$2),""))</f>
        <v/>
      </c>
      <c r="CU42" s="43" t="str">
        <f>IF(IFERROR(INDEX(Consulta!$A:$DF,MATCH('MM01'!$B42,Consulta!$C:$C,0),'MM01'!CU$2),"")=0,"",IFERROR(INDEX(Consulta!$A:$DF,MATCH('MM01'!$B42,Consulta!$C:$C,0),'MM01'!CU$2),""))</f>
        <v/>
      </c>
      <c r="CV42" s="43" t="str">
        <f>IF(IFERROR(INDEX(Consulta!$A:$DF,MATCH('MM01'!$B42,Consulta!$C:$C,0),'MM01'!CV$2),"")=0,"",IFERROR(INDEX(Consulta!$A:$DF,MATCH('MM01'!$B42,Consulta!$C:$C,0),'MM01'!CV$2),""))</f>
        <v/>
      </c>
      <c r="CW42" s="43" t="str">
        <f>IF(IFERROR(INDEX(Consulta!$A:$DF,MATCH('MM01'!$B42,Consulta!$C:$C,0),'MM01'!CW$2),"")=0,"",IFERROR(INDEX(Consulta!$A:$DF,MATCH('MM01'!$B42,Consulta!$C:$C,0),'MM01'!CW$2),""))</f>
        <v/>
      </c>
      <c r="CX42" s="43" t="str">
        <f t="shared" si="19"/>
        <v/>
      </c>
      <c r="CY42" s="43" t="str">
        <f t="shared" si="20"/>
        <v/>
      </c>
      <c r="CZ42" s="43" t="str">
        <f t="shared" si="21"/>
        <v/>
      </c>
      <c r="DA42" s="43" t="str">
        <f>IF(IFERROR(INDEX(Consulta!$A:$DF,MATCH('MM01'!$B42,Consulta!$C:$C,0),'MM01'!DA$2),"")=0,"",IFERROR(INDEX(Consulta!$A:$DF,MATCH('MM01'!$B42,Consulta!$C:$C,0),'MM01'!DA$2),""))</f>
        <v/>
      </c>
      <c r="DB42" s="43" t="str">
        <f t="shared" si="22"/>
        <v/>
      </c>
      <c r="DC42" s="43" t="str">
        <f>IF(IFERROR(INDEX(Consulta!$A:$DF,MATCH('MM01'!$B42,Consulta!$C:$C,0),'MM01'!DC$2),"")=0,"",IFERROR(INDEX(Consulta!$A:$DF,MATCH('MM01'!$B42,Consulta!$C:$C,0),'MM01'!DC$2),""))</f>
        <v/>
      </c>
      <c r="DD42" s="45">
        <v>0</v>
      </c>
      <c r="DE42" s="45">
        <v>0</v>
      </c>
      <c r="DF42" s="43" t="str">
        <f t="shared" si="23"/>
        <v/>
      </c>
      <c r="DG42" s="43" t="str">
        <f t="shared" si="24"/>
        <v/>
      </c>
      <c r="DH42" s="55"/>
      <c r="DI42" s="43" t="str">
        <f t="shared" ca="1" si="25"/>
        <v/>
      </c>
      <c r="DJ42" s="43" t="str">
        <f t="shared" si="26"/>
        <v/>
      </c>
      <c r="DK42" s="43" t="str">
        <f t="shared" si="27"/>
        <v/>
      </c>
      <c r="DL42" s="55"/>
      <c r="DM42" s="43" t="str">
        <f t="shared" ca="1" si="28"/>
        <v/>
      </c>
      <c r="DN42" s="43" t="str">
        <f t="shared" si="29"/>
        <v/>
      </c>
      <c r="DO42" s="43" t="str">
        <f t="shared" si="30"/>
        <v/>
      </c>
      <c r="DP42" s="55"/>
      <c r="DQ42" s="43" t="str">
        <f t="shared" ca="1" si="31"/>
        <v/>
      </c>
      <c r="DR42" s="43" t="str">
        <f t="shared" si="32"/>
        <v/>
      </c>
      <c r="DS42" s="43" t="str">
        <f t="shared" si="33"/>
        <v/>
      </c>
      <c r="DT42" s="55"/>
      <c r="DU42" s="43" t="str">
        <f t="shared" ca="1" si="34"/>
        <v/>
      </c>
      <c r="DV42" s="43" t="str">
        <f t="shared" si="35"/>
        <v/>
      </c>
      <c r="DX42" s="44">
        <v>1</v>
      </c>
      <c r="DY42" s="44" t="s">
        <v>774</v>
      </c>
      <c r="DZ42" s="43">
        <f t="shared" si="36"/>
        <v>0.01</v>
      </c>
      <c r="EA42" s="43" t="str">
        <f t="shared" si="37"/>
        <v>M</v>
      </c>
      <c r="EB42" s="43" t="str">
        <f>IF(IFERROR(INDEX(Consulta!$A:$DF,MATCH('MM01'!$B42,Consulta!$C:$C,0),'MM01'!EB$2),"")=0,"7925",IF(IFERROR(INDEX(Consulta!$A:$DF,MATCH('MM01'!$B42,Consulta!$C:$C,0),'MM01'!EB$2),"")="68","7910","7925"))</f>
        <v>7925</v>
      </c>
      <c r="EC42" s="44">
        <v>100</v>
      </c>
      <c r="ED42" s="60">
        <v>1</v>
      </c>
      <c r="EE42" s="43">
        <f t="shared" si="38"/>
        <v>100</v>
      </c>
      <c r="EF42" s="44">
        <v>1</v>
      </c>
      <c r="EG42" s="44">
        <v>0</v>
      </c>
      <c r="EH42" s="44" t="s">
        <v>867</v>
      </c>
      <c r="EI42" s="45">
        <v>0</v>
      </c>
      <c r="EJ42" s="43">
        <f t="shared" si="39"/>
        <v>5000</v>
      </c>
      <c r="EK42" s="65"/>
    </row>
    <row r="43" spans="1:141" x14ac:dyDescent="0.3">
      <c r="A43" s="7" t="str">
        <f t="shared" si="0"/>
        <v>Execução 39</v>
      </c>
      <c r="B43" s="42"/>
      <c r="C43" s="43" t="str">
        <f>IF(IFERROR(INDEX(Consulta!$A:$DF,MATCH('MM01'!$B43,Consulta!$C:$C,0),'MM01'!C$2),"")=0,"",IFERROR(INDEX(Consulta!$A:$DF,MATCH('MM01'!$B43,Consulta!$C:$C,0),'MM01'!C$2),""))</f>
        <v/>
      </c>
      <c r="D43" s="43" t="str">
        <f>IF(IFERROR(INDEX(Consulta!$A:$DF,MATCH('MM01'!$B43,Consulta!$C:$C,0),'MM01'!D$2),"")=0,"",IFERROR(INDEX(Consulta!$A:$DF,MATCH('MM01'!$B43,Consulta!$C:$C,0),'MM01'!D$2),""))</f>
        <v/>
      </c>
      <c r="E43" s="43" t="str">
        <f>IF(IFERROR(INDEX(Consulta!$A:$DF,MATCH('MM01'!$B43,Consulta!$C:$C,0),'MM01'!E$2),"")=0,"",IFERROR(INDEX(Consulta!$A:$DF,MATCH('MM01'!$B43,Consulta!$C:$C,0),'MM01'!E$2),""))</f>
        <v/>
      </c>
      <c r="F43" s="44" t="s">
        <v>100</v>
      </c>
      <c r="G43" s="49" t="str">
        <f>IF(IFERROR(INDEX(Consulta!$A:$DF,MATCH('MM01'!$B43,Consulta!$C:$C,0),'MM01'!G$2),"")=0,"",IFERROR(INDEX(Consulta!$A:$DF,MATCH('MM01'!$B43,Consulta!$C:$C,0),'MM01'!G$2),""))</f>
        <v/>
      </c>
      <c r="H43" s="49" t="str">
        <f>IF(IFERROR(INDEX(Consulta!$A:$DF,MATCH('MM01'!$B43,Consulta!$C:$C,0),'MM01'!H$2),"")=0,"",IFERROR(INDEX(Consulta!$A:$DF,MATCH('MM01'!$B43,Consulta!$C:$C,0),'MM01'!H$2),""))</f>
        <v/>
      </c>
      <c r="I43" s="49" t="str">
        <f t="shared" si="1"/>
        <v/>
      </c>
      <c r="J43" s="49" t="str">
        <f>IF(IFERROR(INDEX(Consulta!$A:$DF,MATCH('MM01'!$B43,Consulta!$C:$C,0),'MM01'!J$2),"")=0,"",IFERROR(INDEX(Consulta!$A:$DF,MATCH('MM01'!$B43,Consulta!$C:$C,0),'MM01'!J$2),""))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IF(IFERROR(INDEX(Consulta!$A:$DF,MATCH('MM01'!$B43,Consulta!$C:$C,0),'MM01'!AP$2),"")=0,"",IFERROR(INDEX(Consulta!$A:$DF,MATCH('MM01'!$B43,Consulta!$C:$C,0),'MM01'!AP$2),""))</f>
        <v/>
      </c>
      <c r="AQ43" s="45"/>
      <c r="AR43" s="43" t="str">
        <f>IF(IFERROR(INDEX(Consulta!$A:$DF,MATCH('MM01'!$B43,Consulta!$C:$C,0),'MM01'!AR$2),"")=0,"",IFERROR(INDEX(Consulta!$A:$DF,MATCH('MM01'!$B43,Consulta!$C:$C,0),'MM01'!AR$2),""))</f>
        <v/>
      </c>
      <c r="AS43" s="43" t="str">
        <f>IF(IFERROR(INDEX(Consulta!$A:$DF,MATCH('MM01'!$B43,Consulta!$C:$C,0),'MM01'!AS$2),"")=0,"",IF(AR43="68",5102,IFERROR(INDEX(Consulta!$A:$DF,MATCH('MM01'!$B43,Consulta!$C:$C,0),'MM01'!AS$2),"")))</f>
        <v/>
      </c>
      <c r="AT43" s="45"/>
      <c r="AU43" s="46" t="str">
        <f t="shared" ca="1" si="3"/>
        <v/>
      </c>
      <c r="AV43" s="47" t="s">
        <v>796</v>
      </c>
      <c r="AW43" s="43" t="str">
        <f>IF(IFERROR(INDEX(Consulta!$A:$DF,MATCH('MM01'!$B43,Consulta!$C:$C,0),'MM01'!AW$2),"")=0,"",IFERROR(ROUND(INDEX(Consulta!$A:$DF,MATCH('MM01'!$B43,Consulta!$C:$C,0),'MM01'!AW$2),3),""))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IF(IFERROR(INDEX(Consulta!$A:$DF,MATCH('MM01'!$B43,Consulta!$C:$C,0),'MM01'!BA$2),"")=0,"",IFERROR(INDEX(Consulta!$A:$DF,MATCH('MM01'!$B43,Consulta!$C:$C,0),'MM01'!BA$2),""))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IF(IFERROR(INDEX(Consulta!$A:$DF,MATCH('MM01'!$B43,Consulta!$C:$C,0),'MM01'!BL$2),"")=0,"",IFERROR(INDEX(Consulta!$A:$DF,MATCH('MM01'!$B43,Consulta!$C:$C,0),'MM01'!BL$2),""))</f>
        <v/>
      </c>
      <c r="BM43" s="45">
        <v>99</v>
      </c>
      <c r="BN43" s="46" t="str">
        <f t="shared" ca="1" si="13"/>
        <v>28.04.2022</v>
      </c>
      <c r="BO43" s="49" t="str">
        <f t="shared" si="14"/>
        <v/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IF(IFERROR(INDEX(Consulta!$A:$DF,MATCH('MM01'!$B43,Consulta!$C:$C,0),'MM01'!BX$2),"")=0,"",IFERROR(INDEX(Consulta!$A:$DF,MATCH('MM01'!$B43,Consulta!$C:$C,0),'MM01'!BX$2),""))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15"/>
        <v/>
      </c>
      <c r="CD43" s="45" t="s">
        <v>430</v>
      </c>
      <c r="CE43" s="45">
        <v>1</v>
      </c>
      <c r="CF43" s="45" t="s">
        <v>496</v>
      </c>
      <c r="CG43" s="45"/>
      <c r="CH43" s="44">
        <v>2</v>
      </c>
      <c r="CI43" s="49" t="str">
        <f t="shared" si="16"/>
        <v/>
      </c>
      <c r="CJ43" s="49" t="str">
        <f t="shared" si="17"/>
        <v/>
      </c>
      <c r="CK43" s="45"/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18"/>
        <v>K00_P_</v>
      </c>
      <c r="CS43" s="45">
        <v>5000</v>
      </c>
      <c r="CT43" s="43" t="str">
        <f>IF(IFERROR(INDEX(Consulta!$A:$DF,MATCH('MM01'!$B43,Consulta!$C:$C,0),'MM01'!CT$2),"")=0,"",IFERROR(INDEX(Consulta!$A:$DF,MATCH('MM01'!$B43,Consulta!$C:$C,0),'MM01'!CT$2),""))</f>
        <v/>
      </c>
      <c r="CU43" s="43" t="str">
        <f>IF(IFERROR(INDEX(Consulta!$A:$DF,MATCH('MM01'!$B43,Consulta!$C:$C,0),'MM01'!CU$2),"")=0,"",IFERROR(INDEX(Consulta!$A:$DF,MATCH('MM01'!$B43,Consulta!$C:$C,0),'MM01'!CU$2),""))</f>
        <v/>
      </c>
      <c r="CV43" s="43" t="str">
        <f>IF(IFERROR(INDEX(Consulta!$A:$DF,MATCH('MM01'!$B43,Consulta!$C:$C,0),'MM01'!CV$2),"")=0,"",IFERROR(INDEX(Consulta!$A:$DF,MATCH('MM01'!$B43,Consulta!$C:$C,0),'MM01'!CV$2),""))</f>
        <v/>
      </c>
      <c r="CW43" s="43" t="str">
        <f>IF(IFERROR(INDEX(Consulta!$A:$DF,MATCH('MM01'!$B43,Consulta!$C:$C,0),'MM01'!CW$2),"")=0,"",IFERROR(INDEX(Consulta!$A:$DF,MATCH('MM01'!$B43,Consulta!$C:$C,0),'MM01'!CW$2),""))</f>
        <v/>
      </c>
      <c r="CX43" s="43" t="str">
        <f t="shared" si="19"/>
        <v/>
      </c>
      <c r="CY43" s="43" t="str">
        <f t="shared" si="20"/>
        <v/>
      </c>
      <c r="CZ43" s="43" t="str">
        <f t="shared" si="21"/>
        <v/>
      </c>
      <c r="DA43" s="43" t="str">
        <f>IF(IFERROR(INDEX(Consulta!$A:$DF,MATCH('MM01'!$B43,Consulta!$C:$C,0),'MM01'!DA$2),"")=0,"",IFERROR(INDEX(Consulta!$A:$DF,MATCH('MM01'!$B43,Consulta!$C:$C,0),'MM01'!DA$2),""))</f>
        <v/>
      </c>
      <c r="DB43" s="43" t="str">
        <f t="shared" si="22"/>
        <v/>
      </c>
      <c r="DC43" s="43" t="str">
        <f>IF(IFERROR(INDEX(Consulta!$A:$DF,MATCH('MM01'!$B43,Consulta!$C:$C,0),'MM01'!DC$2),"")=0,"",IFERROR(INDEX(Consulta!$A:$DF,MATCH('MM01'!$B43,Consulta!$C:$C,0),'MM01'!DC$2),""))</f>
        <v/>
      </c>
      <c r="DD43" s="45">
        <v>0</v>
      </c>
      <c r="DE43" s="45">
        <v>0</v>
      </c>
      <c r="DF43" s="43" t="str">
        <f t="shared" si="23"/>
        <v/>
      </c>
      <c r="DG43" s="43" t="str">
        <f t="shared" si="24"/>
        <v/>
      </c>
      <c r="DH43" s="55"/>
      <c r="DI43" s="43" t="str">
        <f t="shared" ca="1" si="25"/>
        <v/>
      </c>
      <c r="DJ43" s="43" t="str">
        <f t="shared" si="26"/>
        <v/>
      </c>
      <c r="DK43" s="43" t="str">
        <f t="shared" si="27"/>
        <v/>
      </c>
      <c r="DL43" s="55"/>
      <c r="DM43" s="43" t="str">
        <f t="shared" ca="1" si="28"/>
        <v/>
      </c>
      <c r="DN43" s="43" t="str">
        <f t="shared" si="29"/>
        <v/>
      </c>
      <c r="DO43" s="43" t="str">
        <f t="shared" si="30"/>
        <v/>
      </c>
      <c r="DP43" s="55"/>
      <c r="DQ43" s="43" t="str">
        <f t="shared" ca="1" si="31"/>
        <v/>
      </c>
      <c r="DR43" s="43" t="str">
        <f t="shared" si="32"/>
        <v/>
      </c>
      <c r="DS43" s="43" t="str">
        <f t="shared" si="33"/>
        <v/>
      </c>
      <c r="DT43" s="55"/>
      <c r="DU43" s="43" t="str">
        <f t="shared" ca="1" si="34"/>
        <v/>
      </c>
      <c r="DV43" s="43" t="str">
        <f t="shared" si="35"/>
        <v/>
      </c>
      <c r="DX43" s="44">
        <v>1</v>
      </c>
      <c r="DY43" s="44" t="s">
        <v>774</v>
      </c>
      <c r="DZ43" s="43">
        <f t="shared" si="36"/>
        <v>0.01</v>
      </c>
      <c r="EA43" s="43" t="str">
        <f t="shared" si="37"/>
        <v>M</v>
      </c>
      <c r="EB43" s="43" t="str">
        <f>IF(IFERROR(INDEX(Consulta!$A:$DF,MATCH('MM01'!$B43,Consulta!$C:$C,0),'MM01'!EB$2),"")=0,"7925",IF(IFERROR(INDEX(Consulta!$A:$DF,MATCH('MM01'!$B43,Consulta!$C:$C,0),'MM01'!EB$2),"")="68","7910","7925"))</f>
        <v>7925</v>
      </c>
      <c r="EC43" s="44">
        <v>100</v>
      </c>
      <c r="ED43" s="60">
        <v>1</v>
      </c>
      <c r="EE43" s="43">
        <f t="shared" si="38"/>
        <v>100</v>
      </c>
      <c r="EF43" s="44">
        <v>1</v>
      </c>
      <c r="EG43" s="44">
        <v>0</v>
      </c>
      <c r="EH43" s="44" t="s">
        <v>867</v>
      </c>
      <c r="EI43" s="45">
        <v>0</v>
      </c>
      <c r="EJ43" s="43">
        <f t="shared" si="39"/>
        <v>5000</v>
      </c>
      <c r="EK43" s="65"/>
    </row>
    <row r="44" spans="1:141" x14ac:dyDescent="0.3">
      <c r="A44" s="7" t="str">
        <f t="shared" si="0"/>
        <v>Execução 40</v>
      </c>
      <c r="B44" s="42"/>
      <c r="C44" s="43" t="str">
        <f>IF(IFERROR(INDEX(Consulta!$A:$DF,MATCH('MM01'!$B44,Consulta!$C:$C,0),'MM01'!C$2),"")=0,"",IFERROR(INDEX(Consulta!$A:$DF,MATCH('MM01'!$B44,Consulta!$C:$C,0),'MM01'!C$2),""))</f>
        <v/>
      </c>
      <c r="D44" s="43" t="str">
        <f>IF(IFERROR(INDEX(Consulta!$A:$DF,MATCH('MM01'!$B44,Consulta!$C:$C,0),'MM01'!D$2),"")=0,"",IFERROR(INDEX(Consulta!$A:$DF,MATCH('MM01'!$B44,Consulta!$C:$C,0),'MM01'!D$2),""))</f>
        <v/>
      </c>
      <c r="E44" s="43" t="str">
        <f>IF(IFERROR(INDEX(Consulta!$A:$DF,MATCH('MM01'!$B44,Consulta!$C:$C,0),'MM01'!E$2),"")=0,"",IFERROR(INDEX(Consulta!$A:$DF,MATCH('MM01'!$B44,Consulta!$C:$C,0),'MM01'!E$2),""))</f>
        <v/>
      </c>
      <c r="F44" s="44" t="s">
        <v>100</v>
      </c>
      <c r="G44" s="49" t="str">
        <f>IF(IFERROR(INDEX(Consulta!$A:$DF,MATCH('MM01'!$B44,Consulta!$C:$C,0),'MM01'!G$2),"")=0,"",IFERROR(INDEX(Consulta!$A:$DF,MATCH('MM01'!$B44,Consulta!$C:$C,0),'MM01'!G$2),""))</f>
        <v/>
      </c>
      <c r="H44" s="49" t="str">
        <f>IF(IFERROR(INDEX(Consulta!$A:$DF,MATCH('MM01'!$B44,Consulta!$C:$C,0),'MM01'!H$2),"")=0,"",IFERROR(INDEX(Consulta!$A:$DF,MATCH('MM01'!$B44,Consulta!$C:$C,0),'MM01'!H$2),""))</f>
        <v/>
      </c>
      <c r="I44" s="49" t="str">
        <f t="shared" si="1"/>
        <v/>
      </c>
      <c r="J44" s="49" t="str">
        <f>IF(IFERROR(INDEX(Consulta!$A:$DF,MATCH('MM01'!$B44,Consulta!$C:$C,0),'MM01'!J$2),"")=0,"",IFERROR(INDEX(Consulta!$A:$DF,MATCH('MM01'!$B44,Consulta!$C:$C,0),'MM01'!J$2),""))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IF(IFERROR(INDEX(Consulta!$A:$DF,MATCH('MM01'!$B44,Consulta!$C:$C,0),'MM01'!AP$2),"")=0,"",IFERROR(INDEX(Consulta!$A:$DF,MATCH('MM01'!$B44,Consulta!$C:$C,0),'MM01'!AP$2),""))</f>
        <v/>
      </c>
      <c r="AQ44" s="45"/>
      <c r="AR44" s="43" t="str">
        <f>IF(IFERROR(INDEX(Consulta!$A:$DF,MATCH('MM01'!$B44,Consulta!$C:$C,0),'MM01'!AR$2),"")=0,"",IFERROR(INDEX(Consulta!$A:$DF,MATCH('MM01'!$B44,Consulta!$C:$C,0),'MM01'!AR$2),""))</f>
        <v/>
      </c>
      <c r="AS44" s="43" t="str">
        <f>IF(IFERROR(INDEX(Consulta!$A:$DF,MATCH('MM01'!$B44,Consulta!$C:$C,0),'MM01'!AS$2),"")=0,"",IF(AR44="68",5102,IFERROR(INDEX(Consulta!$A:$DF,MATCH('MM01'!$B44,Consulta!$C:$C,0),'MM01'!AS$2),"")))</f>
        <v/>
      </c>
      <c r="AT44" s="45"/>
      <c r="AU44" s="46" t="str">
        <f t="shared" ca="1" si="3"/>
        <v/>
      </c>
      <c r="AV44" s="47" t="s">
        <v>796</v>
      </c>
      <c r="AW44" s="43" t="str">
        <f>IF(IFERROR(INDEX(Consulta!$A:$DF,MATCH('MM01'!$B44,Consulta!$C:$C,0),'MM01'!AW$2),"")=0,"",IFERROR(ROUND(INDEX(Consulta!$A:$DF,MATCH('MM01'!$B44,Consulta!$C:$C,0),'MM01'!AW$2),3),""))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IF(IFERROR(INDEX(Consulta!$A:$DF,MATCH('MM01'!$B44,Consulta!$C:$C,0),'MM01'!BA$2),"")=0,"",IFERROR(INDEX(Consulta!$A:$DF,MATCH('MM01'!$B44,Consulta!$C:$C,0),'MM01'!BA$2),""))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IF(IFERROR(INDEX(Consulta!$A:$DF,MATCH('MM01'!$B44,Consulta!$C:$C,0),'MM01'!BL$2),"")=0,"",IFERROR(INDEX(Consulta!$A:$DF,MATCH('MM01'!$B44,Consulta!$C:$C,0),'MM01'!BL$2),""))</f>
        <v/>
      </c>
      <c r="BM44" s="45">
        <v>99</v>
      </c>
      <c r="BN44" s="46" t="str">
        <f t="shared" ca="1" si="13"/>
        <v>28.04.2022</v>
      </c>
      <c r="BO44" s="49" t="str">
        <f t="shared" si="14"/>
        <v/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IF(IFERROR(INDEX(Consulta!$A:$DF,MATCH('MM01'!$B44,Consulta!$C:$C,0),'MM01'!BX$2),"")=0,"",IFERROR(INDEX(Consulta!$A:$DF,MATCH('MM01'!$B44,Consulta!$C:$C,0),'MM01'!BX$2),""))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15"/>
        <v/>
      </c>
      <c r="CD44" s="45" t="s">
        <v>430</v>
      </c>
      <c r="CE44" s="45">
        <v>1</v>
      </c>
      <c r="CF44" s="45" t="s">
        <v>496</v>
      </c>
      <c r="CG44" s="45"/>
      <c r="CH44" s="44">
        <v>2</v>
      </c>
      <c r="CI44" s="49" t="str">
        <f t="shared" si="16"/>
        <v/>
      </c>
      <c r="CJ44" s="49" t="str">
        <f t="shared" si="17"/>
        <v/>
      </c>
      <c r="CK44" s="45"/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18"/>
        <v>K00_P_</v>
      </c>
      <c r="CS44" s="45">
        <v>5000</v>
      </c>
      <c r="CT44" s="43" t="str">
        <f>IF(IFERROR(INDEX(Consulta!$A:$DF,MATCH('MM01'!$B44,Consulta!$C:$C,0),'MM01'!CT$2),"")=0,"",IFERROR(INDEX(Consulta!$A:$DF,MATCH('MM01'!$B44,Consulta!$C:$C,0),'MM01'!CT$2),""))</f>
        <v/>
      </c>
      <c r="CU44" s="43" t="str">
        <f>IF(IFERROR(INDEX(Consulta!$A:$DF,MATCH('MM01'!$B44,Consulta!$C:$C,0),'MM01'!CU$2),"")=0,"",IFERROR(INDEX(Consulta!$A:$DF,MATCH('MM01'!$B44,Consulta!$C:$C,0),'MM01'!CU$2),""))</f>
        <v/>
      </c>
      <c r="CV44" s="43" t="str">
        <f>IF(IFERROR(INDEX(Consulta!$A:$DF,MATCH('MM01'!$B44,Consulta!$C:$C,0),'MM01'!CV$2),"")=0,"",IFERROR(INDEX(Consulta!$A:$DF,MATCH('MM01'!$B44,Consulta!$C:$C,0),'MM01'!CV$2),""))</f>
        <v/>
      </c>
      <c r="CW44" s="43" t="str">
        <f>IF(IFERROR(INDEX(Consulta!$A:$DF,MATCH('MM01'!$B44,Consulta!$C:$C,0),'MM01'!CW$2),"")=0,"",IFERROR(INDEX(Consulta!$A:$DF,MATCH('MM01'!$B44,Consulta!$C:$C,0),'MM01'!CW$2),""))</f>
        <v/>
      </c>
      <c r="CX44" s="43" t="str">
        <f t="shared" si="19"/>
        <v/>
      </c>
      <c r="CY44" s="43" t="str">
        <f t="shared" si="20"/>
        <v/>
      </c>
      <c r="CZ44" s="43" t="str">
        <f t="shared" si="21"/>
        <v/>
      </c>
      <c r="DA44" s="43" t="str">
        <f>IF(IFERROR(INDEX(Consulta!$A:$DF,MATCH('MM01'!$B44,Consulta!$C:$C,0),'MM01'!DA$2),"")=0,"",IFERROR(INDEX(Consulta!$A:$DF,MATCH('MM01'!$B44,Consulta!$C:$C,0),'MM01'!DA$2),""))</f>
        <v/>
      </c>
      <c r="DB44" s="43" t="str">
        <f t="shared" si="22"/>
        <v/>
      </c>
      <c r="DC44" s="43" t="str">
        <f>IF(IFERROR(INDEX(Consulta!$A:$DF,MATCH('MM01'!$B44,Consulta!$C:$C,0),'MM01'!DC$2),"")=0,"",IFERROR(INDEX(Consulta!$A:$DF,MATCH('MM01'!$B44,Consulta!$C:$C,0),'MM01'!DC$2),""))</f>
        <v/>
      </c>
      <c r="DD44" s="45">
        <v>0</v>
      </c>
      <c r="DE44" s="45">
        <v>0</v>
      </c>
      <c r="DF44" s="43" t="str">
        <f t="shared" si="23"/>
        <v/>
      </c>
      <c r="DG44" s="43" t="str">
        <f t="shared" si="24"/>
        <v/>
      </c>
      <c r="DH44" s="55"/>
      <c r="DI44" s="43" t="str">
        <f t="shared" ca="1" si="25"/>
        <v/>
      </c>
      <c r="DJ44" s="43" t="str">
        <f t="shared" si="26"/>
        <v/>
      </c>
      <c r="DK44" s="43" t="str">
        <f t="shared" si="27"/>
        <v/>
      </c>
      <c r="DL44" s="55"/>
      <c r="DM44" s="43" t="str">
        <f t="shared" ca="1" si="28"/>
        <v/>
      </c>
      <c r="DN44" s="43" t="str">
        <f t="shared" si="29"/>
        <v/>
      </c>
      <c r="DO44" s="43" t="str">
        <f t="shared" si="30"/>
        <v/>
      </c>
      <c r="DP44" s="55"/>
      <c r="DQ44" s="43" t="str">
        <f t="shared" ca="1" si="31"/>
        <v/>
      </c>
      <c r="DR44" s="43" t="str">
        <f t="shared" si="32"/>
        <v/>
      </c>
      <c r="DS44" s="43" t="str">
        <f t="shared" si="33"/>
        <v/>
      </c>
      <c r="DT44" s="55"/>
      <c r="DU44" s="43" t="str">
        <f t="shared" ca="1" si="34"/>
        <v/>
      </c>
      <c r="DV44" s="43" t="str">
        <f t="shared" si="35"/>
        <v/>
      </c>
      <c r="DX44" s="44">
        <v>1</v>
      </c>
      <c r="DY44" s="44" t="s">
        <v>774</v>
      </c>
      <c r="DZ44" s="43">
        <f t="shared" si="36"/>
        <v>0.01</v>
      </c>
      <c r="EA44" s="43" t="str">
        <f t="shared" si="37"/>
        <v>M</v>
      </c>
      <c r="EB44" s="43" t="str">
        <f>IF(IFERROR(INDEX(Consulta!$A:$DF,MATCH('MM01'!$B44,Consulta!$C:$C,0),'MM01'!EB$2),"")=0,"7925",IF(IFERROR(INDEX(Consulta!$A:$DF,MATCH('MM01'!$B44,Consulta!$C:$C,0),'MM01'!EB$2),"")="68","7910","7925"))</f>
        <v>7925</v>
      </c>
      <c r="EC44" s="44">
        <v>100</v>
      </c>
      <c r="ED44" s="60">
        <v>1</v>
      </c>
      <c r="EE44" s="43">
        <f t="shared" si="38"/>
        <v>100</v>
      </c>
      <c r="EF44" s="44">
        <v>1</v>
      </c>
      <c r="EG44" s="44">
        <v>0</v>
      </c>
      <c r="EH44" s="44" t="s">
        <v>867</v>
      </c>
      <c r="EI44" s="45">
        <v>0</v>
      </c>
      <c r="EJ44" s="43">
        <f t="shared" si="39"/>
        <v>5000</v>
      </c>
      <c r="EK44" s="65"/>
    </row>
    <row r="45" spans="1:141" x14ac:dyDescent="0.3">
      <c r="A45" s="7" t="str">
        <f t="shared" si="0"/>
        <v>Execução 41</v>
      </c>
      <c r="B45" s="42"/>
      <c r="C45" s="43" t="str">
        <f>IF(IFERROR(INDEX(Consulta!$A:$DF,MATCH('MM01'!$B45,Consulta!$C:$C,0),'MM01'!C$2),"")=0,"",IFERROR(INDEX(Consulta!$A:$DF,MATCH('MM01'!$B45,Consulta!$C:$C,0),'MM01'!C$2),""))</f>
        <v/>
      </c>
      <c r="D45" s="43" t="str">
        <f>IF(IFERROR(INDEX(Consulta!$A:$DF,MATCH('MM01'!$B45,Consulta!$C:$C,0),'MM01'!D$2),"")=0,"",IFERROR(INDEX(Consulta!$A:$DF,MATCH('MM01'!$B45,Consulta!$C:$C,0),'MM01'!D$2),""))</f>
        <v/>
      </c>
      <c r="E45" s="43" t="str">
        <f>IF(IFERROR(INDEX(Consulta!$A:$DF,MATCH('MM01'!$B45,Consulta!$C:$C,0),'MM01'!E$2),"")=0,"",IFERROR(INDEX(Consulta!$A:$DF,MATCH('MM01'!$B45,Consulta!$C:$C,0),'MM01'!E$2),""))</f>
        <v/>
      </c>
      <c r="F45" s="44" t="s">
        <v>100</v>
      </c>
      <c r="G45" s="49" t="str">
        <f>IF(IFERROR(INDEX(Consulta!$A:$DF,MATCH('MM01'!$B45,Consulta!$C:$C,0),'MM01'!G$2),"")=0,"",IFERROR(INDEX(Consulta!$A:$DF,MATCH('MM01'!$B45,Consulta!$C:$C,0),'MM01'!G$2),""))</f>
        <v/>
      </c>
      <c r="H45" s="49" t="str">
        <f>IF(IFERROR(INDEX(Consulta!$A:$DF,MATCH('MM01'!$B45,Consulta!$C:$C,0),'MM01'!H$2),"")=0,"",IFERROR(INDEX(Consulta!$A:$DF,MATCH('MM01'!$B45,Consulta!$C:$C,0),'MM01'!H$2),""))</f>
        <v/>
      </c>
      <c r="I45" s="49" t="str">
        <f t="shared" si="1"/>
        <v/>
      </c>
      <c r="J45" s="49" t="str">
        <f>IF(IFERROR(INDEX(Consulta!$A:$DF,MATCH('MM01'!$B45,Consulta!$C:$C,0),'MM01'!J$2),"")=0,"",IFERROR(INDEX(Consulta!$A:$DF,MATCH('MM01'!$B45,Consulta!$C:$C,0),'MM01'!J$2),""))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IF(IFERROR(INDEX(Consulta!$A:$DF,MATCH('MM01'!$B45,Consulta!$C:$C,0),'MM01'!AP$2),"")=0,"",IFERROR(INDEX(Consulta!$A:$DF,MATCH('MM01'!$B45,Consulta!$C:$C,0),'MM01'!AP$2),""))</f>
        <v/>
      </c>
      <c r="AQ45" s="45"/>
      <c r="AR45" s="43" t="str">
        <f>IF(IFERROR(INDEX(Consulta!$A:$DF,MATCH('MM01'!$B45,Consulta!$C:$C,0),'MM01'!AR$2),"")=0,"",IFERROR(INDEX(Consulta!$A:$DF,MATCH('MM01'!$B45,Consulta!$C:$C,0),'MM01'!AR$2),""))</f>
        <v/>
      </c>
      <c r="AS45" s="43" t="str">
        <f>IF(IFERROR(INDEX(Consulta!$A:$DF,MATCH('MM01'!$B45,Consulta!$C:$C,0),'MM01'!AS$2),"")=0,"",IF(AR45="68",5102,IFERROR(INDEX(Consulta!$A:$DF,MATCH('MM01'!$B45,Consulta!$C:$C,0),'MM01'!AS$2),"")))</f>
        <v/>
      </c>
      <c r="AT45" s="45"/>
      <c r="AU45" s="46" t="str">
        <f t="shared" ca="1" si="3"/>
        <v/>
      </c>
      <c r="AV45" s="47" t="s">
        <v>796</v>
      </c>
      <c r="AW45" s="43" t="str">
        <f>IF(IFERROR(INDEX(Consulta!$A:$DF,MATCH('MM01'!$B45,Consulta!$C:$C,0),'MM01'!AW$2),"")=0,"",IFERROR(ROUND(INDEX(Consulta!$A:$DF,MATCH('MM01'!$B45,Consulta!$C:$C,0),'MM01'!AW$2),3),""))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IF(IFERROR(INDEX(Consulta!$A:$DF,MATCH('MM01'!$B45,Consulta!$C:$C,0),'MM01'!BA$2),"")=0,"",IFERROR(INDEX(Consulta!$A:$DF,MATCH('MM01'!$B45,Consulta!$C:$C,0),'MM01'!BA$2),""))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IF(IFERROR(INDEX(Consulta!$A:$DF,MATCH('MM01'!$B45,Consulta!$C:$C,0),'MM01'!BL$2),"")=0,"",IFERROR(INDEX(Consulta!$A:$DF,MATCH('MM01'!$B45,Consulta!$C:$C,0),'MM01'!BL$2),""))</f>
        <v/>
      </c>
      <c r="BM45" s="45">
        <v>99</v>
      </c>
      <c r="BN45" s="46" t="str">
        <f t="shared" ca="1" si="13"/>
        <v>28.04.2022</v>
      </c>
      <c r="BO45" s="49" t="str">
        <f t="shared" si="14"/>
        <v/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IF(IFERROR(INDEX(Consulta!$A:$DF,MATCH('MM01'!$B45,Consulta!$C:$C,0),'MM01'!BX$2),"")=0,"",IFERROR(INDEX(Consulta!$A:$DF,MATCH('MM01'!$B45,Consulta!$C:$C,0),'MM01'!BX$2),""))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15"/>
        <v/>
      </c>
      <c r="CD45" s="45" t="s">
        <v>430</v>
      </c>
      <c r="CE45" s="45">
        <v>1</v>
      </c>
      <c r="CF45" s="45" t="s">
        <v>496</v>
      </c>
      <c r="CG45" s="45"/>
      <c r="CH45" s="44">
        <v>2</v>
      </c>
      <c r="CI45" s="49" t="str">
        <f t="shared" si="16"/>
        <v/>
      </c>
      <c r="CJ45" s="49" t="str">
        <f t="shared" si="17"/>
        <v/>
      </c>
      <c r="CK45" s="45"/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18"/>
        <v>K00_P_</v>
      </c>
      <c r="CS45" s="45">
        <v>5000</v>
      </c>
      <c r="CT45" s="43" t="str">
        <f>IF(IFERROR(INDEX(Consulta!$A:$DF,MATCH('MM01'!$B45,Consulta!$C:$C,0),'MM01'!CT$2),"")=0,"",IFERROR(INDEX(Consulta!$A:$DF,MATCH('MM01'!$B45,Consulta!$C:$C,0),'MM01'!CT$2),""))</f>
        <v/>
      </c>
      <c r="CU45" s="43" t="str">
        <f>IF(IFERROR(INDEX(Consulta!$A:$DF,MATCH('MM01'!$B45,Consulta!$C:$C,0),'MM01'!CU$2),"")=0,"",IFERROR(INDEX(Consulta!$A:$DF,MATCH('MM01'!$B45,Consulta!$C:$C,0),'MM01'!CU$2),""))</f>
        <v/>
      </c>
      <c r="CV45" s="43" t="str">
        <f>IF(IFERROR(INDEX(Consulta!$A:$DF,MATCH('MM01'!$B45,Consulta!$C:$C,0),'MM01'!CV$2),"")=0,"",IFERROR(INDEX(Consulta!$A:$DF,MATCH('MM01'!$B45,Consulta!$C:$C,0),'MM01'!CV$2),""))</f>
        <v/>
      </c>
      <c r="CW45" s="43" t="str">
        <f>IF(IFERROR(INDEX(Consulta!$A:$DF,MATCH('MM01'!$B45,Consulta!$C:$C,0),'MM01'!CW$2),"")=0,"",IFERROR(INDEX(Consulta!$A:$DF,MATCH('MM01'!$B45,Consulta!$C:$C,0),'MM01'!CW$2),""))</f>
        <v/>
      </c>
      <c r="CX45" s="43" t="str">
        <f t="shared" si="19"/>
        <v/>
      </c>
      <c r="CY45" s="43" t="str">
        <f t="shared" si="20"/>
        <v/>
      </c>
      <c r="CZ45" s="43" t="str">
        <f t="shared" si="21"/>
        <v/>
      </c>
      <c r="DA45" s="43" t="str">
        <f>IF(IFERROR(INDEX(Consulta!$A:$DF,MATCH('MM01'!$B45,Consulta!$C:$C,0),'MM01'!DA$2),"")=0,"",IFERROR(INDEX(Consulta!$A:$DF,MATCH('MM01'!$B45,Consulta!$C:$C,0),'MM01'!DA$2),""))</f>
        <v/>
      </c>
      <c r="DB45" s="43" t="str">
        <f t="shared" si="22"/>
        <v/>
      </c>
      <c r="DC45" s="43" t="str">
        <f>IF(IFERROR(INDEX(Consulta!$A:$DF,MATCH('MM01'!$B45,Consulta!$C:$C,0),'MM01'!DC$2),"")=0,"",IFERROR(INDEX(Consulta!$A:$DF,MATCH('MM01'!$B45,Consulta!$C:$C,0),'MM01'!DC$2),""))</f>
        <v/>
      </c>
      <c r="DD45" s="45">
        <v>0</v>
      </c>
      <c r="DE45" s="45">
        <v>0</v>
      </c>
      <c r="DF45" s="43" t="str">
        <f t="shared" si="23"/>
        <v/>
      </c>
      <c r="DG45" s="43" t="str">
        <f t="shared" si="24"/>
        <v/>
      </c>
      <c r="DH45" s="55"/>
      <c r="DI45" s="43" t="str">
        <f t="shared" ca="1" si="25"/>
        <v/>
      </c>
      <c r="DJ45" s="43" t="str">
        <f t="shared" si="26"/>
        <v/>
      </c>
      <c r="DK45" s="43" t="str">
        <f t="shared" si="27"/>
        <v/>
      </c>
      <c r="DL45" s="55"/>
      <c r="DM45" s="43" t="str">
        <f t="shared" ca="1" si="28"/>
        <v/>
      </c>
      <c r="DN45" s="43" t="str">
        <f t="shared" si="29"/>
        <v/>
      </c>
      <c r="DO45" s="43" t="str">
        <f t="shared" si="30"/>
        <v/>
      </c>
      <c r="DP45" s="55"/>
      <c r="DQ45" s="43" t="str">
        <f t="shared" ca="1" si="31"/>
        <v/>
      </c>
      <c r="DR45" s="43" t="str">
        <f t="shared" si="32"/>
        <v/>
      </c>
      <c r="DS45" s="43" t="str">
        <f t="shared" si="33"/>
        <v/>
      </c>
      <c r="DT45" s="55"/>
      <c r="DU45" s="43" t="str">
        <f t="shared" ca="1" si="34"/>
        <v/>
      </c>
      <c r="DV45" s="43" t="str">
        <f t="shared" si="35"/>
        <v/>
      </c>
      <c r="DX45" s="44">
        <v>1</v>
      </c>
      <c r="DY45" s="44" t="s">
        <v>774</v>
      </c>
      <c r="DZ45" s="43">
        <f t="shared" si="36"/>
        <v>0.01</v>
      </c>
      <c r="EA45" s="43" t="str">
        <f t="shared" si="37"/>
        <v>M</v>
      </c>
      <c r="EB45" s="43" t="str">
        <f>IF(IFERROR(INDEX(Consulta!$A:$DF,MATCH('MM01'!$B45,Consulta!$C:$C,0),'MM01'!EB$2),"")=0,"7925",IF(IFERROR(INDEX(Consulta!$A:$DF,MATCH('MM01'!$B45,Consulta!$C:$C,0),'MM01'!EB$2),"")="68","7910","7925"))</f>
        <v>7925</v>
      </c>
      <c r="EC45" s="44">
        <v>100</v>
      </c>
      <c r="ED45" s="60">
        <v>1</v>
      </c>
      <c r="EE45" s="43">
        <f t="shared" si="38"/>
        <v>100</v>
      </c>
      <c r="EF45" s="44">
        <v>1</v>
      </c>
      <c r="EG45" s="44">
        <v>0</v>
      </c>
      <c r="EH45" s="44" t="s">
        <v>867</v>
      </c>
      <c r="EI45" s="45">
        <v>0</v>
      </c>
      <c r="EJ45" s="43">
        <f t="shared" si="39"/>
        <v>5000</v>
      </c>
      <c r="EK45" s="65"/>
    </row>
    <row r="46" spans="1:141" x14ac:dyDescent="0.3">
      <c r="A46" s="7" t="str">
        <f t="shared" si="0"/>
        <v>Execução 42</v>
      </c>
      <c r="B46" s="42"/>
      <c r="C46" s="43" t="str">
        <f>IF(IFERROR(INDEX(Consulta!$A:$DF,MATCH('MM01'!$B46,Consulta!$C:$C,0),'MM01'!C$2),"")=0,"",IFERROR(INDEX(Consulta!$A:$DF,MATCH('MM01'!$B46,Consulta!$C:$C,0),'MM01'!C$2),""))</f>
        <v/>
      </c>
      <c r="D46" s="43" t="str">
        <f>IF(IFERROR(INDEX(Consulta!$A:$DF,MATCH('MM01'!$B46,Consulta!$C:$C,0),'MM01'!D$2),"")=0,"",IFERROR(INDEX(Consulta!$A:$DF,MATCH('MM01'!$B46,Consulta!$C:$C,0),'MM01'!D$2),""))</f>
        <v/>
      </c>
      <c r="E46" s="43" t="str">
        <f>IF(IFERROR(INDEX(Consulta!$A:$DF,MATCH('MM01'!$B46,Consulta!$C:$C,0),'MM01'!E$2),"")=0,"",IFERROR(INDEX(Consulta!$A:$DF,MATCH('MM01'!$B46,Consulta!$C:$C,0),'MM01'!E$2),""))</f>
        <v/>
      </c>
      <c r="F46" s="44" t="s">
        <v>100</v>
      </c>
      <c r="G46" s="49" t="str">
        <f>IF(IFERROR(INDEX(Consulta!$A:$DF,MATCH('MM01'!$B46,Consulta!$C:$C,0),'MM01'!G$2),"")=0,"",IFERROR(INDEX(Consulta!$A:$DF,MATCH('MM01'!$B46,Consulta!$C:$C,0),'MM01'!G$2),""))</f>
        <v/>
      </c>
      <c r="H46" s="49" t="str">
        <f>IF(IFERROR(INDEX(Consulta!$A:$DF,MATCH('MM01'!$B46,Consulta!$C:$C,0),'MM01'!H$2),"")=0,"",IFERROR(INDEX(Consulta!$A:$DF,MATCH('MM01'!$B46,Consulta!$C:$C,0),'MM01'!H$2),""))</f>
        <v/>
      </c>
      <c r="I46" s="49" t="str">
        <f t="shared" si="1"/>
        <v/>
      </c>
      <c r="J46" s="49" t="str">
        <f>IF(IFERROR(INDEX(Consulta!$A:$DF,MATCH('MM01'!$B46,Consulta!$C:$C,0),'MM01'!J$2),"")=0,"",IFERROR(INDEX(Consulta!$A:$DF,MATCH('MM01'!$B46,Consulta!$C:$C,0),'MM01'!J$2),""))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IF(IFERROR(INDEX(Consulta!$A:$DF,MATCH('MM01'!$B46,Consulta!$C:$C,0),'MM01'!AP$2),"")=0,"",IFERROR(INDEX(Consulta!$A:$DF,MATCH('MM01'!$B46,Consulta!$C:$C,0),'MM01'!AP$2),""))</f>
        <v/>
      </c>
      <c r="AQ46" s="45"/>
      <c r="AR46" s="43" t="str">
        <f>IF(IFERROR(INDEX(Consulta!$A:$DF,MATCH('MM01'!$B46,Consulta!$C:$C,0),'MM01'!AR$2),"")=0,"",IFERROR(INDEX(Consulta!$A:$DF,MATCH('MM01'!$B46,Consulta!$C:$C,0),'MM01'!AR$2),""))</f>
        <v/>
      </c>
      <c r="AS46" s="43" t="str">
        <f>IF(IFERROR(INDEX(Consulta!$A:$DF,MATCH('MM01'!$B46,Consulta!$C:$C,0),'MM01'!AS$2),"")=0,"",IF(AR46="68",5102,IFERROR(INDEX(Consulta!$A:$DF,MATCH('MM01'!$B46,Consulta!$C:$C,0),'MM01'!AS$2),"")))</f>
        <v/>
      </c>
      <c r="AT46" s="45"/>
      <c r="AU46" s="46" t="str">
        <f t="shared" ca="1" si="3"/>
        <v/>
      </c>
      <c r="AV46" s="47" t="s">
        <v>796</v>
      </c>
      <c r="AW46" s="43" t="str">
        <f>IF(IFERROR(INDEX(Consulta!$A:$DF,MATCH('MM01'!$B46,Consulta!$C:$C,0),'MM01'!AW$2),"")=0,"",IFERROR(ROUND(INDEX(Consulta!$A:$DF,MATCH('MM01'!$B46,Consulta!$C:$C,0),'MM01'!AW$2),3),""))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IF(IFERROR(INDEX(Consulta!$A:$DF,MATCH('MM01'!$B46,Consulta!$C:$C,0),'MM01'!BA$2),"")=0,"",IFERROR(INDEX(Consulta!$A:$DF,MATCH('MM01'!$B46,Consulta!$C:$C,0),'MM01'!BA$2),""))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IF(IFERROR(INDEX(Consulta!$A:$DF,MATCH('MM01'!$B46,Consulta!$C:$C,0),'MM01'!BL$2),"")=0,"",IFERROR(INDEX(Consulta!$A:$DF,MATCH('MM01'!$B46,Consulta!$C:$C,0),'MM01'!BL$2),""))</f>
        <v/>
      </c>
      <c r="BM46" s="45">
        <v>99</v>
      </c>
      <c r="BN46" s="46" t="str">
        <f t="shared" ca="1" si="13"/>
        <v>28.04.2022</v>
      </c>
      <c r="BO46" s="49" t="str">
        <f t="shared" si="14"/>
        <v/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IF(IFERROR(INDEX(Consulta!$A:$DF,MATCH('MM01'!$B46,Consulta!$C:$C,0),'MM01'!BX$2),"")=0,"",IFERROR(INDEX(Consulta!$A:$DF,MATCH('MM01'!$B46,Consulta!$C:$C,0),'MM01'!BX$2),""))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15"/>
        <v/>
      </c>
      <c r="CD46" s="45" t="s">
        <v>430</v>
      </c>
      <c r="CE46" s="45">
        <v>1</v>
      </c>
      <c r="CF46" s="45" t="s">
        <v>496</v>
      </c>
      <c r="CG46" s="45"/>
      <c r="CH46" s="44">
        <v>2</v>
      </c>
      <c r="CI46" s="49" t="str">
        <f t="shared" si="16"/>
        <v/>
      </c>
      <c r="CJ46" s="49" t="str">
        <f t="shared" si="17"/>
        <v/>
      </c>
      <c r="CK46" s="45"/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18"/>
        <v>K00_P_</v>
      </c>
      <c r="CS46" s="45">
        <v>5000</v>
      </c>
      <c r="CT46" s="43" t="str">
        <f>IF(IFERROR(INDEX(Consulta!$A:$DF,MATCH('MM01'!$B46,Consulta!$C:$C,0),'MM01'!CT$2),"")=0,"",IFERROR(INDEX(Consulta!$A:$DF,MATCH('MM01'!$B46,Consulta!$C:$C,0),'MM01'!CT$2),""))</f>
        <v/>
      </c>
      <c r="CU46" s="43" t="str">
        <f>IF(IFERROR(INDEX(Consulta!$A:$DF,MATCH('MM01'!$B46,Consulta!$C:$C,0),'MM01'!CU$2),"")=0,"",IFERROR(INDEX(Consulta!$A:$DF,MATCH('MM01'!$B46,Consulta!$C:$C,0),'MM01'!CU$2),""))</f>
        <v/>
      </c>
      <c r="CV46" s="43" t="str">
        <f>IF(IFERROR(INDEX(Consulta!$A:$DF,MATCH('MM01'!$B46,Consulta!$C:$C,0),'MM01'!CV$2),"")=0,"",IFERROR(INDEX(Consulta!$A:$DF,MATCH('MM01'!$B46,Consulta!$C:$C,0),'MM01'!CV$2),""))</f>
        <v/>
      </c>
      <c r="CW46" s="43" t="str">
        <f>IF(IFERROR(INDEX(Consulta!$A:$DF,MATCH('MM01'!$B46,Consulta!$C:$C,0),'MM01'!CW$2),"")=0,"",IFERROR(INDEX(Consulta!$A:$DF,MATCH('MM01'!$B46,Consulta!$C:$C,0),'MM01'!CW$2),""))</f>
        <v/>
      </c>
      <c r="CX46" s="43" t="str">
        <f t="shared" si="19"/>
        <v/>
      </c>
      <c r="CY46" s="43" t="str">
        <f t="shared" si="20"/>
        <v/>
      </c>
      <c r="CZ46" s="43" t="str">
        <f t="shared" si="21"/>
        <v/>
      </c>
      <c r="DA46" s="43" t="str">
        <f>IF(IFERROR(INDEX(Consulta!$A:$DF,MATCH('MM01'!$B46,Consulta!$C:$C,0),'MM01'!DA$2),"")=0,"",IFERROR(INDEX(Consulta!$A:$DF,MATCH('MM01'!$B46,Consulta!$C:$C,0),'MM01'!DA$2),""))</f>
        <v/>
      </c>
      <c r="DB46" s="43" t="str">
        <f t="shared" si="22"/>
        <v/>
      </c>
      <c r="DC46" s="43" t="str">
        <f>IF(IFERROR(INDEX(Consulta!$A:$DF,MATCH('MM01'!$B46,Consulta!$C:$C,0),'MM01'!DC$2),"")=0,"",IFERROR(INDEX(Consulta!$A:$DF,MATCH('MM01'!$B46,Consulta!$C:$C,0),'MM01'!DC$2),""))</f>
        <v/>
      </c>
      <c r="DD46" s="45">
        <v>0</v>
      </c>
      <c r="DE46" s="45">
        <v>0</v>
      </c>
      <c r="DF46" s="43" t="str">
        <f t="shared" si="23"/>
        <v/>
      </c>
      <c r="DG46" s="43" t="str">
        <f t="shared" si="24"/>
        <v/>
      </c>
      <c r="DH46" s="55"/>
      <c r="DI46" s="43" t="str">
        <f t="shared" ca="1" si="25"/>
        <v/>
      </c>
      <c r="DJ46" s="43" t="str">
        <f t="shared" si="26"/>
        <v/>
      </c>
      <c r="DK46" s="43" t="str">
        <f t="shared" si="27"/>
        <v/>
      </c>
      <c r="DL46" s="55"/>
      <c r="DM46" s="43" t="str">
        <f t="shared" ca="1" si="28"/>
        <v/>
      </c>
      <c r="DN46" s="43" t="str">
        <f t="shared" si="29"/>
        <v/>
      </c>
      <c r="DO46" s="43" t="str">
        <f t="shared" si="30"/>
        <v/>
      </c>
      <c r="DP46" s="55"/>
      <c r="DQ46" s="43" t="str">
        <f t="shared" ca="1" si="31"/>
        <v/>
      </c>
      <c r="DR46" s="43" t="str">
        <f t="shared" si="32"/>
        <v/>
      </c>
      <c r="DS46" s="43" t="str">
        <f t="shared" si="33"/>
        <v/>
      </c>
      <c r="DT46" s="55"/>
      <c r="DU46" s="43" t="str">
        <f t="shared" ca="1" si="34"/>
        <v/>
      </c>
      <c r="DV46" s="43" t="str">
        <f t="shared" si="35"/>
        <v/>
      </c>
      <c r="DX46" s="44">
        <v>1</v>
      </c>
      <c r="DY46" s="44" t="s">
        <v>774</v>
      </c>
      <c r="DZ46" s="43">
        <f t="shared" si="36"/>
        <v>0.01</v>
      </c>
      <c r="EA46" s="43" t="str">
        <f t="shared" si="37"/>
        <v>M</v>
      </c>
      <c r="EB46" s="43" t="str">
        <f>IF(IFERROR(INDEX(Consulta!$A:$DF,MATCH('MM01'!$B46,Consulta!$C:$C,0),'MM01'!EB$2),"")=0,"7925",IF(IFERROR(INDEX(Consulta!$A:$DF,MATCH('MM01'!$B46,Consulta!$C:$C,0),'MM01'!EB$2),"")="68","7910","7925"))</f>
        <v>7925</v>
      </c>
      <c r="EC46" s="44">
        <v>100</v>
      </c>
      <c r="ED46" s="60">
        <v>1</v>
      </c>
      <c r="EE46" s="43">
        <f t="shared" si="38"/>
        <v>100</v>
      </c>
      <c r="EF46" s="44">
        <v>1</v>
      </c>
      <c r="EG46" s="44">
        <v>0</v>
      </c>
      <c r="EH46" s="44" t="s">
        <v>867</v>
      </c>
      <c r="EI46" s="45">
        <v>0</v>
      </c>
      <c r="EJ46" s="43">
        <f t="shared" si="39"/>
        <v>5000</v>
      </c>
      <c r="EK46" s="65"/>
    </row>
    <row r="47" spans="1:141" x14ac:dyDescent="0.3">
      <c r="A47" s="7" t="str">
        <f t="shared" si="0"/>
        <v>Execução 43</v>
      </c>
      <c r="B47" s="42"/>
      <c r="C47" s="43" t="str">
        <f>IF(IFERROR(INDEX(Consulta!$A:$DF,MATCH('MM01'!$B47,Consulta!$C:$C,0),'MM01'!C$2),"")=0,"",IFERROR(INDEX(Consulta!$A:$DF,MATCH('MM01'!$B47,Consulta!$C:$C,0),'MM01'!C$2),""))</f>
        <v/>
      </c>
      <c r="D47" s="43" t="str">
        <f>IF(IFERROR(INDEX(Consulta!$A:$DF,MATCH('MM01'!$B47,Consulta!$C:$C,0),'MM01'!D$2),"")=0,"",IFERROR(INDEX(Consulta!$A:$DF,MATCH('MM01'!$B47,Consulta!$C:$C,0),'MM01'!D$2),""))</f>
        <v/>
      </c>
      <c r="E47" s="43" t="str">
        <f>IF(IFERROR(INDEX(Consulta!$A:$DF,MATCH('MM01'!$B47,Consulta!$C:$C,0),'MM01'!E$2),"")=0,"",IFERROR(INDEX(Consulta!$A:$DF,MATCH('MM01'!$B47,Consulta!$C:$C,0),'MM01'!E$2),""))</f>
        <v/>
      </c>
      <c r="F47" s="44" t="s">
        <v>100</v>
      </c>
      <c r="G47" s="49" t="str">
        <f>IF(IFERROR(INDEX(Consulta!$A:$DF,MATCH('MM01'!$B47,Consulta!$C:$C,0),'MM01'!G$2),"")=0,"",IFERROR(INDEX(Consulta!$A:$DF,MATCH('MM01'!$B47,Consulta!$C:$C,0),'MM01'!G$2),""))</f>
        <v/>
      </c>
      <c r="H47" s="49" t="str">
        <f>IF(IFERROR(INDEX(Consulta!$A:$DF,MATCH('MM01'!$B47,Consulta!$C:$C,0),'MM01'!H$2),"")=0,"",IFERROR(INDEX(Consulta!$A:$DF,MATCH('MM01'!$B47,Consulta!$C:$C,0),'MM01'!H$2),""))</f>
        <v/>
      </c>
      <c r="I47" s="49" t="str">
        <f t="shared" si="1"/>
        <v/>
      </c>
      <c r="J47" s="49" t="str">
        <f>IF(IFERROR(INDEX(Consulta!$A:$DF,MATCH('MM01'!$B47,Consulta!$C:$C,0),'MM01'!J$2),"")=0,"",IFERROR(INDEX(Consulta!$A:$DF,MATCH('MM01'!$B47,Consulta!$C:$C,0),'MM01'!J$2),""))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IF(IFERROR(INDEX(Consulta!$A:$DF,MATCH('MM01'!$B47,Consulta!$C:$C,0),'MM01'!AP$2),"")=0,"",IFERROR(INDEX(Consulta!$A:$DF,MATCH('MM01'!$B47,Consulta!$C:$C,0),'MM01'!AP$2),""))</f>
        <v/>
      </c>
      <c r="AQ47" s="45"/>
      <c r="AR47" s="43" t="str">
        <f>IF(IFERROR(INDEX(Consulta!$A:$DF,MATCH('MM01'!$B47,Consulta!$C:$C,0),'MM01'!AR$2),"")=0,"",IFERROR(INDEX(Consulta!$A:$DF,MATCH('MM01'!$B47,Consulta!$C:$C,0),'MM01'!AR$2),""))</f>
        <v/>
      </c>
      <c r="AS47" s="43" t="str">
        <f>IF(IFERROR(INDEX(Consulta!$A:$DF,MATCH('MM01'!$B47,Consulta!$C:$C,0),'MM01'!AS$2),"")=0,"",IF(AR47="68",5102,IFERROR(INDEX(Consulta!$A:$DF,MATCH('MM01'!$B47,Consulta!$C:$C,0),'MM01'!AS$2),"")))</f>
        <v/>
      </c>
      <c r="AT47" s="45"/>
      <c r="AU47" s="46" t="str">
        <f t="shared" ca="1" si="3"/>
        <v/>
      </c>
      <c r="AV47" s="47" t="s">
        <v>796</v>
      </c>
      <c r="AW47" s="43" t="str">
        <f>IF(IFERROR(INDEX(Consulta!$A:$DF,MATCH('MM01'!$B47,Consulta!$C:$C,0),'MM01'!AW$2),"")=0,"",IFERROR(ROUND(INDEX(Consulta!$A:$DF,MATCH('MM01'!$B47,Consulta!$C:$C,0),'MM01'!AW$2),3),""))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IF(IFERROR(INDEX(Consulta!$A:$DF,MATCH('MM01'!$B47,Consulta!$C:$C,0),'MM01'!BA$2),"")=0,"",IFERROR(INDEX(Consulta!$A:$DF,MATCH('MM01'!$B47,Consulta!$C:$C,0),'MM01'!BA$2),""))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IF(IFERROR(INDEX(Consulta!$A:$DF,MATCH('MM01'!$B47,Consulta!$C:$C,0),'MM01'!BL$2),"")=0,"",IFERROR(INDEX(Consulta!$A:$DF,MATCH('MM01'!$B47,Consulta!$C:$C,0),'MM01'!BL$2),""))</f>
        <v/>
      </c>
      <c r="BM47" s="45">
        <v>99</v>
      </c>
      <c r="BN47" s="46" t="str">
        <f t="shared" ca="1" si="13"/>
        <v>28.04.2022</v>
      </c>
      <c r="BO47" s="49" t="str">
        <f t="shared" si="14"/>
        <v/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IF(IFERROR(INDEX(Consulta!$A:$DF,MATCH('MM01'!$B47,Consulta!$C:$C,0),'MM01'!BX$2),"")=0,"",IFERROR(INDEX(Consulta!$A:$DF,MATCH('MM01'!$B47,Consulta!$C:$C,0),'MM01'!BX$2),""))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15"/>
        <v/>
      </c>
      <c r="CD47" s="45" t="s">
        <v>430</v>
      </c>
      <c r="CE47" s="45">
        <v>1</v>
      </c>
      <c r="CF47" s="45" t="s">
        <v>496</v>
      </c>
      <c r="CG47" s="45"/>
      <c r="CH47" s="44">
        <v>2</v>
      </c>
      <c r="CI47" s="49" t="str">
        <f t="shared" si="16"/>
        <v/>
      </c>
      <c r="CJ47" s="49" t="str">
        <f t="shared" si="17"/>
        <v/>
      </c>
      <c r="CK47" s="45"/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18"/>
        <v>K00_P_</v>
      </c>
      <c r="CS47" s="45">
        <v>5000</v>
      </c>
      <c r="CT47" s="43" t="str">
        <f>IF(IFERROR(INDEX(Consulta!$A:$DF,MATCH('MM01'!$B47,Consulta!$C:$C,0),'MM01'!CT$2),"")=0,"",IFERROR(INDEX(Consulta!$A:$DF,MATCH('MM01'!$B47,Consulta!$C:$C,0),'MM01'!CT$2),""))</f>
        <v/>
      </c>
      <c r="CU47" s="43" t="str">
        <f>IF(IFERROR(INDEX(Consulta!$A:$DF,MATCH('MM01'!$B47,Consulta!$C:$C,0),'MM01'!CU$2),"")=0,"",IFERROR(INDEX(Consulta!$A:$DF,MATCH('MM01'!$B47,Consulta!$C:$C,0),'MM01'!CU$2),""))</f>
        <v/>
      </c>
      <c r="CV47" s="43" t="str">
        <f>IF(IFERROR(INDEX(Consulta!$A:$DF,MATCH('MM01'!$B47,Consulta!$C:$C,0),'MM01'!CV$2),"")=0,"",IFERROR(INDEX(Consulta!$A:$DF,MATCH('MM01'!$B47,Consulta!$C:$C,0),'MM01'!CV$2),""))</f>
        <v/>
      </c>
      <c r="CW47" s="43" t="str">
        <f>IF(IFERROR(INDEX(Consulta!$A:$DF,MATCH('MM01'!$B47,Consulta!$C:$C,0),'MM01'!CW$2),"")=0,"",IFERROR(INDEX(Consulta!$A:$DF,MATCH('MM01'!$B47,Consulta!$C:$C,0),'MM01'!CW$2),""))</f>
        <v/>
      </c>
      <c r="CX47" s="43" t="str">
        <f t="shared" si="19"/>
        <v/>
      </c>
      <c r="CY47" s="43" t="str">
        <f t="shared" si="20"/>
        <v/>
      </c>
      <c r="CZ47" s="43" t="str">
        <f t="shared" si="21"/>
        <v/>
      </c>
      <c r="DA47" s="43" t="str">
        <f>IF(IFERROR(INDEX(Consulta!$A:$DF,MATCH('MM01'!$B47,Consulta!$C:$C,0),'MM01'!DA$2),"")=0,"",IFERROR(INDEX(Consulta!$A:$DF,MATCH('MM01'!$B47,Consulta!$C:$C,0),'MM01'!DA$2),""))</f>
        <v/>
      </c>
      <c r="DB47" s="43" t="str">
        <f t="shared" si="22"/>
        <v/>
      </c>
      <c r="DC47" s="43" t="str">
        <f>IF(IFERROR(INDEX(Consulta!$A:$DF,MATCH('MM01'!$B47,Consulta!$C:$C,0),'MM01'!DC$2),"")=0,"",IFERROR(INDEX(Consulta!$A:$DF,MATCH('MM01'!$B47,Consulta!$C:$C,0),'MM01'!DC$2),""))</f>
        <v/>
      </c>
      <c r="DD47" s="45">
        <v>0</v>
      </c>
      <c r="DE47" s="45">
        <v>0</v>
      </c>
      <c r="DF47" s="43" t="str">
        <f t="shared" si="23"/>
        <v/>
      </c>
      <c r="DG47" s="43" t="str">
        <f t="shared" si="24"/>
        <v/>
      </c>
      <c r="DH47" s="55"/>
      <c r="DI47" s="43" t="str">
        <f t="shared" ca="1" si="25"/>
        <v/>
      </c>
      <c r="DJ47" s="43" t="str">
        <f t="shared" si="26"/>
        <v/>
      </c>
      <c r="DK47" s="43" t="str">
        <f t="shared" si="27"/>
        <v/>
      </c>
      <c r="DL47" s="55"/>
      <c r="DM47" s="43" t="str">
        <f t="shared" ca="1" si="28"/>
        <v/>
      </c>
      <c r="DN47" s="43" t="str">
        <f t="shared" si="29"/>
        <v/>
      </c>
      <c r="DO47" s="43" t="str">
        <f t="shared" si="30"/>
        <v/>
      </c>
      <c r="DP47" s="55"/>
      <c r="DQ47" s="43" t="str">
        <f t="shared" ca="1" si="31"/>
        <v/>
      </c>
      <c r="DR47" s="43" t="str">
        <f t="shared" si="32"/>
        <v/>
      </c>
      <c r="DS47" s="43" t="str">
        <f t="shared" si="33"/>
        <v/>
      </c>
      <c r="DT47" s="55"/>
      <c r="DU47" s="43" t="str">
        <f t="shared" ca="1" si="34"/>
        <v/>
      </c>
      <c r="DV47" s="43" t="str">
        <f t="shared" si="35"/>
        <v/>
      </c>
      <c r="DX47" s="44">
        <v>1</v>
      </c>
      <c r="DY47" s="44" t="s">
        <v>774</v>
      </c>
      <c r="DZ47" s="43">
        <f t="shared" si="36"/>
        <v>0.01</v>
      </c>
      <c r="EA47" s="43" t="str">
        <f t="shared" si="37"/>
        <v>M</v>
      </c>
      <c r="EB47" s="43" t="str">
        <f>IF(IFERROR(INDEX(Consulta!$A:$DF,MATCH('MM01'!$B47,Consulta!$C:$C,0),'MM01'!EB$2),"")=0,"7925",IF(IFERROR(INDEX(Consulta!$A:$DF,MATCH('MM01'!$B47,Consulta!$C:$C,0),'MM01'!EB$2),"")="68","7910","7925"))</f>
        <v>7925</v>
      </c>
      <c r="EC47" s="44">
        <v>100</v>
      </c>
      <c r="ED47" s="60">
        <v>1</v>
      </c>
      <c r="EE47" s="43">
        <f t="shared" si="38"/>
        <v>100</v>
      </c>
      <c r="EF47" s="44">
        <v>1</v>
      </c>
      <c r="EG47" s="44">
        <v>0</v>
      </c>
      <c r="EH47" s="44" t="s">
        <v>867</v>
      </c>
      <c r="EI47" s="45">
        <v>0</v>
      </c>
      <c r="EJ47" s="43">
        <f t="shared" si="39"/>
        <v>5000</v>
      </c>
      <c r="EK47" s="65"/>
    </row>
    <row r="48" spans="1:141" x14ac:dyDescent="0.3">
      <c r="A48" s="7" t="str">
        <f t="shared" si="0"/>
        <v>Execução 44</v>
      </c>
      <c r="B48" s="42"/>
      <c r="C48" s="43" t="str">
        <f>IF(IFERROR(INDEX(Consulta!$A:$DF,MATCH('MM01'!$B48,Consulta!$C:$C,0),'MM01'!C$2),"")=0,"",IFERROR(INDEX(Consulta!$A:$DF,MATCH('MM01'!$B48,Consulta!$C:$C,0),'MM01'!C$2),""))</f>
        <v/>
      </c>
      <c r="D48" s="43" t="str">
        <f>IF(IFERROR(INDEX(Consulta!$A:$DF,MATCH('MM01'!$B48,Consulta!$C:$C,0),'MM01'!D$2),"")=0,"",IFERROR(INDEX(Consulta!$A:$DF,MATCH('MM01'!$B48,Consulta!$C:$C,0),'MM01'!D$2),""))</f>
        <v/>
      </c>
      <c r="E48" s="43" t="str">
        <f>IF(IFERROR(INDEX(Consulta!$A:$DF,MATCH('MM01'!$B48,Consulta!$C:$C,0),'MM01'!E$2),"")=0,"",IFERROR(INDEX(Consulta!$A:$DF,MATCH('MM01'!$B48,Consulta!$C:$C,0),'MM01'!E$2),""))</f>
        <v/>
      </c>
      <c r="F48" s="44" t="s">
        <v>100</v>
      </c>
      <c r="G48" s="49" t="str">
        <f>IF(IFERROR(INDEX(Consulta!$A:$DF,MATCH('MM01'!$B48,Consulta!$C:$C,0),'MM01'!G$2),"")=0,"",IFERROR(INDEX(Consulta!$A:$DF,MATCH('MM01'!$B48,Consulta!$C:$C,0),'MM01'!G$2),""))</f>
        <v/>
      </c>
      <c r="H48" s="49" t="str">
        <f>IF(IFERROR(INDEX(Consulta!$A:$DF,MATCH('MM01'!$B48,Consulta!$C:$C,0),'MM01'!H$2),"")=0,"",IFERROR(INDEX(Consulta!$A:$DF,MATCH('MM01'!$B48,Consulta!$C:$C,0),'MM01'!H$2),""))</f>
        <v/>
      </c>
      <c r="I48" s="49" t="str">
        <f t="shared" si="1"/>
        <v/>
      </c>
      <c r="J48" s="49" t="str">
        <f>IF(IFERROR(INDEX(Consulta!$A:$DF,MATCH('MM01'!$B48,Consulta!$C:$C,0),'MM01'!J$2),"")=0,"",IFERROR(INDEX(Consulta!$A:$DF,MATCH('MM01'!$B48,Consulta!$C:$C,0),'MM01'!J$2),""))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IF(IFERROR(INDEX(Consulta!$A:$DF,MATCH('MM01'!$B48,Consulta!$C:$C,0),'MM01'!AP$2),"")=0,"",IFERROR(INDEX(Consulta!$A:$DF,MATCH('MM01'!$B48,Consulta!$C:$C,0),'MM01'!AP$2),""))</f>
        <v/>
      </c>
      <c r="AQ48" s="45"/>
      <c r="AR48" s="43" t="str">
        <f>IF(IFERROR(INDEX(Consulta!$A:$DF,MATCH('MM01'!$B48,Consulta!$C:$C,0),'MM01'!AR$2),"")=0,"",IFERROR(INDEX(Consulta!$A:$DF,MATCH('MM01'!$B48,Consulta!$C:$C,0),'MM01'!AR$2),""))</f>
        <v/>
      </c>
      <c r="AS48" s="43" t="str">
        <f>IF(IFERROR(INDEX(Consulta!$A:$DF,MATCH('MM01'!$B48,Consulta!$C:$C,0),'MM01'!AS$2),"")=0,"",IF(AR48="68",5102,IFERROR(INDEX(Consulta!$A:$DF,MATCH('MM01'!$B48,Consulta!$C:$C,0),'MM01'!AS$2),"")))</f>
        <v/>
      </c>
      <c r="AT48" s="45"/>
      <c r="AU48" s="46" t="str">
        <f t="shared" ca="1" si="3"/>
        <v/>
      </c>
      <c r="AV48" s="47" t="s">
        <v>796</v>
      </c>
      <c r="AW48" s="43" t="str">
        <f>IF(IFERROR(INDEX(Consulta!$A:$DF,MATCH('MM01'!$B48,Consulta!$C:$C,0),'MM01'!AW$2),"")=0,"",IFERROR(ROUND(INDEX(Consulta!$A:$DF,MATCH('MM01'!$B48,Consulta!$C:$C,0),'MM01'!AW$2),3),""))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IF(IFERROR(INDEX(Consulta!$A:$DF,MATCH('MM01'!$B48,Consulta!$C:$C,0),'MM01'!BA$2),"")=0,"",IFERROR(INDEX(Consulta!$A:$DF,MATCH('MM01'!$B48,Consulta!$C:$C,0),'MM01'!BA$2),""))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IF(IFERROR(INDEX(Consulta!$A:$DF,MATCH('MM01'!$B48,Consulta!$C:$C,0),'MM01'!BL$2),"")=0,"",IFERROR(INDEX(Consulta!$A:$DF,MATCH('MM01'!$B48,Consulta!$C:$C,0),'MM01'!BL$2),""))</f>
        <v/>
      </c>
      <c r="BM48" s="45">
        <v>99</v>
      </c>
      <c r="BN48" s="46" t="str">
        <f t="shared" ca="1" si="13"/>
        <v>28.04.2022</v>
      </c>
      <c r="BO48" s="49" t="str">
        <f t="shared" si="14"/>
        <v/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IF(IFERROR(INDEX(Consulta!$A:$DF,MATCH('MM01'!$B48,Consulta!$C:$C,0),'MM01'!BX$2),"")=0,"",IFERROR(INDEX(Consulta!$A:$DF,MATCH('MM01'!$B48,Consulta!$C:$C,0),'MM01'!BX$2),""))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15"/>
        <v/>
      </c>
      <c r="CD48" s="45" t="s">
        <v>430</v>
      </c>
      <c r="CE48" s="45">
        <v>1</v>
      </c>
      <c r="CF48" s="45" t="s">
        <v>496</v>
      </c>
      <c r="CG48" s="45"/>
      <c r="CH48" s="44">
        <v>2</v>
      </c>
      <c r="CI48" s="49" t="str">
        <f t="shared" si="16"/>
        <v/>
      </c>
      <c r="CJ48" s="49" t="str">
        <f t="shared" si="17"/>
        <v/>
      </c>
      <c r="CK48" s="45"/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18"/>
        <v>K00_P_</v>
      </c>
      <c r="CS48" s="45">
        <v>5000</v>
      </c>
      <c r="CT48" s="43" t="str">
        <f>IF(IFERROR(INDEX(Consulta!$A:$DF,MATCH('MM01'!$B48,Consulta!$C:$C,0),'MM01'!CT$2),"")=0,"",IFERROR(INDEX(Consulta!$A:$DF,MATCH('MM01'!$B48,Consulta!$C:$C,0),'MM01'!CT$2),""))</f>
        <v/>
      </c>
      <c r="CU48" s="43" t="str">
        <f>IF(IFERROR(INDEX(Consulta!$A:$DF,MATCH('MM01'!$B48,Consulta!$C:$C,0),'MM01'!CU$2),"")=0,"",IFERROR(INDEX(Consulta!$A:$DF,MATCH('MM01'!$B48,Consulta!$C:$C,0),'MM01'!CU$2),""))</f>
        <v/>
      </c>
      <c r="CV48" s="43" t="str">
        <f>IF(IFERROR(INDEX(Consulta!$A:$DF,MATCH('MM01'!$B48,Consulta!$C:$C,0),'MM01'!CV$2),"")=0,"",IFERROR(INDEX(Consulta!$A:$DF,MATCH('MM01'!$B48,Consulta!$C:$C,0),'MM01'!CV$2),""))</f>
        <v/>
      </c>
      <c r="CW48" s="43" t="str">
        <f>IF(IFERROR(INDEX(Consulta!$A:$DF,MATCH('MM01'!$B48,Consulta!$C:$C,0),'MM01'!CW$2),"")=0,"",IFERROR(INDEX(Consulta!$A:$DF,MATCH('MM01'!$B48,Consulta!$C:$C,0),'MM01'!CW$2),""))</f>
        <v/>
      </c>
      <c r="CX48" s="43" t="str">
        <f t="shared" si="19"/>
        <v/>
      </c>
      <c r="CY48" s="43" t="str">
        <f t="shared" si="20"/>
        <v/>
      </c>
      <c r="CZ48" s="43" t="str">
        <f t="shared" si="21"/>
        <v/>
      </c>
      <c r="DA48" s="43" t="str">
        <f>IF(IFERROR(INDEX(Consulta!$A:$DF,MATCH('MM01'!$B48,Consulta!$C:$C,0),'MM01'!DA$2),"")=0,"",IFERROR(INDEX(Consulta!$A:$DF,MATCH('MM01'!$B48,Consulta!$C:$C,0),'MM01'!DA$2),""))</f>
        <v/>
      </c>
      <c r="DB48" s="43" t="str">
        <f t="shared" si="22"/>
        <v/>
      </c>
      <c r="DC48" s="43" t="str">
        <f>IF(IFERROR(INDEX(Consulta!$A:$DF,MATCH('MM01'!$B48,Consulta!$C:$C,0),'MM01'!DC$2),"")=0,"",IFERROR(INDEX(Consulta!$A:$DF,MATCH('MM01'!$B48,Consulta!$C:$C,0),'MM01'!DC$2),""))</f>
        <v/>
      </c>
      <c r="DD48" s="45">
        <v>0</v>
      </c>
      <c r="DE48" s="45">
        <v>0</v>
      </c>
      <c r="DF48" s="43" t="str">
        <f t="shared" si="23"/>
        <v/>
      </c>
      <c r="DG48" s="43" t="str">
        <f t="shared" si="24"/>
        <v/>
      </c>
      <c r="DH48" s="55"/>
      <c r="DI48" s="43" t="str">
        <f t="shared" ca="1" si="25"/>
        <v/>
      </c>
      <c r="DJ48" s="43" t="str">
        <f t="shared" si="26"/>
        <v/>
      </c>
      <c r="DK48" s="43" t="str">
        <f t="shared" si="27"/>
        <v/>
      </c>
      <c r="DL48" s="55"/>
      <c r="DM48" s="43" t="str">
        <f t="shared" ca="1" si="28"/>
        <v/>
      </c>
      <c r="DN48" s="43" t="str">
        <f t="shared" si="29"/>
        <v/>
      </c>
      <c r="DO48" s="43" t="str">
        <f t="shared" si="30"/>
        <v/>
      </c>
      <c r="DP48" s="55"/>
      <c r="DQ48" s="43" t="str">
        <f t="shared" ca="1" si="31"/>
        <v/>
      </c>
      <c r="DR48" s="43" t="str">
        <f t="shared" si="32"/>
        <v/>
      </c>
      <c r="DS48" s="43" t="str">
        <f t="shared" si="33"/>
        <v/>
      </c>
      <c r="DT48" s="55"/>
      <c r="DU48" s="43" t="str">
        <f t="shared" ca="1" si="34"/>
        <v/>
      </c>
      <c r="DV48" s="43" t="str">
        <f t="shared" si="35"/>
        <v/>
      </c>
      <c r="DX48" s="44">
        <v>1</v>
      </c>
      <c r="DY48" s="44" t="s">
        <v>774</v>
      </c>
      <c r="DZ48" s="43">
        <f t="shared" si="36"/>
        <v>0.01</v>
      </c>
      <c r="EA48" s="43" t="str">
        <f t="shared" si="37"/>
        <v>M</v>
      </c>
      <c r="EB48" s="43" t="str">
        <f>IF(IFERROR(INDEX(Consulta!$A:$DF,MATCH('MM01'!$B48,Consulta!$C:$C,0),'MM01'!EB$2),"")=0,"7925",IF(IFERROR(INDEX(Consulta!$A:$DF,MATCH('MM01'!$B48,Consulta!$C:$C,0),'MM01'!EB$2),"")="68","7910","7925"))</f>
        <v>7925</v>
      </c>
      <c r="EC48" s="44">
        <v>100</v>
      </c>
      <c r="ED48" s="60">
        <v>1</v>
      </c>
      <c r="EE48" s="43">
        <f t="shared" si="38"/>
        <v>100</v>
      </c>
      <c r="EF48" s="44">
        <v>1</v>
      </c>
      <c r="EG48" s="44">
        <v>0</v>
      </c>
      <c r="EH48" s="44" t="s">
        <v>867</v>
      </c>
      <c r="EI48" s="45">
        <v>0</v>
      </c>
      <c r="EJ48" s="43">
        <f t="shared" si="39"/>
        <v>5000</v>
      </c>
      <c r="EK48" s="65"/>
    </row>
    <row r="49" spans="1:141" x14ac:dyDescent="0.3">
      <c r="A49" s="7" t="str">
        <f t="shared" si="0"/>
        <v>Execução 45</v>
      </c>
      <c r="B49" s="42"/>
      <c r="C49" s="43" t="str">
        <f>IF(IFERROR(INDEX(Consulta!$A:$DF,MATCH('MM01'!$B49,Consulta!$C:$C,0),'MM01'!C$2),"")=0,"",IFERROR(INDEX(Consulta!$A:$DF,MATCH('MM01'!$B49,Consulta!$C:$C,0),'MM01'!C$2),""))</f>
        <v/>
      </c>
      <c r="D49" s="43" t="str">
        <f>IF(IFERROR(INDEX(Consulta!$A:$DF,MATCH('MM01'!$B49,Consulta!$C:$C,0),'MM01'!D$2),"")=0,"",IFERROR(INDEX(Consulta!$A:$DF,MATCH('MM01'!$B49,Consulta!$C:$C,0),'MM01'!D$2),""))</f>
        <v/>
      </c>
      <c r="E49" s="43" t="str">
        <f>IF(IFERROR(INDEX(Consulta!$A:$DF,MATCH('MM01'!$B49,Consulta!$C:$C,0),'MM01'!E$2),"")=0,"",IFERROR(INDEX(Consulta!$A:$DF,MATCH('MM01'!$B49,Consulta!$C:$C,0),'MM01'!E$2),""))</f>
        <v/>
      </c>
      <c r="F49" s="44" t="s">
        <v>100</v>
      </c>
      <c r="G49" s="49" t="str">
        <f>IF(IFERROR(INDEX(Consulta!$A:$DF,MATCH('MM01'!$B49,Consulta!$C:$C,0),'MM01'!G$2),"")=0,"",IFERROR(INDEX(Consulta!$A:$DF,MATCH('MM01'!$B49,Consulta!$C:$C,0),'MM01'!G$2),""))</f>
        <v/>
      </c>
      <c r="H49" s="49" t="str">
        <f>IF(IFERROR(INDEX(Consulta!$A:$DF,MATCH('MM01'!$B49,Consulta!$C:$C,0),'MM01'!H$2),"")=0,"",IFERROR(INDEX(Consulta!$A:$DF,MATCH('MM01'!$B49,Consulta!$C:$C,0),'MM01'!H$2),""))</f>
        <v/>
      </c>
      <c r="I49" s="49" t="str">
        <f t="shared" si="1"/>
        <v/>
      </c>
      <c r="J49" s="49" t="str">
        <f>IF(IFERROR(INDEX(Consulta!$A:$DF,MATCH('MM01'!$B49,Consulta!$C:$C,0),'MM01'!J$2),"")=0,"",IFERROR(INDEX(Consulta!$A:$DF,MATCH('MM01'!$B49,Consulta!$C:$C,0),'MM01'!J$2),""))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IF(IFERROR(INDEX(Consulta!$A:$DF,MATCH('MM01'!$B49,Consulta!$C:$C,0),'MM01'!AP$2),"")=0,"",IFERROR(INDEX(Consulta!$A:$DF,MATCH('MM01'!$B49,Consulta!$C:$C,0),'MM01'!AP$2),""))</f>
        <v/>
      </c>
      <c r="AQ49" s="45"/>
      <c r="AR49" s="43" t="str">
        <f>IF(IFERROR(INDEX(Consulta!$A:$DF,MATCH('MM01'!$B49,Consulta!$C:$C,0),'MM01'!AR$2),"")=0,"",IFERROR(INDEX(Consulta!$A:$DF,MATCH('MM01'!$B49,Consulta!$C:$C,0),'MM01'!AR$2),""))</f>
        <v/>
      </c>
      <c r="AS49" s="43" t="str">
        <f>IF(IFERROR(INDEX(Consulta!$A:$DF,MATCH('MM01'!$B49,Consulta!$C:$C,0),'MM01'!AS$2),"")=0,"",IF(AR49="68",5102,IFERROR(INDEX(Consulta!$A:$DF,MATCH('MM01'!$B49,Consulta!$C:$C,0),'MM01'!AS$2),"")))</f>
        <v/>
      </c>
      <c r="AT49" s="45"/>
      <c r="AU49" s="46" t="str">
        <f t="shared" ca="1" si="3"/>
        <v/>
      </c>
      <c r="AV49" s="47" t="s">
        <v>796</v>
      </c>
      <c r="AW49" s="43" t="str">
        <f>IF(IFERROR(INDEX(Consulta!$A:$DF,MATCH('MM01'!$B49,Consulta!$C:$C,0),'MM01'!AW$2),"")=0,"",IFERROR(ROUND(INDEX(Consulta!$A:$DF,MATCH('MM01'!$B49,Consulta!$C:$C,0),'MM01'!AW$2),3),""))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IF(IFERROR(INDEX(Consulta!$A:$DF,MATCH('MM01'!$B49,Consulta!$C:$C,0),'MM01'!BA$2),"")=0,"",IFERROR(INDEX(Consulta!$A:$DF,MATCH('MM01'!$B49,Consulta!$C:$C,0),'MM01'!BA$2),""))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IF(IFERROR(INDEX(Consulta!$A:$DF,MATCH('MM01'!$B49,Consulta!$C:$C,0),'MM01'!BL$2),"")=0,"",IFERROR(INDEX(Consulta!$A:$DF,MATCH('MM01'!$B49,Consulta!$C:$C,0),'MM01'!BL$2),""))</f>
        <v/>
      </c>
      <c r="BM49" s="45">
        <v>99</v>
      </c>
      <c r="BN49" s="46" t="str">
        <f t="shared" ca="1" si="13"/>
        <v>28.04.2022</v>
      </c>
      <c r="BO49" s="49" t="str">
        <f t="shared" si="14"/>
        <v/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IF(IFERROR(INDEX(Consulta!$A:$DF,MATCH('MM01'!$B49,Consulta!$C:$C,0),'MM01'!BX$2),"")=0,"",IFERROR(INDEX(Consulta!$A:$DF,MATCH('MM01'!$B49,Consulta!$C:$C,0),'MM01'!BX$2),""))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15"/>
        <v/>
      </c>
      <c r="CD49" s="45" t="s">
        <v>430</v>
      </c>
      <c r="CE49" s="45">
        <v>1</v>
      </c>
      <c r="CF49" s="45" t="s">
        <v>496</v>
      </c>
      <c r="CG49" s="45"/>
      <c r="CH49" s="44">
        <v>2</v>
      </c>
      <c r="CI49" s="49" t="str">
        <f t="shared" si="16"/>
        <v/>
      </c>
      <c r="CJ49" s="49" t="str">
        <f t="shared" si="17"/>
        <v/>
      </c>
      <c r="CK49" s="45"/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18"/>
        <v>K00_P_</v>
      </c>
      <c r="CS49" s="45">
        <v>5000</v>
      </c>
      <c r="CT49" s="43" t="str">
        <f>IF(IFERROR(INDEX(Consulta!$A:$DF,MATCH('MM01'!$B49,Consulta!$C:$C,0),'MM01'!CT$2),"")=0,"",IFERROR(INDEX(Consulta!$A:$DF,MATCH('MM01'!$B49,Consulta!$C:$C,0),'MM01'!CT$2),""))</f>
        <v/>
      </c>
      <c r="CU49" s="43" t="str">
        <f>IF(IFERROR(INDEX(Consulta!$A:$DF,MATCH('MM01'!$B49,Consulta!$C:$C,0),'MM01'!CU$2),"")=0,"",IFERROR(INDEX(Consulta!$A:$DF,MATCH('MM01'!$B49,Consulta!$C:$C,0),'MM01'!CU$2),""))</f>
        <v/>
      </c>
      <c r="CV49" s="43" t="str">
        <f>IF(IFERROR(INDEX(Consulta!$A:$DF,MATCH('MM01'!$B49,Consulta!$C:$C,0),'MM01'!CV$2),"")=0,"",IFERROR(INDEX(Consulta!$A:$DF,MATCH('MM01'!$B49,Consulta!$C:$C,0),'MM01'!CV$2),""))</f>
        <v/>
      </c>
      <c r="CW49" s="43" t="str">
        <f>IF(IFERROR(INDEX(Consulta!$A:$DF,MATCH('MM01'!$B49,Consulta!$C:$C,0),'MM01'!CW$2),"")=0,"",IFERROR(INDEX(Consulta!$A:$DF,MATCH('MM01'!$B49,Consulta!$C:$C,0),'MM01'!CW$2),""))</f>
        <v/>
      </c>
      <c r="CX49" s="43" t="str">
        <f t="shared" si="19"/>
        <v/>
      </c>
      <c r="CY49" s="43" t="str">
        <f t="shared" si="20"/>
        <v/>
      </c>
      <c r="CZ49" s="43" t="str">
        <f t="shared" si="21"/>
        <v/>
      </c>
      <c r="DA49" s="43" t="str">
        <f>IF(IFERROR(INDEX(Consulta!$A:$DF,MATCH('MM01'!$B49,Consulta!$C:$C,0),'MM01'!DA$2),"")=0,"",IFERROR(INDEX(Consulta!$A:$DF,MATCH('MM01'!$B49,Consulta!$C:$C,0),'MM01'!DA$2),""))</f>
        <v/>
      </c>
      <c r="DB49" s="43" t="str">
        <f t="shared" si="22"/>
        <v/>
      </c>
      <c r="DC49" s="43" t="str">
        <f>IF(IFERROR(INDEX(Consulta!$A:$DF,MATCH('MM01'!$B49,Consulta!$C:$C,0),'MM01'!DC$2),"")=0,"",IFERROR(INDEX(Consulta!$A:$DF,MATCH('MM01'!$B49,Consulta!$C:$C,0),'MM01'!DC$2),""))</f>
        <v/>
      </c>
      <c r="DD49" s="45">
        <v>0</v>
      </c>
      <c r="DE49" s="45">
        <v>0</v>
      </c>
      <c r="DF49" s="43" t="str">
        <f t="shared" si="23"/>
        <v/>
      </c>
      <c r="DG49" s="43" t="str">
        <f t="shared" si="24"/>
        <v/>
      </c>
      <c r="DH49" s="55"/>
      <c r="DI49" s="43" t="str">
        <f t="shared" ca="1" si="25"/>
        <v/>
      </c>
      <c r="DJ49" s="43" t="str">
        <f t="shared" si="26"/>
        <v/>
      </c>
      <c r="DK49" s="43" t="str">
        <f t="shared" si="27"/>
        <v/>
      </c>
      <c r="DL49" s="55"/>
      <c r="DM49" s="43" t="str">
        <f t="shared" ca="1" si="28"/>
        <v/>
      </c>
      <c r="DN49" s="43" t="str">
        <f t="shared" si="29"/>
        <v/>
      </c>
      <c r="DO49" s="43" t="str">
        <f t="shared" si="30"/>
        <v/>
      </c>
      <c r="DP49" s="55"/>
      <c r="DQ49" s="43" t="str">
        <f t="shared" ca="1" si="31"/>
        <v/>
      </c>
      <c r="DR49" s="43" t="str">
        <f t="shared" si="32"/>
        <v/>
      </c>
      <c r="DS49" s="43" t="str">
        <f t="shared" si="33"/>
        <v/>
      </c>
      <c r="DT49" s="55"/>
      <c r="DU49" s="43" t="str">
        <f t="shared" ca="1" si="34"/>
        <v/>
      </c>
      <c r="DV49" s="43" t="str">
        <f t="shared" si="35"/>
        <v/>
      </c>
      <c r="DX49" s="44">
        <v>1</v>
      </c>
      <c r="DY49" s="44" t="s">
        <v>774</v>
      </c>
      <c r="DZ49" s="43">
        <f t="shared" si="36"/>
        <v>0.01</v>
      </c>
      <c r="EA49" s="43" t="str">
        <f t="shared" si="37"/>
        <v>M</v>
      </c>
      <c r="EB49" s="43" t="str">
        <f>IF(IFERROR(INDEX(Consulta!$A:$DF,MATCH('MM01'!$B49,Consulta!$C:$C,0),'MM01'!EB$2),"")=0,"7925",IF(IFERROR(INDEX(Consulta!$A:$DF,MATCH('MM01'!$B49,Consulta!$C:$C,0),'MM01'!EB$2),"")="68","7910","7925"))</f>
        <v>7925</v>
      </c>
      <c r="EC49" s="44">
        <v>100</v>
      </c>
      <c r="ED49" s="60">
        <v>1</v>
      </c>
      <c r="EE49" s="43">
        <f t="shared" si="38"/>
        <v>100</v>
      </c>
      <c r="EF49" s="44">
        <v>1</v>
      </c>
      <c r="EG49" s="44">
        <v>0</v>
      </c>
      <c r="EH49" s="44" t="s">
        <v>867</v>
      </c>
      <c r="EI49" s="45">
        <v>0</v>
      </c>
      <c r="EJ49" s="43">
        <f t="shared" si="39"/>
        <v>5000</v>
      </c>
      <c r="EK49" s="65"/>
    </row>
    <row r="50" spans="1:141" x14ac:dyDescent="0.3">
      <c r="A50" s="7" t="str">
        <f t="shared" si="0"/>
        <v>Execução 46</v>
      </c>
      <c r="B50" s="42"/>
      <c r="C50" s="43" t="str">
        <f>IF(IFERROR(INDEX(Consulta!$A:$DF,MATCH('MM01'!$B50,Consulta!$C:$C,0),'MM01'!C$2),"")=0,"",IFERROR(INDEX(Consulta!$A:$DF,MATCH('MM01'!$B50,Consulta!$C:$C,0),'MM01'!C$2),""))</f>
        <v/>
      </c>
      <c r="D50" s="43" t="str">
        <f>IF(IFERROR(INDEX(Consulta!$A:$DF,MATCH('MM01'!$B50,Consulta!$C:$C,0),'MM01'!D$2),"")=0,"",IFERROR(INDEX(Consulta!$A:$DF,MATCH('MM01'!$B50,Consulta!$C:$C,0),'MM01'!D$2),""))</f>
        <v/>
      </c>
      <c r="E50" s="43" t="str">
        <f>IF(IFERROR(INDEX(Consulta!$A:$DF,MATCH('MM01'!$B50,Consulta!$C:$C,0),'MM01'!E$2),"")=0,"",IFERROR(INDEX(Consulta!$A:$DF,MATCH('MM01'!$B50,Consulta!$C:$C,0),'MM01'!E$2),""))</f>
        <v/>
      </c>
      <c r="F50" s="44" t="s">
        <v>100</v>
      </c>
      <c r="G50" s="49" t="str">
        <f>IF(IFERROR(INDEX(Consulta!$A:$DF,MATCH('MM01'!$B50,Consulta!$C:$C,0),'MM01'!G$2),"")=0,"",IFERROR(INDEX(Consulta!$A:$DF,MATCH('MM01'!$B50,Consulta!$C:$C,0),'MM01'!G$2),""))</f>
        <v/>
      </c>
      <c r="H50" s="49" t="str">
        <f>IF(IFERROR(INDEX(Consulta!$A:$DF,MATCH('MM01'!$B50,Consulta!$C:$C,0),'MM01'!H$2),"")=0,"",IFERROR(INDEX(Consulta!$A:$DF,MATCH('MM01'!$B50,Consulta!$C:$C,0),'MM01'!H$2),""))</f>
        <v/>
      </c>
      <c r="I50" s="49" t="str">
        <f t="shared" si="1"/>
        <v/>
      </c>
      <c r="J50" s="49" t="str">
        <f>IF(IFERROR(INDEX(Consulta!$A:$DF,MATCH('MM01'!$B50,Consulta!$C:$C,0),'MM01'!J$2),"")=0,"",IFERROR(INDEX(Consulta!$A:$DF,MATCH('MM01'!$B50,Consulta!$C:$C,0),'MM01'!J$2),""))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IF(IFERROR(INDEX(Consulta!$A:$DF,MATCH('MM01'!$B50,Consulta!$C:$C,0),'MM01'!AP$2),"")=0,"",IFERROR(INDEX(Consulta!$A:$DF,MATCH('MM01'!$B50,Consulta!$C:$C,0),'MM01'!AP$2),""))</f>
        <v/>
      </c>
      <c r="AQ50" s="45"/>
      <c r="AR50" s="43" t="str">
        <f>IF(IFERROR(INDEX(Consulta!$A:$DF,MATCH('MM01'!$B50,Consulta!$C:$C,0),'MM01'!AR$2),"")=0,"",IFERROR(INDEX(Consulta!$A:$DF,MATCH('MM01'!$B50,Consulta!$C:$C,0),'MM01'!AR$2),""))</f>
        <v/>
      </c>
      <c r="AS50" s="43" t="str">
        <f>IF(IFERROR(INDEX(Consulta!$A:$DF,MATCH('MM01'!$B50,Consulta!$C:$C,0),'MM01'!AS$2),"")=0,"",IF(AR50="68",5102,IFERROR(INDEX(Consulta!$A:$DF,MATCH('MM01'!$B50,Consulta!$C:$C,0),'MM01'!AS$2),"")))</f>
        <v/>
      </c>
      <c r="AT50" s="45"/>
      <c r="AU50" s="46" t="str">
        <f t="shared" ca="1" si="3"/>
        <v/>
      </c>
      <c r="AV50" s="47" t="s">
        <v>796</v>
      </c>
      <c r="AW50" s="43" t="str">
        <f>IF(IFERROR(INDEX(Consulta!$A:$DF,MATCH('MM01'!$B50,Consulta!$C:$C,0),'MM01'!AW$2),"")=0,"",IFERROR(ROUND(INDEX(Consulta!$A:$DF,MATCH('MM01'!$B50,Consulta!$C:$C,0),'MM01'!AW$2),3),""))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IF(IFERROR(INDEX(Consulta!$A:$DF,MATCH('MM01'!$B50,Consulta!$C:$C,0),'MM01'!BA$2),"")=0,"",IFERROR(INDEX(Consulta!$A:$DF,MATCH('MM01'!$B50,Consulta!$C:$C,0),'MM01'!BA$2),""))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IF(IFERROR(INDEX(Consulta!$A:$DF,MATCH('MM01'!$B50,Consulta!$C:$C,0),'MM01'!BL$2),"")=0,"",IFERROR(INDEX(Consulta!$A:$DF,MATCH('MM01'!$B50,Consulta!$C:$C,0),'MM01'!BL$2),""))</f>
        <v/>
      </c>
      <c r="BM50" s="45">
        <v>99</v>
      </c>
      <c r="BN50" s="46" t="str">
        <f t="shared" ca="1" si="13"/>
        <v>28.04.2022</v>
      </c>
      <c r="BO50" s="49" t="str">
        <f t="shared" si="14"/>
        <v/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IF(IFERROR(INDEX(Consulta!$A:$DF,MATCH('MM01'!$B50,Consulta!$C:$C,0),'MM01'!BX$2),"")=0,"",IFERROR(INDEX(Consulta!$A:$DF,MATCH('MM01'!$B50,Consulta!$C:$C,0),'MM01'!BX$2),""))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15"/>
        <v/>
      </c>
      <c r="CD50" s="45" t="s">
        <v>430</v>
      </c>
      <c r="CE50" s="45">
        <v>1</v>
      </c>
      <c r="CF50" s="45" t="s">
        <v>496</v>
      </c>
      <c r="CG50" s="45"/>
      <c r="CH50" s="44">
        <v>2</v>
      </c>
      <c r="CI50" s="49" t="str">
        <f t="shared" si="16"/>
        <v/>
      </c>
      <c r="CJ50" s="49" t="str">
        <f t="shared" si="17"/>
        <v/>
      </c>
      <c r="CK50" s="45"/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18"/>
        <v>K00_P_</v>
      </c>
      <c r="CS50" s="45">
        <v>5000</v>
      </c>
      <c r="CT50" s="43" t="str">
        <f>IF(IFERROR(INDEX(Consulta!$A:$DF,MATCH('MM01'!$B50,Consulta!$C:$C,0),'MM01'!CT$2),"")=0,"",IFERROR(INDEX(Consulta!$A:$DF,MATCH('MM01'!$B50,Consulta!$C:$C,0),'MM01'!CT$2),""))</f>
        <v/>
      </c>
      <c r="CU50" s="43" t="str">
        <f>IF(IFERROR(INDEX(Consulta!$A:$DF,MATCH('MM01'!$B50,Consulta!$C:$C,0),'MM01'!CU$2),"")=0,"",IFERROR(INDEX(Consulta!$A:$DF,MATCH('MM01'!$B50,Consulta!$C:$C,0),'MM01'!CU$2),""))</f>
        <v/>
      </c>
      <c r="CV50" s="43" t="str">
        <f>IF(IFERROR(INDEX(Consulta!$A:$DF,MATCH('MM01'!$B50,Consulta!$C:$C,0),'MM01'!CV$2),"")=0,"",IFERROR(INDEX(Consulta!$A:$DF,MATCH('MM01'!$B50,Consulta!$C:$C,0),'MM01'!CV$2),""))</f>
        <v/>
      </c>
      <c r="CW50" s="43" t="str">
        <f>IF(IFERROR(INDEX(Consulta!$A:$DF,MATCH('MM01'!$B50,Consulta!$C:$C,0),'MM01'!CW$2),"")=0,"",IFERROR(INDEX(Consulta!$A:$DF,MATCH('MM01'!$B50,Consulta!$C:$C,0),'MM01'!CW$2),""))</f>
        <v/>
      </c>
      <c r="CX50" s="43" t="str">
        <f t="shared" si="19"/>
        <v/>
      </c>
      <c r="CY50" s="43" t="str">
        <f t="shared" si="20"/>
        <v/>
      </c>
      <c r="CZ50" s="43" t="str">
        <f t="shared" si="21"/>
        <v/>
      </c>
      <c r="DA50" s="43" t="str">
        <f>IF(IFERROR(INDEX(Consulta!$A:$DF,MATCH('MM01'!$B50,Consulta!$C:$C,0),'MM01'!DA$2),"")=0,"",IFERROR(INDEX(Consulta!$A:$DF,MATCH('MM01'!$B50,Consulta!$C:$C,0),'MM01'!DA$2),""))</f>
        <v/>
      </c>
      <c r="DB50" s="43" t="str">
        <f t="shared" si="22"/>
        <v/>
      </c>
      <c r="DC50" s="43" t="str">
        <f>IF(IFERROR(INDEX(Consulta!$A:$DF,MATCH('MM01'!$B50,Consulta!$C:$C,0),'MM01'!DC$2),"")=0,"",IFERROR(INDEX(Consulta!$A:$DF,MATCH('MM01'!$B50,Consulta!$C:$C,0),'MM01'!DC$2),""))</f>
        <v/>
      </c>
      <c r="DD50" s="45">
        <v>0</v>
      </c>
      <c r="DE50" s="45">
        <v>0</v>
      </c>
      <c r="DF50" s="43" t="str">
        <f t="shared" si="23"/>
        <v/>
      </c>
      <c r="DG50" s="43" t="str">
        <f t="shared" si="24"/>
        <v/>
      </c>
      <c r="DH50" s="55"/>
      <c r="DI50" s="43" t="str">
        <f t="shared" ca="1" si="25"/>
        <v/>
      </c>
      <c r="DJ50" s="43" t="str">
        <f t="shared" si="26"/>
        <v/>
      </c>
      <c r="DK50" s="43" t="str">
        <f t="shared" si="27"/>
        <v/>
      </c>
      <c r="DL50" s="55"/>
      <c r="DM50" s="43" t="str">
        <f t="shared" ca="1" si="28"/>
        <v/>
      </c>
      <c r="DN50" s="43" t="str">
        <f t="shared" si="29"/>
        <v/>
      </c>
      <c r="DO50" s="43" t="str">
        <f t="shared" si="30"/>
        <v/>
      </c>
      <c r="DP50" s="55"/>
      <c r="DQ50" s="43" t="str">
        <f t="shared" ca="1" si="31"/>
        <v/>
      </c>
      <c r="DR50" s="43" t="str">
        <f t="shared" si="32"/>
        <v/>
      </c>
      <c r="DS50" s="43" t="str">
        <f t="shared" si="33"/>
        <v/>
      </c>
      <c r="DT50" s="55"/>
      <c r="DU50" s="43" t="str">
        <f t="shared" ca="1" si="34"/>
        <v/>
      </c>
      <c r="DV50" s="43" t="str">
        <f t="shared" si="35"/>
        <v/>
      </c>
      <c r="DX50" s="44">
        <v>1</v>
      </c>
      <c r="DY50" s="44" t="s">
        <v>774</v>
      </c>
      <c r="DZ50" s="43">
        <f t="shared" si="36"/>
        <v>0.01</v>
      </c>
      <c r="EA50" s="43" t="str">
        <f t="shared" si="37"/>
        <v>M</v>
      </c>
      <c r="EB50" s="43" t="str">
        <f>IF(IFERROR(INDEX(Consulta!$A:$DF,MATCH('MM01'!$B50,Consulta!$C:$C,0),'MM01'!EB$2),"")=0,"7925",IF(IFERROR(INDEX(Consulta!$A:$DF,MATCH('MM01'!$B50,Consulta!$C:$C,0),'MM01'!EB$2),"")="68","7910","7925"))</f>
        <v>7925</v>
      </c>
      <c r="EC50" s="44">
        <v>100</v>
      </c>
      <c r="ED50" s="60">
        <v>1</v>
      </c>
      <c r="EE50" s="43">
        <f t="shared" si="38"/>
        <v>100</v>
      </c>
      <c r="EF50" s="44">
        <v>1</v>
      </c>
      <c r="EG50" s="44">
        <v>0</v>
      </c>
      <c r="EH50" s="44" t="s">
        <v>867</v>
      </c>
      <c r="EI50" s="45">
        <v>0</v>
      </c>
      <c r="EJ50" s="43">
        <f t="shared" si="39"/>
        <v>5000</v>
      </c>
      <c r="EK50" s="65"/>
    </row>
    <row r="51" spans="1:141" x14ac:dyDescent="0.3">
      <c r="A51" s="7" t="str">
        <f t="shared" si="0"/>
        <v>Execução 47</v>
      </c>
      <c r="B51" s="42"/>
      <c r="C51" s="43" t="str">
        <f>IF(IFERROR(INDEX(Consulta!$A:$DF,MATCH('MM01'!$B51,Consulta!$C:$C,0),'MM01'!C$2),"")=0,"",IFERROR(INDEX(Consulta!$A:$DF,MATCH('MM01'!$B51,Consulta!$C:$C,0),'MM01'!C$2),""))</f>
        <v/>
      </c>
      <c r="D51" s="43" t="str">
        <f>IF(IFERROR(INDEX(Consulta!$A:$DF,MATCH('MM01'!$B51,Consulta!$C:$C,0),'MM01'!D$2),"")=0,"",IFERROR(INDEX(Consulta!$A:$DF,MATCH('MM01'!$B51,Consulta!$C:$C,0),'MM01'!D$2),""))</f>
        <v/>
      </c>
      <c r="E51" s="43" t="str">
        <f>IF(IFERROR(INDEX(Consulta!$A:$DF,MATCH('MM01'!$B51,Consulta!$C:$C,0),'MM01'!E$2),"")=0,"",IFERROR(INDEX(Consulta!$A:$DF,MATCH('MM01'!$B51,Consulta!$C:$C,0),'MM01'!E$2),""))</f>
        <v/>
      </c>
      <c r="F51" s="44" t="s">
        <v>100</v>
      </c>
      <c r="G51" s="49" t="str">
        <f>IF(IFERROR(INDEX(Consulta!$A:$DF,MATCH('MM01'!$B51,Consulta!$C:$C,0),'MM01'!G$2),"")=0,"",IFERROR(INDEX(Consulta!$A:$DF,MATCH('MM01'!$B51,Consulta!$C:$C,0),'MM01'!G$2),""))</f>
        <v/>
      </c>
      <c r="H51" s="49" t="str">
        <f>IF(IFERROR(INDEX(Consulta!$A:$DF,MATCH('MM01'!$B51,Consulta!$C:$C,0),'MM01'!H$2),"")=0,"",IFERROR(INDEX(Consulta!$A:$DF,MATCH('MM01'!$B51,Consulta!$C:$C,0),'MM01'!H$2),""))</f>
        <v/>
      </c>
      <c r="I51" s="49" t="str">
        <f t="shared" si="1"/>
        <v/>
      </c>
      <c r="J51" s="49" t="str">
        <f>IF(IFERROR(INDEX(Consulta!$A:$DF,MATCH('MM01'!$B51,Consulta!$C:$C,0),'MM01'!J$2),"")=0,"",IFERROR(INDEX(Consulta!$A:$DF,MATCH('MM01'!$B51,Consulta!$C:$C,0),'MM01'!J$2),""))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IF(IFERROR(INDEX(Consulta!$A:$DF,MATCH('MM01'!$B51,Consulta!$C:$C,0),'MM01'!AP$2),"")=0,"",IFERROR(INDEX(Consulta!$A:$DF,MATCH('MM01'!$B51,Consulta!$C:$C,0),'MM01'!AP$2),""))</f>
        <v/>
      </c>
      <c r="AQ51" s="45"/>
      <c r="AR51" s="43" t="str">
        <f>IF(IFERROR(INDEX(Consulta!$A:$DF,MATCH('MM01'!$B51,Consulta!$C:$C,0),'MM01'!AR$2),"")=0,"",IFERROR(INDEX(Consulta!$A:$DF,MATCH('MM01'!$B51,Consulta!$C:$C,0),'MM01'!AR$2),""))</f>
        <v/>
      </c>
      <c r="AS51" s="43" t="str">
        <f>IF(IFERROR(INDEX(Consulta!$A:$DF,MATCH('MM01'!$B51,Consulta!$C:$C,0),'MM01'!AS$2),"")=0,"",IF(AR51="68",5102,IFERROR(INDEX(Consulta!$A:$DF,MATCH('MM01'!$B51,Consulta!$C:$C,0),'MM01'!AS$2),"")))</f>
        <v/>
      </c>
      <c r="AT51" s="45"/>
      <c r="AU51" s="46" t="str">
        <f t="shared" ca="1" si="3"/>
        <v/>
      </c>
      <c r="AV51" s="47" t="s">
        <v>796</v>
      </c>
      <c r="AW51" s="43" t="str">
        <f>IF(IFERROR(INDEX(Consulta!$A:$DF,MATCH('MM01'!$B51,Consulta!$C:$C,0),'MM01'!AW$2),"")=0,"",IFERROR(ROUND(INDEX(Consulta!$A:$DF,MATCH('MM01'!$B51,Consulta!$C:$C,0),'MM01'!AW$2),3),""))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IF(IFERROR(INDEX(Consulta!$A:$DF,MATCH('MM01'!$B51,Consulta!$C:$C,0),'MM01'!BA$2),"")=0,"",IFERROR(INDEX(Consulta!$A:$DF,MATCH('MM01'!$B51,Consulta!$C:$C,0),'MM01'!BA$2),""))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IF(IFERROR(INDEX(Consulta!$A:$DF,MATCH('MM01'!$B51,Consulta!$C:$C,0),'MM01'!BL$2),"")=0,"",IFERROR(INDEX(Consulta!$A:$DF,MATCH('MM01'!$B51,Consulta!$C:$C,0),'MM01'!BL$2),""))</f>
        <v/>
      </c>
      <c r="BM51" s="45">
        <v>99</v>
      </c>
      <c r="BN51" s="46" t="str">
        <f t="shared" ca="1" si="13"/>
        <v>28.04.2022</v>
      </c>
      <c r="BO51" s="49" t="str">
        <f t="shared" si="14"/>
        <v/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IF(IFERROR(INDEX(Consulta!$A:$DF,MATCH('MM01'!$B51,Consulta!$C:$C,0),'MM01'!BX$2),"")=0,"",IFERROR(INDEX(Consulta!$A:$DF,MATCH('MM01'!$B51,Consulta!$C:$C,0),'MM01'!BX$2),""))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15"/>
        <v/>
      </c>
      <c r="CD51" s="45" t="s">
        <v>430</v>
      </c>
      <c r="CE51" s="45">
        <v>1</v>
      </c>
      <c r="CF51" s="45" t="s">
        <v>496</v>
      </c>
      <c r="CG51" s="45"/>
      <c r="CH51" s="44">
        <v>2</v>
      </c>
      <c r="CI51" s="49" t="str">
        <f t="shared" si="16"/>
        <v/>
      </c>
      <c r="CJ51" s="49" t="str">
        <f t="shared" si="17"/>
        <v/>
      </c>
      <c r="CK51" s="45"/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18"/>
        <v>K00_P_</v>
      </c>
      <c r="CS51" s="45">
        <v>5000</v>
      </c>
      <c r="CT51" s="43" t="str">
        <f>IF(IFERROR(INDEX(Consulta!$A:$DF,MATCH('MM01'!$B51,Consulta!$C:$C,0),'MM01'!CT$2),"")=0,"",IFERROR(INDEX(Consulta!$A:$DF,MATCH('MM01'!$B51,Consulta!$C:$C,0),'MM01'!CT$2),""))</f>
        <v/>
      </c>
      <c r="CU51" s="43" t="str">
        <f>IF(IFERROR(INDEX(Consulta!$A:$DF,MATCH('MM01'!$B51,Consulta!$C:$C,0),'MM01'!CU$2),"")=0,"",IFERROR(INDEX(Consulta!$A:$DF,MATCH('MM01'!$B51,Consulta!$C:$C,0),'MM01'!CU$2),""))</f>
        <v/>
      </c>
      <c r="CV51" s="43" t="str">
        <f>IF(IFERROR(INDEX(Consulta!$A:$DF,MATCH('MM01'!$B51,Consulta!$C:$C,0),'MM01'!CV$2),"")=0,"",IFERROR(INDEX(Consulta!$A:$DF,MATCH('MM01'!$B51,Consulta!$C:$C,0),'MM01'!CV$2),""))</f>
        <v/>
      </c>
      <c r="CW51" s="43" t="str">
        <f>IF(IFERROR(INDEX(Consulta!$A:$DF,MATCH('MM01'!$B51,Consulta!$C:$C,0),'MM01'!CW$2),"")=0,"",IFERROR(INDEX(Consulta!$A:$DF,MATCH('MM01'!$B51,Consulta!$C:$C,0),'MM01'!CW$2),""))</f>
        <v/>
      </c>
      <c r="CX51" s="43" t="str">
        <f t="shared" si="19"/>
        <v/>
      </c>
      <c r="CY51" s="43" t="str">
        <f t="shared" si="20"/>
        <v/>
      </c>
      <c r="CZ51" s="43" t="str">
        <f t="shared" si="21"/>
        <v/>
      </c>
      <c r="DA51" s="43" t="str">
        <f>IF(IFERROR(INDEX(Consulta!$A:$DF,MATCH('MM01'!$B51,Consulta!$C:$C,0),'MM01'!DA$2),"")=0,"",IFERROR(INDEX(Consulta!$A:$DF,MATCH('MM01'!$B51,Consulta!$C:$C,0),'MM01'!DA$2),""))</f>
        <v/>
      </c>
      <c r="DB51" s="43" t="str">
        <f t="shared" si="22"/>
        <v/>
      </c>
      <c r="DC51" s="43" t="str">
        <f>IF(IFERROR(INDEX(Consulta!$A:$DF,MATCH('MM01'!$B51,Consulta!$C:$C,0),'MM01'!DC$2),"")=0,"",IFERROR(INDEX(Consulta!$A:$DF,MATCH('MM01'!$B51,Consulta!$C:$C,0),'MM01'!DC$2),""))</f>
        <v/>
      </c>
      <c r="DD51" s="45">
        <v>0</v>
      </c>
      <c r="DE51" s="45">
        <v>0</v>
      </c>
      <c r="DF51" s="43" t="str">
        <f t="shared" si="23"/>
        <v/>
      </c>
      <c r="DG51" s="43" t="str">
        <f t="shared" si="24"/>
        <v/>
      </c>
      <c r="DH51" s="55"/>
      <c r="DI51" s="43" t="str">
        <f t="shared" ca="1" si="25"/>
        <v/>
      </c>
      <c r="DJ51" s="43" t="str">
        <f t="shared" si="26"/>
        <v/>
      </c>
      <c r="DK51" s="43" t="str">
        <f t="shared" si="27"/>
        <v/>
      </c>
      <c r="DL51" s="55"/>
      <c r="DM51" s="43" t="str">
        <f t="shared" ca="1" si="28"/>
        <v/>
      </c>
      <c r="DN51" s="43" t="str">
        <f t="shared" si="29"/>
        <v/>
      </c>
      <c r="DO51" s="43" t="str">
        <f t="shared" si="30"/>
        <v/>
      </c>
      <c r="DP51" s="55"/>
      <c r="DQ51" s="43" t="str">
        <f t="shared" ca="1" si="31"/>
        <v/>
      </c>
      <c r="DR51" s="43" t="str">
        <f t="shared" si="32"/>
        <v/>
      </c>
      <c r="DS51" s="43" t="str">
        <f t="shared" si="33"/>
        <v/>
      </c>
      <c r="DT51" s="55"/>
      <c r="DU51" s="43" t="str">
        <f t="shared" ca="1" si="34"/>
        <v/>
      </c>
      <c r="DV51" s="43" t="str">
        <f t="shared" si="35"/>
        <v/>
      </c>
      <c r="DX51" s="44">
        <v>1</v>
      </c>
      <c r="DY51" s="44" t="s">
        <v>774</v>
      </c>
      <c r="DZ51" s="43">
        <f t="shared" si="36"/>
        <v>0.01</v>
      </c>
      <c r="EA51" s="43" t="str">
        <f t="shared" si="37"/>
        <v>M</v>
      </c>
      <c r="EB51" s="43" t="str">
        <f>IF(IFERROR(INDEX(Consulta!$A:$DF,MATCH('MM01'!$B51,Consulta!$C:$C,0),'MM01'!EB$2),"")=0,"7925",IF(IFERROR(INDEX(Consulta!$A:$DF,MATCH('MM01'!$B51,Consulta!$C:$C,0),'MM01'!EB$2),"")="68","7910","7925"))</f>
        <v>7925</v>
      </c>
      <c r="EC51" s="44">
        <v>100</v>
      </c>
      <c r="ED51" s="60">
        <v>1</v>
      </c>
      <c r="EE51" s="43">
        <f t="shared" si="38"/>
        <v>100</v>
      </c>
      <c r="EF51" s="44">
        <v>1</v>
      </c>
      <c r="EG51" s="44">
        <v>0</v>
      </c>
      <c r="EH51" s="44" t="s">
        <v>867</v>
      </c>
      <c r="EI51" s="45">
        <v>0</v>
      </c>
      <c r="EJ51" s="43">
        <f t="shared" si="39"/>
        <v>5000</v>
      </c>
      <c r="EK51" s="65"/>
    </row>
    <row r="52" spans="1:141" x14ac:dyDescent="0.3">
      <c r="A52" s="7" t="str">
        <f t="shared" si="0"/>
        <v>Execução 48</v>
      </c>
      <c r="B52" s="42"/>
      <c r="C52" s="43" t="str">
        <f>IF(IFERROR(INDEX(Consulta!$A:$DF,MATCH('MM01'!$B52,Consulta!$C:$C,0),'MM01'!C$2),"")=0,"",IFERROR(INDEX(Consulta!$A:$DF,MATCH('MM01'!$B52,Consulta!$C:$C,0),'MM01'!C$2),""))</f>
        <v/>
      </c>
      <c r="D52" s="43" t="str">
        <f>IF(IFERROR(INDEX(Consulta!$A:$DF,MATCH('MM01'!$B52,Consulta!$C:$C,0),'MM01'!D$2),"")=0,"",IFERROR(INDEX(Consulta!$A:$DF,MATCH('MM01'!$B52,Consulta!$C:$C,0),'MM01'!D$2),""))</f>
        <v/>
      </c>
      <c r="E52" s="43" t="str">
        <f>IF(IFERROR(INDEX(Consulta!$A:$DF,MATCH('MM01'!$B52,Consulta!$C:$C,0),'MM01'!E$2),"")=0,"",IFERROR(INDEX(Consulta!$A:$DF,MATCH('MM01'!$B52,Consulta!$C:$C,0),'MM01'!E$2),""))</f>
        <v/>
      </c>
      <c r="F52" s="44" t="s">
        <v>100</v>
      </c>
      <c r="G52" s="49" t="str">
        <f>IF(IFERROR(INDEX(Consulta!$A:$DF,MATCH('MM01'!$B52,Consulta!$C:$C,0),'MM01'!G$2),"")=0,"",IFERROR(INDEX(Consulta!$A:$DF,MATCH('MM01'!$B52,Consulta!$C:$C,0),'MM01'!G$2),""))</f>
        <v/>
      </c>
      <c r="H52" s="49" t="str">
        <f>IF(IFERROR(INDEX(Consulta!$A:$DF,MATCH('MM01'!$B52,Consulta!$C:$C,0),'MM01'!H$2),"")=0,"",IFERROR(INDEX(Consulta!$A:$DF,MATCH('MM01'!$B52,Consulta!$C:$C,0),'MM01'!H$2),""))</f>
        <v/>
      </c>
      <c r="I52" s="49" t="str">
        <f t="shared" si="1"/>
        <v/>
      </c>
      <c r="J52" s="49" t="str">
        <f>IF(IFERROR(INDEX(Consulta!$A:$DF,MATCH('MM01'!$B52,Consulta!$C:$C,0),'MM01'!J$2),"")=0,"",IFERROR(INDEX(Consulta!$A:$DF,MATCH('MM01'!$B52,Consulta!$C:$C,0),'MM01'!J$2),""))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IF(IFERROR(INDEX(Consulta!$A:$DF,MATCH('MM01'!$B52,Consulta!$C:$C,0),'MM01'!AP$2),"")=0,"",IFERROR(INDEX(Consulta!$A:$DF,MATCH('MM01'!$B52,Consulta!$C:$C,0),'MM01'!AP$2),""))</f>
        <v/>
      </c>
      <c r="AQ52" s="45"/>
      <c r="AR52" s="43" t="str">
        <f>IF(IFERROR(INDEX(Consulta!$A:$DF,MATCH('MM01'!$B52,Consulta!$C:$C,0),'MM01'!AR$2),"")=0,"",IFERROR(INDEX(Consulta!$A:$DF,MATCH('MM01'!$B52,Consulta!$C:$C,0),'MM01'!AR$2),""))</f>
        <v/>
      </c>
      <c r="AS52" s="43" t="str">
        <f>IF(IFERROR(INDEX(Consulta!$A:$DF,MATCH('MM01'!$B52,Consulta!$C:$C,0),'MM01'!AS$2),"")=0,"",IF(AR52="68",5102,IFERROR(INDEX(Consulta!$A:$DF,MATCH('MM01'!$B52,Consulta!$C:$C,0),'MM01'!AS$2),"")))</f>
        <v/>
      </c>
      <c r="AT52" s="45"/>
      <c r="AU52" s="46" t="str">
        <f t="shared" ca="1" si="3"/>
        <v/>
      </c>
      <c r="AV52" s="47" t="s">
        <v>796</v>
      </c>
      <c r="AW52" s="43" t="str">
        <f>IF(IFERROR(INDEX(Consulta!$A:$DF,MATCH('MM01'!$B52,Consulta!$C:$C,0),'MM01'!AW$2),"")=0,"",IFERROR(ROUND(INDEX(Consulta!$A:$DF,MATCH('MM01'!$B52,Consulta!$C:$C,0),'MM01'!AW$2),3),""))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IF(IFERROR(INDEX(Consulta!$A:$DF,MATCH('MM01'!$B52,Consulta!$C:$C,0),'MM01'!BA$2),"")=0,"",IFERROR(INDEX(Consulta!$A:$DF,MATCH('MM01'!$B52,Consulta!$C:$C,0),'MM01'!BA$2),""))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IF(IFERROR(INDEX(Consulta!$A:$DF,MATCH('MM01'!$B52,Consulta!$C:$C,0),'MM01'!BL$2),"")=0,"",IFERROR(INDEX(Consulta!$A:$DF,MATCH('MM01'!$B52,Consulta!$C:$C,0),'MM01'!BL$2),""))</f>
        <v/>
      </c>
      <c r="BM52" s="45">
        <v>99</v>
      </c>
      <c r="BN52" s="46" t="str">
        <f t="shared" ca="1" si="13"/>
        <v>28.04.2022</v>
      </c>
      <c r="BO52" s="49" t="str">
        <f t="shared" si="14"/>
        <v/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IF(IFERROR(INDEX(Consulta!$A:$DF,MATCH('MM01'!$B52,Consulta!$C:$C,0),'MM01'!BX$2),"")=0,"",IFERROR(INDEX(Consulta!$A:$DF,MATCH('MM01'!$B52,Consulta!$C:$C,0),'MM01'!BX$2),""))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15"/>
        <v/>
      </c>
      <c r="CD52" s="45" t="s">
        <v>430</v>
      </c>
      <c r="CE52" s="45">
        <v>1</v>
      </c>
      <c r="CF52" s="45" t="s">
        <v>496</v>
      </c>
      <c r="CG52" s="45"/>
      <c r="CH52" s="44">
        <v>2</v>
      </c>
      <c r="CI52" s="49" t="str">
        <f t="shared" si="16"/>
        <v/>
      </c>
      <c r="CJ52" s="49" t="str">
        <f t="shared" si="17"/>
        <v/>
      </c>
      <c r="CK52" s="45"/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18"/>
        <v>K00_P_</v>
      </c>
      <c r="CS52" s="45">
        <v>5000</v>
      </c>
      <c r="CT52" s="43" t="str">
        <f>IF(IFERROR(INDEX(Consulta!$A:$DF,MATCH('MM01'!$B52,Consulta!$C:$C,0),'MM01'!CT$2),"")=0,"",IFERROR(INDEX(Consulta!$A:$DF,MATCH('MM01'!$B52,Consulta!$C:$C,0),'MM01'!CT$2),""))</f>
        <v/>
      </c>
      <c r="CU52" s="43" t="str">
        <f>IF(IFERROR(INDEX(Consulta!$A:$DF,MATCH('MM01'!$B52,Consulta!$C:$C,0),'MM01'!CU$2),"")=0,"",IFERROR(INDEX(Consulta!$A:$DF,MATCH('MM01'!$B52,Consulta!$C:$C,0),'MM01'!CU$2),""))</f>
        <v/>
      </c>
      <c r="CV52" s="43" t="str">
        <f>IF(IFERROR(INDEX(Consulta!$A:$DF,MATCH('MM01'!$B52,Consulta!$C:$C,0),'MM01'!CV$2),"")=0,"",IFERROR(INDEX(Consulta!$A:$DF,MATCH('MM01'!$B52,Consulta!$C:$C,0),'MM01'!CV$2),""))</f>
        <v/>
      </c>
      <c r="CW52" s="43" t="str">
        <f>IF(IFERROR(INDEX(Consulta!$A:$DF,MATCH('MM01'!$B52,Consulta!$C:$C,0),'MM01'!CW$2),"")=0,"",IFERROR(INDEX(Consulta!$A:$DF,MATCH('MM01'!$B52,Consulta!$C:$C,0),'MM01'!CW$2),""))</f>
        <v/>
      </c>
      <c r="CX52" s="43" t="str">
        <f t="shared" si="19"/>
        <v/>
      </c>
      <c r="CY52" s="43" t="str">
        <f t="shared" si="20"/>
        <v/>
      </c>
      <c r="CZ52" s="43" t="str">
        <f t="shared" si="21"/>
        <v/>
      </c>
      <c r="DA52" s="43" t="str">
        <f>IF(IFERROR(INDEX(Consulta!$A:$DF,MATCH('MM01'!$B52,Consulta!$C:$C,0),'MM01'!DA$2),"")=0,"",IFERROR(INDEX(Consulta!$A:$DF,MATCH('MM01'!$B52,Consulta!$C:$C,0),'MM01'!DA$2),""))</f>
        <v/>
      </c>
      <c r="DB52" s="43" t="str">
        <f t="shared" si="22"/>
        <v/>
      </c>
      <c r="DC52" s="43" t="str">
        <f>IF(IFERROR(INDEX(Consulta!$A:$DF,MATCH('MM01'!$B52,Consulta!$C:$C,0),'MM01'!DC$2),"")=0,"",IFERROR(INDEX(Consulta!$A:$DF,MATCH('MM01'!$B52,Consulta!$C:$C,0),'MM01'!DC$2),""))</f>
        <v/>
      </c>
      <c r="DD52" s="45">
        <v>0</v>
      </c>
      <c r="DE52" s="45">
        <v>0</v>
      </c>
      <c r="DF52" s="43" t="str">
        <f t="shared" si="23"/>
        <v/>
      </c>
      <c r="DG52" s="43" t="str">
        <f t="shared" si="24"/>
        <v/>
      </c>
      <c r="DH52" s="55"/>
      <c r="DI52" s="43" t="str">
        <f t="shared" ca="1" si="25"/>
        <v/>
      </c>
      <c r="DJ52" s="43" t="str">
        <f t="shared" si="26"/>
        <v/>
      </c>
      <c r="DK52" s="43" t="str">
        <f t="shared" si="27"/>
        <v/>
      </c>
      <c r="DL52" s="55"/>
      <c r="DM52" s="43" t="str">
        <f t="shared" ca="1" si="28"/>
        <v/>
      </c>
      <c r="DN52" s="43" t="str">
        <f t="shared" si="29"/>
        <v/>
      </c>
      <c r="DO52" s="43" t="str">
        <f t="shared" si="30"/>
        <v/>
      </c>
      <c r="DP52" s="55"/>
      <c r="DQ52" s="43" t="str">
        <f t="shared" ca="1" si="31"/>
        <v/>
      </c>
      <c r="DR52" s="43" t="str">
        <f t="shared" si="32"/>
        <v/>
      </c>
      <c r="DS52" s="43" t="str">
        <f t="shared" si="33"/>
        <v/>
      </c>
      <c r="DT52" s="55"/>
      <c r="DU52" s="43" t="str">
        <f t="shared" ca="1" si="34"/>
        <v/>
      </c>
      <c r="DV52" s="43" t="str">
        <f t="shared" si="35"/>
        <v/>
      </c>
      <c r="DX52" s="44">
        <v>1</v>
      </c>
      <c r="DY52" s="44" t="s">
        <v>774</v>
      </c>
      <c r="DZ52" s="43">
        <f t="shared" si="36"/>
        <v>0.01</v>
      </c>
      <c r="EA52" s="43" t="str">
        <f t="shared" si="37"/>
        <v>M</v>
      </c>
      <c r="EB52" s="43" t="str">
        <f>IF(IFERROR(INDEX(Consulta!$A:$DF,MATCH('MM01'!$B52,Consulta!$C:$C,0),'MM01'!EB$2),"")=0,"7925",IF(IFERROR(INDEX(Consulta!$A:$DF,MATCH('MM01'!$B52,Consulta!$C:$C,0),'MM01'!EB$2),"")="68","7910","7925"))</f>
        <v>7925</v>
      </c>
      <c r="EC52" s="44">
        <v>100</v>
      </c>
      <c r="ED52" s="60">
        <v>1</v>
      </c>
      <c r="EE52" s="43">
        <f t="shared" si="38"/>
        <v>100</v>
      </c>
      <c r="EF52" s="44">
        <v>1</v>
      </c>
      <c r="EG52" s="44">
        <v>0</v>
      </c>
      <c r="EH52" s="44" t="s">
        <v>867</v>
      </c>
      <c r="EI52" s="45">
        <v>0</v>
      </c>
      <c r="EJ52" s="43">
        <f t="shared" si="39"/>
        <v>5000</v>
      </c>
      <c r="EK52" s="65"/>
    </row>
    <row r="53" spans="1:141" x14ac:dyDescent="0.3">
      <c r="A53" s="7" t="str">
        <f t="shared" si="0"/>
        <v>Execução 49</v>
      </c>
      <c r="B53" s="42"/>
      <c r="C53" s="43" t="str">
        <f>IF(IFERROR(INDEX(Consulta!$A:$DF,MATCH('MM01'!$B53,Consulta!$C:$C,0),'MM01'!C$2),"")=0,"",IFERROR(INDEX(Consulta!$A:$DF,MATCH('MM01'!$B53,Consulta!$C:$C,0),'MM01'!C$2),""))</f>
        <v/>
      </c>
      <c r="D53" s="43" t="str">
        <f>IF(IFERROR(INDEX(Consulta!$A:$DF,MATCH('MM01'!$B53,Consulta!$C:$C,0),'MM01'!D$2),"")=0,"",IFERROR(INDEX(Consulta!$A:$DF,MATCH('MM01'!$B53,Consulta!$C:$C,0),'MM01'!D$2),""))</f>
        <v/>
      </c>
      <c r="E53" s="43" t="str">
        <f>IF(IFERROR(INDEX(Consulta!$A:$DF,MATCH('MM01'!$B53,Consulta!$C:$C,0),'MM01'!E$2),"")=0,"",IFERROR(INDEX(Consulta!$A:$DF,MATCH('MM01'!$B53,Consulta!$C:$C,0),'MM01'!E$2),""))</f>
        <v/>
      </c>
      <c r="F53" s="44" t="s">
        <v>100</v>
      </c>
      <c r="G53" s="49" t="str">
        <f>IF(IFERROR(INDEX(Consulta!$A:$DF,MATCH('MM01'!$B53,Consulta!$C:$C,0),'MM01'!G$2),"")=0,"",IFERROR(INDEX(Consulta!$A:$DF,MATCH('MM01'!$B53,Consulta!$C:$C,0),'MM01'!G$2),""))</f>
        <v/>
      </c>
      <c r="H53" s="49" t="str">
        <f>IF(IFERROR(INDEX(Consulta!$A:$DF,MATCH('MM01'!$B53,Consulta!$C:$C,0),'MM01'!H$2),"")=0,"",IFERROR(INDEX(Consulta!$A:$DF,MATCH('MM01'!$B53,Consulta!$C:$C,0),'MM01'!H$2),""))</f>
        <v/>
      </c>
      <c r="I53" s="49" t="str">
        <f t="shared" si="1"/>
        <v/>
      </c>
      <c r="J53" s="49" t="str">
        <f>IF(IFERROR(INDEX(Consulta!$A:$DF,MATCH('MM01'!$B53,Consulta!$C:$C,0),'MM01'!J$2),"")=0,"",IFERROR(INDEX(Consulta!$A:$DF,MATCH('MM01'!$B53,Consulta!$C:$C,0),'MM01'!J$2),""))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IF(IFERROR(INDEX(Consulta!$A:$DF,MATCH('MM01'!$B53,Consulta!$C:$C,0),'MM01'!AP$2),"")=0,"",IFERROR(INDEX(Consulta!$A:$DF,MATCH('MM01'!$B53,Consulta!$C:$C,0),'MM01'!AP$2),""))</f>
        <v/>
      </c>
      <c r="AQ53" s="45"/>
      <c r="AR53" s="43" t="str">
        <f>IF(IFERROR(INDEX(Consulta!$A:$DF,MATCH('MM01'!$B53,Consulta!$C:$C,0),'MM01'!AR$2),"")=0,"",IFERROR(INDEX(Consulta!$A:$DF,MATCH('MM01'!$B53,Consulta!$C:$C,0),'MM01'!AR$2),""))</f>
        <v/>
      </c>
      <c r="AS53" s="43" t="str">
        <f>IF(IFERROR(INDEX(Consulta!$A:$DF,MATCH('MM01'!$B53,Consulta!$C:$C,0),'MM01'!AS$2),"")=0,"",IF(AR53="68",5102,IFERROR(INDEX(Consulta!$A:$DF,MATCH('MM01'!$B53,Consulta!$C:$C,0),'MM01'!AS$2),"")))</f>
        <v/>
      </c>
      <c r="AT53" s="45"/>
      <c r="AU53" s="46" t="str">
        <f t="shared" ca="1" si="3"/>
        <v/>
      </c>
      <c r="AV53" s="47" t="s">
        <v>796</v>
      </c>
      <c r="AW53" s="43" t="str">
        <f>IF(IFERROR(INDEX(Consulta!$A:$DF,MATCH('MM01'!$B53,Consulta!$C:$C,0),'MM01'!AW$2),"")=0,"",IFERROR(ROUND(INDEX(Consulta!$A:$DF,MATCH('MM01'!$B53,Consulta!$C:$C,0),'MM01'!AW$2),3),""))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IF(IFERROR(INDEX(Consulta!$A:$DF,MATCH('MM01'!$B53,Consulta!$C:$C,0),'MM01'!BA$2),"")=0,"",IFERROR(INDEX(Consulta!$A:$DF,MATCH('MM01'!$B53,Consulta!$C:$C,0),'MM01'!BA$2),""))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IF(IFERROR(INDEX(Consulta!$A:$DF,MATCH('MM01'!$B53,Consulta!$C:$C,0),'MM01'!BL$2),"")=0,"",IFERROR(INDEX(Consulta!$A:$DF,MATCH('MM01'!$B53,Consulta!$C:$C,0),'MM01'!BL$2),""))</f>
        <v/>
      </c>
      <c r="BM53" s="45">
        <v>99</v>
      </c>
      <c r="BN53" s="46" t="str">
        <f t="shared" ca="1" si="13"/>
        <v>28.04.2022</v>
      </c>
      <c r="BO53" s="49" t="str">
        <f t="shared" si="14"/>
        <v/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IF(IFERROR(INDEX(Consulta!$A:$DF,MATCH('MM01'!$B53,Consulta!$C:$C,0),'MM01'!BX$2),"")=0,"",IFERROR(INDEX(Consulta!$A:$DF,MATCH('MM01'!$B53,Consulta!$C:$C,0),'MM01'!BX$2),""))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15"/>
        <v/>
      </c>
      <c r="CD53" s="45" t="s">
        <v>430</v>
      </c>
      <c r="CE53" s="45">
        <v>1</v>
      </c>
      <c r="CF53" s="45" t="s">
        <v>496</v>
      </c>
      <c r="CG53" s="45"/>
      <c r="CH53" s="44">
        <v>2</v>
      </c>
      <c r="CI53" s="49" t="str">
        <f t="shared" si="16"/>
        <v/>
      </c>
      <c r="CJ53" s="49" t="str">
        <f t="shared" si="17"/>
        <v/>
      </c>
      <c r="CK53" s="45"/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18"/>
        <v>K00_P_</v>
      </c>
      <c r="CS53" s="45">
        <v>5000</v>
      </c>
      <c r="CT53" s="43" t="str">
        <f>IF(IFERROR(INDEX(Consulta!$A:$DF,MATCH('MM01'!$B53,Consulta!$C:$C,0),'MM01'!CT$2),"")=0,"",IFERROR(INDEX(Consulta!$A:$DF,MATCH('MM01'!$B53,Consulta!$C:$C,0),'MM01'!CT$2),""))</f>
        <v/>
      </c>
      <c r="CU53" s="43" t="str">
        <f>IF(IFERROR(INDEX(Consulta!$A:$DF,MATCH('MM01'!$B53,Consulta!$C:$C,0),'MM01'!CU$2),"")=0,"",IFERROR(INDEX(Consulta!$A:$DF,MATCH('MM01'!$B53,Consulta!$C:$C,0),'MM01'!CU$2),""))</f>
        <v/>
      </c>
      <c r="CV53" s="43" t="str">
        <f>IF(IFERROR(INDEX(Consulta!$A:$DF,MATCH('MM01'!$B53,Consulta!$C:$C,0),'MM01'!CV$2),"")=0,"",IFERROR(INDEX(Consulta!$A:$DF,MATCH('MM01'!$B53,Consulta!$C:$C,0),'MM01'!CV$2),""))</f>
        <v/>
      </c>
      <c r="CW53" s="43" t="str">
        <f>IF(IFERROR(INDEX(Consulta!$A:$DF,MATCH('MM01'!$B53,Consulta!$C:$C,0),'MM01'!CW$2),"")=0,"",IFERROR(INDEX(Consulta!$A:$DF,MATCH('MM01'!$B53,Consulta!$C:$C,0),'MM01'!CW$2),""))</f>
        <v/>
      </c>
      <c r="CX53" s="43" t="str">
        <f t="shared" si="19"/>
        <v/>
      </c>
      <c r="CY53" s="43" t="str">
        <f t="shared" si="20"/>
        <v/>
      </c>
      <c r="CZ53" s="43" t="str">
        <f t="shared" si="21"/>
        <v/>
      </c>
      <c r="DA53" s="43" t="str">
        <f>IF(IFERROR(INDEX(Consulta!$A:$DF,MATCH('MM01'!$B53,Consulta!$C:$C,0),'MM01'!DA$2),"")=0,"",IFERROR(INDEX(Consulta!$A:$DF,MATCH('MM01'!$B53,Consulta!$C:$C,0),'MM01'!DA$2),""))</f>
        <v/>
      </c>
      <c r="DB53" s="43" t="str">
        <f t="shared" si="22"/>
        <v/>
      </c>
      <c r="DC53" s="43" t="str">
        <f>IF(IFERROR(INDEX(Consulta!$A:$DF,MATCH('MM01'!$B53,Consulta!$C:$C,0),'MM01'!DC$2),"")=0,"",IFERROR(INDEX(Consulta!$A:$DF,MATCH('MM01'!$B53,Consulta!$C:$C,0),'MM01'!DC$2),""))</f>
        <v/>
      </c>
      <c r="DD53" s="45">
        <v>0</v>
      </c>
      <c r="DE53" s="45">
        <v>0</v>
      </c>
      <c r="DF53" s="43" t="str">
        <f t="shared" si="23"/>
        <v/>
      </c>
      <c r="DG53" s="43" t="str">
        <f t="shared" si="24"/>
        <v/>
      </c>
      <c r="DH53" s="55"/>
      <c r="DI53" s="43" t="str">
        <f t="shared" ca="1" si="25"/>
        <v/>
      </c>
      <c r="DJ53" s="43" t="str">
        <f t="shared" si="26"/>
        <v/>
      </c>
      <c r="DK53" s="43" t="str">
        <f t="shared" si="27"/>
        <v/>
      </c>
      <c r="DL53" s="55"/>
      <c r="DM53" s="43" t="str">
        <f t="shared" ca="1" si="28"/>
        <v/>
      </c>
      <c r="DN53" s="43" t="str">
        <f t="shared" si="29"/>
        <v/>
      </c>
      <c r="DO53" s="43" t="str">
        <f t="shared" si="30"/>
        <v/>
      </c>
      <c r="DP53" s="55"/>
      <c r="DQ53" s="43" t="str">
        <f t="shared" ca="1" si="31"/>
        <v/>
      </c>
      <c r="DR53" s="43" t="str">
        <f t="shared" si="32"/>
        <v/>
      </c>
      <c r="DS53" s="43" t="str">
        <f t="shared" si="33"/>
        <v/>
      </c>
      <c r="DT53" s="55"/>
      <c r="DU53" s="43" t="str">
        <f t="shared" ca="1" si="34"/>
        <v/>
      </c>
      <c r="DV53" s="43" t="str">
        <f t="shared" si="35"/>
        <v/>
      </c>
      <c r="DX53" s="44">
        <v>1</v>
      </c>
      <c r="DY53" s="44" t="s">
        <v>774</v>
      </c>
      <c r="DZ53" s="43">
        <f t="shared" si="36"/>
        <v>0.01</v>
      </c>
      <c r="EA53" s="43" t="str">
        <f t="shared" si="37"/>
        <v>M</v>
      </c>
      <c r="EB53" s="43" t="str">
        <f>IF(IFERROR(INDEX(Consulta!$A:$DF,MATCH('MM01'!$B53,Consulta!$C:$C,0),'MM01'!EB$2),"")=0,"7925",IF(IFERROR(INDEX(Consulta!$A:$DF,MATCH('MM01'!$B53,Consulta!$C:$C,0),'MM01'!EB$2),"")="68","7910","7925"))</f>
        <v>7925</v>
      </c>
      <c r="EC53" s="44">
        <v>100</v>
      </c>
      <c r="ED53" s="60">
        <v>1</v>
      </c>
      <c r="EE53" s="43">
        <f t="shared" si="38"/>
        <v>100</v>
      </c>
      <c r="EF53" s="44">
        <v>1</v>
      </c>
      <c r="EG53" s="44">
        <v>0</v>
      </c>
      <c r="EH53" s="44" t="s">
        <v>867</v>
      </c>
      <c r="EI53" s="45">
        <v>0</v>
      </c>
      <c r="EJ53" s="43">
        <f t="shared" si="39"/>
        <v>5000</v>
      </c>
      <c r="EK53" s="65"/>
    </row>
    <row r="54" spans="1:141" x14ac:dyDescent="0.3">
      <c r="A54" s="7" t="str">
        <f t="shared" si="0"/>
        <v>Execução 50</v>
      </c>
      <c r="B54" s="42"/>
      <c r="C54" s="43" t="str">
        <f>IF(IFERROR(INDEX(Consulta!$A:$DF,MATCH('MM01'!$B54,Consulta!$C:$C,0),'MM01'!C$2),"")=0,"",IFERROR(INDEX(Consulta!$A:$DF,MATCH('MM01'!$B54,Consulta!$C:$C,0),'MM01'!C$2),""))</f>
        <v/>
      </c>
      <c r="D54" s="43" t="str">
        <f>IF(IFERROR(INDEX(Consulta!$A:$DF,MATCH('MM01'!$B54,Consulta!$C:$C,0),'MM01'!D$2),"")=0,"",IFERROR(INDEX(Consulta!$A:$DF,MATCH('MM01'!$B54,Consulta!$C:$C,0),'MM01'!D$2),""))</f>
        <v/>
      </c>
      <c r="E54" s="43" t="str">
        <f>IF(IFERROR(INDEX(Consulta!$A:$DF,MATCH('MM01'!$B54,Consulta!$C:$C,0),'MM01'!E$2),"")=0,"",IFERROR(INDEX(Consulta!$A:$DF,MATCH('MM01'!$B54,Consulta!$C:$C,0),'MM01'!E$2),""))</f>
        <v/>
      </c>
      <c r="F54" s="44" t="s">
        <v>100</v>
      </c>
      <c r="G54" s="49" t="str">
        <f>IF(IFERROR(INDEX(Consulta!$A:$DF,MATCH('MM01'!$B54,Consulta!$C:$C,0),'MM01'!G$2),"")=0,"",IFERROR(INDEX(Consulta!$A:$DF,MATCH('MM01'!$B54,Consulta!$C:$C,0),'MM01'!G$2),""))</f>
        <v/>
      </c>
      <c r="H54" s="49" t="str">
        <f>IF(IFERROR(INDEX(Consulta!$A:$DF,MATCH('MM01'!$B54,Consulta!$C:$C,0),'MM01'!H$2),"")=0,"",IFERROR(INDEX(Consulta!$A:$DF,MATCH('MM01'!$B54,Consulta!$C:$C,0),'MM01'!H$2),""))</f>
        <v/>
      </c>
      <c r="I54" s="49" t="str">
        <f t="shared" si="1"/>
        <v/>
      </c>
      <c r="J54" s="49" t="str">
        <f>IF(IFERROR(INDEX(Consulta!$A:$DF,MATCH('MM01'!$B54,Consulta!$C:$C,0),'MM01'!J$2),"")=0,"",IFERROR(INDEX(Consulta!$A:$DF,MATCH('MM01'!$B54,Consulta!$C:$C,0),'MM01'!J$2),""))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IF(IFERROR(INDEX(Consulta!$A:$DF,MATCH('MM01'!$B54,Consulta!$C:$C,0),'MM01'!AP$2),"")=0,"",IFERROR(INDEX(Consulta!$A:$DF,MATCH('MM01'!$B54,Consulta!$C:$C,0),'MM01'!AP$2),""))</f>
        <v/>
      </c>
      <c r="AQ54" s="45"/>
      <c r="AR54" s="43" t="str">
        <f>IF(IFERROR(INDEX(Consulta!$A:$DF,MATCH('MM01'!$B54,Consulta!$C:$C,0),'MM01'!AR$2),"")=0,"",IFERROR(INDEX(Consulta!$A:$DF,MATCH('MM01'!$B54,Consulta!$C:$C,0),'MM01'!AR$2),""))</f>
        <v/>
      </c>
      <c r="AS54" s="43" t="str">
        <f>IF(IFERROR(INDEX(Consulta!$A:$DF,MATCH('MM01'!$B54,Consulta!$C:$C,0),'MM01'!AS$2),"")=0,"",IF(AR54="68",5102,IFERROR(INDEX(Consulta!$A:$DF,MATCH('MM01'!$B54,Consulta!$C:$C,0),'MM01'!AS$2),"")))</f>
        <v/>
      </c>
      <c r="AT54" s="45"/>
      <c r="AU54" s="46" t="str">
        <f t="shared" ca="1" si="3"/>
        <v/>
      </c>
      <c r="AV54" s="47" t="s">
        <v>796</v>
      </c>
      <c r="AW54" s="43" t="str">
        <f>IF(IFERROR(INDEX(Consulta!$A:$DF,MATCH('MM01'!$B54,Consulta!$C:$C,0),'MM01'!AW$2),"")=0,"",IFERROR(ROUND(INDEX(Consulta!$A:$DF,MATCH('MM01'!$B54,Consulta!$C:$C,0),'MM01'!AW$2),3),""))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IF(IFERROR(INDEX(Consulta!$A:$DF,MATCH('MM01'!$B54,Consulta!$C:$C,0),'MM01'!BA$2),"")=0,"",IFERROR(INDEX(Consulta!$A:$DF,MATCH('MM01'!$B54,Consulta!$C:$C,0),'MM01'!BA$2),""))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IF(IFERROR(INDEX(Consulta!$A:$DF,MATCH('MM01'!$B54,Consulta!$C:$C,0),'MM01'!BL$2),"")=0,"",IFERROR(INDEX(Consulta!$A:$DF,MATCH('MM01'!$B54,Consulta!$C:$C,0),'MM01'!BL$2),""))</f>
        <v/>
      </c>
      <c r="BM54" s="45">
        <v>99</v>
      </c>
      <c r="BN54" s="46" t="str">
        <f t="shared" ca="1" si="13"/>
        <v>28.04.2022</v>
      </c>
      <c r="BO54" s="49" t="str">
        <f t="shared" si="14"/>
        <v/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IF(IFERROR(INDEX(Consulta!$A:$DF,MATCH('MM01'!$B54,Consulta!$C:$C,0),'MM01'!BX$2),"")=0,"",IFERROR(INDEX(Consulta!$A:$DF,MATCH('MM01'!$B54,Consulta!$C:$C,0),'MM01'!BX$2),""))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15"/>
        <v/>
      </c>
      <c r="CD54" s="45" t="s">
        <v>430</v>
      </c>
      <c r="CE54" s="45">
        <v>1</v>
      </c>
      <c r="CF54" s="45" t="s">
        <v>496</v>
      </c>
      <c r="CG54" s="45"/>
      <c r="CH54" s="44">
        <v>2</v>
      </c>
      <c r="CI54" s="49" t="str">
        <f t="shared" si="16"/>
        <v/>
      </c>
      <c r="CJ54" s="49" t="str">
        <f t="shared" si="17"/>
        <v/>
      </c>
      <c r="CK54" s="45"/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18"/>
        <v>K00_P_</v>
      </c>
      <c r="CS54" s="45">
        <v>5000</v>
      </c>
      <c r="CT54" s="43" t="str">
        <f>IF(IFERROR(INDEX(Consulta!$A:$DF,MATCH('MM01'!$B54,Consulta!$C:$C,0),'MM01'!CT$2),"")=0,"",IFERROR(INDEX(Consulta!$A:$DF,MATCH('MM01'!$B54,Consulta!$C:$C,0),'MM01'!CT$2),""))</f>
        <v/>
      </c>
      <c r="CU54" s="43" t="str">
        <f>IF(IFERROR(INDEX(Consulta!$A:$DF,MATCH('MM01'!$B54,Consulta!$C:$C,0),'MM01'!CU$2),"")=0,"",IFERROR(INDEX(Consulta!$A:$DF,MATCH('MM01'!$B54,Consulta!$C:$C,0),'MM01'!CU$2),""))</f>
        <v/>
      </c>
      <c r="CV54" s="43" t="str">
        <f>IF(IFERROR(INDEX(Consulta!$A:$DF,MATCH('MM01'!$B54,Consulta!$C:$C,0),'MM01'!CV$2),"")=0,"",IFERROR(INDEX(Consulta!$A:$DF,MATCH('MM01'!$B54,Consulta!$C:$C,0),'MM01'!CV$2),""))</f>
        <v/>
      </c>
      <c r="CW54" s="43" t="str">
        <f>IF(IFERROR(INDEX(Consulta!$A:$DF,MATCH('MM01'!$B54,Consulta!$C:$C,0),'MM01'!CW$2),"")=0,"",IFERROR(INDEX(Consulta!$A:$DF,MATCH('MM01'!$B54,Consulta!$C:$C,0),'MM01'!CW$2),""))</f>
        <v/>
      </c>
      <c r="CX54" s="43" t="str">
        <f t="shared" si="19"/>
        <v/>
      </c>
      <c r="CY54" s="43" t="str">
        <f t="shared" si="20"/>
        <v/>
      </c>
      <c r="CZ54" s="43" t="str">
        <f t="shared" si="21"/>
        <v/>
      </c>
      <c r="DA54" s="43" t="str">
        <f>IF(IFERROR(INDEX(Consulta!$A:$DF,MATCH('MM01'!$B54,Consulta!$C:$C,0),'MM01'!DA$2),"")=0,"",IFERROR(INDEX(Consulta!$A:$DF,MATCH('MM01'!$B54,Consulta!$C:$C,0),'MM01'!DA$2),""))</f>
        <v/>
      </c>
      <c r="DB54" s="43" t="str">
        <f t="shared" si="22"/>
        <v/>
      </c>
      <c r="DC54" s="43" t="str">
        <f>IF(IFERROR(INDEX(Consulta!$A:$DF,MATCH('MM01'!$B54,Consulta!$C:$C,0),'MM01'!DC$2),"")=0,"",IFERROR(INDEX(Consulta!$A:$DF,MATCH('MM01'!$B54,Consulta!$C:$C,0),'MM01'!DC$2),""))</f>
        <v/>
      </c>
      <c r="DD54" s="45">
        <v>0</v>
      </c>
      <c r="DE54" s="45">
        <v>0</v>
      </c>
      <c r="DF54" s="43" t="str">
        <f t="shared" si="23"/>
        <v/>
      </c>
      <c r="DG54" s="43" t="str">
        <f t="shared" si="24"/>
        <v/>
      </c>
      <c r="DH54" s="55"/>
      <c r="DI54" s="43" t="str">
        <f t="shared" ca="1" si="25"/>
        <v/>
      </c>
      <c r="DJ54" s="43" t="str">
        <f t="shared" si="26"/>
        <v/>
      </c>
      <c r="DK54" s="43" t="str">
        <f t="shared" si="27"/>
        <v/>
      </c>
      <c r="DL54" s="55"/>
      <c r="DM54" s="43" t="str">
        <f t="shared" ca="1" si="28"/>
        <v/>
      </c>
      <c r="DN54" s="43" t="str">
        <f t="shared" si="29"/>
        <v/>
      </c>
      <c r="DO54" s="43" t="str">
        <f t="shared" si="30"/>
        <v/>
      </c>
      <c r="DP54" s="55"/>
      <c r="DQ54" s="43" t="str">
        <f t="shared" ca="1" si="31"/>
        <v/>
      </c>
      <c r="DR54" s="43" t="str">
        <f t="shared" si="32"/>
        <v/>
      </c>
      <c r="DS54" s="43" t="str">
        <f t="shared" si="33"/>
        <v/>
      </c>
      <c r="DT54" s="55"/>
      <c r="DU54" s="43" t="str">
        <f t="shared" ca="1" si="34"/>
        <v/>
      </c>
      <c r="DV54" s="43" t="str">
        <f t="shared" si="35"/>
        <v/>
      </c>
      <c r="DX54" s="44">
        <v>1</v>
      </c>
      <c r="DY54" s="44" t="s">
        <v>774</v>
      </c>
      <c r="DZ54" s="43">
        <f t="shared" si="36"/>
        <v>0.01</v>
      </c>
      <c r="EA54" s="43" t="str">
        <f t="shared" si="37"/>
        <v>M</v>
      </c>
      <c r="EB54" s="43" t="str">
        <f>IF(IFERROR(INDEX(Consulta!$A:$DF,MATCH('MM01'!$B54,Consulta!$C:$C,0),'MM01'!EB$2),"")=0,"7925",IF(IFERROR(INDEX(Consulta!$A:$DF,MATCH('MM01'!$B54,Consulta!$C:$C,0),'MM01'!EB$2),"")="68","7910","7925"))</f>
        <v>7925</v>
      </c>
      <c r="EC54" s="44">
        <v>100</v>
      </c>
      <c r="ED54" s="60">
        <v>1</v>
      </c>
      <c r="EE54" s="43">
        <f t="shared" si="38"/>
        <v>100</v>
      </c>
      <c r="EF54" s="44">
        <v>1</v>
      </c>
      <c r="EG54" s="44">
        <v>0</v>
      </c>
      <c r="EH54" s="44" t="s">
        <v>867</v>
      </c>
      <c r="EI54" s="45">
        <v>0</v>
      </c>
      <c r="EJ54" s="43">
        <f t="shared" si="39"/>
        <v>5000</v>
      </c>
      <c r="EK54" s="66"/>
    </row>
    <row r="55" spans="1:141" x14ac:dyDescent="0.3">
      <c r="A55" s="7" t="str">
        <f>"Execução "&amp;ROW()-4</f>
        <v>Execução 51</v>
      </c>
      <c r="B55" s="42"/>
      <c r="C55" s="43" t="str">
        <f>IF(IFERROR(INDEX(Consulta!$A:$DF,MATCH('MM01'!$B55,Consulta!$C:$C,0),'MM01'!C$2),"")=0,"",IFERROR(INDEX(Consulta!$A:$DF,MATCH('MM01'!$B55,Consulta!$C:$C,0),'MM01'!C$2),""))</f>
        <v/>
      </c>
      <c r="D55" s="43" t="str">
        <f>IF(IFERROR(INDEX(Consulta!$A:$DF,MATCH('MM01'!$B55,Consulta!$C:$C,0),'MM01'!D$2),"")=0,"",IFERROR(INDEX(Consulta!$A:$DF,MATCH('MM01'!$B55,Consulta!$C:$C,0),'MM01'!D$2),""))</f>
        <v/>
      </c>
      <c r="E55" s="43" t="str">
        <f>IF(IFERROR(INDEX(Consulta!$A:$DF,MATCH('MM01'!$B55,Consulta!$C:$C,0),'MM01'!E$2),"")=0,"",IFERROR(INDEX(Consulta!$A:$DF,MATCH('MM01'!$B55,Consulta!$C:$C,0),'MM01'!E$2),""))</f>
        <v/>
      </c>
      <c r="F55" s="44" t="s">
        <v>100</v>
      </c>
      <c r="G55" s="49" t="str">
        <f>IF(IFERROR(INDEX(Consulta!$A:$DF,MATCH('MM01'!$B55,Consulta!$C:$C,0),'MM01'!G$2),"")=0,"",IFERROR(INDEX(Consulta!$A:$DF,MATCH('MM01'!$B55,Consulta!$C:$C,0),'MM01'!G$2),""))</f>
        <v/>
      </c>
      <c r="H55" s="49" t="str">
        <f>IF(IFERROR(INDEX(Consulta!$A:$DF,MATCH('MM01'!$B55,Consulta!$C:$C,0),'MM01'!H$2),"")=0,"",IFERROR(INDEX(Consulta!$A:$DF,MATCH('MM01'!$B55,Consulta!$C:$C,0),'MM01'!H$2),""))</f>
        <v/>
      </c>
      <c r="I55" s="49" t="str">
        <f>G55</f>
        <v/>
      </c>
      <c r="J55" s="49" t="str">
        <f>IF(IFERROR(INDEX(Consulta!$A:$DF,MATCH('MM01'!$B55,Consulta!$C:$C,0),'MM01'!J$2),"")=0,"",IFERROR(INDEX(Consulta!$A:$DF,MATCH('MM01'!$B55,Consulta!$C:$C,0),'MM01'!J$2),""))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IF(IFERROR(INDEX(Consulta!$A:$DF,MATCH('MM01'!$B55,Consulta!$C:$C,0),'MM01'!AP$2),"")=0,"",IFERROR(INDEX(Consulta!$A:$DF,MATCH('MM01'!$B55,Consulta!$C:$C,0),'MM01'!AP$2),""))</f>
        <v/>
      </c>
      <c r="AQ55" s="45"/>
      <c r="AR55" s="43" t="str">
        <f>IF(IFERROR(INDEX(Consulta!$A:$DF,MATCH('MM01'!$B55,Consulta!$C:$C,0),'MM01'!AR$2),"")=0,"",IFERROR(INDEX(Consulta!$A:$DF,MATCH('MM01'!$B55,Consulta!$C:$C,0),'MM01'!AR$2),""))</f>
        <v/>
      </c>
      <c r="AS55" s="43" t="str">
        <f>IF(IFERROR(INDEX(Consulta!$A:$DF,MATCH('MM01'!$B55,Consulta!$C:$C,0),'MM01'!AS$2),"")=0,"",IF(AR55="68",5102,IFERROR(INDEX(Consulta!$A:$DF,MATCH('MM01'!$B55,Consulta!$C:$C,0),'MM01'!AS$2),"")))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IF(IFERROR(INDEX(Consulta!$A:$DF,MATCH('MM01'!$B55,Consulta!$C:$C,0),'MM01'!AW$2),"")=0,"",IFERROR(ROUND(INDEX(Consulta!$A:$DF,MATCH('MM01'!$B55,Consulta!$C:$C,0),'MM01'!AW$2),3),""))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IF(IFERROR(INDEX(Consulta!$A:$DF,MATCH('MM01'!$B55,Consulta!$C:$C,0),'MM01'!BA$2),"")=0,"",IFERROR(INDEX(Consulta!$A:$DF,MATCH('MM01'!$B55,Consulta!$C:$C,0),'MM01'!BA$2),""))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IF(IFERROR(INDEX(Consulta!$A:$DF,MATCH('MM01'!$B55,Consulta!$C:$C,0),'MM01'!BL$2),"")=0,"",IFERROR(INDEX(Consulta!$A:$DF,MATCH('MM01'!$B55,Consulta!$C:$C,0),'MM01'!BL$2),""))</f>
        <v/>
      </c>
      <c r="BM55" s="45">
        <v>99</v>
      </c>
      <c r="BN55" s="46" t="str">
        <f ca="1">IF(BM55&lt;&gt;0,TEXT(TODAY(),"DD.MM.AAAA"),"")</f>
        <v>28.04.2022</v>
      </c>
      <c r="BO55" s="49" t="str">
        <f>G55</f>
        <v/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IF(IFERROR(INDEX(Consulta!$A:$DF,MATCH('MM01'!$B55,Consulta!$C:$C,0),'MM01'!BX$2),"")=0,"",IFERROR(INDEX(Consulta!$A:$DF,MATCH('MM01'!$B55,Consulta!$C:$C,0),'MM01'!BX$2),""))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>RIGHT(G55,3)</f>
        <v/>
      </c>
      <c r="CD55" s="45" t="s">
        <v>430</v>
      </c>
      <c r="CE55" s="45">
        <v>1</v>
      </c>
      <c r="CF55" s="45" t="s">
        <v>496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IF(IFERROR(INDEX(Consulta!$A:$DF,MATCH('MM01'!$B55,Consulta!$C:$C,0),'MM01'!CT$2),"")=0,"",IFERROR(INDEX(Consulta!$A:$DF,MATCH('MM01'!$B55,Consulta!$C:$C,0),'MM01'!CT$2),""))</f>
        <v/>
      </c>
      <c r="CU55" s="43" t="str">
        <f>IF(IFERROR(INDEX(Consulta!$A:$DF,MATCH('MM01'!$B55,Consulta!$C:$C,0),'MM01'!CU$2),"")=0,"",IFERROR(INDEX(Consulta!$A:$DF,MATCH('MM01'!$B55,Consulta!$C:$C,0),'MM01'!CU$2),""))</f>
        <v/>
      </c>
      <c r="CV55" s="43" t="str">
        <f>IF(IFERROR(INDEX(Consulta!$A:$DF,MATCH('MM01'!$B55,Consulta!$C:$C,0),'MM01'!CV$2),"")=0,"",IFERROR(INDEX(Consulta!$A:$DF,MATCH('MM01'!$B55,Consulta!$C:$C,0),'MM01'!CV$2),""))</f>
        <v/>
      </c>
      <c r="CW55" s="43" t="str">
        <f>IF(IFERROR(INDEX(Consulta!$A:$DF,MATCH('MM01'!$B55,Consulta!$C:$C,0),'MM01'!CW$2),"")=0,"",IFERROR(INDEX(Consulta!$A:$DF,MATCH('MM01'!$B55,Consulta!$C:$C,0),'MM01'!CW$2),""))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IF(IFERROR(INDEX(Consulta!$A:$DF,MATCH('MM01'!$B55,Consulta!$C:$C,0),'MM01'!DA$2),"")=0,"",IFERROR(INDEX(Consulta!$A:$DF,MATCH('MM01'!$B55,Consulta!$C:$C,0),'MM01'!DA$2),""))</f>
        <v/>
      </c>
      <c r="DB55" s="43" t="str">
        <f>IF(E55=0,"",E55)</f>
        <v/>
      </c>
      <c r="DC55" s="43" t="str">
        <f>IF(IFERROR(INDEX(Consulta!$A:$DF,MATCH('MM01'!$B55,Consulta!$C:$C,0),'MM01'!DC$2),"")=0,"",IFERROR(INDEX(Consulta!$A:$DF,MATCH('MM01'!$B55,Consulta!$C:$C,0),'MM01'!DC$2),""))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5" t="s">
        <v>747</v>
      </c>
      <c r="DI55" s="43" t="str">
        <f ca="1">IF(DH55&lt;&gt;0,TEXT(TODAY(),"dd.mm.aaaa"),"")</f>
        <v>28.04.2022</v>
      </c>
      <c r="DJ55" s="43" t="str">
        <f>IF(DH55&lt;&gt;0,"31.12.9999","")</f>
        <v>31.12.9999</v>
      </c>
      <c r="DK55" s="43" t="str">
        <f>IF(DL55&lt;&gt;0,2,"")</f>
        <v/>
      </c>
      <c r="DL55" s="55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5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5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IF(IFERROR(INDEX(Consulta!$A:$DF,MATCH('MM01'!$B55,Consulta!$C:$C,0),'MM01'!EB$2),"")=0,"7925",IF(IFERROR(INDEX(Consulta!$A:$DF,MATCH('MM01'!$B55,Consulta!$C:$C,0),'MM01'!EB$2),"")="68","7910","7925"))</f>
        <v>7925</v>
      </c>
      <c r="EC55" s="44">
        <v>100</v>
      </c>
      <c r="ED55" s="60">
        <v>1</v>
      </c>
      <c r="EE55" s="43">
        <f>EC55</f>
        <v>100</v>
      </c>
      <c r="EF55" s="44">
        <v>1</v>
      </c>
      <c r="EG55" s="44">
        <v>0</v>
      </c>
      <c r="EH55" s="44" t="s">
        <v>867</v>
      </c>
      <c r="EI55" s="45">
        <v>0</v>
      </c>
      <c r="EJ55" s="43">
        <f>CS55</f>
        <v>5000</v>
      </c>
      <c r="EK55" s="64"/>
    </row>
    <row r="56" spans="1:141" x14ac:dyDescent="0.3">
      <c r="A56" s="7" t="str">
        <f t="shared" si="0"/>
        <v>Execução 52</v>
      </c>
      <c r="B56" s="42"/>
      <c r="C56" s="43" t="str">
        <f>IF(IFERROR(INDEX(Consulta!$A:$DF,MATCH('MM01'!$B56,Consulta!$C:$C,0),'MM01'!C$2),"")=0,"",IFERROR(INDEX(Consulta!$A:$DF,MATCH('MM01'!$B56,Consulta!$C:$C,0),'MM01'!C$2),""))</f>
        <v/>
      </c>
      <c r="D56" s="43" t="str">
        <f>IF(IFERROR(INDEX(Consulta!$A:$DF,MATCH('MM01'!$B56,Consulta!$C:$C,0),'MM01'!D$2),"")=0,"",IFERROR(INDEX(Consulta!$A:$DF,MATCH('MM01'!$B56,Consulta!$C:$C,0),'MM01'!D$2),""))</f>
        <v/>
      </c>
      <c r="E56" s="43" t="str">
        <f>IF(IFERROR(INDEX(Consulta!$A:$DF,MATCH('MM01'!$B56,Consulta!$C:$C,0),'MM01'!E$2),"")=0,"",IFERROR(INDEX(Consulta!$A:$DF,MATCH('MM01'!$B56,Consulta!$C:$C,0),'MM01'!E$2),""))</f>
        <v/>
      </c>
      <c r="F56" s="44" t="s">
        <v>100</v>
      </c>
      <c r="G56" s="49" t="str">
        <f>IF(IFERROR(INDEX(Consulta!$A:$DF,MATCH('MM01'!$B56,Consulta!$C:$C,0),'MM01'!G$2),"")=0,"",IFERROR(INDEX(Consulta!$A:$DF,MATCH('MM01'!$B56,Consulta!$C:$C,0),'MM01'!G$2),""))</f>
        <v/>
      </c>
      <c r="H56" s="49" t="str">
        <f>IF(IFERROR(INDEX(Consulta!$A:$DF,MATCH('MM01'!$B56,Consulta!$C:$C,0),'MM01'!H$2),"")=0,"",IFERROR(INDEX(Consulta!$A:$DF,MATCH('MM01'!$B56,Consulta!$C:$C,0),'MM01'!H$2),""))</f>
        <v/>
      </c>
      <c r="I56" s="49" t="str">
        <f t="shared" ref="I56:I104" si="40">G56</f>
        <v/>
      </c>
      <c r="J56" s="49" t="str">
        <f>IF(IFERROR(INDEX(Consulta!$A:$DF,MATCH('MM01'!$B56,Consulta!$C:$C,0),'MM01'!J$2),"")=0,"",IFERROR(INDEX(Consulta!$A:$DF,MATCH('MM01'!$B56,Consulta!$C:$C,0),'MM01'!J$2),""))</f>
        <v/>
      </c>
      <c r="K56" s="49" t="str">
        <f t="shared" ref="K56:K104" si="41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IF(IFERROR(INDEX(Consulta!$A:$DF,MATCH('MM01'!$B56,Consulta!$C:$C,0),'MM01'!AP$2),"")=0,"",IFERROR(INDEX(Consulta!$A:$DF,MATCH('MM01'!$B56,Consulta!$C:$C,0),'MM01'!AP$2),""))</f>
        <v/>
      </c>
      <c r="AQ56" s="45"/>
      <c r="AR56" s="43" t="str">
        <f>IF(IFERROR(INDEX(Consulta!$A:$DF,MATCH('MM01'!$B56,Consulta!$C:$C,0),'MM01'!AR$2),"")=0,"",IFERROR(INDEX(Consulta!$A:$DF,MATCH('MM01'!$B56,Consulta!$C:$C,0),'MM01'!AR$2),""))</f>
        <v/>
      </c>
      <c r="AS56" s="43" t="str">
        <f>IF(IFERROR(INDEX(Consulta!$A:$DF,MATCH('MM01'!$B56,Consulta!$C:$C,0),'MM01'!AS$2),"")=0,"",IF(AR56="68",5102,IFERROR(INDEX(Consulta!$A:$DF,MATCH('MM01'!$B56,Consulta!$C:$C,0),'MM01'!AS$2),"")))</f>
        <v/>
      </c>
      <c r="AT56" s="45"/>
      <c r="AU56" s="46" t="str">
        <f t="shared" ref="AU56:AU104" ca="1" si="42">IF(AT56&lt;&gt;0,TEXT(TODAY(),"DD.MM.AAAA"),"")</f>
        <v/>
      </c>
      <c r="AV56" s="47" t="s">
        <v>796</v>
      </c>
      <c r="AW56" s="43" t="str">
        <f>IF(IFERROR(INDEX(Consulta!$A:$DF,MATCH('MM01'!$B56,Consulta!$C:$C,0),'MM01'!AW$2),"")=0,"",IFERROR(ROUND(INDEX(Consulta!$A:$DF,MATCH('MM01'!$B56,Consulta!$C:$C,0),'MM01'!AW$2),3),""))</f>
        <v/>
      </c>
      <c r="AX56" s="43" t="str">
        <f t="shared" ref="AX56:AX104" si="43">IFERROR(IF(AW56&lt;&gt;0,ROUND(AW56,3),""),"")</f>
        <v/>
      </c>
      <c r="AY56" s="48" t="s">
        <v>299</v>
      </c>
      <c r="AZ56" s="48"/>
      <c r="BA56" s="43" t="str">
        <f>IF(IFERROR(INDEX(Consulta!$A:$DF,MATCH('MM01'!$B56,Consulta!$C:$C,0),'MM01'!BA$2),"")=0,"",IFERROR(INDEX(Consulta!$A:$DF,MATCH('MM01'!$B56,Consulta!$C:$C,0),'MM01'!BA$2),""))</f>
        <v/>
      </c>
      <c r="BB56" s="43" t="str">
        <f t="shared" ref="BB56:BB104" si="44">IFERROR(ROUND(AW56,3)*1000,"")</f>
        <v/>
      </c>
      <c r="BC56" s="43" t="str">
        <f t="shared" ref="BC56:BC104" si="45">IF(BB56="","",AY56)</f>
        <v/>
      </c>
      <c r="BD56" s="43" t="str">
        <f t="shared" ref="BD56:BD104" si="46">IF(BB56="","",IF(BB56&lt;100000,1000,100))</f>
        <v/>
      </c>
      <c r="BE56" s="43" t="str">
        <f t="shared" ref="BE56:BE104" si="47">AO56</f>
        <v>M</v>
      </c>
      <c r="BF56" s="43" t="str">
        <f t="shared" ref="BF56:BF104" si="48">IF(BH56="","",IF(D56&lt;&gt;"KMAT",IF(BH56&lt;100000,1000,100),""))</f>
        <v/>
      </c>
      <c r="BG56" s="43" t="str">
        <f t="shared" ref="BG56:BG104" si="49">IF(BF56="","",IF(D56&lt;&gt;"KMAT","PC",""))</f>
        <v/>
      </c>
      <c r="BH56" s="43" t="str">
        <f t="shared" ref="BH56:BH104" si="50">IF(D56&lt;&gt;"KMAT",E56,"")</f>
        <v/>
      </c>
      <c r="BI56" s="43" t="str">
        <f t="shared" ref="BI56:BI104" si="51">AO56</f>
        <v>M</v>
      </c>
      <c r="BK56" s="45" t="s">
        <v>324</v>
      </c>
      <c r="BL56" s="43" t="str">
        <f>IF(IFERROR(INDEX(Consulta!$A:$DF,MATCH('MM01'!$B56,Consulta!$C:$C,0),'MM01'!BL$2),"")=0,"",IFERROR(INDEX(Consulta!$A:$DF,MATCH('MM01'!$B56,Consulta!$C:$C,0),'MM01'!BL$2),""))</f>
        <v/>
      </c>
      <c r="BM56" s="45">
        <v>99</v>
      </c>
      <c r="BN56" s="46" t="str">
        <f t="shared" ref="BN56:BN104" ca="1" si="52">IF(BM56&lt;&gt;0,TEXT(TODAY(),"DD.MM.AAAA"),"")</f>
        <v>28.04.2022</v>
      </c>
      <c r="BO56" s="49" t="str">
        <f t="shared" ref="BO56:BO104" si="53">G56</f>
        <v/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IF(IFERROR(INDEX(Consulta!$A:$DF,MATCH('MM01'!$B56,Consulta!$C:$C,0),'MM01'!BX$2),"")=0,"",IFERROR(INDEX(Consulta!$A:$DF,MATCH('MM01'!$B56,Consulta!$C:$C,0),'MM01'!BX$2),""))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ref="CC56:CC104" si="54">RIGHT(G56,3)</f>
        <v/>
      </c>
      <c r="CD56" s="45" t="s">
        <v>430</v>
      </c>
      <c r="CE56" s="45">
        <v>1</v>
      </c>
      <c r="CF56" s="45" t="s">
        <v>496</v>
      </c>
      <c r="CG56" s="45"/>
      <c r="CH56" s="44">
        <v>2</v>
      </c>
      <c r="CI56" s="49" t="str">
        <f t="shared" ref="CI56:CI104" si="55">H56</f>
        <v/>
      </c>
      <c r="CJ56" s="49" t="str">
        <f t="shared" ref="CJ56:CJ104" si="56">H56</f>
        <v/>
      </c>
      <c r="CK56" s="45"/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ref="CR56:CR104" si="57">"K00_P_"&amp;G56</f>
        <v>K00_P_</v>
      </c>
      <c r="CS56" s="45">
        <v>5000</v>
      </c>
      <c r="CT56" s="43" t="str">
        <f>IF(IFERROR(INDEX(Consulta!$A:$DF,MATCH('MM01'!$B56,Consulta!$C:$C,0),'MM01'!CT$2),"")=0,"",IFERROR(INDEX(Consulta!$A:$DF,MATCH('MM01'!$B56,Consulta!$C:$C,0),'MM01'!CT$2),""))</f>
        <v/>
      </c>
      <c r="CU56" s="43" t="str">
        <f>IF(IFERROR(INDEX(Consulta!$A:$DF,MATCH('MM01'!$B56,Consulta!$C:$C,0),'MM01'!CU$2),"")=0,"",IFERROR(INDEX(Consulta!$A:$DF,MATCH('MM01'!$B56,Consulta!$C:$C,0),'MM01'!CU$2),""))</f>
        <v/>
      </c>
      <c r="CV56" s="43" t="str">
        <f>IF(IFERROR(INDEX(Consulta!$A:$DF,MATCH('MM01'!$B56,Consulta!$C:$C,0),'MM01'!CV$2),"")=0,"",IFERROR(INDEX(Consulta!$A:$DF,MATCH('MM01'!$B56,Consulta!$C:$C,0),'MM01'!CV$2),""))</f>
        <v/>
      </c>
      <c r="CW56" s="43" t="str">
        <f>IF(IFERROR(INDEX(Consulta!$A:$DF,MATCH('MM01'!$B56,Consulta!$C:$C,0),'MM01'!CW$2),"")=0,"",IFERROR(INDEX(Consulta!$A:$DF,MATCH('MM01'!$B56,Consulta!$C:$C,0),'MM01'!CW$2),""))</f>
        <v/>
      </c>
      <c r="CX56" s="43" t="str">
        <f t="shared" ref="CX56:CX104" si="58">IF(OR(CT56="",CU56="",CV56="",CW56=""),"",CT56&amp;" / "&amp;CU56&amp;" / "&amp;CV56&amp;" / "&amp;CW56)</f>
        <v/>
      </c>
      <c r="CY56" s="43" t="str">
        <f t="shared" ref="CY56:CY104" si="59">IF(OR(D56="MFER",D56="KMAT"),"INITIAL",IF(OR(D56="FERT",D56="HAWZ"),"0000999999",""))</f>
        <v/>
      </c>
      <c r="CZ56" s="43" t="str">
        <f t="shared" ref="CZ56:CZ104" si="60">IF(OR(D56="MFER",D56="KMAT"),"INIT",IF(OR(D56="FERT",D56="HAWZ"),"999999",""))</f>
        <v/>
      </c>
      <c r="DA56" s="43" t="str">
        <f>IF(IFERROR(INDEX(Consulta!$A:$DF,MATCH('MM01'!$B56,Consulta!$C:$C,0),'MM01'!DA$2),"")=0,"",IFERROR(INDEX(Consulta!$A:$DF,MATCH('MM01'!$B56,Consulta!$C:$C,0),'MM01'!DA$2),""))</f>
        <v/>
      </c>
      <c r="DB56" s="43" t="str">
        <f t="shared" ref="DB56:DB104" si="61">IF(E56=0,"",E56)</f>
        <v/>
      </c>
      <c r="DC56" s="43" t="str">
        <f>IF(IFERROR(INDEX(Consulta!$A:$DF,MATCH('MM01'!$B56,Consulta!$C:$C,0),'MM01'!DC$2),"")=0,"",IFERROR(INDEX(Consulta!$A:$DF,MATCH('MM01'!$B56,Consulta!$C:$C,0),'MM01'!DC$2),""))</f>
        <v/>
      </c>
      <c r="DD56" s="45">
        <v>0</v>
      </c>
      <c r="DE56" s="45">
        <v>0</v>
      </c>
      <c r="DF56" s="43" t="str">
        <f t="shared" ref="DF56:DF104" si="62">IFERROR(ROUND(AW56,2),"")</f>
        <v/>
      </c>
      <c r="DG56" s="43">
        <f t="shared" ref="DG56:DG104" si="63">IF(DH56&lt;&gt;0,1,"")</f>
        <v>1</v>
      </c>
      <c r="DH56" s="55" t="s">
        <v>747</v>
      </c>
      <c r="DI56" s="43" t="str">
        <f t="shared" ref="DI56:DI104" ca="1" si="64">IF(DH56&lt;&gt;0,TEXT(TODAY(),"dd.mm.aaaa"),"")</f>
        <v>28.04.2022</v>
      </c>
      <c r="DJ56" s="43" t="str">
        <f t="shared" ref="DJ56:DJ104" si="65">IF(DH56&lt;&gt;0,"31.12.9999","")</f>
        <v>31.12.9999</v>
      </c>
      <c r="DK56" s="43" t="str">
        <f t="shared" ref="DK56:DK104" si="66">IF(DL56&lt;&gt;0,2,"")</f>
        <v/>
      </c>
      <c r="DL56" s="55"/>
      <c r="DM56" s="43" t="str">
        <f t="shared" ref="DM56:DM104" ca="1" si="67">IF(DL56&lt;&gt;0,TEXT(TODAY(),"dd.mm.aaaa"),"")</f>
        <v/>
      </c>
      <c r="DN56" s="43" t="str">
        <f t="shared" ref="DN56:DN104" si="68">IF(DL56&lt;&gt;0,"31.12.9999","")</f>
        <v/>
      </c>
      <c r="DO56" s="43" t="str">
        <f t="shared" ref="DO56:DO104" si="69">IF(DP56&lt;&gt;0,3,"")</f>
        <v/>
      </c>
      <c r="DP56" s="55"/>
      <c r="DQ56" s="43" t="str">
        <f t="shared" ref="DQ56:DQ104" ca="1" si="70">IF(DP56&lt;&gt;0,TEXT(TODAY(),"dd.mm.aaaa"),"")</f>
        <v/>
      </c>
      <c r="DR56" s="43" t="str">
        <f t="shared" ref="DR56:DR104" si="71">IF(DP56&lt;&gt;0,"31.12.9999","")</f>
        <v/>
      </c>
      <c r="DS56" s="43" t="str">
        <f t="shared" ref="DS56:DS104" si="72">IF(DT56&lt;&gt;0,4,"")</f>
        <v/>
      </c>
      <c r="DT56" s="55"/>
      <c r="DU56" s="43" t="str">
        <f t="shared" ref="DU56:DU104" ca="1" si="73">IF(DT56&lt;&gt;0,TEXT(TODAY(),"dd.mm.aaaa"),"")</f>
        <v/>
      </c>
      <c r="DV56" s="43" t="str">
        <f t="shared" ref="DV56:DV104" si="74">IF(DT56&lt;&gt;0,"31.12.9999","")</f>
        <v/>
      </c>
      <c r="DX56" s="44">
        <v>1</v>
      </c>
      <c r="DY56" s="44" t="s">
        <v>774</v>
      </c>
      <c r="DZ56" s="43">
        <f t="shared" ref="DZ56:DZ104" si="75">IF(OR(AO56="M",AO56="KG"),0.01,1)</f>
        <v>0.01</v>
      </c>
      <c r="EA56" s="43" t="str">
        <f t="shared" ref="EA56:EA104" si="76">AO56</f>
        <v>M</v>
      </c>
      <c r="EB56" s="43" t="str">
        <f>IF(IFERROR(INDEX(Consulta!$A:$DF,MATCH('MM01'!$B56,Consulta!$C:$C,0),'MM01'!EB$2),"")=0,"7925",IF(IFERROR(INDEX(Consulta!$A:$DF,MATCH('MM01'!$B56,Consulta!$C:$C,0),'MM01'!EB$2),"")="68","7910","7925"))</f>
        <v>7925</v>
      </c>
      <c r="EC56" s="44">
        <v>100</v>
      </c>
      <c r="ED56" s="60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867</v>
      </c>
      <c r="EI56" s="45">
        <v>0</v>
      </c>
      <c r="EJ56" s="43">
        <f t="shared" ref="EJ56:EJ104" si="78">CS56</f>
        <v>5000</v>
      </c>
      <c r="EK56" s="65"/>
    </row>
    <row r="57" spans="1:141" x14ac:dyDescent="0.3">
      <c r="A57" s="7" t="str">
        <f t="shared" si="0"/>
        <v>Execução 53</v>
      </c>
      <c r="B57" s="42"/>
      <c r="C57" s="43" t="str">
        <f>IF(IFERROR(INDEX(Consulta!$A:$DF,MATCH('MM01'!$B57,Consulta!$C:$C,0),'MM01'!C$2),"")=0,"",IFERROR(INDEX(Consulta!$A:$DF,MATCH('MM01'!$B57,Consulta!$C:$C,0),'MM01'!C$2),""))</f>
        <v/>
      </c>
      <c r="D57" s="43" t="str">
        <f>IF(IFERROR(INDEX(Consulta!$A:$DF,MATCH('MM01'!$B57,Consulta!$C:$C,0),'MM01'!D$2),"")=0,"",IFERROR(INDEX(Consulta!$A:$DF,MATCH('MM01'!$B57,Consulta!$C:$C,0),'MM01'!D$2),""))</f>
        <v/>
      </c>
      <c r="E57" s="43" t="str">
        <f>IF(IFERROR(INDEX(Consulta!$A:$DF,MATCH('MM01'!$B57,Consulta!$C:$C,0),'MM01'!E$2),"")=0,"",IFERROR(INDEX(Consulta!$A:$DF,MATCH('MM01'!$B57,Consulta!$C:$C,0),'MM01'!E$2),""))</f>
        <v/>
      </c>
      <c r="F57" s="44" t="s">
        <v>100</v>
      </c>
      <c r="G57" s="49" t="str">
        <f>IF(IFERROR(INDEX(Consulta!$A:$DF,MATCH('MM01'!$B57,Consulta!$C:$C,0),'MM01'!G$2),"")=0,"",IFERROR(INDEX(Consulta!$A:$DF,MATCH('MM01'!$B57,Consulta!$C:$C,0),'MM01'!G$2),""))</f>
        <v/>
      </c>
      <c r="H57" s="49" t="str">
        <f>IF(IFERROR(INDEX(Consulta!$A:$DF,MATCH('MM01'!$B57,Consulta!$C:$C,0),'MM01'!H$2),"")=0,"",IFERROR(INDEX(Consulta!$A:$DF,MATCH('MM01'!$B57,Consulta!$C:$C,0),'MM01'!H$2),""))</f>
        <v/>
      </c>
      <c r="I57" s="49" t="str">
        <f t="shared" si="40"/>
        <v/>
      </c>
      <c r="J57" s="49" t="str">
        <f>IF(IFERROR(INDEX(Consulta!$A:$DF,MATCH('MM01'!$B57,Consulta!$C:$C,0),'MM01'!J$2),"")=0,"",IFERROR(INDEX(Consulta!$A:$DF,MATCH('MM01'!$B57,Consulta!$C:$C,0),'MM01'!J$2),""))</f>
        <v/>
      </c>
      <c r="K57" s="49" t="str">
        <f t="shared" si="41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IF(IFERROR(INDEX(Consulta!$A:$DF,MATCH('MM01'!$B57,Consulta!$C:$C,0),'MM01'!AP$2),"")=0,"",IFERROR(INDEX(Consulta!$A:$DF,MATCH('MM01'!$B57,Consulta!$C:$C,0),'MM01'!AP$2),""))</f>
        <v/>
      </c>
      <c r="AQ57" s="45"/>
      <c r="AR57" s="43" t="str">
        <f>IF(IFERROR(INDEX(Consulta!$A:$DF,MATCH('MM01'!$B57,Consulta!$C:$C,0),'MM01'!AR$2),"")=0,"",IFERROR(INDEX(Consulta!$A:$DF,MATCH('MM01'!$B57,Consulta!$C:$C,0),'MM01'!AR$2),""))</f>
        <v/>
      </c>
      <c r="AS57" s="43" t="str">
        <f>IF(IFERROR(INDEX(Consulta!$A:$DF,MATCH('MM01'!$B57,Consulta!$C:$C,0),'MM01'!AS$2),"")=0,"",IF(AR57="68",5102,IFERROR(INDEX(Consulta!$A:$DF,MATCH('MM01'!$B57,Consulta!$C:$C,0),'MM01'!AS$2),"")))</f>
        <v/>
      </c>
      <c r="AT57" s="45"/>
      <c r="AU57" s="46" t="str">
        <f t="shared" ca="1" si="42"/>
        <v/>
      </c>
      <c r="AV57" s="47" t="s">
        <v>796</v>
      </c>
      <c r="AW57" s="43" t="str">
        <f>IF(IFERROR(INDEX(Consulta!$A:$DF,MATCH('MM01'!$B57,Consulta!$C:$C,0),'MM01'!AW$2),"")=0,"",IFERROR(ROUND(INDEX(Consulta!$A:$DF,MATCH('MM01'!$B57,Consulta!$C:$C,0),'MM01'!AW$2),3),""))</f>
        <v/>
      </c>
      <c r="AX57" s="43" t="str">
        <f t="shared" si="43"/>
        <v/>
      </c>
      <c r="AY57" s="48" t="s">
        <v>299</v>
      </c>
      <c r="AZ57" s="48"/>
      <c r="BA57" s="43" t="str">
        <f>IF(IFERROR(INDEX(Consulta!$A:$DF,MATCH('MM01'!$B57,Consulta!$C:$C,0),'MM01'!BA$2),"")=0,"",IFERROR(INDEX(Consulta!$A:$DF,MATCH('MM01'!$B57,Consulta!$C:$C,0),'MM01'!BA$2),""))</f>
        <v/>
      </c>
      <c r="BB57" s="43" t="str">
        <f t="shared" si="44"/>
        <v/>
      </c>
      <c r="BC57" s="43" t="str">
        <f t="shared" si="45"/>
        <v/>
      </c>
      <c r="BD57" s="43" t="str">
        <f t="shared" si="46"/>
        <v/>
      </c>
      <c r="BE57" s="43" t="str">
        <f t="shared" si="47"/>
        <v>M</v>
      </c>
      <c r="BF57" s="43" t="str">
        <f t="shared" si="48"/>
        <v/>
      </c>
      <c r="BG57" s="43" t="str">
        <f t="shared" si="49"/>
        <v/>
      </c>
      <c r="BH57" s="43" t="str">
        <f t="shared" si="50"/>
        <v/>
      </c>
      <c r="BI57" s="43" t="str">
        <f t="shared" si="51"/>
        <v>M</v>
      </c>
      <c r="BK57" s="45" t="s">
        <v>324</v>
      </c>
      <c r="BL57" s="43" t="str">
        <f>IF(IFERROR(INDEX(Consulta!$A:$DF,MATCH('MM01'!$B57,Consulta!$C:$C,0),'MM01'!BL$2),"")=0,"",IFERROR(INDEX(Consulta!$A:$DF,MATCH('MM01'!$B57,Consulta!$C:$C,0),'MM01'!BL$2),""))</f>
        <v/>
      </c>
      <c r="BM57" s="45">
        <v>99</v>
      </c>
      <c r="BN57" s="46" t="str">
        <f t="shared" ca="1" si="52"/>
        <v>28.04.2022</v>
      </c>
      <c r="BO57" s="49" t="str">
        <f t="shared" si="53"/>
        <v/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IF(IFERROR(INDEX(Consulta!$A:$DF,MATCH('MM01'!$B57,Consulta!$C:$C,0),'MM01'!BX$2),"")=0,"",IFERROR(INDEX(Consulta!$A:$DF,MATCH('MM01'!$B57,Consulta!$C:$C,0),'MM01'!BX$2),""))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54"/>
        <v/>
      </c>
      <c r="CD57" s="45" t="s">
        <v>430</v>
      </c>
      <c r="CE57" s="45">
        <v>1</v>
      </c>
      <c r="CF57" s="45" t="s">
        <v>496</v>
      </c>
      <c r="CG57" s="45"/>
      <c r="CH57" s="44">
        <v>2</v>
      </c>
      <c r="CI57" s="49" t="str">
        <f t="shared" si="55"/>
        <v/>
      </c>
      <c r="CJ57" s="49" t="str">
        <f t="shared" si="56"/>
        <v/>
      </c>
      <c r="CK57" s="45"/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7"/>
        <v>K00_P_</v>
      </c>
      <c r="CS57" s="45">
        <v>5000</v>
      </c>
      <c r="CT57" s="43" t="str">
        <f>IF(IFERROR(INDEX(Consulta!$A:$DF,MATCH('MM01'!$B57,Consulta!$C:$C,0),'MM01'!CT$2),"")=0,"",IFERROR(INDEX(Consulta!$A:$DF,MATCH('MM01'!$B57,Consulta!$C:$C,0),'MM01'!CT$2),""))</f>
        <v/>
      </c>
      <c r="CU57" s="43" t="str">
        <f>IF(IFERROR(INDEX(Consulta!$A:$DF,MATCH('MM01'!$B57,Consulta!$C:$C,0),'MM01'!CU$2),"")=0,"",IFERROR(INDEX(Consulta!$A:$DF,MATCH('MM01'!$B57,Consulta!$C:$C,0),'MM01'!CU$2),""))</f>
        <v/>
      </c>
      <c r="CV57" s="43" t="str">
        <f>IF(IFERROR(INDEX(Consulta!$A:$DF,MATCH('MM01'!$B57,Consulta!$C:$C,0),'MM01'!CV$2),"")=0,"",IFERROR(INDEX(Consulta!$A:$DF,MATCH('MM01'!$B57,Consulta!$C:$C,0),'MM01'!CV$2),""))</f>
        <v/>
      </c>
      <c r="CW57" s="43" t="str">
        <f>IF(IFERROR(INDEX(Consulta!$A:$DF,MATCH('MM01'!$B57,Consulta!$C:$C,0),'MM01'!CW$2),"")=0,"",IFERROR(INDEX(Consulta!$A:$DF,MATCH('MM01'!$B57,Consulta!$C:$C,0),'MM01'!CW$2),""))</f>
        <v/>
      </c>
      <c r="CX57" s="43" t="str">
        <f t="shared" si="58"/>
        <v/>
      </c>
      <c r="CY57" s="43" t="str">
        <f t="shared" si="59"/>
        <v/>
      </c>
      <c r="CZ57" s="43" t="str">
        <f t="shared" si="60"/>
        <v/>
      </c>
      <c r="DA57" s="43" t="str">
        <f>IF(IFERROR(INDEX(Consulta!$A:$DF,MATCH('MM01'!$B57,Consulta!$C:$C,0),'MM01'!DA$2),"")=0,"",IFERROR(INDEX(Consulta!$A:$DF,MATCH('MM01'!$B57,Consulta!$C:$C,0),'MM01'!DA$2),""))</f>
        <v/>
      </c>
      <c r="DB57" s="43" t="str">
        <f t="shared" si="61"/>
        <v/>
      </c>
      <c r="DC57" s="43" t="str">
        <f>IF(IFERROR(INDEX(Consulta!$A:$DF,MATCH('MM01'!$B57,Consulta!$C:$C,0),'MM01'!DC$2),"")=0,"",IFERROR(INDEX(Consulta!$A:$DF,MATCH('MM01'!$B57,Consulta!$C:$C,0),'MM01'!DC$2),""))</f>
        <v/>
      </c>
      <c r="DD57" s="45">
        <v>0</v>
      </c>
      <c r="DE57" s="45">
        <v>0</v>
      </c>
      <c r="DF57" s="43" t="str">
        <f t="shared" si="62"/>
        <v/>
      </c>
      <c r="DG57" s="43" t="str">
        <f t="shared" si="63"/>
        <v/>
      </c>
      <c r="DH57" s="55"/>
      <c r="DI57" s="43" t="str">
        <f t="shared" ca="1" si="64"/>
        <v/>
      </c>
      <c r="DJ57" s="43" t="str">
        <f t="shared" si="65"/>
        <v/>
      </c>
      <c r="DK57" s="43" t="str">
        <f t="shared" si="66"/>
        <v/>
      </c>
      <c r="DL57" s="55"/>
      <c r="DM57" s="43" t="str">
        <f t="shared" ca="1" si="67"/>
        <v/>
      </c>
      <c r="DN57" s="43" t="str">
        <f t="shared" si="68"/>
        <v/>
      </c>
      <c r="DO57" s="43" t="str">
        <f t="shared" si="69"/>
        <v/>
      </c>
      <c r="DP57" s="55"/>
      <c r="DQ57" s="43" t="str">
        <f t="shared" ca="1" si="70"/>
        <v/>
      </c>
      <c r="DR57" s="43" t="str">
        <f t="shared" si="71"/>
        <v/>
      </c>
      <c r="DS57" s="43" t="str">
        <f t="shared" si="72"/>
        <v/>
      </c>
      <c r="DT57" s="55"/>
      <c r="DU57" s="43" t="str">
        <f t="shared" ca="1" si="73"/>
        <v/>
      </c>
      <c r="DV57" s="43" t="str">
        <f t="shared" si="74"/>
        <v/>
      </c>
      <c r="DX57" s="44">
        <v>1</v>
      </c>
      <c r="DY57" s="44" t="s">
        <v>774</v>
      </c>
      <c r="DZ57" s="43">
        <f t="shared" si="75"/>
        <v>0.01</v>
      </c>
      <c r="EA57" s="43" t="str">
        <f t="shared" si="76"/>
        <v>M</v>
      </c>
      <c r="EB57" s="43" t="str">
        <f>IF(IFERROR(INDEX(Consulta!$A:$DF,MATCH('MM01'!$B57,Consulta!$C:$C,0),'MM01'!EB$2),"")=0,"7925",IF(IFERROR(INDEX(Consulta!$A:$DF,MATCH('MM01'!$B57,Consulta!$C:$C,0),'MM01'!EB$2),"")="68","7910","7925"))</f>
        <v>7925</v>
      </c>
      <c r="EC57" s="44">
        <v>100</v>
      </c>
      <c r="ED57" s="60">
        <v>1</v>
      </c>
      <c r="EE57" s="43">
        <f t="shared" si="77"/>
        <v>100</v>
      </c>
      <c r="EF57" s="44">
        <v>1</v>
      </c>
      <c r="EG57" s="44">
        <v>0</v>
      </c>
      <c r="EH57" s="44" t="s">
        <v>867</v>
      </c>
      <c r="EI57" s="45">
        <v>0</v>
      </c>
      <c r="EJ57" s="43">
        <f t="shared" si="78"/>
        <v>5000</v>
      </c>
      <c r="EK57" s="65"/>
    </row>
    <row r="58" spans="1:141" x14ac:dyDescent="0.3">
      <c r="A58" s="7" t="str">
        <f t="shared" si="0"/>
        <v>Execução 54</v>
      </c>
      <c r="B58" s="42"/>
      <c r="C58" s="43" t="str">
        <f>IF(IFERROR(INDEX(Consulta!$A:$DF,MATCH('MM01'!$B58,Consulta!$C:$C,0),'MM01'!C$2),"")=0,"",IFERROR(INDEX(Consulta!$A:$DF,MATCH('MM01'!$B58,Consulta!$C:$C,0),'MM01'!C$2),""))</f>
        <v/>
      </c>
      <c r="D58" s="43" t="str">
        <f>IF(IFERROR(INDEX(Consulta!$A:$DF,MATCH('MM01'!$B58,Consulta!$C:$C,0),'MM01'!D$2),"")=0,"",IFERROR(INDEX(Consulta!$A:$DF,MATCH('MM01'!$B58,Consulta!$C:$C,0),'MM01'!D$2),""))</f>
        <v/>
      </c>
      <c r="E58" s="43" t="str">
        <f>IF(IFERROR(INDEX(Consulta!$A:$DF,MATCH('MM01'!$B58,Consulta!$C:$C,0),'MM01'!E$2),"")=0,"",IFERROR(INDEX(Consulta!$A:$DF,MATCH('MM01'!$B58,Consulta!$C:$C,0),'MM01'!E$2),""))</f>
        <v/>
      </c>
      <c r="F58" s="44" t="s">
        <v>100</v>
      </c>
      <c r="G58" s="49" t="str">
        <f>IF(IFERROR(INDEX(Consulta!$A:$DF,MATCH('MM01'!$B58,Consulta!$C:$C,0),'MM01'!G$2),"")=0,"",IFERROR(INDEX(Consulta!$A:$DF,MATCH('MM01'!$B58,Consulta!$C:$C,0),'MM01'!G$2),""))</f>
        <v/>
      </c>
      <c r="H58" s="49" t="str">
        <f>IF(IFERROR(INDEX(Consulta!$A:$DF,MATCH('MM01'!$B58,Consulta!$C:$C,0),'MM01'!H$2),"")=0,"",IFERROR(INDEX(Consulta!$A:$DF,MATCH('MM01'!$B58,Consulta!$C:$C,0),'MM01'!H$2),""))</f>
        <v/>
      </c>
      <c r="I58" s="49" t="str">
        <f t="shared" si="40"/>
        <v/>
      </c>
      <c r="J58" s="49" t="str">
        <f>IF(IFERROR(INDEX(Consulta!$A:$DF,MATCH('MM01'!$B58,Consulta!$C:$C,0),'MM01'!J$2),"")=0,"",IFERROR(INDEX(Consulta!$A:$DF,MATCH('MM01'!$B58,Consulta!$C:$C,0),'MM01'!J$2),""))</f>
        <v/>
      </c>
      <c r="K58" s="49" t="str">
        <f t="shared" si="41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IF(IFERROR(INDEX(Consulta!$A:$DF,MATCH('MM01'!$B58,Consulta!$C:$C,0),'MM01'!AP$2),"")=0,"",IFERROR(INDEX(Consulta!$A:$DF,MATCH('MM01'!$B58,Consulta!$C:$C,0),'MM01'!AP$2),""))</f>
        <v/>
      </c>
      <c r="AQ58" s="45"/>
      <c r="AR58" s="43" t="str">
        <f>IF(IFERROR(INDEX(Consulta!$A:$DF,MATCH('MM01'!$B58,Consulta!$C:$C,0),'MM01'!AR$2),"")=0,"",IFERROR(INDEX(Consulta!$A:$DF,MATCH('MM01'!$B58,Consulta!$C:$C,0),'MM01'!AR$2),""))</f>
        <v/>
      </c>
      <c r="AS58" s="43" t="str">
        <f>IF(IFERROR(INDEX(Consulta!$A:$DF,MATCH('MM01'!$B58,Consulta!$C:$C,0),'MM01'!AS$2),"")=0,"",IF(AR58="68",5102,IFERROR(INDEX(Consulta!$A:$DF,MATCH('MM01'!$B58,Consulta!$C:$C,0),'MM01'!AS$2),"")))</f>
        <v/>
      </c>
      <c r="AT58" s="45"/>
      <c r="AU58" s="46" t="str">
        <f t="shared" ca="1" si="42"/>
        <v/>
      </c>
      <c r="AV58" s="47" t="s">
        <v>796</v>
      </c>
      <c r="AW58" s="43" t="str">
        <f>IF(IFERROR(INDEX(Consulta!$A:$DF,MATCH('MM01'!$B58,Consulta!$C:$C,0),'MM01'!AW$2),"")=0,"",IFERROR(ROUND(INDEX(Consulta!$A:$DF,MATCH('MM01'!$B58,Consulta!$C:$C,0),'MM01'!AW$2),3),""))</f>
        <v/>
      </c>
      <c r="AX58" s="43" t="str">
        <f t="shared" si="43"/>
        <v/>
      </c>
      <c r="AY58" s="48" t="s">
        <v>299</v>
      </c>
      <c r="AZ58" s="48"/>
      <c r="BA58" s="43" t="str">
        <f>IF(IFERROR(INDEX(Consulta!$A:$DF,MATCH('MM01'!$B58,Consulta!$C:$C,0),'MM01'!BA$2),"")=0,"",IFERROR(INDEX(Consulta!$A:$DF,MATCH('MM01'!$B58,Consulta!$C:$C,0),'MM01'!BA$2),""))</f>
        <v/>
      </c>
      <c r="BB58" s="43" t="str">
        <f t="shared" si="44"/>
        <v/>
      </c>
      <c r="BC58" s="43" t="str">
        <f t="shared" si="45"/>
        <v/>
      </c>
      <c r="BD58" s="43" t="str">
        <f t="shared" si="46"/>
        <v/>
      </c>
      <c r="BE58" s="43" t="str">
        <f t="shared" si="47"/>
        <v>M</v>
      </c>
      <c r="BF58" s="43" t="str">
        <f t="shared" si="48"/>
        <v/>
      </c>
      <c r="BG58" s="43" t="str">
        <f t="shared" si="49"/>
        <v/>
      </c>
      <c r="BH58" s="43" t="str">
        <f t="shared" si="50"/>
        <v/>
      </c>
      <c r="BI58" s="43" t="str">
        <f t="shared" si="51"/>
        <v>M</v>
      </c>
      <c r="BK58" s="45" t="s">
        <v>324</v>
      </c>
      <c r="BL58" s="43" t="str">
        <f>IF(IFERROR(INDEX(Consulta!$A:$DF,MATCH('MM01'!$B58,Consulta!$C:$C,0),'MM01'!BL$2),"")=0,"",IFERROR(INDEX(Consulta!$A:$DF,MATCH('MM01'!$B58,Consulta!$C:$C,0),'MM01'!BL$2),""))</f>
        <v/>
      </c>
      <c r="BM58" s="45">
        <v>99</v>
      </c>
      <c r="BN58" s="46" t="str">
        <f t="shared" ca="1" si="52"/>
        <v>28.04.2022</v>
      </c>
      <c r="BO58" s="49" t="str">
        <f t="shared" si="53"/>
        <v/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IF(IFERROR(INDEX(Consulta!$A:$DF,MATCH('MM01'!$B58,Consulta!$C:$C,0),'MM01'!BX$2),"")=0,"",IFERROR(INDEX(Consulta!$A:$DF,MATCH('MM01'!$B58,Consulta!$C:$C,0),'MM01'!BX$2),""))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54"/>
        <v/>
      </c>
      <c r="CD58" s="45" t="s">
        <v>430</v>
      </c>
      <c r="CE58" s="45">
        <v>1</v>
      </c>
      <c r="CF58" s="45" t="s">
        <v>496</v>
      </c>
      <c r="CG58" s="45"/>
      <c r="CH58" s="44">
        <v>2</v>
      </c>
      <c r="CI58" s="49" t="str">
        <f t="shared" si="55"/>
        <v/>
      </c>
      <c r="CJ58" s="49" t="str">
        <f t="shared" si="56"/>
        <v/>
      </c>
      <c r="CK58" s="45"/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7"/>
        <v>K00_P_</v>
      </c>
      <c r="CS58" s="45">
        <v>5000</v>
      </c>
      <c r="CT58" s="43" t="str">
        <f>IF(IFERROR(INDEX(Consulta!$A:$DF,MATCH('MM01'!$B58,Consulta!$C:$C,0),'MM01'!CT$2),"")=0,"",IFERROR(INDEX(Consulta!$A:$DF,MATCH('MM01'!$B58,Consulta!$C:$C,0),'MM01'!CT$2),""))</f>
        <v/>
      </c>
      <c r="CU58" s="43" t="str">
        <f>IF(IFERROR(INDEX(Consulta!$A:$DF,MATCH('MM01'!$B58,Consulta!$C:$C,0),'MM01'!CU$2),"")=0,"",IFERROR(INDEX(Consulta!$A:$DF,MATCH('MM01'!$B58,Consulta!$C:$C,0),'MM01'!CU$2),""))</f>
        <v/>
      </c>
      <c r="CV58" s="43" t="str">
        <f>IF(IFERROR(INDEX(Consulta!$A:$DF,MATCH('MM01'!$B58,Consulta!$C:$C,0),'MM01'!CV$2),"")=0,"",IFERROR(INDEX(Consulta!$A:$DF,MATCH('MM01'!$B58,Consulta!$C:$C,0),'MM01'!CV$2),""))</f>
        <v/>
      </c>
      <c r="CW58" s="43" t="str">
        <f>IF(IFERROR(INDEX(Consulta!$A:$DF,MATCH('MM01'!$B58,Consulta!$C:$C,0),'MM01'!CW$2),"")=0,"",IFERROR(INDEX(Consulta!$A:$DF,MATCH('MM01'!$B58,Consulta!$C:$C,0),'MM01'!CW$2),""))</f>
        <v/>
      </c>
      <c r="CX58" s="43" t="str">
        <f t="shared" si="58"/>
        <v/>
      </c>
      <c r="CY58" s="43" t="str">
        <f t="shared" si="59"/>
        <v/>
      </c>
      <c r="CZ58" s="43" t="str">
        <f t="shared" si="60"/>
        <v/>
      </c>
      <c r="DA58" s="43" t="str">
        <f>IF(IFERROR(INDEX(Consulta!$A:$DF,MATCH('MM01'!$B58,Consulta!$C:$C,0),'MM01'!DA$2),"")=0,"",IFERROR(INDEX(Consulta!$A:$DF,MATCH('MM01'!$B58,Consulta!$C:$C,0),'MM01'!DA$2),""))</f>
        <v/>
      </c>
      <c r="DB58" s="43" t="str">
        <f t="shared" si="61"/>
        <v/>
      </c>
      <c r="DC58" s="43" t="str">
        <f>IF(IFERROR(INDEX(Consulta!$A:$DF,MATCH('MM01'!$B58,Consulta!$C:$C,0),'MM01'!DC$2),"")=0,"",IFERROR(INDEX(Consulta!$A:$DF,MATCH('MM01'!$B58,Consulta!$C:$C,0),'MM01'!DC$2),""))</f>
        <v/>
      </c>
      <c r="DD58" s="45">
        <v>0</v>
      </c>
      <c r="DE58" s="45">
        <v>0</v>
      </c>
      <c r="DF58" s="43" t="str">
        <f t="shared" si="62"/>
        <v/>
      </c>
      <c r="DG58" s="43" t="str">
        <f t="shared" si="63"/>
        <v/>
      </c>
      <c r="DH58" s="55"/>
      <c r="DI58" s="43" t="str">
        <f t="shared" ca="1" si="64"/>
        <v/>
      </c>
      <c r="DJ58" s="43" t="str">
        <f t="shared" si="65"/>
        <v/>
      </c>
      <c r="DK58" s="43" t="str">
        <f t="shared" si="66"/>
        <v/>
      </c>
      <c r="DL58" s="55"/>
      <c r="DM58" s="43" t="str">
        <f t="shared" ca="1" si="67"/>
        <v/>
      </c>
      <c r="DN58" s="43" t="str">
        <f t="shared" si="68"/>
        <v/>
      </c>
      <c r="DO58" s="43" t="str">
        <f t="shared" si="69"/>
        <v/>
      </c>
      <c r="DP58" s="55"/>
      <c r="DQ58" s="43" t="str">
        <f t="shared" ca="1" si="70"/>
        <v/>
      </c>
      <c r="DR58" s="43" t="str">
        <f t="shared" si="71"/>
        <v/>
      </c>
      <c r="DS58" s="43" t="str">
        <f t="shared" si="72"/>
        <v/>
      </c>
      <c r="DT58" s="55"/>
      <c r="DU58" s="43" t="str">
        <f t="shared" ca="1" si="73"/>
        <v/>
      </c>
      <c r="DV58" s="43" t="str">
        <f t="shared" si="74"/>
        <v/>
      </c>
      <c r="DX58" s="44">
        <v>1</v>
      </c>
      <c r="DY58" s="44" t="s">
        <v>774</v>
      </c>
      <c r="DZ58" s="43">
        <f t="shared" si="75"/>
        <v>0.01</v>
      </c>
      <c r="EA58" s="43" t="str">
        <f t="shared" si="76"/>
        <v>M</v>
      </c>
      <c r="EB58" s="43" t="str">
        <f>IF(IFERROR(INDEX(Consulta!$A:$DF,MATCH('MM01'!$B58,Consulta!$C:$C,0),'MM01'!EB$2),"")=0,"7925",IF(IFERROR(INDEX(Consulta!$A:$DF,MATCH('MM01'!$B58,Consulta!$C:$C,0),'MM01'!EB$2),"")="68","7910","7925"))</f>
        <v>7925</v>
      </c>
      <c r="EC58" s="44">
        <v>100</v>
      </c>
      <c r="ED58" s="60">
        <v>1</v>
      </c>
      <c r="EE58" s="43">
        <f t="shared" si="77"/>
        <v>100</v>
      </c>
      <c r="EF58" s="44">
        <v>1</v>
      </c>
      <c r="EG58" s="44">
        <v>0</v>
      </c>
      <c r="EH58" s="44" t="s">
        <v>867</v>
      </c>
      <c r="EI58" s="45">
        <v>0</v>
      </c>
      <c r="EJ58" s="43">
        <f t="shared" si="78"/>
        <v>5000</v>
      </c>
      <c r="EK58" s="65"/>
    </row>
    <row r="59" spans="1:141" x14ac:dyDescent="0.3">
      <c r="A59" s="7" t="str">
        <f t="shared" si="0"/>
        <v>Execução 55</v>
      </c>
      <c r="B59" s="42"/>
      <c r="C59" s="43" t="str">
        <f>IF(IFERROR(INDEX(Consulta!$A:$DF,MATCH('MM01'!$B59,Consulta!$C:$C,0),'MM01'!C$2),"")=0,"",IFERROR(INDEX(Consulta!$A:$DF,MATCH('MM01'!$B59,Consulta!$C:$C,0),'MM01'!C$2),""))</f>
        <v/>
      </c>
      <c r="D59" s="43" t="str">
        <f>IF(IFERROR(INDEX(Consulta!$A:$DF,MATCH('MM01'!$B59,Consulta!$C:$C,0),'MM01'!D$2),"")=0,"",IFERROR(INDEX(Consulta!$A:$DF,MATCH('MM01'!$B59,Consulta!$C:$C,0),'MM01'!D$2),""))</f>
        <v/>
      </c>
      <c r="E59" s="43" t="str">
        <f>IF(IFERROR(INDEX(Consulta!$A:$DF,MATCH('MM01'!$B59,Consulta!$C:$C,0),'MM01'!E$2),"")=0,"",IFERROR(INDEX(Consulta!$A:$DF,MATCH('MM01'!$B59,Consulta!$C:$C,0),'MM01'!E$2),""))</f>
        <v/>
      </c>
      <c r="F59" s="44" t="s">
        <v>100</v>
      </c>
      <c r="G59" s="49" t="str">
        <f>IF(IFERROR(INDEX(Consulta!$A:$DF,MATCH('MM01'!$B59,Consulta!$C:$C,0),'MM01'!G$2),"")=0,"",IFERROR(INDEX(Consulta!$A:$DF,MATCH('MM01'!$B59,Consulta!$C:$C,0),'MM01'!G$2),""))</f>
        <v/>
      </c>
      <c r="H59" s="49" t="str">
        <f>IF(IFERROR(INDEX(Consulta!$A:$DF,MATCH('MM01'!$B59,Consulta!$C:$C,0),'MM01'!H$2),"")=0,"",IFERROR(INDEX(Consulta!$A:$DF,MATCH('MM01'!$B59,Consulta!$C:$C,0),'MM01'!H$2),""))</f>
        <v/>
      </c>
      <c r="I59" s="49" t="str">
        <f t="shared" si="40"/>
        <v/>
      </c>
      <c r="J59" s="49" t="str">
        <f>IF(IFERROR(INDEX(Consulta!$A:$DF,MATCH('MM01'!$B59,Consulta!$C:$C,0),'MM01'!J$2),"")=0,"",IFERROR(INDEX(Consulta!$A:$DF,MATCH('MM01'!$B59,Consulta!$C:$C,0),'MM01'!J$2),""))</f>
        <v/>
      </c>
      <c r="K59" s="49" t="str">
        <f t="shared" si="41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IF(IFERROR(INDEX(Consulta!$A:$DF,MATCH('MM01'!$B59,Consulta!$C:$C,0),'MM01'!AP$2),"")=0,"",IFERROR(INDEX(Consulta!$A:$DF,MATCH('MM01'!$B59,Consulta!$C:$C,0),'MM01'!AP$2),""))</f>
        <v/>
      </c>
      <c r="AQ59" s="45"/>
      <c r="AR59" s="43" t="str">
        <f>IF(IFERROR(INDEX(Consulta!$A:$DF,MATCH('MM01'!$B59,Consulta!$C:$C,0),'MM01'!AR$2),"")=0,"",IFERROR(INDEX(Consulta!$A:$DF,MATCH('MM01'!$B59,Consulta!$C:$C,0),'MM01'!AR$2),""))</f>
        <v/>
      </c>
      <c r="AS59" s="43" t="str">
        <f>IF(IFERROR(INDEX(Consulta!$A:$DF,MATCH('MM01'!$B59,Consulta!$C:$C,0),'MM01'!AS$2),"")=0,"",IF(AR59="68",5102,IFERROR(INDEX(Consulta!$A:$DF,MATCH('MM01'!$B59,Consulta!$C:$C,0),'MM01'!AS$2),"")))</f>
        <v/>
      </c>
      <c r="AT59" s="45"/>
      <c r="AU59" s="46" t="str">
        <f t="shared" ca="1" si="42"/>
        <v/>
      </c>
      <c r="AV59" s="47" t="s">
        <v>796</v>
      </c>
      <c r="AW59" s="43" t="str">
        <f>IF(IFERROR(INDEX(Consulta!$A:$DF,MATCH('MM01'!$B59,Consulta!$C:$C,0),'MM01'!AW$2),"")=0,"",IFERROR(ROUND(INDEX(Consulta!$A:$DF,MATCH('MM01'!$B59,Consulta!$C:$C,0),'MM01'!AW$2),3),""))</f>
        <v/>
      </c>
      <c r="AX59" s="43" t="str">
        <f t="shared" si="43"/>
        <v/>
      </c>
      <c r="AY59" s="48" t="s">
        <v>299</v>
      </c>
      <c r="AZ59" s="48"/>
      <c r="BA59" s="43" t="str">
        <f>IF(IFERROR(INDEX(Consulta!$A:$DF,MATCH('MM01'!$B59,Consulta!$C:$C,0),'MM01'!BA$2),"")=0,"",IFERROR(INDEX(Consulta!$A:$DF,MATCH('MM01'!$B59,Consulta!$C:$C,0),'MM01'!BA$2),""))</f>
        <v/>
      </c>
      <c r="BB59" s="43" t="str">
        <f t="shared" si="44"/>
        <v/>
      </c>
      <c r="BC59" s="43" t="str">
        <f t="shared" si="45"/>
        <v/>
      </c>
      <c r="BD59" s="43" t="str">
        <f t="shared" si="46"/>
        <v/>
      </c>
      <c r="BE59" s="43" t="str">
        <f t="shared" si="47"/>
        <v>M</v>
      </c>
      <c r="BF59" s="43" t="str">
        <f t="shared" si="48"/>
        <v/>
      </c>
      <c r="BG59" s="43" t="str">
        <f t="shared" si="49"/>
        <v/>
      </c>
      <c r="BH59" s="43" t="str">
        <f t="shared" si="50"/>
        <v/>
      </c>
      <c r="BI59" s="43" t="str">
        <f t="shared" si="51"/>
        <v>M</v>
      </c>
      <c r="BK59" s="45" t="s">
        <v>324</v>
      </c>
      <c r="BL59" s="43" t="str">
        <f>IF(IFERROR(INDEX(Consulta!$A:$DF,MATCH('MM01'!$B59,Consulta!$C:$C,0),'MM01'!BL$2),"")=0,"",IFERROR(INDEX(Consulta!$A:$DF,MATCH('MM01'!$B59,Consulta!$C:$C,0),'MM01'!BL$2),""))</f>
        <v/>
      </c>
      <c r="BM59" s="45">
        <v>99</v>
      </c>
      <c r="BN59" s="46" t="str">
        <f t="shared" ca="1" si="52"/>
        <v>28.04.2022</v>
      </c>
      <c r="BO59" s="49" t="str">
        <f t="shared" si="53"/>
        <v/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IF(IFERROR(INDEX(Consulta!$A:$DF,MATCH('MM01'!$B59,Consulta!$C:$C,0),'MM01'!BX$2),"")=0,"",IFERROR(INDEX(Consulta!$A:$DF,MATCH('MM01'!$B59,Consulta!$C:$C,0),'MM01'!BX$2),""))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54"/>
        <v/>
      </c>
      <c r="CD59" s="45" t="s">
        <v>430</v>
      </c>
      <c r="CE59" s="45">
        <v>1</v>
      </c>
      <c r="CF59" s="45" t="s">
        <v>496</v>
      </c>
      <c r="CG59" s="45"/>
      <c r="CH59" s="44">
        <v>2</v>
      </c>
      <c r="CI59" s="49" t="str">
        <f t="shared" si="55"/>
        <v/>
      </c>
      <c r="CJ59" s="49" t="str">
        <f t="shared" si="56"/>
        <v/>
      </c>
      <c r="CK59" s="45"/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7"/>
        <v>K00_P_</v>
      </c>
      <c r="CS59" s="45">
        <v>5000</v>
      </c>
      <c r="CT59" s="43" t="str">
        <f>IF(IFERROR(INDEX(Consulta!$A:$DF,MATCH('MM01'!$B59,Consulta!$C:$C,0),'MM01'!CT$2),"")=0,"",IFERROR(INDEX(Consulta!$A:$DF,MATCH('MM01'!$B59,Consulta!$C:$C,0),'MM01'!CT$2),""))</f>
        <v/>
      </c>
      <c r="CU59" s="43" t="str">
        <f>IF(IFERROR(INDEX(Consulta!$A:$DF,MATCH('MM01'!$B59,Consulta!$C:$C,0),'MM01'!CU$2),"")=0,"",IFERROR(INDEX(Consulta!$A:$DF,MATCH('MM01'!$B59,Consulta!$C:$C,0),'MM01'!CU$2),""))</f>
        <v/>
      </c>
      <c r="CV59" s="43" t="str">
        <f>IF(IFERROR(INDEX(Consulta!$A:$DF,MATCH('MM01'!$B59,Consulta!$C:$C,0),'MM01'!CV$2),"")=0,"",IFERROR(INDEX(Consulta!$A:$DF,MATCH('MM01'!$B59,Consulta!$C:$C,0),'MM01'!CV$2),""))</f>
        <v/>
      </c>
      <c r="CW59" s="43" t="str">
        <f>IF(IFERROR(INDEX(Consulta!$A:$DF,MATCH('MM01'!$B59,Consulta!$C:$C,0),'MM01'!CW$2),"")=0,"",IFERROR(INDEX(Consulta!$A:$DF,MATCH('MM01'!$B59,Consulta!$C:$C,0),'MM01'!CW$2),""))</f>
        <v/>
      </c>
      <c r="CX59" s="43" t="str">
        <f t="shared" si="58"/>
        <v/>
      </c>
      <c r="CY59" s="43" t="str">
        <f t="shared" si="59"/>
        <v/>
      </c>
      <c r="CZ59" s="43" t="str">
        <f t="shared" si="60"/>
        <v/>
      </c>
      <c r="DA59" s="43" t="str">
        <f>IF(IFERROR(INDEX(Consulta!$A:$DF,MATCH('MM01'!$B59,Consulta!$C:$C,0),'MM01'!DA$2),"")=0,"",IFERROR(INDEX(Consulta!$A:$DF,MATCH('MM01'!$B59,Consulta!$C:$C,0),'MM01'!DA$2),""))</f>
        <v/>
      </c>
      <c r="DB59" s="43" t="str">
        <f t="shared" si="61"/>
        <v/>
      </c>
      <c r="DC59" s="43" t="str">
        <f>IF(IFERROR(INDEX(Consulta!$A:$DF,MATCH('MM01'!$B59,Consulta!$C:$C,0),'MM01'!DC$2),"")=0,"",IFERROR(INDEX(Consulta!$A:$DF,MATCH('MM01'!$B59,Consulta!$C:$C,0),'MM01'!DC$2),""))</f>
        <v/>
      </c>
      <c r="DD59" s="45">
        <v>0</v>
      </c>
      <c r="DE59" s="45">
        <v>0</v>
      </c>
      <c r="DF59" s="43" t="str">
        <f t="shared" si="62"/>
        <v/>
      </c>
      <c r="DG59" s="43" t="str">
        <f t="shared" si="63"/>
        <v/>
      </c>
      <c r="DH59" s="55"/>
      <c r="DI59" s="43" t="str">
        <f t="shared" ca="1" si="64"/>
        <v/>
      </c>
      <c r="DJ59" s="43" t="str">
        <f t="shared" si="65"/>
        <v/>
      </c>
      <c r="DK59" s="43" t="str">
        <f t="shared" si="66"/>
        <v/>
      </c>
      <c r="DL59" s="55"/>
      <c r="DM59" s="43" t="str">
        <f t="shared" ca="1" si="67"/>
        <v/>
      </c>
      <c r="DN59" s="43" t="str">
        <f t="shared" si="68"/>
        <v/>
      </c>
      <c r="DO59" s="43" t="str">
        <f t="shared" si="69"/>
        <v/>
      </c>
      <c r="DP59" s="55"/>
      <c r="DQ59" s="43" t="str">
        <f t="shared" ca="1" si="70"/>
        <v/>
      </c>
      <c r="DR59" s="43" t="str">
        <f t="shared" si="71"/>
        <v/>
      </c>
      <c r="DS59" s="43" t="str">
        <f t="shared" si="72"/>
        <v/>
      </c>
      <c r="DT59" s="55"/>
      <c r="DU59" s="43" t="str">
        <f t="shared" ca="1" si="73"/>
        <v/>
      </c>
      <c r="DV59" s="43" t="str">
        <f t="shared" si="74"/>
        <v/>
      </c>
      <c r="DX59" s="44">
        <v>1</v>
      </c>
      <c r="DY59" s="44" t="s">
        <v>774</v>
      </c>
      <c r="DZ59" s="43">
        <f t="shared" si="75"/>
        <v>0.01</v>
      </c>
      <c r="EA59" s="43" t="str">
        <f t="shared" si="76"/>
        <v>M</v>
      </c>
      <c r="EB59" s="43" t="str">
        <f>IF(IFERROR(INDEX(Consulta!$A:$DF,MATCH('MM01'!$B59,Consulta!$C:$C,0),'MM01'!EB$2),"")=0,"7925",IF(IFERROR(INDEX(Consulta!$A:$DF,MATCH('MM01'!$B59,Consulta!$C:$C,0),'MM01'!EB$2),"")="68","7910","7925"))</f>
        <v>7925</v>
      </c>
      <c r="EC59" s="44">
        <v>100</v>
      </c>
      <c r="ED59" s="60">
        <v>1</v>
      </c>
      <c r="EE59" s="43">
        <f t="shared" si="77"/>
        <v>100</v>
      </c>
      <c r="EF59" s="44">
        <v>1</v>
      </c>
      <c r="EG59" s="44">
        <v>0</v>
      </c>
      <c r="EH59" s="44" t="s">
        <v>867</v>
      </c>
      <c r="EI59" s="45">
        <v>0</v>
      </c>
      <c r="EJ59" s="43">
        <f t="shared" si="78"/>
        <v>5000</v>
      </c>
      <c r="EK59" s="65"/>
    </row>
    <row r="60" spans="1:141" x14ac:dyDescent="0.3">
      <c r="A60" s="7" t="str">
        <f t="shared" si="0"/>
        <v>Execução 56</v>
      </c>
      <c r="B60" s="42"/>
      <c r="C60" s="43" t="str">
        <f>IF(IFERROR(INDEX(Consulta!$A:$DF,MATCH('MM01'!$B60,Consulta!$C:$C,0),'MM01'!C$2),"")=0,"",IFERROR(INDEX(Consulta!$A:$DF,MATCH('MM01'!$B60,Consulta!$C:$C,0),'MM01'!C$2),""))</f>
        <v/>
      </c>
      <c r="D60" s="43" t="str">
        <f>IF(IFERROR(INDEX(Consulta!$A:$DF,MATCH('MM01'!$B60,Consulta!$C:$C,0),'MM01'!D$2),"")=0,"",IFERROR(INDEX(Consulta!$A:$DF,MATCH('MM01'!$B60,Consulta!$C:$C,0),'MM01'!D$2),""))</f>
        <v/>
      </c>
      <c r="E60" s="43" t="str">
        <f>IF(IFERROR(INDEX(Consulta!$A:$DF,MATCH('MM01'!$B60,Consulta!$C:$C,0),'MM01'!E$2),"")=0,"",IFERROR(INDEX(Consulta!$A:$DF,MATCH('MM01'!$B60,Consulta!$C:$C,0),'MM01'!E$2),""))</f>
        <v/>
      </c>
      <c r="F60" s="44" t="s">
        <v>100</v>
      </c>
      <c r="G60" s="49" t="str">
        <f>IF(IFERROR(INDEX(Consulta!$A:$DF,MATCH('MM01'!$B60,Consulta!$C:$C,0),'MM01'!G$2),"")=0,"",IFERROR(INDEX(Consulta!$A:$DF,MATCH('MM01'!$B60,Consulta!$C:$C,0),'MM01'!G$2),""))</f>
        <v/>
      </c>
      <c r="H60" s="49" t="str">
        <f>IF(IFERROR(INDEX(Consulta!$A:$DF,MATCH('MM01'!$B60,Consulta!$C:$C,0),'MM01'!H$2),"")=0,"",IFERROR(INDEX(Consulta!$A:$DF,MATCH('MM01'!$B60,Consulta!$C:$C,0),'MM01'!H$2),""))</f>
        <v/>
      </c>
      <c r="I60" s="49" t="str">
        <f t="shared" si="40"/>
        <v/>
      </c>
      <c r="J60" s="49" t="str">
        <f>IF(IFERROR(INDEX(Consulta!$A:$DF,MATCH('MM01'!$B60,Consulta!$C:$C,0),'MM01'!J$2),"")=0,"",IFERROR(INDEX(Consulta!$A:$DF,MATCH('MM01'!$B60,Consulta!$C:$C,0),'MM01'!J$2),""))</f>
        <v/>
      </c>
      <c r="K60" s="49" t="str">
        <f t="shared" si="41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IF(IFERROR(INDEX(Consulta!$A:$DF,MATCH('MM01'!$B60,Consulta!$C:$C,0),'MM01'!AP$2),"")=0,"",IFERROR(INDEX(Consulta!$A:$DF,MATCH('MM01'!$B60,Consulta!$C:$C,0),'MM01'!AP$2),""))</f>
        <v/>
      </c>
      <c r="AQ60" s="45"/>
      <c r="AR60" s="43" t="str">
        <f>IF(IFERROR(INDEX(Consulta!$A:$DF,MATCH('MM01'!$B60,Consulta!$C:$C,0),'MM01'!AR$2),"")=0,"",IFERROR(INDEX(Consulta!$A:$DF,MATCH('MM01'!$B60,Consulta!$C:$C,0),'MM01'!AR$2),""))</f>
        <v/>
      </c>
      <c r="AS60" s="43" t="str">
        <f>IF(IFERROR(INDEX(Consulta!$A:$DF,MATCH('MM01'!$B60,Consulta!$C:$C,0),'MM01'!AS$2),"")=0,"",IF(AR60="68",5102,IFERROR(INDEX(Consulta!$A:$DF,MATCH('MM01'!$B60,Consulta!$C:$C,0),'MM01'!AS$2),"")))</f>
        <v/>
      </c>
      <c r="AT60" s="45"/>
      <c r="AU60" s="46" t="str">
        <f t="shared" ca="1" si="42"/>
        <v/>
      </c>
      <c r="AV60" s="47" t="s">
        <v>796</v>
      </c>
      <c r="AW60" s="43" t="str">
        <f>IF(IFERROR(INDEX(Consulta!$A:$DF,MATCH('MM01'!$B60,Consulta!$C:$C,0),'MM01'!AW$2),"")=0,"",IFERROR(ROUND(INDEX(Consulta!$A:$DF,MATCH('MM01'!$B60,Consulta!$C:$C,0),'MM01'!AW$2),3),""))</f>
        <v/>
      </c>
      <c r="AX60" s="43" t="str">
        <f t="shared" si="43"/>
        <v/>
      </c>
      <c r="AY60" s="48" t="s">
        <v>299</v>
      </c>
      <c r="AZ60" s="48"/>
      <c r="BA60" s="43" t="str">
        <f>IF(IFERROR(INDEX(Consulta!$A:$DF,MATCH('MM01'!$B60,Consulta!$C:$C,0),'MM01'!BA$2),"")=0,"",IFERROR(INDEX(Consulta!$A:$DF,MATCH('MM01'!$B60,Consulta!$C:$C,0),'MM01'!BA$2),""))</f>
        <v/>
      </c>
      <c r="BB60" s="43" t="str">
        <f t="shared" si="44"/>
        <v/>
      </c>
      <c r="BC60" s="43" t="str">
        <f t="shared" si="45"/>
        <v/>
      </c>
      <c r="BD60" s="43" t="str">
        <f t="shared" si="46"/>
        <v/>
      </c>
      <c r="BE60" s="43" t="str">
        <f t="shared" si="47"/>
        <v>M</v>
      </c>
      <c r="BF60" s="43" t="str">
        <f t="shared" si="48"/>
        <v/>
      </c>
      <c r="BG60" s="43" t="str">
        <f t="shared" si="49"/>
        <v/>
      </c>
      <c r="BH60" s="43" t="str">
        <f t="shared" si="50"/>
        <v/>
      </c>
      <c r="BI60" s="43" t="str">
        <f t="shared" si="51"/>
        <v>M</v>
      </c>
      <c r="BK60" s="45" t="s">
        <v>324</v>
      </c>
      <c r="BL60" s="43" t="str">
        <f>IF(IFERROR(INDEX(Consulta!$A:$DF,MATCH('MM01'!$B60,Consulta!$C:$C,0),'MM01'!BL$2),"")=0,"",IFERROR(INDEX(Consulta!$A:$DF,MATCH('MM01'!$B60,Consulta!$C:$C,0),'MM01'!BL$2),""))</f>
        <v/>
      </c>
      <c r="BM60" s="45">
        <v>99</v>
      </c>
      <c r="BN60" s="46" t="str">
        <f t="shared" ca="1" si="52"/>
        <v>28.04.2022</v>
      </c>
      <c r="BO60" s="49" t="str">
        <f t="shared" si="53"/>
        <v/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IF(IFERROR(INDEX(Consulta!$A:$DF,MATCH('MM01'!$B60,Consulta!$C:$C,0),'MM01'!BX$2),"")=0,"",IFERROR(INDEX(Consulta!$A:$DF,MATCH('MM01'!$B60,Consulta!$C:$C,0),'MM01'!BX$2),""))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54"/>
        <v/>
      </c>
      <c r="CD60" s="45" t="s">
        <v>430</v>
      </c>
      <c r="CE60" s="45">
        <v>1</v>
      </c>
      <c r="CF60" s="45" t="s">
        <v>496</v>
      </c>
      <c r="CG60" s="45"/>
      <c r="CH60" s="44">
        <v>2</v>
      </c>
      <c r="CI60" s="49" t="str">
        <f t="shared" si="55"/>
        <v/>
      </c>
      <c r="CJ60" s="49" t="str">
        <f t="shared" si="56"/>
        <v/>
      </c>
      <c r="CK60" s="45"/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7"/>
        <v>K00_P_</v>
      </c>
      <c r="CS60" s="45">
        <v>5000</v>
      </c>
      <c r="CT60" s="43" t="str">
        <f>IF(IFERROR(INDEX(Consulta!$A:$DF,MATCH('MM01'!$B60,Consulta!$C:$C,0),'MM01'!CT$2),"")=0,"",IFERROR(INDEX(Consulta!$A:$DF,MATCH('MM01'!$B60,Consulta!$C:$C,0),'MM01'!CT$2),""))</f>
        <v/>
      </c>
      <c r="CU60" s="43" t="str">
        <f>IF(IFERROR(INDEX(Consulta!$A:$DF,MATCH('MM01'!$B60,Consulta!$C:$C,0),'MM01'!CU$2),"")=0,"",IFERROR(INDEX(Consulta!$A:$DF,MATCH('MM01'!$B60,Consulta!$C:$C,0),'MM01'!CU$2),""))</f>
        <v/>
      </c>
      <c r="CV60" s="43" t="str">
        <f>IF(IFERROR(INDEX(Consulta!$A:$DF,MATCH('MM01'!$B60,Consulta!$C:$C,0),'MM01'!CV$2),"")=0,"",IFERROR(INDEX(Consulta!$A:$DF,MATCH('MM01'!$B60,Consulta!$C:$C,0),'MM01'!CV$2),""))</f>
        <v/>
      </c>
      <c r="CW60" s="43" t="str">
        <f>IF(IFERROR(INDEX(Consulta!$A:$DF,MATCH('MM01'!$B60,Consulta!$C:$C,0),'MM01'!CW$2),"")=0,"",IFERROR(INDEX(Consulta!$A:$DF,MATCH('MM01'!$B60,Consulta!$C:$C,0),'MM01'!CW$2),""))</f>
        <v/>
      </c>
      <c r="CX60" s="43" t="str">
        <f t="shared" si="58"/>
        <v/>
      </c>
      <c r="CY60" s="43" t="str">
        <f t="shared" si="59"/>
        <v/>
      </c>
      <c r="CZ60" s="43" t="str">
        <f t="shared" si="60"/>
        <v/>
      </c>
      <c r="DA60" s="43" t="str">
        <f>IF(IFERROR(INDEX(Consulta!$A:$DF,MATCH('MM01'!$B60,Consulta!$C:$C,0),'MM01'!DA$2),"")=0,"",IFERROR(INDEX(Consulta!$A:$DF,MATCH('MM01'!$B60,Consulta!$C:$C,0),'MM01'!DA$2),""))</f>
        <v/>
      </c>
      <c r="DB60" s="43" t="str">
        <f t="shared" si="61"/>
        <v/>
      </c>
      <c r="DC60" s="43" t="str">
        <f>IF(IFERROR(INDEX(Consulta!$A:$DF,MATCH('MM01'!$B60,Consulta!$C:$C,0),'MM01'!DC$2),"")=0,"",IFERROR(INDEX(Consulta!$A:$DF,MATCH('MM01'!$B60,Consulta!$C:$C,0),'MM01'!DC$2),""))</f>
        <v/>
      </c>
      <c r="DD60" s="45">
        <v>0</v>
      </c>
      <c r="DE60" s="45">
        <v>0</v>
      </c>
      <c r="DF60" s="43" t="str">
        <f t="shared" si="62"/>
        <v/>
      </c>
      <c r="DG60" s="43" t="str">
        <f t="shared" si="63"/>
        <v/>
      </c>
      <c r="DH60" s="55"/>
      <c r="DI60" s="43" t="str">
        <f t="shared" ca="1" si="64"/>
        <v/>
      </c>
      <c r="DJ60" s="43" t="str">
        <f t="shared" si="65"/>
        <v/>
      </c>
      <c r="DK60" s="43" t="str">
        <f t="shared" si="66"/>
        <v/>
      </c>
      <c r="DL60" s="55"/>
      <c r="DM60" s="43" t="str">
        <f t="shared" ca="1" si="67"/>
        <v/>
      </c>
      <c r="DN60" s="43" t="str">
        <f t="shared" si="68"/>
        <v/>
      </c>
      <c r="DO60" s="43" t="str">
        <f t="shared" si="69"/>
        <v/>
      </c>
      <c r="DP60" s="55"/>
      <c r="DQ60" s="43" t="str">
        <f t="shared" ca="1" si="70"/>
        <v/>
      </c>
      <c r="DR60" s="43" t="str">
        <f t="shared" si="71"/>
        <v/>
      </c>
      <c r="DS60" s="43" t="str">
        <f t="shared" si="72"/>
        <v/>
      </c>
      <c r="DT60" s="55"/>
      <c r="DU60" s="43" t="str">
        <f t="shared" ca="1" si="73"/>
        <v/>
      </c>
      <c r="DV60" s="43" t="str">
        <f t="shared" si="74"/>
        <v/>
      </c>
      <c r="DX60" s="44">
        <v>1</v>
      </c>
      <c r="DY60" s="44" t="s">
        <v>774</v>
      </c>
      <c r="DZ60" s="43">
        <f t="shared" si="75"/>
        <v>0.01</v>
      </c>
      <c r="EA60" s="43" t="str">
        <f t="shared" si="76"/>
        <v>M</v>
      </c>
      <c r="EB60" s="43" t="str">
        <f>IF(IFERROR(INDEX(Consulta!$A:$DF,MATCH('MM01'!$B60,Consulta!$C:$C,0),'MM01'!EB$2),"")=0,"7925",IF(IFERROR(INDEX(Consulta!$A:$DF,MATCH('MM01'!$B60,Consulta!$C:$C,0),'MM01'!EB$2),"")="68","7910","7925"))</f>
        <v>7925</v>
      </c>
      <c r="EC60" s="44">
        <v>100</v>
      </c>
      <c r="ED60" s="60">
        <v>1</v>
      </c>
      <c r="EE60" s="43">
        <f t="shared" si="77"/>
        <v>100</v>
      </c>
      <c r="EF60" s="44">
        <v>1</v>
      </c>
      <c r="EG60" s="44">
        <v>0</v>
      </c>
      <c r="EH60" s="44" t="s">
        <v>867</v>
      </c>
      <c r="EI60" s="45">
        <v>0</v>
      </c>
      <c r="EJ60" s="43">
        <f t="shared" si="78"/>
        <v>5000</v>
      </c>
      <c r="EK60" s="65"/>
    </row>
    <row r="61" spans="1:141" x14ac:dyDescent="0.3">
      <c r="A61" s="7" t="str">
        <f t="shared" si="0"/>
        <v>Execução 57</v>
      </c>
      <c r="B61" s="42"/>
      <c r="C61" s="43" t="str">
        <f>IF(IFERROR(INDEX(Consulta!$A:$DF,MATCH('MM01'!$B61,Consulta!$C:$C,0),'MM01'!C$2),"")=0,"",IFERROR(INDEX(Consulta!$A:$DF,MATCH('MM01'!$B61,Consulta!$C:$C,0),'MM01'!C$2),""))</f>
        <v/>
      </c>
      <c r="D61" s="43" t="str">
        <f>IF(IFERROR(INDEX(Consulta!$A:$DF,MATCH('MM01'!$B61,Consulta!$C:$C,0),'MM01'!D$2),"")=0,"",IFERROR(INDEX(Consulta!$A:$DF,MATCH('MM01'!$B61,Consulta!$C:$C,0),'MM01'!D$2),""))</f>
        <v/>
      </c>
      <c r="E61" s="43" t="str">
        <f>IF(IFERROR(INDEX(Consulta!$A:$DF,MATCH('MM01'!$B61,Consulta!$C:$C,0),'MM01'!E$2),"")=0,"",IFERROR(INDEX(Consulta!$A:$DF,MATCH('MM01'!$B61,Consulta!$C:$C,0),'MM01'!E$2),""))</f>
        <v/>
      </c>
      <c r="F61" s="44" t="s">
        <v>100</v>
      </c>
      <c r="G61" s="49" t="str">
        <f>IF(IFERROR(INDEX(Consulta!$A:$DF,MATCH('MM01'!$B61,Consulta!$C:$C,0),'MM01'!G$2),"")=0,"",IFERROR(INDEX(Consulta!$A:$DF,MATCH('MM01'!$B61,Consulta!$C:$C,0),'MM01'!G$2),""))</f>
        <v/>
      </c>
      <c r="H61" s="49" t="str">
        <f>IF(IFERROR(INDEX(Consulta!$A:$DF,MATCH('MM01'!$B61,Consulta!$C:$C,0),'MM01'!H$2),"")=0,"",IFERROR(INDEX(Consulta!$A:$DF,MATCH('MM01'!$B61,Consulta!$C:$C,0),'MM01'!H$2),""))</f>
        <v/>
      </c>
      <c r="I61" s="49" t="str">
        <f t="shared" si="40"/>
        <v/>
      </c>
      <c r="J61" s="49" t="str">
        <f>IF(IFERROR(INDEX(Consulta!$A:$DF,MATCH('MM01'!$B61,Consulta!$C:$C,0),'MM01'!J$2),"")=0,"",IFERROR(INDEX(Consulta!$A:$DF,MATCH('MM01'!$B61,Consulta!$C:$C,0),'MM01'!J$2),""))</f>
        <v/>
      </c>
      <c r="K61" s="49" t="str">
        <f t="shared" si="41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IF(IFERROR(INDEX(Consulta!$A:$DF,MATCH('MM01'!$B61,Consulta!$C:$C,0),'MM01'!AP$2),"")=0,"",IFERROR(INDEX(Consulta!$A:$DF,MATCH('MM01'!$B61,Consulta!$C:$C,0),'MM01'!AP$2),""))</f>
        <v/>
      </c>
      <c r="AQ61" s="45"/>
      <c r="AR61" s="43" t="str">
        <f>IF(IFERROR(INDEX(Consulta!$A:$DF,MATCH('MM01'!$B61,Consulta!$C:$C,0),'MM01'!AR$2),"")=0,"",IFERROR(INDEX(Consulta!$A:$DF,MATCH('MM01'!$B61,Consulta!$C:$C,0),'MM01'!AR$2),""))</f>
        <v/>
      </c>
      <c r="AS61" s="43" t="str">
        <f>IF(IFERROR(INDEX(Consulta!$A:$DF,MATCH('MM01'!$B61,Consulta!$C:$C,0),'MM01'!AS$2),"")=0,"",IF(AR61="68",5102,IFERROR(INDEX(Consulta!$A:$DF,MATCH('MM01'!$B61,Consulta!$C:$C,0),'MM01'!AS$2),"")))</f>
        <v/>
      </c>
      <c r="AT61" s="45"/>
      <c r="AU61" s="46" t="str">
        <f t="shared" ca="1" si="42"/>
        <v/>
      </c>
      <c r="AV61" s="47" t="s">
        <v>796</v>
      </c>
      <c r="AW61" s="43" t="str">
        <f>IF(IFERROR(INDEX(Consulta!$A:$DF,MATCH('MM01'!$B61,Consulta!$C:$C,0),'MM01'!AW$2),"")=0,"",IFERROR(ROUND(INDEX(Consulta!$A:$DF,MATCH('MM01'!$B61,Consulta!$C:$C,0),'MM01'!AW$2),3),""))</f>
        <v/>
      </c>
      <c r="AX61" s="43" t="str">
        <f t="shared" si="43"/>
        <v/>
      </c>
      <c r="AY61" s="48" t="s">
        <v>299</v>
      </c>
      <c r="AZ61" s="48"/>
      <c r="BA61" s="43" t="str">
        <f>IF(IFERROR(INDEX(Consulta!$A:$DF,MATCH('MM01'!$B61,Consulta!$C:$C,0),'MM01'!BA$2),"")=0,"",IFERROR(INDEX(Consulta!$A:$DF,MATCH('MM01'!$B61,Consulta!$C:$C,0),'MM01'!BA$2),""))</f>
        <v/>
      </c>
      <c r="BB61" s="43" t="str">
        <f t="shared" si="44"/>
        <v/>
      </c>
      <c r="BC61" s="43" t="str">
        <f t="shared" si="45"/>
        <v/>
      </c>
      <c r="BD61" s="43" t="str">
        <f t="shared" si="46"/>
        <v/>
      </c>
      <c r="BE61" s="43" t="str">
        <f t="shared" si="47"/>
        <v>M</v>
      </c>
      <c r="BF61" s="43" t="str">
        <f t="shared" si="48"/>
        <v/>
      </c>
      <c r="BG61" s="43" t="str">
        <f t="shared" si="49"/>
        <v/>
      </c>
      <c r="BH61" s="43" t="str">
        <f t="shared" si="50"/>
        <v/>
      </c>
      <c r="BI61" s="43" t="str">
        <f t="shared" si="51"/>
        <v>M</v>
      </c>
      <c r="BK61" s="45" t="s">
        <v>324</v>
      </c>
      <c r="BL61" s="43" t="str">
        <f>IF(IFERROR(INDEX(Consulta!$A:$DF,MATCH('MM01'!$B61,Consulta!$C:$C,0),'MM01'!BL$2),"")=0,"",IFERROR(INDEX(Consulta!$A:$DF,MATCH('MM01'!$B61,Consulta!$C:$C,0),'MM01'!BL$2),""))</f>
        <v/>
      </c>
      <c r="BM61" s="45">
        <v>99</v>
      </c>
      <c r="BN61" s="46" t="str">
        <f t="shared" ca="1" si="52"/>
        <v>28.04.2022</v>
      </c>
      <c r="BO61" s="49" t="str">
        <f t="shared" si="53"/>
        <v/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IF(IFERROR(INDEX(Consulta!$A:$DF,MATCH('MM01'!$B61,Consulta!$C:$C,0),'MM01'!BX$2),"")=0,"",IFERROR(INDEX(Consulta!$A:$DF,MATCH('MM01'!$B61,Consulta!$C:$C,0),'MM01'!BX$2),""))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54"/>
        <v/>
      </c>
      <c r="CD61" s="45" t="s">
        <v>430</v>
      </c>
      <c r="CE61" s="45">
        <v>1</v>
      </c>
      <c r="CF61" s="45" t="s">
        <v>496</v>
      </c>
      <c r="CG61" s="45"/>
      <c r="CH61" s="44">
        <v>2</v>
      </c>
      <c r="CI61" s="49" t="str">
        <f t="shared" si="55"/>
        <v/>
      </c>
      <c r="CJ61" s="49" t="str">
        <f t="shared" si="56"/>
        <v/>
      </c>
      <c r="CK61" s="45"/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7"/>
        <v>K00_P_</v>
      </c>
      <c r="CS61" s="45">
        <v>5000</v>
      </c>
      <c r="CT61" s="43" t="str">
        <f>IF(IFERROR(INDEX(Consulta!$A:$DF,MATCH('MM01'!$B61,Consulta!$C:$C,0),'MM01'!CT$2),"")=0,"",IFERROR(INDEX(Consulta!$A:$DF,MATCH('MM01'!$B61,Consulta!$C:$C,0),'MM01'!CT$2),""))</f>
        <v/>
      </c>
      <c r="CU61" s="43" t="str">
        <f>IF(IFERROR(INDEX(Consulta!$A:$DF,MATCH('MM01'!$B61,Consulta!$C:$C,0),'MM01'!CU$2),"")=0,"",IFERROR(INDEX(Consulta!$A:$DF,MATCH('MM01'!$B61,Consulta!$C:$C,0),'MM01'!CU$2),""))</f>
        <v/>
      </c>
      <c r="CV61" s="43" t="str">
        <f>IF(IFERROR(INDEX(Consulta!$A:$DF,MATCH('MM01'!$B61,Consulta!$C:$C,0),'MM01'!CV$2),"")=0,"",IFERROR(INDEX(Consulta!$A:$DF,MATCH('MM01'!$B61,Consulta!$C:$C,0),'MM01'!CV$2),""))</f>
        <v/>
      </c>
      <c r="CW61" s="43" t="str">
        <f>IF(IFERROR(INDEX(Consulta!$A:$DF,MATCH('MM01'!$B61,Consulta!$C:$C,0),'MM01'!CW$2),"")=0,"",IFERROR(INDEX(Consulta!$A:$DF,MATCH('MM01'!$B61,Consulta!$C:$C,0),'MM01'!CW$2),""))</f>
        <v/>
      </c>
      <c r="CX61" s="43" t="str">
        <f t="shared" si="58"/>
        <v/>
      </c>
      <c r="CY61" s="43" t="str">
        <f t="shared" si="59"/>
        <v/>
      </c>
      <c r="CZ61" s="43" t="str">
        <f t="shared" si="60"/>
        <v/>
      </c>
      <c r="DA61" s="43" t="str">
        <f>IF(IFERROR(INDEX(Consulta!$A:$DF,MATCH('MM01'!$B61,Consulta!$C:$C,0),'MM01'!DA$2),"")=0,"",IFERROR(INDEX(Consulta!$A:$DF,MATCH('MM01'!$B61,Consulta!$C:$C,0),'MM01'!DA$2),""))</f>
        <v/>
      </c>
      <c r="DB61" s="43" t="str">
        <f t="shared" si="61"/>
        <v/>
      </c>
      <c r="DC61" s="43" t="str">
        <f>IF(IFERROR(INDEX(Consulta!$A:$DF,MATCH('MM01'!$B61,Consulta!$C:$C,0),'MM01'!DC$2),"")=0,"",IFERROR(INDEX(Consulta!$A:$DF,MATCH('MM01'!$B61,Consulta!$C:$C,0),'MM01'!DC$2),""))</f>
        <v/>
      </c>
      <c r="DD61" s="45">
        <v>0</v>
      </c>
      <c r="DE61" s="45">
        <v>0</v>
      </c>
      <c r="DF61" s="43" t="str">
        <f t="shared" si="62"/>
        <v/>
      </c>
      <c r="DG61" s="43" t="str">
        <f t="shared" si="63"/>
        <v/>
      </c>
      <c r="DH61" s="55"/>
      <c r="DI61" s="43" t="str">
        <f t="shared" ca="1" si="64"/>
        <v/>
      </c>
      <c r="DJ61" s="43" t="str">
        <f t="shared" si="65"/>
        <v/>
      </c>
      <c r="DK61" s="43" t="str">
        <f t="shared" si="66"/>
        <v/>
      </c>
      <c r="DL61" s="55"/>
      <c r="DM61" s="43" t="str">
        <f t="shared" ca="1" si="67"/>
        <v/>
      </c>
      <c r="DN61" s="43" t="str">
        <f t="shared" si="68"/>
        <v/>
      </c>
      <c r="DO61" s="43" t="str">
        <f t="shared" si="69"/>
        <v/>
      </c>
      <c r="DP61" s="55"/>
      <c r="DQ61" s="43" t="str">
        <f t="shared" ca="1" si="70"/>
        <v/>
      </c>
      <c r="DR61" s="43" t="str">
        <f t="shared" si="71"/>
        <v/>
      </c>
      <c r="DS61" s="43" t="str">
        <f t="shared" si="72"/>
        <v/>
      </c>
      <c r="DT61" s="55"/>
      <c r="DU61" s="43" t="str">
        <f t="shared" ca="1" si="73"/>
        <v/>
      </c>
      <c r="DV61" s="43" t="str">
        <f t="shared" si="74"/>
        <v/>
      </c>
      <c r="DX61" s="44">
        <v>1</v>
      </c>
      <c r="DY61" s="44" t="s">
        <v>774</v>
      </c>
      <c r="DZ61" s="43">
        <f t="shared" si="75"/>
        <v>0.01</v>
      </c>
      <c r="EA61" s="43" t="str">
        <f t="shared" si="76"/>
        <v>M</v>
      </c>
      <c r="EB61" s="43" t="str">
        <f>IF(IFERROR(INDEX(Consulta!$A:$DF,MATCH('MM01'!$B61,Consulta!$C:$C,0),'MM01'!EB$2),"")=0,"7925",IF(IFERROR(INDEX(Consulta!$A:$DF,MATCH('MM01'!$B61,Consulta!$C:$C,0),'MM01'!EB$2),"")="68","7910","7925"))</f>
        <v>7925</v>
      </c>
      <c r="EC61" s="44">
        <v>100</v>
      </c>
      <c r="ED61" s="60">
        <v>1</v>
      </c>
      <c r="EE61" s="43">
        <f t="shared" si="77"/>
        <v>100</v>
      </c>
      <c r="EF61" s="44">
        <v>1</v>
      </c>
      <c r="EG61" s="44">
        <v>0</v>
      </c>
      <c r="EH61" s="44" t="s">
        <v>867</v>
      </c>
      <c r="EI61" s="45">
        <v>0</v>
      </c>
      <c r="EJ61" s="43">
        <f t="shared" si="78"/>
        <v>5000</v>
      </c>
      <c r="EK61" s="65"/>
    </row>
    <row r="62" spans="1:141" x14ac:dyDescent="0.3">
      <c r="A62" s="7" t="str">
        <f t="shared" si="0"/>
        <v>Execução 58</v>
      </c>
      <c r="B62" s="42"/>
      <c r="C62" s="43" t="str">
        <f>IF(IFERROR(INDEX(Consulta!$A:$DF,MATCH('MM01'!$B62,Consulta!$C:$C,0),'MM01'!C$2),"")=0,"",IFERROR(INDEX(Consulta!$A:$DF,MATCH('MM01'!$B62,Consulta!$C:$C,0),'MM01'!C$2),""))</f>
        <v/>
      </c>
      <c r="D62" s="43" t="str">
        <f>IF(IFERROR(INDEX(Consulta!$A:$DF,MATCH('MM01'!$B62,Consulta!$C:$C,0),'MM01'!D$2),"")=0,"",IFERROR(INDEX(Consulta!$A:$DF,MATCH('MM01'!$B62,Consulta!$C:$C,0),'MM01'!D$2),""))</f>
        <v/>
      </c>
      <c r="E62" s="43" t="str">
        <f>IF(IFERROR(INDEX(Consulta!$A:$DF,MATCH('MM01'!$B62,Consulta!$C:$C,0),'MM01'!E$2),"")=0,"",IFERROR(INDEX(Consulta!$A:$DF,MATCH('MM01'!$B62,Consulta!$C:$C,0),'MM01'!E$2),""))</f>
        <v/>
      </c>
      <c r="F62" s="44" t="s">
        <v>100</v>
      </c>
      <c r="G62" s="49" t="str">
        <f>IF(IFERROR(INDEX(Consulta!$A:$DF,MATCH('MM01'!$B62,Consulta!$C:$C,0),'MM01'!G$2),"")=0,"",IFERROR(INDEX(Consulta!$A:$DF,MATCH('MM01'!$B62,Consulta!$C:$C,0),'MM01'!G$2),""))</f>
        <v/>
      </c>
      <c r="H62" s="49" t="str">
        <f>IF(IFERROR(INDEX(Consulta!$A:$DF,MATCH('MM01'!$B62,Consulta!$C:$C,0),'MM01'!H$2),"")=0,"",IFERROR(INDEX(Consulta!$A:$DF,MATCH('MM01'!$B62,Consulta!$C:$C,0),'MM01'!H$2),""))</f>
        <v/>
      </c>
      <c r="I62" s="49" t="str">
        <f t="shared" si="40"/>
        <v/>
      </c>
      <c r="J62" s="49" t="str">
        <f>IF(IFERROR(INDEX(Consulta!$A:$DF,MATCH('MM01'!$B62,Consulta!$C:$C,0),'MM01'!J$2),"")=0,"",IFERROR(INDEX(Consulta!$A:$DF,MATCH('MM01'!$B62,Consulta!$C:$C,0),'MM01'!J$2),""))</f>
        <v/>
      </c>
      <c r="K62" s="49" t="str">
        <f t="shared" si="41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IF(IFERROR(INDEX(Consulta!$A:$DF,MATCH('MM01'!$B62,Consulta!$C:$C,0),'MM01'!AP$2),"")=0,"",IFERROR(INDEX(Consulta!$A:$DF,MATCH('MM01'!$B62,Consulta!$C:$C,0),'MM01'!AP$2),""))</f>
        <v/>
      </c>
      <c r="AQ62" s="45"/>
      <c r="AR62" s="43" t="str">
        <f>IF(IFERROR(INDEX(Consulta!$A:$DF,MATCH('MM01'!$B62,Consulta!$C:$C,0),'MM01'!AR$2),"")=0,"",IFERROR(INDEX(Consulta!$A:$DF,MATCH('MM01'!$B62,Consulta!$C:$C,0),'MM01'!AR$2),""))</f>
        <v/>
      </c>
      <c r="AS62" s="43" t="str">
        <f>IF(IFERROR(INDEX(Consulta!$A:$DF,MATCH('MM01'!$B62,Consulta!$C:$C,0),'MM01'!AS$2),"")=0,"",IF(AR62="68",5102,IFERROR(INDEX(Consulta!$A:$DF,MATCH('MM01'!$B62,Consulta!$C:$C,0),'MM01'!AS$2),"")))</f>
        <v/>
      </c>
      <c r="AT62" s="45"/>
      <c r="AU62" s="46" t="str">
        <f t="shared" ca="1" si="42"/>
        <v/>
      </c>
      <c r="AV62" s="47" t="s">
        <v>796</v>
      </c>
      <c r="AW62" s="43" t="str">
        <f>IF(IFERROR(INDEX(Consulta!$A:$DF,MATCH('MM01'!$B62,Consulta!$C:$C,0),'MM01'!AW$2),"")=0,"",IFERROR(ROUND(INDEX(Consulta!$A:$DF,MATCH('MM01'!$B62,Consulta!$C:$C,0),'MM01'!AW$2),3),""))</f>
        <v/>
      </c>
      <c r="AX62" s="43" t="str">
        <f t="shared" si="43"/>
        <v/>
      </c>
      <c r="AY62" s="48" t="s">
        <v>299</v>
      </c>
      <c r="AZ62" s="48"/>
      <c r="BA62" s="43" t="str">
        <f>IF(IFERROR(INDEX(Consulta!$A:$DF,MATCH('MM01'!$B62,Consulta!$C:$C,0),'MM01'!BA$2),"")=0,"",IFERROR(INDEX(Consulta!$A:$DF,MATCH('MM01'!$B62,Consulta!$C:$C,0),'MM01'!BA$2),""))</f>
        <v/>
      </c>
      <c r="BB62" s="43" t="str">
        <f t="shared" si="44"/>
        <v/>
      </c>
      <c r="BC62" s="43" t="str">
        <f t="shared" si="45"/>
        <v/>
      </c>
      <c r="BD62" s="43" t="str">
        <f t="shared" si="46"/>
        <v/>
      </c>
      <c r="BE62" s="43" t="str">
        <f t="shared" si="47"/>
        <v>M</v>
      </c>
      <c r="BF62" s="43" t="str">
        <f t="shared" si="48"/>
        <v/>
      </c>
      <c r="BG62" s="43" t="str">
        <f t="shared" si="49"/>
        <v/>
      </c>
      <c r="BH62" s="43" t="str">
        <f t="shared" si="50"/>
        <v/>
      </c>
      <c r="BI62" s="43" t="str">
        <f t="shared" si="51"/>
        <v>M</v>
      </c>
      <c r="BK62" s="45" t="s">
        <v>324</v>
      </c>
      <c r="BL62" s="43" t="str">
        <f>IF(IFERROR(INDEX(Consulta!$A:$DF,MATCH('MM01'!$B62,Consulta!$C:$C,0),'MM01'!BL$2),"")=0,"",IFERROR(INDEX(Consulta!$A:$DF,MATCH('MM01'!$B62,Consulta!$C:$C,0),'MM01'!BL$2),""))</f>
        <v/>
      </c>
      <c r="BM62" s="45">
        <v>99</v>
      </c>
      <c r="BN62" s="46" t="str">
        <f t="shared" ca="1" si="52"/>
        <v>28.04.2022</v>
      </c>
      <c r="BO62" s="49" t="str">
        <f t="shared" si="53"/>
        <v/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IF(IFERROR(INDEX(Consulta!$A:$DF,MATCH('MM01'!$B62,Consulta!$C:$C,0),'MM01'!BX$2),"")=0,"",IFERROR(INDEX(Consulta!$A:$DF,MATCH('MM01'!$B62,Consulta!$C:$C,0),'MM01'!BX$2),""))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54"/>
        <v/>
      </c>
      <c r="CD62" s="45" t="s">
        <v>430</v>
      </c>
      <c r="CE62" s="45">
        <v>1</v>
      </c>
      <c r="CF62" s="45" t="s">
        <v>496</v>
      </c>
      <c r="CG62" s="45"/>
      <c r="CH62" s="44">
        <v>2</v>
      </c>
      <c r="CI62" s="49" t="str">
        <f t="shared" si="55"/>
        <v/>
      </c>
      <c r="CJ62" s="49" t="str">
        <f t="shared" si="56"/>
        <v/>
      </c>
      <c r="CK62" s="45"/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7"/>
        <v>K00_P_</v>
      </c>
      <c r="CS62" s="45">
        <v>5000</v>
      </c>
      <c r="CT62" s="43" t="str">
        <f>IF(IFERROR(INDEX(Consulta!$A:$DF,MATCH('MM01'!$B62,Consulta!$C:$C,0),'MM01'!CT$2),"")=0,"",IFERROR(INDEX(Consulta!$A:$DF,MATCH('MM01'!$B62,Consulta!$C:$C,0),'MM01'!CT$2),""))</f>
        <v/>
      </c>
      <c r="CU62" s="43" t="str">
        <f>IF(IFERROR(INDEX(Consulta!$A:$DF,MATCH('MM01'!$B62,Consulta!$C:$C,0),'MM01'!CU$2),"")=0,"",IFERROR(INDEX(Consulta!$A:$DF,MATCH('MM01'!$B62,Consulta!$C:$C,0),'MM01'!CU$2),""))</f>
        <v/>
      </c>
      <c r="CV62" s="43" t="str">
        <f>IF(IFERROR(INDEX(Consulta!$A:$DF,MATCH('MM01'!$B62,Consulta!$C:$C,0),'MM01'!CV$2),"")=0,"",IFERROR(INDEX(Consulta!$A:$DF,MATCH('MM01'!$B62,Consulta!$C:$C,0),'MM01'!CV$2),""))</f>
        <v/>
      </c>
      <c r="CW62" s="43" t="str">
        <f>IF(IFERROR(INDEX(Consulta!$A:$DF,MATCH('MM01'!$B62,Consulta!$C:$C,0),'MM01'!CW$2),"")=0,"",IFERROR(INDEX(Consulta!$A:$DF,MATCH('MM01'!$B62,Consulta!$C:$C,0),'MM01'!CW$2),""))</f>
        <v/>
      </c>
      <c r="CX62" s="43" t="str">
        <f t="shared" si="58"/>
        <v/>
      </c>
      <c r="CY62" s="43" t="str">
        <f t="shared" si="59"/>
        <v/>
      </c>
      <c r="CZ62" s="43" t="str">
        <f t="shared" si="60"/>
        <v/>
      </c>
      <c r="DA62" s="43" t="str">
        <f>IF(IFERROR(INDEX(Consulta!$A:$DF,MATCH('MM01'!$B62,Consulta!$C:$C,0),'MM01'!DA$2),"")=0,"",IFERROR(INDEX(Consulta!$A:$DF,MATCH('MM01'!$B62,Consulta!$C:$C,0),'MM01'!DA$2),""))</f>
        <v/>
      </c>
      <c r="DB62" s="43" t="str">
        <f t="shared" si="61"/>
        <v/>
      </c>
      <c r="DC62" s="43" t="str">
        <f>IF(IFERROR(INDEX(Consulta!$A:$DF,MATCH('MM01'!$B62,Consulta!$C:$C,0),'MM01'!DC$2),"")=0,"",IFERROR(INDEX(Consulta!$A:$DF,MATCH('MM01'!$B62,Consulta!$C:$C,0),'MM01'!DC$2),""))</f>
        <v/>
      </c>
      <c r="DD62" s="45">
        <v>0</v>
      </c>
      <c r="DE62" s="45">
        <v>0</v>
      </c>
      <c r="DF62" s="43" t="str">
        <f t="shared" si="62"/>
        <v/>
      </c>
      <c r="DG62" s="43" t="str">
        <f t="shared" si="63"/>
        <v/>
      </c>
      <c r="DH62" s="55"/>
      <c r="DI62" s="43" t="str">
        <f t="shared" ca="1" si="64"/>
        <v/>
      </c>
      <c r="DJ62" s="43" t="str">
        <f t="shared" si="65"/>
        <v/>
      </c>
      <c r="DK62" s="43" t="str">
        <f t="shared" si="66"/>
        <v/>
      </c>
      <c r="DL62" s="55"/>
      <c r="DM62" s="43" t="str">
        <f t="shared" ca="1" si="67"/>
        <v/>
      </c>
      <c r="DN62" s="43" t="str">
        <f t="shared" si="68"/>
        <v/>
      </c>
      <c r="DO62" s="43" t="str">
        <f t="shared" si="69"/>
        <v/>
      </c>
      <c r="DP62" s="55"/>
      <c r="DQ62" s="43" t="str">
        <f t="shared" ca="1" si="70"/>
        <v/>
      </c>
      <c r="DR62" s="43" t="str">
        <f t="shared" si="71"/>
        <v/>
      </c>
      <c r="DS62" s="43" t="str">
        <f t="shared" si="72"/>
        <v/>
      </c>
      <c r="DT62" s="55"/>
      <c r="DU62" s="43" t="str">
        <f t="shared" ca="1" si="73"/>
        <v/>
      </c>
      <c r="DV62" s="43" t="str">
        <f t="shared" si="74"/>
        <v/>
      </c>
      <c r="DX62" s="44">
        <v>1</v>
      </c>
      <c r="DY62" s="44" t="s">
        <v>774</v>
      </c>
      <c r="DZ62" s="43">
        <f t="shared" si="75"/>
        <v>0.01</v>
      </c>
      <c r="EA62" s="43" t="str">
        <f t="shared" si="76"/>
        <v>M</v>
      </c>
      <c r="EB62" s="43" t="str">
        <f>IF(IFERROR(INDEX(Consulta!$A:$DF,MATCH('MM01'!$B62,Consulta!$C:$C,0),'MM01'!EB$2),"")=0,"7925",IF(IFERROR(INDEX(Consulta!$A:$DF,MATCH('MM01'!$B62,Consulta!$C:$C,0),'MM01'!EB$2),"")="68","7910","7925"))</f>
        <v>7925</v>
      </c>
      <c r="EC62" s="44">
        <v>100</v>
      </c>
      <c r="ED62" s="60">
        <v>1</v>
      </c>
      <c r="EE62" s="43">
        <f t="shared" si="77"/>
        <v>100</v>
      </c>
      <c r="EF62" s="44">
        <v>1</v>
      </c>
      <c r="EG62" s="44">
        <v>0</v>
      </c>
      <c r="EH62" s="44" t="s">
        <v>867</v>
      </c>
      <c r="EI62" s="45">
        <v>0</v>
      </c>
      <c r="EJ62" s="43">
        <f t="shared" si="78"/>
        <v>5000</v>
      </c>
      <c r="EK62" s="65"/>
    </row>
    <row r="63" spans="1:141" x14ac:dyDescent="0.3">
      <c r="A63" s="7" t="str">
        <f t="shared" si="0"/>
        <v>Execução 59</v>
      </c>
      <c r="B63" s="42"/>
      <c r="C63" s="43" t="str">
        <f>IF(IFERROR(INDEX(Consulta!$A:$DF,MATCH('MM01'!$B63,Consulta!$C:$C,0),'MM01'!C$2),"")=0,"",IFERROR(INDEX(Consulta!$A:$DF,MATCH('MM01'!$B63,Consulta!$C:$C,0),'MM01'!C$2),""))</f>
        <v/>
      </c>
      <c r="D63" s="43" t="str">
        <f>IF(IFERROR(INDEX(Consulta!$A:$DF,MATCH('MM01'!$B63,Consulta!$C:$C,0),'MM01'!D$2),"")=0,"",IFERROR(INDEX(Consulta!$A:$DF,MATCH('MM01'!$B63,Consulta!$C:$C,0),'MM01'!D$2),""))</f>
        <v/>
      </c>
      <c r="E63" s="43" t="str">
        <f>IF(IFERROR(INDEX(Consulta!$A:$DF,MATCH('MM01'!$B63,Consulta!$C:$C,0),'MM01'!E$2),"")=0,"",IFERROR(INDEX(Consulta!$A:$DF,MATCH('MM01'!$B63,Consulta!$C:$C,0),'MM01'!E$2),""))</f>
        <v/>
      </c>
      <c r="F63" s="44" t="s">
        <v>100</v>
      </c>
      <c r="G63" s="49" t="str">
        <f>IF(IFERROR(INDEX(Consulta!$A:$DF,MATCH('MM01'!$B63,Consulta!$C:$C,0),'MM01'!G$2),"")=0,"",IFERROR(INDEX(Consulta!$A:$DF,MATCH('MM01'!$B63,Consulta!$C:$C,0),'MM01'!G$2),""))</f>
        <v/>
      </c>
      <c r="H63" s="49" t="str">
        <f>IF(IFERROR(INDEX(Consulta!$A:$DF,MATCH('MM01'!$B63,Consulta!$C:$C,0),'MM01'!H$2),"")=0,"",IFERROR(INDEX(Consulta!$A:$DF,MATCH('MM01'!$B63,Consulta!$C:$C,0),'MM01'!H$2),""))</f>
        <v/>
      </c>
      <c r="I63" s="49" t="str">
        <f t="shared" si="40"/>
        <v/>
      </c>
      <c r="J63" s="49" t="str">
        <f>IF(IFERROR(INDEX(Consulta!$A:$DF,MATCH('MM01'!$B63,Consulta!$C:$C,0),'MM01'!J$2),"")=0,"",IFERROR(INDEX(Consulta!$A:$DF,MATCH('MM01'!$B63,Consulta!$C:$C,0),'MM01'!J$2),""))</f>
        <v/>
      </c>
      <c r="K63" s="49" t="str">
        <f t="shared" si="41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IF(IFERROR(INDEX(Consulta!$A:$DF,MATCH('MM01'!$B63,Consulta!$C:$C,0),'MM01'!AP$2),"")=0,"",IFERROR(INDEX(Consulta!$A:$DF,MATCH('MM01'!$B63,Consulta!$C:$C,0),'MM01'!AP$2),""))</f>
        <v/>
      </c>
      <c r="AQ63" s="45"/>
      <c r="AR63" s="43" t="str">
        <f>IF(IFERROR(INDEX(Consulta!$A:$DF,MATCH('MM01'!$B63,Consulta!$C:$C,0),'MM01'!AR$2),"")=0,"",IFERROR(INDEX(Consulta!$A:$DF,MATCH('MM01'!$B63,Consulta!$C:$C,0),'MM01'!AR$2),""))</f>
        <v/>
      </c>
      <c r="AS63" s="43" t="str">
        <f>IF(IFERROR(INDEX(Consulta!$A:$DF,MATCH('MM01'!$B63,Consulta!$C:$C,0),'MM01'!AS$2),"")=0,"",IF(AR63="68",5102,IFERROR(INDEX(Consulta!$A:$DF,MATCH('MM01'!$B63,Consulta!$C:$C,0),'MM01'!AS$2),"")))</f>
        <v/>
      </c>
      <c r="AT63" s="45"/>
      <c r="AU63" s="46" t="str">
        <f t="shared" ca="1" si="42"/>
        <v/>
      </c>
      <c r="AV63" s="47" t="s">
        <v>796</v>
      </c>
      <c r="AW63" s="43" t="str">
        <f>IF(IFERROR(INDEX(Consulta!$A:$DF,MATCH('MM01'!$B63,Consulta!$C:$C,0),'MM01'!AW$2),"")=0,"",IFERROR(ROUND(INDEX(Consulta!$A:$DF,MATCH('MM01'!$B63,Consulta!$C:$C,0),'MM01'!AW$2),3),""))</f>
        <v/>
      </c>
      <c r="AX63" s="43" t="str">
        <f t="shared" si="43"/>
        <v/>
      </c>
      <c r="AY63" s="48" t="s">
        <v>299</v>
      </c>
      <c r="AZ63" s="48"/>
      <c r="BA63" s="43" t="str">
        <f>IF(IFERROR(INDEX(Consulta!$A:$DF,MATCH('MM01'!$B63,Consulta!$C:$C,0),'MM01'!BA$2),"")=0,"",IFERROR(INDEX(Consulta!$A:$DF,MATCH('MM01'!$B63,Consulta!$C:$C,0),'MM01'!BA$2),""))</f>
        <v/>
      </c>
      <c r="BB63" s="43" t="str">
        <f t="shared" si="44"/>
        <v/>
      </c>
      <c r="BC63" s="43" t="str">
        <f t="shared" si="45"/>
        <v/>
      </c>
      <c r="BD63" s="43" t="str">
        <f t="shared" si="46"/>
        <v/>
      </c>
      <c r="BE63" s="43" t="str">
        <f t="shared" si="47"/>
        <v>M</v>
      </c>
      <c r="BF63" s="43" t="str">
        <f t="shared" si="48"/>
        <v/>
      </c>
      <c r="BG63" s="43" t="str">
        <f t="shared" si="49"/>
        <v/>
      </c>
      <c r="BH63" s="43" t="str">
        <f t="shared" si="50"/>
        <v/>
      </c>
      <c r="BI63" s="43" t="str">
        <f t="shared" si="51"/>
        <v>M</v>
      </c>
      <c r="BK63" s="45" t="s">
        <v>324</v>
      </c>
      <c r="BL63" s="43" t="str">
        <f>IF(IFERROR(INDEX(Consulta!$A:$DF,MATCH('MM01'!$B63,Consulta!$C:$C,0),'MM01'!BL$2),"")=0,"",IFERROR(INDEX(Consulta!$A:$DF,MATCH('MM01'!$B63,Consulta!$C:$C,0),'MM01'!BL$2),""))</f>
        <v/>
      </c>
      <c r="BM63" s="45">
        <v>99</v>
      </c>
      <c r="BN63" s="46" t="str">
        <f t="shared" ca="1" si="52"/>
        <v>28.04.2022</v>
      </c>
      <c r="BO63" s="49" t="str">
        <f t="shared" si="53"/>
        <v/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IF(IFERROR(INDEX(Consulta!$A:$DF,MATCH('MM01'!$B63,Consulta!$C:$C,0),'MM01'!BX$2),"")=0,"",IFERROR(INDEX(Consulta!$A:$DF,MATCH('MM01'!$B63,Consulta!$C:$C,0),'MM01'!BX$2),""))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54"/>
        <v/>
      </c>
      <c r="CD63" s="45" t="s">
        <v>430</v>
      </c>
      <c r="CE63" s="45">
        <v>1</v>
      </c>
      <c r="CF63" s="45" t="s">
        <v>496</v>
      </c>
      <c r="CG63" s="45"/>
      <c r="CH63" s="44">
        <v>2</v>
      </c>
      <c r="CI63" s="49" t="str">
        <f t="shared" si="55"/>
        <v/>
      </c>
      <c r="CJ63" s="49" t="str">
        <f t="shared" si="56"/>
        <v/>
      </c>
      <c r="CK63" s="45"/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7"/>
        <v>K00_P_</v>
      </c>
      <c r="CS63" s="45">
        <v>5000</v>
      </c>
      <c r="CT63" s="43" t="str">
        <f>IF(IFERROR(INDEX(Consulta!$A:$DF,MATCH('MM01'!$B63,Consulta!$C:$C,0),'MM01'!CT$2),"")=0,"",IFERROR(INDEX(Consulta!$A:$DF,MATCH('MM01'!$B63,Consulta!$C:$C,0),'MM01'!CT$2),""))</f>
        <v/>
      </c>
      <c r="CU63" s="43" t="str">
        <f>IF(IFERROR(INDEX(Consulta!$A:$DF,MATCH('MM01'!$B63,Consulta!$C:$C,0),'MM01'!CU$2),"")=0,"",IFERROR(INDEX(Consulta!$A:$DF,MATCH('MM01'!$B63,Consulta!$C:$C,0),'MM01'!CU$2),""))</f>
        <v/>
      </c>
      <c r="CV63" s="43" t="str">
        <f>IF(IFERROR(INDEX(Consulta!$A:$DF,MATCH('MM01'!$B63,Consulta!$C:$C,0),'MM01'!CV$2),"")=0,"",IFERROR(INDEX(Consulta!$A:$DF,MATCH('MM01'!$B63,Consulta!$C:$C,0),'MM01'!CV$2),""))</f>
        <v/>
      </c>
      <c r="CW63" s="43" t="str">
        <f>IF(IFERROR(INDEX(Consulta!$A:$DF,MATCH('MM01'!$B63,Consulta!$C:$C,0),'MM01'!CW$2),"")=0,"",IFERROR(INDEX(Consulta!$A:$DF,MATCH('MM01'!$B63,Consulta!$C:$C,0),'MM01'!CW$2),""))</f>
        <v/>
      </c>
      <c r="CX63" s="43" t="str">
        <f t="shared" si="58"/>
        <v/>
      </c>
      <c r="CY63" s="43" t="str">
        <f t="shared" si="59"/>
        <v/>
      </c>
      <c r="CZ63" s="43" t="str">
        <f t="shared" si="60"/>
        <v/>
      </c>
      <c r="DA63" s="43" t="str">
        <f>IF(IFERROR(INDEX(Consulta!$A:$DF,MATCH('MM01'!$B63,Consulta!$C:$C,0),'MM01'!DA$2),"")=0,"",IFERROR(INDEX(Consulta!$A:$DF,MATCH('MM01'!$B63,Consulta!$C:$C,0),'MM01'!DA$2),""))</f>
        <v/>
      </c>
      <c r="DB63" s="43" t="str">
        <f t="shared" si="61"/>
        <v/>
      </c>
      <c r="DC63" s="43" t="str">
        <f>IF(IFERROR(INDEX(Consulta!$A:$DF,MATCH('MM01'!$B63,Consulta!$C:$C,0),'MM01'!DC$2),"")=0,"",IFERROR(INDEX(Consulta!$A:$DF,MATCH('MM01'!$B63,Consulta!$C:$C,0),'MM01'!DC$2),""))</f>
        <v/>
      </c>
      <c r="DD63" s="45">
        <v>0</v>
      </c>
      <c r="DE63" s="45">
        <v>0</v>
      </c>
      <c r="DF63" s="43" t="str">
        <f t="shared" si="62"/>
        <v/>
      </c>
      <c r="DG63" s="43" t="str">
        <f t="shared" si="63"/>
        <v/>
      </c>
      <c r="DH63" s="55"/>
      <c r="DI63" s="43" t="str">
        <f t="shared" ca="1" si="64"/>
        <v/>
      </c>
      <c r="DJ63" s="43" t="str">
        <f t="shared" si="65"/>
        <v/>
      </c>
      <c r="DK63" s="43" t="str">
        <f t="shared" si="66"/>
        <v/>
      </c>
      <c r="DL63" s="55"/>
      <c r="DM63" s="43" t="str">
        <f t="shared" ca="1" si="67"/>
        <v/>
      </c>
      <c r="DN63" s="43" t="str">
        <f t="shared" si="68"/>
        <v/>
      </c>
      <c r="DO63" s="43" t="str">
        <f t="shared" si="69"/>
        <v/>
      </c>
      <c r="DP63" s="55"/>
      <c r="DQ63" s="43" t="str">
        <f t="shared" ca="1" si="70"/>
        <v/>
      </c>
      <c r="DR63" s="43" t="str">
        <f t="shared" si="71"/>
        <v/>
      </c>
      <c r="DS63" s="43" t="str">
        <f t="shared" si="72"/>
        <v/>
      </c>
      <c r="DT63" s="55"/>
      <c r="DU63" s="43" t="str">
        <f t="shared" ca="1" si="73"/>
        <v/>
      </c>
      <c r="DV63" s="43" t="str">
        <f t="shared" si="74"/>
        <v/>
      </c>
      <c r="DX63" s="44">
        <v>1</v>
      </c>
      <c r="DY63" s="44" t="s">
        <v>774</v>
      </c>
      <c r="DZ63" s="43">
        <f t="shared" si="75"/>
        <v>0.01</v>
      </c>
      <c r="EA63" s="43" t="str">
        <f t="shared" si="76"/>
        <v>M</v>
      </c>
      <c r="EB63" s="43" t="str">
        <f>IF(IFERROR(INDEX(Consulta!$A:$DF,MATCH('MM01'!$B63,Consulta!$C:$C,0),'MM01'!EB$2),"")=0,"7925",IF(IFERROR(INDEX(Consulta!$A:$DF,MATCH('MM01'!$B63,Consulta!$C:$C,0),'MM01'!EB$2),"")="68","7910","7925"))</f>
        <v>7925</v>
      </c>
      <c r="EC63" s="44">
        <v>100</v>
      </c>
      <c r="ED63" s="60">
        <v>1</v>
      </c>
      <c r="EE63" s="43">
        <f t="shared" si="77"/>
        <v>100</v>
      </c>
      <c r="EF63" s="44">
        <v>1</v>
      </c>
      <c r="EG63" s="44">
        <v>0</v>
      </c>
      <c r="EH63" s="44" t="s">
        <v>867</v>
      </c>
      <c r="EI63" s="45">
        <v>0</v>
      </c>
      <c r="EJ63" s="43">
        <f t="shared" si="78"/>
        <v>5000</v>
      </c>
      <c r="EK63" s="65"/>
    </row>
    <row r="64" spans="1:141" x14ac:dyDescent="0.3">
      <c r="A64" s="7" t="str">
        <f t="shared" si="0"/>
        <v>Execução 60</v>
      </c>
      <c r="B64" s="42"/>
      <c r="C64" s="43" t="str">
        <f>IF(IFERROR(INDEX(Consulta!$A:$DF,MATCH('MM01'!$B64,Consulta!$C:$C,0),'MM01'!C$2),"")=0,"",IFERROR(INDEX(Consulta!$A:$DF,MATCH('MM01'!$B64,Consulta!$C:$C,0),'MM01'!C$2),""))</f>
        <v/>
      </c>
      <c r="D64" s="43" t="str">
        <f>IF(IFERROR(INDEX(Consulta!$A:$DF,MATCH('MM01'!$B64,Consulta!$C:$C,0),'MM01'!D$2),"")=0,"",IFERROR(INDEX(Consulta!$A:$DF,MATCH('MM01'!$B64,Consulta!$C:$C,0),'MM01'!D$2),""))</f>
        <v/>
      </c>
      <c r="E64" s="43" t="str">
        <f>IF(IFERROR(INDEX(Consulta!$A:$DF,MATCH('MM01'!$B64,Consulta!$C:$C,0),'MM01'!E$2),"")=0,"",IFERROR(INDEX(Consulta!$A:$DF,MATCH('MM01'!$B64,Consulta!$C:$C,0),'MM01'!E$2),""))</f>
        <v/>
      </c>
      <c r="F64" s="44" t="s">
        <v>100</v>
      </c>
      <c r="G64" s="49" t="str">
        <f>IF(IFERROR(INDEX(Consulta!$A:$DF,MATCH('MM01'!$B64,Consulta!$C:$C,0),'MM01'!G$2),"")=0,"",IFERROR(INDEX(Consulta!$A:$DF,MATCH('MM01'!$B64,Consulta!$C:$C,0),'MM01'!G$2),""))</f>
        <v/>
      </c>
      <c r="H64" s="49" t="str">
        <f>IF(IFERROR(INDEX(Consulta!$A:$DF,MATCH('MM01'!$B64,Consulta!$C:$C,0),'MM01'!H$2),"")=0,"",IFERROR(INDEX(Consulta!$A:$DF,MATCH('MM01'!$B64,Consulta!$C:$C,0),'MM01'!H$2),""))</f>
        <v/>
      </c>
      <c r="I64" s="49" t="str">
        <f t="shared" si="40"/>
        <v/>
      </c>
      <c r="J64" s="49" t="str">
        <f>IF(IFERROR(INDEX(Consulta!$A:$DF,MATCH('MM01'!$B64,Consulta!$C:$C,0),'MM01'!J$2),"")=0,"",IFERROR(INDEX(Consulta!$A:$DF,MATCH('MM01'!$B64,Consulta!$C:$C,0),'MM01'!J$2),""))</f>
        <v/>
      </c>
      <c r="K64" s="49" t="str">
        <f t="shared" si="41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IF(IFERROR(INDEX(Consulta!$A:$DF,MATCH('MM01'!$B64,Consulta!$C:$C,0),'MM01'!AP$2),"")=0,"",IFERROR(INDEX(Consulta!$A:$DF,MATCH('MM01'!$B64,Consulta!$C:$C,0),'MM01'!AP$2),""))</f>
        <v/>
      </c>
      <c r="AQ64" s="45"/>
      <c r="AR64" s="43" t="str">
        <f>IF(IFERROR(INDEX(Consulta!$A:$DF,MATCH('MM01'!$B64,Consulta!$C:$C,0),'MM01'!AR$2),"")=0,"",IFERROR(INDEX(Consulta!$A:$DF,MATCH('MM01'!$B64,Consulta!$C:$C,0),'MM01'!AR$2),""))</f>
        <v/>
      </c>
      <c r="AS64" s="43" t="str">
        <f>IF(IFERROR(INDEX(Consulta!$A:$DF,MATCH('MM01'!$B64,Consulta!$C:$C,0),'MM01'!AS$2),"")=0,"",IF(AR64="68",5102,IFERROR(INDEX(Consulta!$A:$DF,MATCH('MM01'!$B64,Consulta!$C:$C,0),'MM01'!AS$2),"")))</f>
        <v/>
      </c>
      <c r="AT64" s="45"/>
      <c r="AU64" s="46" t="str">
        <f t="shared" ca="1" si="42"/>
        <v/>
      </c>
      <c r="AV64" s="47" t="s">
        <v>796</v>
      </c>
      <c r="AW64" s="43" t="str">
        <f>IF(IFERROR(INDEX(Consulta!$A:$DF,MATCH('MM01'!$B64,Consulta!$C:$C,0),'MM01'!AW$2),"")=0,"",IFERROR(ROUND(INDEX(Consulta!$A:$DF,MATCH('MM01'!$B64,Consulta!$C:$C,0),'MM01'!AW$2),3),""))</f>
        <v/>
      </c>
      <c r="AX64" s="43" t="str">
        <f t="shared" si="43"/>
        <v/>
      </c>
      <c r="AY64" s="48" t="s">
        <v>299</v>
      </c>
      <c r="AZ64" s="48"/>
      <c r="BA64" s="43" t="str">
        <f>IF(IFERROR(INDEX(Consulta!$A:$DF,MATCH('MM01'!$B64,Consulta!$C:$C,0),'MM01'!BA$2),"")=0,"",IFERROR(INDEX(Consulta!$A:$DF,MATCH('MM01'!$B64,Consulta!$C:$C,0),'MM01'!BA$2),""))</f>
        <v/>
      </c>
      <c r="BB64" s="43" t="str">
        <f t="shared" si="44"/>
        <v/>
      </c>
      <c r="BC64" s="43" t="str">
        <f t="shared" si="45"/>
        <v/>
      </c>
      <c r="BD64" s="43" t="str">
        <f t="shared" si="46"/>
        <v/>
      </c>
      <c r="BE64" s="43" t="str">
        <f t="shared" si="47"/>
        <v>M</v>
      </c>
      <c r="BF64" s="43" t="str">
        <f t="shared" si="48"/>
        <v/>
      </c>
      <c r="BG64" s="43" t="str">
        <f t="shared" si="49"/>
        <v/>
      </c>
      <c r="BH64" s="43" t="str">
        <f t="shared" si="50"/>
        <v/>
      </c>
      <c r="BI64" s="43" t="str">
        <f t="shared" si="51"/>
        <v>M</v>
      </c>
      <c r="BK64" s="45" t="s">
        <v>324</v>
      </c>
      <c r="BL64" s="43" t="str">
        <f>IF(IFERROR(INDEX(Consulta!$A:$DF,MATCH('MM01'!$B64,Consulta!$C:$C,0),'MM01'!BL$2),"")=0,"",IFERROR(INDEX(Consulta!$A:$DF,MATCH('MM01'!$B64,Consulta!$C:$C,0),'MM01'!BL$2),""))</f>
        <v/>
      </c>
      <c r="BM64" s="45">
        <v>99</v>
      </c>
      <c r="BN64" s="46" t="str">
        <f t="shared" ca="1" si="52"/>
        <v>28.04.2022</v>
      </c>
      <c r="BO64" s="49" t="str">
        <f t="shared" si="53"/>
        <v/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IF(IFERROR(INDEX(Consulta!$A:$DF,MATCH('MM01'!$B64,Consulta!$C:$C,0),'MM01'!BX$2),"")=0,"",IFERROR(INDEX(Consulta!$A:$DF,MATCH('MM01'!$B64,Consulta!$C:$C,0),'MM01'!BX$2),""))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54"/>
        <v/>
      </c>
      <c r="CD64" s="45" t="s">
        <v>430</v>
      </c>
      <c r="CE64" s="45">
        <v>1</v>
      </c>
      <c r="CF64" s="45" t="s">
        <v>496</v>
      </c>
      <c r="CG64" s="45"/>
      <c r="CH64" s="44">
        <v>2</v>
      </c>
      <c r="CI64" s="49" t="str">
        <f t="shared" si="55"/>
        <v/>
      </c>
      <c r="CJ64" s="49" t="str">
        <f t="shared" si="56"/>
        <v/>
      </c>
      <c r="CK64" s="45"/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7"/>
        <v>K00_P_</v>
      </c>
      <c r="CS64" s="45">
        <v>5000</v>
      </c>
      <c r="CT64" s="43" t="str">
        <f>IF(IFERROR(INDEX(Consulta!$A:$DF,MATCH('MM01'!$B64,Consulta!$C:$C,0),'MM01'!CT$2),"")=0,"",IFERROR(INDEX(Consulta!$A:$DF,MATCH('MM01'!$B64,Consulta!$C:$C,0),'MM01'!CT$2),""))</f>
        <v/>
      </c>
      <c r="CU64" s="43" t="str">
        <f>IF(IFERROR(INDEX(Consulta!$A:$DF,MATCH('MM01'!$B64,Consulta!$C:$C,0),'MM01'!CU$2),"")=0,"",IFERROR(INDEX(Consulta!$A:$DF,MATCH('MM01'!$B64,Consulta!$C:$C,0),'MM01'!CU$2),""))</f>
        <v/>
      </c>
      <c r="CV64" s="43" t="str">
        <f>IF(IFERROR(INDEX(Consulta!$A:$DF,MATCH('MM01'!$B64,Consulta!$C:$C,0),'MM01'!CV$2),"")=0,"",IFERROR(INDEX(Consulta!$A:$DF,MATCH('MM01'!$B64,Consulta!$C:$C,0),'MM01'!CV$2),""))</f>
        <v/>
      </c>
      <c r="CW64" s="43" t="str">
        <f>IF(IFERROR(INDEX(Consulta!$A:$DF,MATCH('MM01'!$B64,Consulta!$C:$C,0),'MM01'!CW$2),"")=0,"",IFERROR(INDEX(Consulta!$A:$DF,MATCH('MM01'!$B64,Consulta!$C:$C,0),'MM01'!CW$2),""))</f>
        <v/>
      </c>
      <c r="CX64" s="43" t="str">
        <f t="shared" si="58"/>
        <v/>
      </c>
      <c r="CY64" s="43" t="str">
        <f t="shared" si="59"/>
        <v/>
      </c>
      <c r="CZ64" s="43" t="str">
        <f t="shared" si="60"/>
        <v/>
      </c>
      <c r="DA64" s="43" t="str">
        <f>IF(IFERROR(INDEX(Consulta!$A:$DF,MATCH('MM01'!$B64,Consulta!$C:$C,0),'MM01'!DA$2),"")=0,"",IFERROR(INDEX(Consulta!$A:$DF,MATCH('MM01'!$B64,Consulta!$C:$C,0),'MM01'!DA$2),""))</f>
        <v/>
      </c>
      <c r="DB64" s="43" t="str">
        <f t="shared" si="61"/>
        <v/>
      </c>
      <c r="DC64" s="43" t="str">
        <f>IF(IFERROR(INDEX(Consulta!$A:$DF,MATCH('MM01'!$B64,Consulta!$C:$C,0),'MM01'!DC$2),"")=0,"",IFERROR(INDEX(Consulta!$A:$DF,MATCH('MM01'!$B64,Consulta!$C:$C,0),'MM01'!DC$2),""))</f>
        <v/>
      </c>
      <c r="DD64" s="45">
        <v>0</v>
      </c>
      <c r="DE64" s="45">
        <v>0</v>
      </c>
      <c r="DF64" s="43" t="str">
        <f t="shared" si="62"/>
        <v/>
      </c>
      <c r="DG64" s="43" t="str">
        <f t="shared" si="63"/>
        <v/>
      </c>
      <c r="DH64" s="55"/>
      <c r="DI64" s="43" t="str">
        <f t="shared" ca="1" si="64"/>
        <v/>
      </c>
      <c r="DJ64" s="43" t="str">
        <f t="shared" si="65"/>
        <v/>
      </c>
      <c r="DK64" s="43" t="str">
        <f t="shared" si="66"/>
        <v/>
      </c>
      <c r="DL64" s="55"/>
      <c r="DM64" s="43" t="str">
        <f t="shared" ca="1" si="67"/>
        <v/>
      </c>
      <c r="DN64" s="43" t="str">
        <f t="shared" si="68"/>
        <v/>
      </c>
      <c r="DO64" s="43" t="str">
        <f t="shared" si="69"/>
        <v/>
      </c>
      <c r="DP64" s="55"/>
      <c r="DQ64" s="43" t="str">
        <f t="shared" ca="1" si="70"/>
        <v/>
      </c>
      <c r="DR64" s="43" t="str">
        <f t="shared" si="71"/>
        <v/>
      </c>
      <c r="DS64" s="43" t="str">
        <f t="shared" si="72"/>
        <v/>
      </c>
      <c r="DT64" s="55"/>
      <c r="DU64" s="43" t="str">
        <f t="shared" ca="1" si="73"/>
        <v/>
      </c>
      <c r="DV64" s="43" t="str">
        <f t="shared" si="74"/>
        <v/>
      </c>
      <c r="DX64" s="44">
        <v>1</v>
      </c>
      <c r="DY64" s="44" t="s">
        <v>774</v>
      </c>
      <c r="DZ64" s="43">
        <f t="shared" si="75"/>
        <v>0.01</v>
      </c>
      <c r="EA64" s="43" t="str">
        <f t="shared" si="76"/>
        <v>M</v>
      </c>
      <c r="EB64" s="43" t="str">
        <f>IF(IFERROR(INDEX(Consulta!$A:$DF,MATCH('MM01'!$B64,Consulta!$C:$C,0),'MM01'!EB$2),"")=0,"7925",IF(IFERROR(INDEX(Consulta!$A:$DF,MATCH('MM01'!$B64,Consulta!$C:$C,0),'MM01'!EB$2),"")="68","7910","7925"))</f>
        <v>7925</v>
      </c>
      <c r="EC64" s="44">
        <v>100</v>
      </c>
      <c r="ED64" s="60">
        <v>1</v>
      </c>
      <c r="EE64" s="43">
        <f t="shared" si="77"/>
        <v>100</v>
      </c>
      <c r="EF64" s="44">
        <v>1</v>
      </c>
      <c r="EG64" s="44">
        <v>0</v>
      </c>
      <c r="EH64" s="44" t="s">
        <v>867</v>
      </c>
      <c r="EI64" s="45">
        <v>0</v>
      </c>
      <c r="EJ64" s="43">
        <f t="shared" si="78"/>
        <v>5000</v>
      </c>
      <c r="EK64" s="65"/>
    </row>
    <row r="65" spans="1:141" x14ac:dyDescent="0.3">
      <c r="A65" s="7" t="str">
        <f t="shared" si="0"/>
        <v>Execução 61</v>
      </c>
      <c r="B65" s="42"/>
      <c r="C65" s="43" t="str">
        <f>IF(IFERROR(INDEX(Consulta!$A:$DF,MATCH('MM01'!$B65,Consulta!$C:$C,0),'MM01'!C$2),"")=0,"",IFERROR(INDEX(Consulta!$A:$DF,MATCH('MM01'!$B65,Consulta!$C:$C,0),'MM01'!C$2),""))</f>
        <v/>
      </c>
      <c r="D65" s="43" t="str">
        <f>IF(IFERROR(INDEX(Consulta!$A:$DF,MATCH('MM01'!$B65,Consulta!$C:$C,0),'MM01'!D$2),"")=0,"",IFERROR(INDEX(Consulta!$A:$DF,MATCH('MM01'!$B65,Consulta!$C:$C,0),'MM01'!D$2),""))</f>
        <v/>
      </c>
      <c r="E65" s="43" t="str">
        <f>IF(IFERROR(INDEX(Consulta!$A:$DF,MATCH('MM01'!$B65,Consulta!$C:$C,0),'MM01'!E$2),"")=0,"",IFERROR(INDEX(Consulta!$A:$DF,MATCH('MM01'!$B65,Consulta!$C:$C,0),'MM01'!E$2),""))</f>
        <v/>
      </c>
      <c r="F65" s="44" t="s">
        <v>100</v>
      </c>
      <c r="G65" s="49" t="str">
        <f>IF(IFERROR(INDEX(Consulta!$A:$DF,MATCH('MM01'!$B65,Consulta!$C:$C,0),'MM01'!G$2),"")=0,"",IFERROR(INDEX(Consulta!$A:$DF,MATCH('MM01'!$B65,Consulta!$C:$C,0),'MM01'!G$2),""))</f>
        <v/>
      </c>
      <c r="H65" s="49" t="str">
        <f>IF(IFERROR(INDEX(Consulta!$A:$DF,MATCH('MM01'!$B65,Consulta!$C:$C,0),'MM01'!H$2),"")=0,"",IFERROR(INDEX(Consulta!$A:$DF,MATCH('MM01'!$B65,Consulta!$C:$C,0),'MM01'!H$2),""))</f>
        <v/>
      </c>
      <c r="I65" s="49" t="str">
        <f t="shared" si="40"/>
        <v/>
      </c>
      <c r="J65" s="49" t="str">
        <f>IF(IFERROR(INDEX(Consulta!$A:$DF,MATCH('MM01'!$B65,Consulta!$C:$C,0),'MM01'!J$2),"")=0,"",IFERROR(INDEX(Consulta!$A:$DF,MATCH('MM01'!$B65,Consulta!$C:$C,0),'MM01'!J$2),""))</f>
        <v/>
      </c>
      <c r="K65" s="49" t="str">
        <f t="shared" si="41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IF(IFERROR(INDEX(Consulta!$A:$DF,MATCH('MM01'!$B65,Consulta!$C:$C,0),'MM01'!AP$2),"")=0,"",IFERROR(INDEX(Consulta!$A:$DF,MATCH('MM01'!$B65,Consulta!$C:$C,0),'MM01'!AP$2),""))</f>
        <v/>
      </c>
      <c r="AQ65" s="45"/>
      <c r="AR65" s="43" t="str">
        <f>IF(IFERROR(INDEX(Consulta!$A:$DF,MATCH('MM01'!$B65,Consulta!$C:$C,0),'MM01'!AR$2),"")=0,"",IFERROR(INDEX(Consulta!$A:$DF,MATCH('MM01'!$B65,Consulta!$C:$C,0),'MM01'!AR$2),""))</f>
        <v/>
      </c>
      <c r="AS65" s="43" t="str">
        <f>IF(IFERROR(INDEX(Consulta!$A:$DF,MATCH('MM01'!$B65,Consulta!$C:$C,0),'MM01'!AS$2),"")=0,"",IF(AR65="68",5102,IFERROR(INDEX(Consulta!$A:$DF,MATCH('MM01'!$B65,Consulta!$C:$C,0),'MM01'!AS$2),"")))</f>
        <v/>
      </c>
      <c r="AT65" s="45"/>
      <c r="AU65" s="46" t="str">
        <f t="shared" ca="1" si="42"/>
        <v/>
      </c>
      <c r="AV65" s="47" t="s">
        <v>796</v>
      </c>
      <c r="AW65" s="43" t="str">
        <f>IF(IFERROR(INDEX(Consulta!$A:$DF,MATCH('MM01'!$B65,Consulta!$C:$C,0),'MM01'!AW$2),"")=0,"",IFERROR(ROUND(INDEX(Consulta!$A:$DF,MATCH('MM01'!$B65,Consulta!$C:$C,0),'MM01'!AW$2),3),""))</f>
        <v/>
      </c>
      <c r="AX65" s="43" t="str">
        <f t="shared" si="43"/>
        <v/>
      </c>
      <c r="AY65" s="48" t="s">
        <v>299</v>
      </c>
      <c r="AZ65" s="48"/>
      <c r="BA65" s="43" t="str">
        <f>IF(IFERROR(INDEX(Consulta!$A:$DF,MATCH('MM01'!$B65,Consulta!$C:$C,0),'MM01'!BA$2),"")=0,"",IFERROR(INDEX(Consulta!$A:$DF,MATCH('MM01'!$B65,Consulta!$C:$C,0),'MM01'!BA$2),""))</f>
        <v/>
      </c>
      <c r="BB65" s="43" t="str">
        <f t="shared" si="44"/>
        <v/>
      </c>
      <c r="BC65" s="43" t="str">
        <f t="shared" si="45"/>
        <v/>
      </c>
      <c r="BD65" s="43" t="str">
        <f t="shared" si="46"/>
        <v/>
      </c>
      <c r="BE65" s="43" t="str">
        <f t="shared" si="47"/>
        <v>M</v>
      </c>
      <c r="BF65" s="43" t="str">
        <f t="shared" si="48"/>
        <v/>
      </c>
      <c r="BG65" s="43" t="str">
        <f t="shared" si="49"/>
        <v/>
      </c>
      <c r="BH65" s="43" t="str">
        <f t="shared" si="50"/>
        <v/>
      </c>
      <c r="BI65" s="43" t="str">
        <f t="shared" si="51"/>
        <v>M</v>
      </c>
      <c r="BK65" s="45" t="s">
        <v>324</v>
      </c>
      <c r="BL65" s="43" t="str">
        <f>IF(IFERROR(INDEX(Consulta!$A:$DF,MATCH('MM01'!$B65,Consulta!$C:$C,0),'MM01'!BL$2),"")=0,"",IFERROR(INDEX(Consulta!$A:$DF,MATCH('MM01'!$B65,Consulta!$C:$C,0),'MM01'!BL$2),""))</f>
        <v/>
      </c>
      <c r="BM65" s="45">
        <v>99</v>
      </c>
      <c r="BN65" s="46" t="str">
        <f t="shared" ca="1" si="52"/>
        <v>28.04.2022</v>
      </c>
      <c r="BO65" s="49" t="str">
        <f t="shared" si="53"/>
        <v/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IF(IFERROR(INDEX(Consulta!$A:$DF,MATCH('MM01'!$B65,Consulta!$C:$C,0),'MM01'!BX$2),"")=0,"",IFERROR(INDEX(Consulta!$A:$DF,MATCH('MM01'!$B65,Consulta!$C:$C,0),'MM01'!BX$2),""))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54"/>
        <v/>
      </c>
      <c r="CD65" s="45" t="s">
        <v>430</v>
      </c>
      <c r="CE65" s="45">
        <v>1</v>
      </c>
      <c r="CF65" s="45" t="s">
        <v>496</v>
      </c>
      <c r="CG65" s="45"/>
      <c r="CH65" s="44">
        <v>2</v>
      </c>
      <c r="CI65" s="49" t="str">
        <f t="shared" si="55"/>
        <v/>
      </c>
      <c r="CJ65" s="49" t="str">
        <f t="shared" si="56"/>
        <v/>
      </c>
      <c r="CK65" s="45"/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7"/>
        <v>K00_P_</v>
      </c>
      <c r="CS65" s="45">
        <v>5000</v>
      </c>
      <c r="CT65" s="43" t="str">
        <f>IF(IFERROR(INDEX(Consulta!$A:$DF,MATCH('MM01'!$B65,Consulta!$C:$C,0),'MM01'!CT$2),"")=0,"",IFERROR(INDEX(Consulta!$A:$DF,MATCH('MM01'!$B65,Consulta!$C:$C,0),'MM01'!CT$2),""))</f>
        <v/>
      </c>
      <c r="CU65" s="43" t="str">
        <f>IF(IFERROR(INDEX(Consulta!$A:$DF,MATCH('MM01'!$B65,Consulta!$C:$C,0),'MM01'!CU$2),"")=0,"",IFERROR(INDEX(Consulta!$A:$DF,MATCH('MM01'!$B65,Consulta!$C:$C,0),'MM01'!CU$2),""))</f>
        <v/>
      </c>
      <c r="CV65" s="43" t="str">
        <f>IF(IFERROR(INDEX(Consulta!$A:$DF,MATCH('MM01'!$B65,Consulta!$C:$C,0),'MM01'!CV$2),"")=0,"",IFERROR(INDEX(Consulta!$A:$DF,MATCH('MM01'!$B65,Consulta!$C:$C,0),'MM01'!CV$2),""))</f>
        <v/>
      </c>
      <c r="CW65" s="43" t="str">
        <f>IF(IFERROR(INDEX(Consulta!$A:$DF,MATCH('MM01'!$B65,Consulta!$C:$C,0),'MM01'!CW$2),"")=0,"",IFERROR(INDEX(Consulta!$A:$DF,MATCH('MM01'!$B65,Consulta!$C:$C,0),'MM01'!CW$2),""))</f>
        <v/>
      </c>
      <c r="CX65" s="43" t="str">
        <f t="shared" si="58"/>
        <v/>
      </c>
      <c r="CY65" s="43" t="str">
        <f t="shared" si="59"/>
        <v/>
      </c>
      <c r="CZ65" s="43" t="str">
        <f t="shared" si="60"/>
        <v/>
      </c>
      <c r="DA65" s="43" t="str">
        <f>IF(IFERROR(INDEX(Consulta!$A:$DF,MATCH('MM01'!$B65,Consulta!$C:$C,0),'MM01'!DA$2),"")=0,"",IFERROR(INDEX(Consulta!$A:$DF,MATCH('MM01'!$B65,Consulta!$C:$C,0),'MM01'!DA$2),""))</f>
        <v/>
      </c>
      <c r="DB65" s="43" t="str">
        <f t="shared" si="61"/>
        <v/>
      </c>
      <c r="DC65" s="43" t="str">
        <f>IF(IFERROR(INDEX(Consulta!$A:$DF,MATCH('MM01'!$B65,Consulta!$C:$C,0),'MM01'!DC$2),"")=0,"",IFERROR(INDEX(Consulta!$A:$DF,MATCH('MM01'!$B65,Consulta!$C:$C,0),'MM01'!DC$2),""))</f>
        <v/>
      </c>
      <c r="DD65" s="45">
        <v>0</v>
      </c>
      <c r="DE65" s="45">
        <v>0</v>
      </c>
      <c r="DF65" s="43" t="str">
        <f t="shared" si="62"/>
        <v/>
      </c>
      <c r="DG65" s="43" t="str">
        <f t="shared" si="63"/>
        <v/>
      </c>
      <c r="DH65" s="55"/>
      <c r="DI65" s="43" t="str">
        <f t="shared" ca="1" si="64"/>
        <v/>
      </c>
      <c r="DJ65" s="43" t="str">
        <f t="shared" si="65"/>
        <v/>
      </c>
      <c r="DK65" s="43" t="str">
        <f t="shared" si="66"/>
        <v/>
      </c>
      <c r="DL65" s="55"/>
      <c r="DM65" s="43" t="str">
        <f t="shared" ca="1" si="67"/>
        <v/>
      </c>
      <c r="DN65" s="43" t="str">
        <f t="shared" si="68"/>
        <v/>
      </c>
      <c r="DO65" s="43" t="str">
        <f t="shared" si="69"/>
        <v/>
      </c>
      <c r="DP65" s="55"/>
      <c r="DQ65" s="43" t="str">
        <f t="shared" ca="1" si="70"/>
        <v/>
      </c>
      <c r="DR65" s="43" t="str">
        <f t="shared" si="71"/>
        <v/>
      </c>
      <c r="DS65" s="43" t="str">
        <f t="shared" si="72"/>
        <v/>
      </c>
      <c r="DT65" s="55"/>
      <c r="DU65" s="43" t="str">
        <f t="shared" ca="1" si="73"/>
        <v/>
      </c>
      <c r="DV65" s="43" t="str">
        <f t="shared" si="74"/>
        <v/>
      </c>
      <c r="DX65" s="44">
        <v>1</v>
      </c>
      <c r="DY65" s="44" t="s">
        <v>774</v>
      </c>
      <c r="DZ65" s="43">
        <f t="shared" si="75"/>
        <v>0.01</v>
      </c>
      <c r="EA65" s="43" t="str">
        <f t="shared" si="76"/>
        <v>M</v>
      </c>
      <c r="EB65" s="43" t="str">
        <f>IF(IFERROR(INDEX(Consulta!$A:$DF,MATCH('MM01'!$B65,Consulta!$C:$C,0),'MM01'!EB$2),"")=0,"7925",IF(IFERROR(INDEX(Consulta!$A:$DF,MATCH('MM01'!$B65,Consulta!$C:$C,0),'MM01'!EB$2),"")="68","7910","7925"))</f>
        <v>7925</v>
      </c>
      <c r="EC65" s="44">
        <v>100</v>
      </c>
      <c r="ED65" s="60">
        <v>1</v>
      </c>
      <c r="EE65" s="43">
        <f t="shared" si="77"/>
        <v>100</v>
      </c>
      <c r="EF65" s="44">
        <v>1</v>
      </c>
      <c r="EG65" s="44">
        <v>0</v>
      </c>
      <c r="EH65" s="44" t="s">
        <v>867</v>
      </c>
      <c r="EI65" s="45">
        <v>0</v>
      </c>
      <c r="EJ65" s="43">
        <f t="shared" si="78"/>
        <v>5000</v>
      </c>
      <c r="EK65" s="65"/>
    </row>
    <row r="66" spans="1:141" x14ac:dyDescent="0.3">
      <c r="A66" s="7" t="str">
        <f t="shared" si="0"/>
        <v>Execução 62</v>
      </c>
      <c r="B66" s="42"/>
      <c r="C66" s="43" t="str">
        <f>IF(IFERROR(INDEX(Consulta!$A:$DF,MATCH('MM01'!$B66,Consulta!$C:$C,0),'MM01'!C$2),"")=0,"",IFERROR(INDEX(Consulta!$A:$DF,MATCH('MM01'!$B66,Consulta!$C:$C,0),'MM01'!C$2),""))</f>
        <v/>
      </c>
      <c r="D66" s="43" t="str">
        <f>IF(IFERROR(INDEX(Consulta!$A:$DF,MATCH('MM01'!$B66,Consulta!$C:$C,0),'MM01'!D$2),"")=0,"",IFERROR(INDEX(Consulta!$A:$DF,MATCH('MM01'!$B66,Consulta!$C:$C,0),'MM01'!D$2),""))</f>
        <v/>
      </c>
      <c r="E66" s="43" t="str">
        <f>IF(IFERROR(INDEX(Consulta!$A:$DF,MATCH('MM01'!$B66,Consulta!$C:$C,0),'MM01'!E$2),"")=0,"",IFERROR(INDEX(Consulta!$A:$DF,MATCH('MM01'!$B66,Consulta!$C:$C,0),'MM01'!E$2),""))</f>
        <v/>
      </c>
      <c r="F66" s="44" t="s">
        <v>100</v>
      </c>
      <c r="G66" s="49" t="str">
        <f>IF(IFERROR(INDEX(Consulta!$A:$DF,MATCH('MM01'!$B66,Consulta!$C:$C,0),'MM01'!G$2),"")=0,"",IFERROR(INDEX(Consulta!$A:$DF,MATCH('MM01'!$B66,Consulta!$C:$C,0),'MM01'!G$2),""))</f>
        <v/>
      </c>
      <c r="H66" s="49" t="str">
        <f>IF(IFERROR(INDEX(Consulta!$A:$DF,MATCH('MM01'!$B66,Consulta!$C:$C,0),'MM01'!H$2),"")=0,"",IFERROR(INDEX(Consulta!$A:$DF,MATCH('MM01'!$B66,Consulta!$C:$C,0),'MM01'!H$2),""))</f>
        <v/>
      </c>
      <c r="I66" s="49" t="str">
        <f t="shared" si="40"/>
        <v/>
      </c>
      <c r="J66" s="49" t="str">
        <f>IF(IFERROR(INDEX(Consulta!$A:$DF,MATCH('MM01'!$B66,Consulta!$C:$C,0),'MM01'!J$2),"")=0,"",IFERROR(INDEX(Consulta!$A:$DF,MATCH('MM01'!$B66,Consulta!$C:$C,0),'MM01'!J$2),""))</f>
        <v/>
      </c>
      <c r="K66" s="49" t="str">
        <f t="shared" si="41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IF(IFERROR(INDEX(Consulta!$A:$DF,MATCH('MM01'!$B66,Consulta!$C:$C,0),'MM01'!AP$2),"")=0,"",IFERROR(INDEX(Consulta!$A:$DF,MATCH('MM01'!$B66,Consulta!$C:$C,0),'MM01'!AP$2),""))</f>
        <v/>
      </c>
      <c r="AQ66" s="45"/>
      <c r="AR66" s="43" t="str">
        <f>IF(IFERROR(INDEX(Consulta!$A:$DF,MATCH('MM01'!$B66,Consulta!$C:$C,0),'MM01'!AR$2),"")=0,"",IFERROR(INDEX(Consulta!$A:$DF,MATCH('MM01'!$B66,Consulta!$C:$C,0),'MM01'!AR$2),""))</f>
        <v/>
      </c>
      <c r="AS66" s="43" t="str">
        <f>IF(IFERROR(INDEX(Consulta!$A:$DF,MATCH('MM01'!$B66,Consulta!$C:$C,0),'MM01'!AS$2),"")=0,"",IF(AR66="68",5102,IFERROR(INDEX(Consulta!$A:$DF,MATCH('MM01'!$B66,Consulta!$C:$C,0),'MM01'!AS$2),"")))</f>
        <v/>
      </c>
      <c r="AT66" s="45"/>
      <c r="AU66" s="46" t="str">
        <f t="shared" ca="1" si="42"/>
        <v/>
      </c>
      <c r="AV66" s="47" t="s">
        <v>796</v>
      </c>
      <c r="AW66" s="43" t="str">
        <f>IF(IFERROR(INDEX(Consulta!$A:$DF,MATCH('MM01'!$B66,Consulta!$C:$C,0),'MM01'!AW$2),"")=0,"",IFERROR(ROUND(INDEX(Consulta!$A:$DF,MATCH('MM01'!$B66,Consulta!$C:$C,0),'MM01'!AW$2),3),""))</f>
        <v/>
      </c>
      <c r="AX66" s="43" t="str">
        <f t="shared" si="43"/>
        <v/>
      </c>
      <c r="AY66" s="48" t="s">
        <v>299</v>
      </c>
      <c r="AZ66" s="48"/>
      <c r="BA66" s="43" t="str">
        <f>IF(IFERROR(INDEX(Consulta!$A:$DF,MATCH('MM01'!$B66,Consulta!$C:$C,0),'MM01'!BA$2),"")=0,"",IFERROR(INDEX(Consulta!$A:$DF,MATCH('MM01'!$B66,Consulta!$C:$C,0),'MM01'!BA$2),""))</f>
        <v/>
      </c>
      <c r="BB66" s="43" t="str">
        <f t="shared" si="44"/>
        <v/>
      </c>
      <c r="BC66" s="43" t="str">
        <f t="shared" si="45"/>
        <v/>
      </c>
      <c r="BD66" s="43" t="str">
        <f t="shared" si="46"/>
        <v/>
      </c>
      <c r="BE66" s="43" t="str">
        <f t="shared" si="47"/>
        <v>M</v>
      </c>
      <c r="BF66" s="43" t="str">
        <f t="shared" si="48"/>
        <v/>
      </c>
      <c r="BG66" s="43" t="str">
        <f t="shared" si="49"/>
        <v/>
      </c>
      <c r="BH66" s="43" t="str">
        <f t="shared" si="50"/>
        <v/>
      </c>
      <c r="BI66" s="43" t="str">
        <f t="shared" si="51"/>
        <v>M</v>
      </c>
      <c r="BK66" s="45" t="s">
        <v>324</v>
      </c>
      <c r="BL66" s="43" t="str">
        <f>IF(IFERROR(INDEX(Consulta!$A:$DF,MATCH('MM01'!$B66,Consulta!$C:$C,0),'MM01'!BL$2),"")=0,"",IFERROR(INDEX(Consulta!$A:$DF,MATCH('MM01'!$B66,Consulta!$C:$C,0),'MM01'!BL$2),""))</f>
        <v/>
      </c>
      <c r="BM66" s="45">
        <v>99</v>
      </c>
      <c r="BN66" s="46" t="str">
        <f t="shared" ca="1" si="52"/>
        <v>28.04.2022</v>
      </c>
      <c r="BO66" s="49" t="str">
        <f t="shared" si="53"/>
        <v/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IF(IFERROR(INDEX(Consulta!$A:$DF,MATCH('MM01'!$B66,Consulta!$C:$C,0),'MM01'!BX$2),"")=0,"",IFERROR(INDEX(Consulta!$A:$DF,MATCH('MM01'!$B66,Consulta!$C:$C,0),'MM01'!BX$2),""))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54"/>
        <v/>
      </c>
      <c r="CD66" s="45" t="s">
        <v>430</v>
      </c>
      <c r="CE66" s="45">
        <v>1</v>
      </c>
      <c r="CF66" s="45" t="s">
        <v>496</v>
      </c>
      <c r="CG66" s="45"/>
      <c r="CH66" s="44">
        <v>2</v>
      </c>
      <c r="CI66" s="49" t="str">
        <f t="shared" si="55"/>
        <v/>
      </c>
      <c r="CJ66" s="49" t="str">
        <f t="shared" si="56"/>
        <v/>
      </c>
      <c r="CK66" s="45"/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7"/>
        <v>K00_P_</v>
      </c>
      <c r="CS66" s="45">
        <v>5000</v>
      </c>
      <c r="CT66" s="43" t="str">
        <f>IF(IFERROR(INDEX(Consulta!$A:$DF,MATCH('MM01'!$B66,Consulta!$C:$C,0),'MM01'!CT$2),"")=0,"",IFERROR(INDEX(Consulta!$A:$DF,MATCH('MM01'!$B66,Consulta!$C:$C,0),'MM01'!CT$2),""))</f>
        <v/>
      </c>
      <c r="CU66" s="43" t="str">
        <f>IF(IFERROR(INDEX(Consulta!$A:$DF,MATCH('MM01'!$B66,Consulta!$C:$C,0),'MM01'!CU$2),"")=0,"",IFERROR(INDEX(Consulta!$A:$DF,MATCH('MM01'!$B66,Consulta!$C:$C,0),'MM01'!CU$2),""))</f>
        <v/>
      </c>
      <c r="CV66" s="43" t="str">
        <f>IF(IFERROR(INDEX(Consulta!$A:$DF,MATCH('MM01'!$B66,Consulta!$C:$C,0),'MM01'!CV$2),"")=0,"",IFERROR(INDEX(Consulta!$A:$DF,MATCH('MM01'!$B66,Consulta!$C:$C,0),'MM01'!CV$2),""))</f>
        <v/>
      </c>
      <c r="CW66" s="43" t="str">
        <f>IF(IFERROR(INDEX(Consulta!$A:$DF,MATCH('MM01'!$B66,Consulta!$C:$C,0),'MM01'!CW$2),"")=0,"",IFERROR(INDEX(Consulta!$A:$DF,MATCH('MM01'!$B66,Consulta!$C:$C,0),'MM01'!CW$2),""))</f>
        <v/>
      </c>
      <c r="CX66" s="43" t="str">
        <f t="shared" si="58"/>
        <v/>
      </c>
      <c r="CY66" s="43" t="str">
        <f t="shared" si="59"/>
        <v/>
      </c>
      <c r="CZ66" s="43" t="str">
        <f t="shared" si="60"/>
        <v/>
      </c>
      <c r="DA66" s="43" t="str">
        <f>IF(IFERROR(INDEX(Consulta!$A:$DF,MATCH('MM01'!$B66,Consulta!$C:$C,0),'MM01'!DA$2),"")=0,"",IFERROR(INDEX(Consulta!$A:$DF,MATCH('MM01'!$B66,Consulta!$C:$C,0),'MM01'!DA$2),""))</f>
        <v/>
      </c>
      <c r="DB66" s="43" t="str">
        <f t="shared" si="61"/>
        <v/>
      </c>
      <c r="DC66" s="43" t="str">
        <f>IF(IFERROR(INDEX(Consulta!$A:$DF,MATCH('MM01'!$B66,Consulta!$C:$C,0),'MM01'!DC$2),"")=0,"",IFERROR(INDEX(Consulta!$A:$DF,MATCH('MM01'!$B66,Consulta!$C:$C,0),'MM01'!DC$2),""))</f>
        <v/>
      </c>
      <c r="DD66" s="45">
        <v>0</v>
      </c>
      <c r="DE66" s="45">
        <v>0</v>
      </c>
      <c r="DF66" s="43" t="str">
        <f t="shared" si="62"/>
        <v/>
      </c>
      <c r="DG66" s="43" t="str">
        <f t="shared" si="63"/>
        <v/>
      </c>
      <c r="DH66" s="55"/>
      <c r="DI66" s="43" t="str">
        <f t="shared" ca="1" si="64"/>
        <v/>
      </c>
      <c r="DJ66" s="43" t="str">
        <f t="shared" si="65"/>
        <v/>
      </c>
      <c r="DK66" s="43" t="str">
        <f t="shared" si="66"/>
        <v/>
      </c>
      <c r="DL66" s="55"/>
      <c r="DM66" s="43" t="str">
        <f t="shared" ca="1" si="67"/>
        <v/>
      </c>
      <c r="DN66" s="43" t="str">
        <f t="shared" si="68"/>
        <v/>
      </c>
      <c r="DO66" s="43" t="str">
        <f t="shared" si="69"/>
        <v/>
      </c>
      <c r="DP66" s="55"/>
      <c r="DQ66" s="43" t="str">
        <f t="shared" ca="1" si="70"/>
        <v/>
      </c>
      <c r="DR66" s="43" t="str">
        <f t="shared" si="71"/>
        <v/>
      </c>
      <c r="DS66" s="43" t="str">
        <f t="shared" si="72"/>
        <v/>
      </c>
      <c r="DT66" s="55"/>
      <c r="DU66" s="43" t="str">
        <f t="shared" ca="1" si="73"/>
        <v/>
      </c>
      <c r="DV66" s="43" t="str">
        <f t="shared" si="74"/>
        <v/>
      </c>
      <c r="DX66" s="44">
        <v>1</v>
      </c>
      <c r="DY66" s="44" t="s">
        <v>774</v>
      </c>
      <c r="DZ66" s="43">
        <f t="shared" si="75"/>
        <v>0.01</v>
      </c>
      <c r="EA66" s="43" t="str">
        <f t="shared" si="76"/>
        <v>M</v>
      </c>
      <c r="EB66" s="43" t="str">
        <f>IF(IFERROR(INDEX(Consulta!$A:$DF,MATCH('MM01'!$B66,Consulta!$C:$C,0),'MM01'!EB$2),"")=0,"7925",IF(IFERROR(INDEX(Consulta!$A:$DF,MATCH('MM01'!$B66,Consulta!$C:$C,0),'MM01'!EB$2),"")="68","7910","7925"))</f>
        <v>7925</v>
      </c>
      <c r="EC66" s="44">
        <v>100</v>
      </c>
      <c r="ED66" s="60">
        <v>1</v>
      </c>
      <c r="EE66" s="43">
        <f t="shared" si="77"/>
        <v>100</v>
      </c>
      <c r="EF66" s="44">
        <v>1</v>
      </c>
      <c r="EG66" s="44">
        <v>0</v>
      </c>
      <c r="EH66" s="44" t="s">
        <v>867</v>
      </c>
      <c r="EI66" s="45">
        <v>0</v>
      </c>
      <c r="EJ66" s="43">
        <f t="shared" si="78"/>
        <v>5000</v>
      </c>
      <c r="EK66" s="65"/>
    </row>
    <row r="67" spans="1:141" x14ac:dyDescent="0.3">
      <c r="A67" s="7" t="str">
        <f t="shared" si="0"/>
        <v>Execução 63</v>
      </c>
      <c r="B67" s="42"/>
      <c r="C67" s="43" t="str">
        <f>IF(IFERROR(INDEX(Consulta!$A:$DF,MATCH('MM01'!$B67,Consulta!$C:$C,0),'MM01'!C$2),"")=0,"",IFERROR(INDEX(Consulta!$A:$DF,MATCH('MM01'!$B67,Consulta!$C:$C,0),'MM01'!C$2),""))</f>
        <v/>
      </c>
      <c r="D67" s="43" t="str">
        <f>IF(IFERROR(INDEX(Consulta!$A:$DF,MATCH('MM01'!$B67,Consulta!$C:$C,0),'MM01'!D$2),"")=0,"",IFERROR(INDEX(Consulta!$A:$DF,MATCH('MM01'!$B67,Consulta!$C:$C,0),'MM01'!D$2),""))</f>
        <v/>
      </c>
      <c r="E67" s="43" t="str">
        <f>IF(IFERROR(INDEX(Consulta!$A:$DF,MATCH('MM01'!$B67,Consulta!$C:$C,0),'MM01'!E$2),"")=0,"",IFERROR(INDEX(Consulta!$A:$DF,MATCH('MM01'!$B67,Consulta!$C:$C,0),'MM01'!E$2),""))</f>
        <v/>
      </c>
      <c r="F67" s="44" t="s">
        <v>100</v>
      </c>
      <c r="G67" s="49" t="str">
        <f>IF(IFERROR(INDEX(Consulta!$A:$DF,MATCH('MM01'!$B67,Consulta!$C:$C,0),'MM01'!G$2),"")=0,"",IFERROR(INDEX(Consulta!$A:$DF,MATCH('MM01'!$B67,Consulta!$C:$C,0),'MM01'!G$2),""))</f>
        <v/>
      </c>
      <c r="H67" s="49" t="str">
        <f>IF(IFERROR(INDEX(Consulta!$A:$DF,MATCH('MM01'!$B67,Consulta!$C:$C,0),'MM01'!H$2),"")=0,"",IFERROR(INDEX(Consulta!$A:$DF,MATCH('MM01'!$B67,Consulta!$C:$C,0),'MM01'!H$2),""))</f>
        <v/>
      </c>
      <c r="I67" s="49" t="str">
        <f t="shared" si="40"/>
        <v/>
      </c>
      <c r="J67" s="49" t="str">
        <f>IF(IFERROR(INDEX(Consulta!$A:$DF,MATCH('MM01'!$B67,Consulta!$C:$C,0),'MM01'!J$2),"")=0,"",IFERROR(INDEX(Consulta!$A:$DF,MATCH('MM01'!$B67,Consulta!$C:$C,0),'MM01'!J$2),""))</f>
        <v/>
      </c>
      <c r="K67" s="49" t="str">
        <f t="shared" si="41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IF(IFERROR(INDEX(Consulta!$A:$DF,MATCH('MM01'!$B67,Consulta!$C:$C,0),'MM01'!AP$2),"")=0,"",IFERROR(INDEX(Consulta!$A:$DF,MATCH('MM01'!$B67,Consulta!$C:$C,0),'MM01'!AP$2),""))</f>
        <v/>
      </c>
      <c r="AQ67" s="45"/>
      <c r="AR67" s="43" t="str">
        <f>IF(IFERROR(INDEX(Consulta!$A:$DF,MATCH('MM01'!$B67,Consulta!$C:$C,0),'MM01'!AR$2),"")=0,"",IFERROR(INDEX(Consulta!$A:$DF,MATCH('MM01'!$B67,Consulta!$C:$C,0),'MM01'!AR$2),""))</f>
        <v/>
      </c>
      <c r="AS67" s="43" t="str">
        <f>IF(IFERROR(INDEX(Consulta!$A:$DF,MATCH('MM01'!$B67,Consulta!$C:$C,0),'MM01'!AS$2),"")=0,"",IF(AR67="68",5102,IFERROR(INDEX(Consulta!$A:$DF,MATCH('MM01'!$B67,Consulta!$C:$C,0),'MM01'!AS$2),"")))</f>
        <v/>
      </c>
      <c r="AT67" s="45"/>
      <c r="AU67" s="46" t="str">
        <f t="shared" ca="1" si="42"/>
        <v/>
      </c>
      <c r="AV67" s="47" t="s">
        <v>796</v>
      </c>
      <c r="AW67" s="43" t="str">
        <f>IF(IFERROR(INDEX(Consulta!$A:$DF,MATCH('MM01'!$B67,Consulta!$C:$C,0),'MM01'!AW$2),"")=0,"",IFERROR(ROUND(INDEX(Consulta!$A:$DF,MATCH('MM01'!$B67,Consulta!$C:$C,0),'MM01'!AW$2),3),""))</f>
        <v/>
      </c>
      <c r="AX67" s="43" t="str">
        <f t="shared" si="43"/>
        <v/>
      </c>
      <c r="AY67" s="48" t="s">
        <v>299</v>
      </c>
      <c r="AZ67" s="48"/>
      <c r="BA67" s="43" t="str">
        <f>IF(IFERROR(INDEX(Consulta!$A:$DF,MATCH('MM01'!$B67,Consulta!$C:$C,0),'MM01'!BA$2),"")=0,"",IFERROR(INDEX(Consulta!$A:$DF,MATCH('MM01'!$B67,Consulta!$C:$C,0),'MM01'!BA$2),""))</f>
        <v/>
      </c>
      <c r="BB67" s="43" t="str">
        <f t="shared" si="44"/>
        <v/>
      </c>
      <c r="BC67" s="43" t="str">
        <f t="shared" si="45"/>
        <v/>
      </c>
      <c r="BD67" s="43" t="str">
        <f t="shared" si="46"/>
        <v/>
      </c>
      <c r="BE67" s="43" t="str">
        <f t="shared" si="47"/>
        <v>M</v>
      </c>
      <c r="BF67" s="43" t="str">
        <f t="shared" si="48"/>
        <v/>
      </c>
      <c r="BG67" s="43" t="str">
        <f t="shared" si="49"/>
        <v/>
      </c>
      <c r="BH67" s="43" t="str">
        <f t="shared" si="50"/>
        <v/>
      </c>
      <c r="BI67" s="43" t="str">
        <f t="shared" si="51"/>
        <v>M</v>
      </c>
      <c r="BK67" s="45" t="s">
        <v>324</v>
      </c>
      <c r="BL67" s="43" t="str">
        <f>IF(IFERROR(INDEX(Consulta!$A:$DF,MATCH('MM01'!$B67,Consulta!$C:$C,0),'MM01'!BL$2),"")=0,"",IFERROR(INDEX(Consulta!$A:$DF,MATCH('MM01'!$B67,Consulta!$C:$C,0),'MM01'!BL$2),""))</f>
        <v/>
      </c>
      <c r="BM67" s="45">
        <v>99</v>
      </c>
      <c r="BN67" s="46" t="str">
        <f t="shared" ca="1" si="52"/>
        <v>28.04.2022</v>
      </c>
      <c r="BO67" s="49" t="str">
        <f t="shared" si="53"/>
        <v/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IF(IFERROR(INDEX(Consulta!$A:$DF,MATCH('MM01'!$B67,Consulta!$C:$C,0),'MM01'!BX$2),"")=0,"",IFERROR(INDEX(Consulta!$A:$DF,MATCH('MM01'!$B67,Consulta!$C:$C,0),'MM01'!BX$2),""))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54"/>
        <v/>
      </c>
      <c r="CD67" s="45" t="s">
        <v>430</v>
      </c>
      <c r="CE67" s="45">
        <v>1</v>
      </c>
      <c r="CF67" s="45" t="s">
        <v>496</v>
      </c>
      <c r="CG67" s="45"/>
      <c r="CH67" s="44">
        <v>2</v>
      </c>
      <c r="CI67" s="49" t="str">
        <f t="shared" si="55"/>
        <v/>
      </c>
      <c r="CJ67" s="49" t="str">
        <f t="shared" si="56"/>
        <v/>
      </c>
      <c r="CK67" s="45"/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7"/>
        <v>K00_P_</v>
      </c>
      <c r="CS67" s="45">
        <v>5000</v>
      </c>
      <c r="CT67" s="43" t="str">
        <f>IF(IFERROR(INDEX(Consulta!$A:$DF,MATCH('MM01'!$B67,Consulta!$C:$C,0),'MM01'!CT$2),"")=0,"",IFERROR(INDEX(Consulta!$A:$DF,MATCH('MM01'!$B67,Consulta!$C:$C,0),'MM01'!CT$2),""))</f>
        <v/>
      </c>
      <c r="CU67" s="43" t="str">
        <f>IF(IFERROR(INDEX(Consulta!$A:$DF,MATCH('MM01'!$B67,Consulta!$C:$C,0),'MM01'!CU$2),"")=0,"",IFERROR(INDEX(Consulta!$A:$DF,MATCH('MM01'!$B67,Consulta!$C:$C,0),'MM01'!CU$2),""))</f>
        <v/>
      </c>
      <c r="CV67" s="43" t="str">
        <f>IF(IFERROR(INDEX(Consulta!$A:$DF,MATCH('MM01'!$B67,Consulta!$C:$C,0),'MM01'!CV$2),"")=0,"",IFERROR(INDEX(Consulta!$A:$DF,MATCH('MM01'!$B67,Consulta!$C:$C,0),'MM01'!CV$2),""))</f>
        <v/>
      </c>
      <c r="CW67" s="43" t="str">
        <f>IF(IFERROR(INDEX(Consulta!$A:$DF,MATCH('MM01'!$B67,Consulta!$C:$C,0),'MM01'!CW$2),"")=0,"",IFERROR(INDEX(Consulta!$A:$DF,MATCH('MM01'!$B67,Consulta!$C:$C,0),'MM01'!CW$2),""))</f>
        <v/>
      </c>
      <c r="CX67" s="43" t="str">
        <f t="shared" si="58"/>
        <v/>
      </c>
      <c r="CY67" s="43" t="str">
        <f t="shared" si="59"/>
        <v/>
      </c>
      <c r="CZ67" s="43" t="str">
        <f t="shared" si="60"/>
        <v/>
      </c>
      <c r="DA67" s="43" t="str">
        <f>IF(IFERROR(INDEX(Consulta!$A:$DF,MATCH('MM01'!$B67,Consulta!$C:$C,0),'MM01'!DA$2),"")=0,"",IFERROR(INDEX(Consulta!$A:$DF,MATCH('MM01'!$B67,Consulta!$C:$C,0),'MM01'!DA$2),""))</f>
        <v/>
      </c>
      <c r="DB67" s="43" t="str">
        <f t="shared" si="61"/>
        <v/>
      </c>
      <c r="DC67" s="43" t="str">
        <f>IF(IFERROR(INDEX(Consulta!$A:$DF,MATCH('MM01'!$B67,Consulta!$C:$C,0),'MM01'!DC$2),"")=0,"",IFERROR(INDEX(Consulta!$A:$DF,MATCH('MM01'!$B67,Consulta!$C:$C,0),'MM01'!DC$2),""))</f>
        <v/>
      </c>
      <c r="DD67" s="45">
        <v>0</v>
      </c>
      <c r="DE67" s="45">
        <v>0</v>
      </c>
      <c r="DF67" s="43" t="str">
        <f t="shared" si="62"/>
        <v/>
      </c>
      <c r="DG67" s="43" t="str">
        <f t="shared" si="63"/>
        <v/>
      </c>
      <c r="DH67" s="55"/>
      <c r="DI67" s="43" t="str">
        <f t="shared" ca="1" si="64"/>
        <v/>
      </c>
      <c r="DJ67" s="43" t="str">
        <f t="shared" si="65"/>
        <v/>
      </c>
      <c r="DK67" s="43" t="str">
        <f t="shared" si="66"/>
        <v/>
      </c>
      <c r="DL67" s="55"/>
      <c r="DM67" s="43" t="str">
        <f t="shared" ca="1" si="67"/>
        <v/>
      </c>
      <c r="DN67" s="43" t="str">
        <f t="shared" si="68"/>
        <v/>
      </c>
      <c r="DO67" s="43" t="str">
        <f t="shared" si="69"/>
        <v/>
      </c>
      <c r="DP67" s="55"/>
      <c r="DQ67" s="43" t="str">
        <f t="shared" ca="1" si="70"/>
        <v/>
      </c>
      <c r="DR67" s="43" t="str">
        <f t="shared" si="71"/>
        <v/>
      </c>
      <c r="DS67" s="43" t="str">
        <f t="shared" si="72"/>
        <v/>
      </c>
      <c r="DT67" s="55"/>
      <c r="DU67" s="43" t="str">
        <f t="shared" ca="1" si="73"/>
        <v/>
      </c>
      <c r="DV67" s="43" t="str">
        <f t="shared" si="74"/>
        <v/>
      </c>
      <c r="DX67" s="44">
        <v>1</v>
      </c>
      <c r="DY67" s="44" t="s">
        <v>774</v>
      </c>
      <c r="DZ67" s="43">
        <f t="shared" si="75"/>
        <v>0.01</v>
      </c>
      <c r="EA67" s="43" t="str">
        <f t="shared" si="76"/>
        <v>M</v>
      </c>
      <c r="EB67" s="43" t="str">
        <f>IF(IFERROR(INDEX(Consulta!$A:$DF,MATCH('MM01'!$B67,Consulta!$C:$C,0),'MM01'!EB$2),"")=0,"7925",IF(IFERROR(INDEX(Consulta!$A:$DF,MATCH('MM01'!$B67,Consulta!$C:$C,0),'MM01'!EB$2),"")="68","7910","7925"))</f>
        <v>7925</v>
      </c>
      <c r="EC67" s="44">
        <v>100</v>
      </c>
      <c r="ED67" s="60">
        <v>1</v>
      </c>
      <c r="EE67" s="43">
        <f t="shared" si="77"/>
        <v>100</v>
      </c>
      <c r="EF67" s="44">
        <v>1</v>
      </c>
      <c r="EG67" s="44">
        <v>0</v>
      </c>
      <c r="EH67" s="44" t="s">
        <v>867</v>
      </c>
      <c r="EI67" s="45">
        <v>0</v>
      </c>
      <c r="EJ67" s="43">
        <f t="shared" si="78"/>
        <v>5000</v>
      </c>
      <c r="EK67" s="65"/>
    </row>
    <row r="68" spans="1:141" x14ac:dyDescent="0.3">
      <c r="A68" s="7" t="str">
        <f t="shared" si="0"/>
        <v>Execução 64</v>
      </c>
      <c r="B68" s="42"/>
      <c r="C68" s="43" t="str">
        <f>IF(IFERROR(INDEX(Consulta!$A:$DF,MATCH('MM01'!$B68,Consulta!$C:$C,0),'MM01'!C$2),"")=0,"",IFERROR(INDEX(Consulta!$A:$DF,MATCH('MM01'!$B68,Consulta!$C:$C,0),'MM01'!C$2),""))</f>
        <v/>
      </c>
      <c r="D68" s="43" t="str">
        <f>IF(IFERROR(INDEX(Consulta!$A:$DF,MATCH('MM01'!$B68,Consulta!$C:$C,0),'MM01'!D$2),"")=0,"",IFERROR(INDEX(Consulta!$A:$DF,MATCH('MM01'!$B68,Consulta!$C:$C,0),'MM01'!D$2),""))</f>
        <v/>
      </c>
      <c r="E68" s="43" t="str">
        <f>IF(IFERROR(INDEX(Consulta!$A:$DF,MATCH('MM01'!$B68,Consulta!$C:$C,0),'MM01'!E$2),"")=0,"",IFERROR(INDEX(Consulta!$A:$DF,MATCH('MM01'!$B68,Consulta!$C:$C,0),'MM01'!E$2),""))</f>
        <v/>
      </c>
      <c r="F68" s="44" t="s">
        <v>100</v>
      </c>
      <c r="G68" s="49" t="str">
        <f>IF(IFERROR(INDEX(Consulta!$A:$DF,MATCH('MM01'!$B68,Consulta!$C:$C,0),'MM01'!G$2),"")=0,"",IFERROR(INDEX(Consulta!$A:$DF,MATCH('MM01'!$B68,Consulta!$C:$C,0),'MM01'!G$2),""))</f>
        <v/>
      </c>
      <c r="H68" s="49" t="str">
        <f>IF(IFERROR(INDEX(Consulta!$A:$DF,MATCH('MM01'!$B68,Consulta!$C:$C,0),'MM01'!H$2),"")=0,"",IFERROR(INDEX(Consulta!$A:$DF,MATCH('MM01'!$B68,Consulta!$C:$C,0),'MM01'!H$2),""))</f>
        <v/>
      </c>
      <c r="I68" s="49" t="str">
        <f t="shared" si="40"/>
        <v/>
      </c>
      <c r="J68" s="49" t="str">
        <f>IF(IFERROR(INDEX(Consulta!$A:$DF,MATCH('MM01'!$B68,Consulta!$C:$C,0),'MM01'!J$2),"")=0,"",IFERROR(INDEX(Consulta!$A:$DF,MATCH('MM01'!$B68,Consulta!$C:$C,0),'MM01'!J$2),""))</f>
        <v/>
      </c>
      <c r="K68" s="49" t="str">
        <f t="shared" si="41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IF(IFERROR(INDEX(Consulta!$A:$DF,MATCH('MM01'!$B68,Consulta!$C:$C,0),'MM01'!AP$2),"")=0,"",IFERROR(INDEX(Consulta!$A:$DF,MATCH('MM01'!$B68,Consulta!$C:$C,0),'MM01'!AP$2),""))</f>
        <v/>
      </c>
      <c r="AQ68" s="45"/>
      <c r="AR68" s="43" t="str">
        <f>IF(IFERROR(INDEX(Consulta!$A:$DF,MATCH('MM01'!$B68,Consulta!$C:$C,0),'MM01'!AR$2),"")=0,"",IFERROR(INDEX(Consulta!$A:$DF,MATCH('MM01'!$B68,Consulta!$C:$C,0),'MM01'!AR$2),""))</f>
        <v/>
      </c>
      <c r="AS68" s="43" t="str">
        <f>IF(IFERROR(INDEX(Consulta!$A:$DF,MATCH('MM01'!$B68,Consulta!$C:$C,0),'MM01'!AS$2),"")=0,"",IF(AR68="68",5102,IFERROR(INDEX(Consulta!$A:$DF,MATCH('MM01'!$B68,Consulta!$C:$C,0),'MM01'!AS$2),"")))</f>
        <v/>
      </c>
      <c r="AT68" s="45"/>
      <c r="AU68" s="46" t="str">
        <f t="shared" ca="1" si="42"/>
        <v/>
      </c>
      <c r="AV68" s="47" t="s">
        <v>796</v>
      </c>
      <c r="AW68" s="43" t="str">
        <f>IF(IFERROR(INDEX(Consulta!$A:$DF,MATCH('MM01'!$B68,Consulta!$C:$C,0),'MM01'!AW$2),"")=0,"",IFERROR(ROUND(INDEX(Consulta!$A:$DF,MATCH('MM01'!$B68,Consulta!$C:$C,0),'MM01'!AW$2),3),""))</f>
        <v/>
      </c>
      <c r="AX68" s="43" t="str">
        <f t="shared" si="43"/>
        <v/>
      </c>
      <c r="AY68" s="48" t="s">
        <v>299</v>
      </c>
      <c r="AZ68" s="48"/>
      <c r="BA68" s="43" t="str">
        <f>IF(IFERROR(INDEX(Consulta!$A:$DF,MATCH('MM01'!$B68,Consulta!$C:$C,0),'MM01'!BA$2),"")=0,"",IFERROR(INDEX(Consulta!$A:$DF,MATCH('MM01'!$B68,Consulta!$C:$C,0),'MM01'!BA$2),""))</f>
        <v/>
      </c>
      <c r="BB68" s="43" t="str">
        <f t="shared" si="44"/>
        <v/>
      </c>
      <c r="BC68" s="43" t="str">
        <f t="shared" si="45"/>
        <v/>
      </c>
      <c r="BD68" s="43" t="str">
        <f t="shared" si="46"/>
        <v/>
      </c>
      <c r="BE68" s="43" t="str">
        <f t="shared" si="47"/>
        <v>M</v>
      </c>
      <c r="BF68" s="43" t="str">
        <f t="shared" si="48"/>
        <v/>
      </c>
      <c r="BG68" s="43" t="str">
        <f t="shared" si="49"/>
        <v/>
      </c>
      <c r="BH68" s="43" t="str">
        <f t="shared" si="50"/>
        <v/>
      </c>
      <c r="BI68" s="43" t="str">
        <f t="shared" si="51"/>
        <v>M</v>
      </c>
      <c r="BK68" s="45" t="s">
        <v>324</v>
      </c>
      <c r="BL68" s="43" t="str">
        <f>IF(IFERROR(INDEX(Consulta!$A:$DF,MATCH('MM01'!$B68,Consulta!$C:$C,0),'MM01'!BL$2),"")=0,"",IFERROR(INDEX(Consulta!$A:$DF,MATCH('MM01'!$B68,Consulta!$C:$C,0),'MM01'!BL$2),""))</f>
        <v/>
      </c>
      <c r="BM68" s="45">
        <v>99</v>
      </c>
      <c r="BN68" s="46" t="str">
        <f t="shared" ca="1" si="52"/>
        <v>28.04.2022</v>
      </c>
      <c r="BO68" s="49" t="str">
        <f t="shared" si="53"/>
        <v/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IF(IFERROR(INDEX(Consulta!$A:$DF,MATCH('MM01'!$B68,Consulta!$C:$C,0),'MM01'!BX$2),"")=0,"",IFERROR(INDEX(Consulta!$A:$DF,MATCH('MM01'!$B68,Consulta!$C:$C,0),'MM01'!BX$2),""))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54"/>
        <v/>
      </c>
      <c r="CD68" s="45" t="s">
        <v>430</v>
      </c>
      <c r="CE68" s="45">
        <v>1</v>
      </c>
      <c r="CF68" s="45" t="s">
        <v>496</v>
      </c>
      <c r="CG68" s="45"/>
      <c r="CH68" s="44">
        <v>2</v>
      </c>
      <c r="CI68" s="49" t="str">
        <f t="shared" si="55"/>
        <v/>
      </c>
      <c r="CJ68" s="49" t="str">
        <f t="shared" si="56"/>
        <v/>
      </c>
      <c r="CK68" s="45"/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7"/>
        <v>K00_P_</v>
      </c>
      <c r="CS68" s="45">
        <v>5000</v>
      </c>
      <c r="CT68" s="43" t="str">
        <f>IF(IFERROR(INDEX(Consulta!$A:$DF,MATCH('MM01'!$B68,Consulta!$C:$C,0),'MM01'!CT$2),"")=0,"",IFERROR(INDEX(Consulta!$A:$DF,MATCH('MM01'!$B68,Consulta!$C:$C,0),'MM01'!CT$2),""))</f>
        <v/>
      </c>
      <c r="CU68" s="43" t="str">
        <f>IF(IFERROR(INDEX(Consulta!$A:$DF,MATCH('MM01'!$B68,Consulta!$C:$C,0),'MM01'!CU$2),"")=0,"",IFERROR(INDEX(Consulta!$A:$DF,MATCH('MM01'!$B68,Consulta!$C:$C,0),'MM01'!CU$2),""))</f>
        <v/>
      </c>
      <c r="CV68" s="43" t="str">
        <f>IF(IFERROR(INDEX(Consulta!$A:$DF,MATCH('MM01'!$B68,Consulta!$C:$C,0),'MM01'!CV$2),"")=0,"",IFERROR(INDEX(Consulta!$A:$DF,MATCH('MM01'!$B68,Consulta!$C:$C,0),'MM01'!CV$2),""))</f>
        <v/>
      </c>
      <c r="CW68" s="43" t="str">
        <f>IF(IFERROR(INDEX(Consulta!$A:$DF,MATCH('MM01'!$B68,Consulta!$C:$C,0),'MM01'!CW$2),"")=0,"",IFERROR(INDEX(Consulta!$A:$DF,MATCH('MM01'!$B68,Consulta!$C:$C,0),'MM01'!CW$2),""))</f>
        <v/>
      </c>
      <c r="CX68" s="43" t="str">
        <f t="shared" si="58"/>
        <v/>
      </c>
      <c r="CY68" s="43" t="str">
        <f t="shared" si="59"/>
        <v/>
      </c>
      <c r="CZ68" s="43" t="str">
        <f t="shared" si="60"/>
        <v/>
      </c>
      <c r="DA68" s="43" t="str">
        <f>IF(IFERROR(INDEX(Consulta!$A:$DF,MATCH('MM01'!$B68,Consulta!$C:$C,0),'MM01'!DA$2),"")=0,"",IFERROR(INDEX(Consulta!$A:$DF,MATCH('MM01'!$B68,Consulta!$C:$C,0),'MM01'!DA$2),""))</f>
        <v/>
      </c>
      <c r="DB68" s="43" t="str">
        <f t="shared" si="61"/>
        <v/>
      </c>
      <c r="DC68" s="43" t="str">
        <f>IF(IFERROR(INDEX(Consulta!$A:$DF,MATCH('MM01'!$B68,Consulta!$C:$C,0),'MM01'!DC$2),"")=0,"",IFERROR(INDEX(Consulta!$A:$DF,MATCH('MM01'!$B68,Consulta!$C:$C,0),'MM01'!DC$2),""))</f>
        <v/>
      </c>
      <c r="DD68" s="45">
        <v>0</v>
      </c>
      <c r="DE68" s="45">
        <v>0</v>
      </c>
      <c r="DF68" s="43" t="str">
        <f t="shared" si="62"/>
        <v/>
      </c>
      <c r="DG68" s="43" t="str">
        <f t="shared" si="63"/>
        <v/>
      </c>
      <c r="DH68" s="55"/>
      <c r="DI68" s="43" t="str">
        <f t="shared" ca="1" si="64"/>
        <v/>
      </c>
      <c r="DJ68" s="43" t="str">
        <f t="shared" si="65"/>
        <v/>
      </c>
      <c r="DK68" s="43" t="str">
        <f t="shared" si="66"/>
        <v/>
      </c>
      <c r="DL68" s="55"/>
      <c r="DM68" s="43" t="str">
        <f t="shared" ca="1" si="67"/>
        <v/>
      </c>
      <c r="DN68" s="43" t="str">
        <f t="shared" si="68"/>
        <v/>
      </c>
      <c r="DO68" s="43" t="str">
        <f t="shared" si="69"/>
        <v/>
      </c>
      <c r="DP68" s="55"/>
      <c r="DQ68" s="43" t="str">
        <f t="shared" ca="1" si="70"/>
        <v/>
      </c>
      <c r="DR68" s="43" t="str">
        <f t="shared" si="71"/>
        <v/>
      </c>
      <c r="DS68" s="43" t="str">
        <f t="shared" si="72"/>
        <v/>
      </c>
      <c r="DT68" s="55"/>
      <c r="DU68" s="43" t="str">
        <f t="shared" ca="1" si="73"/>
        <v/>
      </c>
      <c r="DV68" s="43" t="str">
        <f t="shared" si="74"/>
        <v/>
      </c>
      <c r="DX68" s="44">
        <v>1</v>
      </c>
      <c r="DY68" s="44" t="s">
        <v>774</v>
      </c>
      <c r="DZ68" s="43">
        <f t="shared" si="75"/>
        <v>0.01</v>
      </c>
      <c r="EA68" s="43" t="str">
        <f t="shared" si="76"/>
        <v>M</v>
      </c>
      <c r="EB68" s="43" t="str">
        <f>IF(IFERROR(INDEX(Consulta!$A:$DF,MATCH('MM01'!$B68,Consulta!$C:$C,0),'MM01'!EB$2),"")=0,"7925",IF(IFERROR(INDEX(Consulta!$A:$DF,MATCH('MM01'!$B68,Consulta!$C:$C,0),'MM01'!EB$2),"")="68","7910","7925"))</f>
        <v>7925</v>
      </c>
      <c r="EC68" s="44">
        <v>100</v>
      </c>
      <c r="ED68" s="60">
        <v>1</v>
      </c>
      <c r="EE68" s="43">
        <f t="shared" si="77"/>
        <v>100</v>
      </c>
      <c r="EF68" s="44">
        <v>1</v>
      </c>
      <c r="EG68" s="44">
        <v>0</v>
      </c>
      <c r="EH68" s="44" t="s">
        <v>867</v>
      </c>
      <c r="EI68" s="45">
        <v>0</v>
      </c>
      <c r="EJ68" s="43">
        <f t="shared" si="78"/>
        <v>5000</v>
      </c>
      <c r="EK68" s="65"/>
    </row>
    <row r="69" spans="1:141" x14ac:dyDescent="0.3">
      <c r="A69" s="7" t="str">
        <f t="shared" si="0"/>
        <v>Execução 65</v>
      </c>
      <c r="B69" s="42"/>
      <c r="C69" s="43" t="str">
        <f>IF(IFERROR(INDEX(Consulta!$A:$DF,MATCH('MM01'!$B69,Consulta!$C:$C,0),'MM01'!C$2),"")=0,"",IFERROR(INDEX(Consulta!$A:$DF,MATCH('MM01'!$B69,Consulta!$C:$C,0),'MM01'!C$2),""))</f>
        <v/>
      </c>
      <c r="D69" s="43" t="str">
        <f>IF(IFERROR(INDEX(Consulta!$A:$DF,MATCH('MM01'!$B69,Consulta!$C:$C,0),'MM01'!D$2),"")=0,"",IFERROR(INDEX(Consulta!$A:$DF,MATCH('MM01'!$B69,Consulta!$C:$C,0),'MM01'!D$2),""))</f>
        <v/>
      </c>
      <c r="E69" s="43" t="str">
        <f>IF(IFERROR(INDEX(Consulta!$A:$DF,MATCH('MM01'!$B69,Consulta!$C:$C,0),'MM01'!E$2),"")=0,"",IFERROR(INDEX(Consulta!$A:$DF,MATCH('MM01'!$B69,Consulta!$C:$C,0),'MM01'!E$2),""))</f>
        <v/>
      </c>
      <c r="F69" s="44" t="s">
        <v>100</v>
      </c>
      <c r="G69" s="49" t="str">
        <f>IF(IFERROR(INDEX(Consulta!$A:$DF,MATCH('MM01'!$B69,Consulta!$C:$C,0),'MM01'!G$2),"")=0,"",IFERROR(INDEX(Consulta!$A:$DF,MATCH('MM01'!$B69,Consulta!$C:$C,0),'MM01'!G$2),""))</f>
        <v/>
      </c>
      <c r="H69" s="49" t="str">
        <f>IF(IFERROR(INDEX(Consulta!$A:$DF,MATCH('MM01'!$B69,Consulta!$C:$C,0),'MM01'!H$2),"")=0,"",IFERROR(INDEX(Consulta!$A:$DF,MATCH('MM01'!$B69,Consulta!$C:$C,0),'MM01'!H$2),""))</f>
        <v/>
      </c>
      <c r="I69" s="49" t="str">
        <f t="shared" si="40"/>
        <v/>
      </c>
      <c r="J69" s="49" t="str">
        <f>IF(IFERROR(INDEX(Consulta!$A:$DF,MATCH('MM01'!$B69,Consulta!$C:$C,0),'MM01'!J$2),"")=0,"",IFERROR(INDEX(Consulta!$A:$DF,MATCH('MM01'!$B69,Consulta!$C:$C,0),'MM01'!J$2),""))</f>
        <v/>
      </c>
      <c r="K69" s="49" t="str">
        <f t="shared" si="41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IF(IFERROR(INDEX(Consulta!$A:$DF,MATCH('MM01'!$B69,Consulta!$C:$C,0),'MM01'!AP$2),"")=0,"",IFERROR(INDEX(Consulta!$A:$DF,MATCH('MM01'!$B69,Consulta!$C:$C,0),'MM01'!AP$2),""))</f>
        <v/>
      </c>
      <c r="AQ69" s="45"/>
      <c r="AR69" s="43" t="str">
        <f>IF(IFERROR(INDEX(Consulta!$A:$DF,MATCH('MM01'!$B69,Consulta!$C:$C,0),'MM01'!AR$2),"")=0,"",IFERROR(INDEX(Consulta!$A:$DF,MATCH('MM01'!$B69,Consulta!$C:$C,0),'MM01'!AR$2),""))</f>
        <v/>
      </c>
      <c r="AS69" s="43" t="str">
        <f>IF(IFERROR(INDEX(Consulta!$A:$DF,MATCH('MM01'!$B69,Consulta!$C:$C,0),'MM01'!AS$2),"")=0,"",IF(AR69="68",5102,IFERROR(INDEX(Consulta!$A:$DF,MATCH('MM01'!$B69,Consulta!$C:$C,0),'MM01'!AS$2),"")))</f>
        <v/>
      </c>
      <c r="AT69" s="45"/>
      <c r="AU69" s="46" t="str">
        <f t="shared" ca="1" si="42"/>
        <v/>
      </c>
      <c r="AV69" s="47" t="s">
        <v>796</v>
      </c>
      <c r="AW69" s="43" t="str">
        <f>IF(IFERROR(INDEX(Consulta!$A:$DF,MATCH('MM01'!$B69,Consulta!$C:$C,0),'MM01'!AW$2),"")=0,"",IFERROR(ROUND(INDEX(Consulta!$A:$DF,MATCH('MM01'!$B69,Consulta!$C:$C,0),'MM01'!AW$2),3),""))</f>
        <v/>
      </c>
      <c r="AX69" s="43" t="str">
        <f t="shared" si="43"/>
        <v/>
      </c>
      <c r="AY69" s="48" t="s">
        <v>299</v>
      </c>
      <c r="AZ69" s="48"/>
      <c r="BA69" s="43" t="str">
        <f>IF(IFERROR(INDEX(Consulta!$A:$DF,MATCH('MM01'!$B69,Consulta!$C:$C,0),'MM01'!BA$2),"")=0,"",IFERROR(INDEX(Consulta!$A:$DF,MATCH('MM01'!$B69,Consulta!$C:$C,0),'MM01'!BA$2),""))</f>
        <v/>
      </c>
      <c r="BB69" s="43" t="str">
        <f t="shared" si="44"/>
        <v/>
      </c>
      <c r="BC69" s="43" t="str">
        <f t="shared" si="45"/>
        <v/>
      </c>
      <c r="BD69" s="43" t="str">
        <f t="shared" si="46"/>
        <v/>
      </c>
      <c r="BE69" s="43" t="str">
        <f t="shared" si="47"/>
        <v>M</v>
      </c>
      <c r="BF69" s="43" t="str">
        <f t="shared" si="48"/>
        <v/>
      </c>
      <c r="BG69" s="43" t="str">
        <f t="shared" si="49"/>
        <v/>
      </c>
      <c r="BH69" s="43" t="str">
        <f t="shared" si="50"/>
        <v/>
      </c>
      <c r="BI69" s="43" t="str">
        <f t="shared" si="51"/>
        <v>M</v>
      </c>
      <c r="BK69" s="45" t="s">
        <v>324</v>
      </c>
      <c r="BL69" s="43" t="str">
        <f>IF(IFERROR(INDEX(Consulta!$A:$DF,MATCH('MM01'!$B69,Consulta!$C:$C,0),'MM01'!BL$2),"")=0,"",IFERROR(INDEX(Consulta!$A:$DF,MATCH('MM01'!$B69,Consulta!$C:$C,0),'MM01'!BL$2),""))</f>
        <v/>
      </c>
      <c r="BM69" s="45">
        <v>99</v>
      </c>
      <c r="BN69" s="46" t="str">
        <f t="shared" ca="1" si="52"/>
        <v>28.04.2022</v>
      </c>
      <c r="BO69" s="49" t="str">
        <f t="shared" si="53"/>
        <v/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IF(IFERROR(INDEX(Consulta!$A:$DF,MATCH('MM01'!$B69,Consulta!$C:$C,0),'MM01'!BX$2),"")=0,"",IFERROR(INDEX(Consulta!$A:$DF,MATCH('MM01'!$B69,Consulta!$C:$C,0),'MM01'!BX$2),""))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54"/>
        <v/>
      </c>
      <c r="CD69" s="45" t="s">
        <v>430</v>
      </c>
      <c r="CE69" s="45">
        <v>1</v>
      </c>
      <c r="CF69" s="45" t="s">
        <v>496</v>
      </c>
      <c r="CG69" s="45"/>
      <c r="CH69" s="44">
        <v>2</v>
      </c>
      <c r="CI69" s="49" t="str">
        <f t="shared" si="55"/>
        <v/>
      </c>
      <c r="CJ69" s="49" t="str">
        <f t="shared" si="56"/>
        <v/>
      </c>
      <c r="CK69" s="45"/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7"/>
        <v>K00_P_</v>
      </c>
      <c r="CS69" s="45">
        <v>5000</v>
      </c>
      <c r="CT69" s="43" t="str">
        <f>IF(IFERROR(INDEX(Consulta!$A:$DF,MATCH('MM01'!$B69,Consulta!$C:$C,0),'MM01'!CT$2),"")=0,"",IFERROR(INDEX(Consulta!$A:$DF,MATCH('MM01'!$B69,Consulta!$C:$C,0),'MM01'!CT$2),""))</f>
        <v/>
      </c>
      <c r="CU69" s="43" t="str">
        <f>IF(IFERROR(INDEX(Consulta!$A:$DF,MATCH('MM01'!$B69,Consulta!$C:$C,0),'MM01'!CU$2),"")=0,"",IFERROR(INDEX(Consulta!$A:$DF,MATCH('MM01'!$B69,Consulta!$C:$C,0),'MM01'!CU$2),""))</f>
        <v/>
      </c>
      <c r="CV69" s="43" t="str">
        <f>IF(IFERROR(INDEX(Consulta!$A:$DF,MATCH('MM01'!$B69,Consulta!$C:$C,0),'MM01'!CV$2),"")=0,"",IFERROR(INDEX(Consulta!$A:$DF,MATCH('MM01'!$B69,Consulta!$C:$C,0),'MM01'!CV$2),""))</f>
        <v/>
      </c>
      <c r="CW69" s="43" t="str">
        <f>IF(IFERROR(INDEX(Consulta!$A:$DF,MATCH('MM01'!$B69,Consulta!$C:$C,0),'MM01'!CW$2),"")=0,"",IFERROR(INDEX(Consulta!$A:$DF,MATCH('MM01'!$B69,Consulta!$C:$C,0),'MM01'!CW$2),""))</f>
        <v/>
      </c>
      <c r="CX69" s="43" t="str">
        <f t="shared" si="58"/>
        <v/>
      </c>
      <c r="CY69" s="43" t="str">
        <f t="shared" si="59"/>
        <v/>
      </c>
      <c r="CZ69" s="43" t="str">
        <f t="shared" si="60"/>
        <v/>
      </c>
      <c r="DA69" s="43" t="str">
        <f>IF(IFERROR(INDEX(Consulta!$A:$DF,MATCH('MM01'!$B69,Consulta!$C:$C,0),'MM01'!DA$2),"")=0,"",IFERROR(INDEX(Consulta!$A:$DF,MATCH('MM01'!$B69,Consulta!$C:$C,0),'MM01'!DA$2),""))</f>
        <v/>
      </c>
      <c r="DB69" s="43" t="str">
        <f t="shared" si="61"/>
        <v/>
      </c>
      <c r="DC69" s="43" t="str">
        <f>IF(IFERROR(INDEX(Consulta!$A:$DF,MATCH('MM01'!$B69,Consulta!$C:$C,0),'MM01'!DC$2),"")=0,"",IFERROR(INDEX(Consulta!$A:$DF,MATCH('MM01'!$B69,Consulta!$C:$C,0),'MM01'!DC$2),""))</f>
        <v/>
      </c>
      <c r="DD69" s="45">
        <v>0</v>
      </c>
      <c r="DE69" s="45">
        <v>0</v>
      </c>
      <c r="DF69" s="43" t="str">
        <f t="shared" si="62"/>
        <v/>
      </c>
      <c r="DG69" s="43" t="str">
        <f t="shared" si="63"/>
        <v/>
      </c>
      <c r="DH69" s="55"/>
      <c r="DI69" s="43" t="str">
        <f t="shared" ca="1" si="64"/>
        <v/>
      </c>
      <c r="DJ69" s="43" t="str">
        <f t="shared" si="65"/>
        <v/>
      </c>
      <c r="DK69" s="43" t="str">
        <f t="shared" si="66"/>
        <v/>
      </c>
      <c r="DL69" s="55"/>
      <c r="DM69" s="43" t="str">
        <f t="shared" ca="1" si="67"/>
        <v/>
      </c>
      <c r="DN69" s="43" t="str">
        <f t="shared" si="68"/>
        <v/>
      </c>
      <c r="DO69" s="43" t="str">
        <f t="shared" si="69"/>
        <v/>
      </c>
      <c r="DP69" s="55"/>
      <c r="DQ69" s="43" t="str">
        <f t="shared" ca="1" si="70"/>
        <v/>
      </c>
      <c r="DR69" s="43" t="str">
        <f t="shared" si="71"/>
        <v/>
      </c>
      <c r="DS69" s="43" t="str">
        <f t="shared" si="72"/>
        <v/>
      </c>
      <c r="DT69" s="55"/>
      <c r="DU69" s="43" t="str">
        <f t="shared" ca="1" si="73"/>
        <v/>
      </c>
      <c r="DV69" s="43" t="str">
        <f t="shared" si="74"/>
        <v/>
      </c>
      <c r="DX69" s="44">
        <v>1</v>
      </c>
      <c r="DY69" s="44" t="s">
        <v>774</v>
      </c>
      <c r="DZ69" s="43">
        <f t="shared" si="75"/>
        <v>0.01</v>
      </c>
      <c r="EA69" s="43" t="str">
        <f t="shared" si="76"/>
        <v>M</v>
      </c>
      <c r="EB69" s="43" t="str">
        <f>IF(IFERROR(INDEX(Consulta!$A:$DF,MATCH('MM01'!$B69,Consulta!$C:$C,0),'MM01'!EB$2),"")=0,"7925",IF(IFERROR(INDEX(Consulta!$A:$DF,MATCH('MM01'!$B69,Consulta!$C:$C,0),'MM01'!EB$2),"")="68","7910","7925"))</f>
        <v>7925</v>
      </c>
      <c r="EC69" s="44">
        <v>100</v>
      </c>
      <c r="ED69" s="60">
        <v>1</v>
      </c>
      <c r="EE69" s="43">
        <f t="shared" si="77"/>
        <v>100</v>
      </c>
      <c r="EF69" s="44">
        <v>1</v>
      </c>
      <c r="EG69" s="44">
        <v>0</v>
      </c>
      <c r="EH69" s="44" t="s">
        <v>867</v>
      </c>
      <c r="EI69" s="45">
        <v>0</v>
      </c>
      <c r="EJ69" s="43">
        <f t="shared" si="78"/>
        <v>5000</v>
      </c>
      <c r="EK69" s="65"/>
    </row>
    <row r="70" spans="1:141" x14ac:dyDescent="0.3">
      <c r="A70" s="7" t="str">
        <f t="shared" ref="A70:A104" si="79">"Execução "&amp;ROW()-4</f>
        <v>Execução 66</v>
      </c>
      <c r="B70" s="42"/>
      <c r="C70" s="43" t="str">
        <f>IF(IFERROR(INDEX(Consulta!$A:$DF,MATCH('MM01'!$B70,Consulta!$C:$C,0),'MM01'!C$2),"")=0,"",IFERROR(INDEX(Consulta!$A:$DF,MATCH('MM01'!$B70,Consulta!$C:$C,0),'MM01'!C$2),""))</f>
        <v/>
      </c>
      <c r="D70" s="43" t="str">
        <f>IF(IFERROR(INDEX(Consulta!$A:$DF,MATCH('MM01'!$B70,Consulta!$C:$C,0),'MM01'!D$2),"")=0,"",IFERROR(INDEX(Consulta!$A:$DF,MATCH('MM01'!$B70,Consulta!$C:$C,0),'MM01'!D$2),""))</f>
        <v/>
      </c>
      <c r="E70" s="43" t="str">
        <f>IF(IFERROR(INDEX(Consulta!$A:$DF,MATCH('MM01'!$B70,Consulta!$C:$C,0),'MM01'!E$2),"")=0,"",IFERROR(INDEX(Consulta!$A:$DF,MATCH('MM01'!$B70,Consulta!$C:$C,0),'MM01'!E$2),""))</f>
        <v/>
      </c>
      <c r="F70" s="44" t="s">
        <v>100</v>
      </c>
      <c r="G70" s="49" t="str">
        <f>IF(IFERROR(INDEX(Consulta!$A:$DF,MATCH('MM01'!$B70,Consulta!$C:$C,0),'MM01'!G$2),"")=0,"",IFERROR(INDEX(Consulta!$A:$DF,MATCH('MM01'!$B70,Consulta!$C:$C,0),'MM01'!G$2),""))</f>
        <v/>
      </c>
      <c r="H70" s="49" t="str">
        <f>IF(IFERROR(INDEX(Consulta!$A:$DF,MATCH('MM01'!$B70,Consulta!$C:$C,0),'MM01'!H$2),"")=0,"",IFERROR(INDEX(Consulta!$A:$DF,MATCH('MM01'!$B70,Consulta!$C:$C,0),'MM01'!H$2),""))</f>
        <v/>
      </c>
      <c r="I70" s="49" t="str">
        <f t="shared" si="40"/>
        <v/>
      </c>
      <c r="J70" s="49" t="str">
        <f>IF(IFERROR(INDEX(Consulta!$A:$DF,MATCH('MM01'!$B70,Consulta!$C:$C,0),'MM01'!J$2),"")=0,"",IFERROR(INDEX(Consulta!$A:$DF,MATCH('MM01'!$B70,Consulta!$C:$C,0),'MM01'!J$2),""))</f>
        <v/>
      </c>
      <c r="K70" s="49" t="str">
        <f t="shared" si="41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IF(IFERROR(INDEX(Consulta!$A:$DF,MATCH('MM01'!$B70,Consulta!$C:$C,0),'MM01'!AP$2),"")=0,"",IFERROR(INDEX(Consulta!$A:$DF,MATCH('MM01'!$B70,Consulta!$C:$C,0),'MM01'!AP$2),""))</f>
        <v/>
      </c>
      <c r="AQ70" s="45"/>
      <c r="AR70" s="43" t="str">
        <f>IF(IFERROR(INDEX(Consulta!$A:$DF,MATCH('MM01'!$B70,Consulta!$C:$C,0),'MM01'!AR$2),"")=0,"",IFERROR(INDEX(Consulta!$A:$DF,MATCH('MM01'!$B70,Consulta!$C:$C,0),'MM01'!AR$2),""))</f>
        <v/>
      </c>
      <c r="AS70" s="43" t="str">
        <f>IF(IFERROR(INDEX(Consulta!$A:$DF,MATCH('MM01'!$B70,Consulta!$C:$C,0),'MM01'!AS$2),"")=0,"",IF(AR70="68",5102,IFERROR(INDEX(Consulta!$A:$DF,MATCH('MM01'!$B70,Consulta!$C:$C,0),'MM01'!AS$2),"")))</f>
        <v/>
      </c>
      <c r="AT70" s="45"/>
      <c r="AU70" s="46" t="str">
        <f t="shared" ca="1" si="42"/>
        <v/>
      </c>
      <c r="AV70" s="47" t="s">
        <v>796</v>
      </c>
      <c r="AW70" s="43" t="str">
        <f>IF(IFERROR(INDEX(Consulta!$A:$DF,MATCH('MM01'!$B70,Consulta!$C:$C,0),'MM01'!AW$2),"")=0,"",IFERROR(ROUND(INDEX(Consulta!$A:$DF,MATCH('MM01'!$B70,Consulta!$C:$C,0),'MM01'!AW$2),3),""))</f>
        <v/>
      </c>
      <c r="AX70" s="43" t="str">
        <f t="shared" si="43"/>
        <v/>
      </c>
      <c r="AY70" s="48" t="s">
        <v>299</v>
      </c>
      <c r="AZ70" s="48"/>
      <c r="BA70" s="43" t="str">
        <f>IF(IFERROR(INDEX(Consulta!$A:$DF,MATCH('MM01'!$B70,Consulta!$C:$C,0),'MM01'!BA$2),"")=0,"",IFERROR(INDEX(Consulta!$A:$DF,MATCH('MM01'!$B70,Consulta!$C:$C,0),'MM01'!BA$2),""))</f>
        <v/>
      </c>
      <c r="BB70" s="43" t="str">
        <f t="shared" si="44"/>
        <v/>
      </c>
      <c r="BC70" s="43" t="str">
        <f t="shared" si="45"/>
        <v/>
      </c>
      <c r="BD70" s="43" t="str">
        <f t="shared" si="46"/>
        <v/>
      </c>
      <c r="BE70" s="43" t="str">
        <f t="shared" si="47"/>
        <v>M</v>
      </c>
      <c r="BF70" s="43" t="str">
        <f t="shared" si="48"/>
        <v/>
      </c>
      <c r="BG70" s="43" t="str">
        <f t="shared" si="49"/>
        <v/>
      </c>
      <c r="BH70" s="43" t="str">
        <f t="shared" si="50"/>
        <v/>
      </c>
      <c r="BI70" s="43" t="str">
        <f t="shared" si="51"/>
        <v>M</v>
      </c>
      <c r="BK70" s="45" t="s">
        <v>324</v>
      </c>
      <c r="BL70" s="43" t="str">
        <f>IF(IFERROR(INDEX(Consulta!$A:$DF,MATCH('MM01'!$B70,Consulta!$C:$C,0),'MM01'!BL$2),"")=0,"",IFERROR(INDEX(Consulta!$A:$DF,MATCH('MM01'!$B70,Consulta!$C:$C,0),'MM01'!BL$2),""))</f>
        <v/>
      </c>
      <c r="BM70" s="45">
        <v>99</v>
      </c>
      <c r="BN70" s="46" t="str">
        <f t="shared" ca="1" si="52"/>
        <v>28.04.2022</v>
      </c>
      <c r="BO70" s="49" t="str">
        <f t="shared" si="53"/>
        <v/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IF(IFERROR(INDEX(Consulta!$A:$DF,MATCH('MM01'!$B70,Consulta!$C:$C,0),'MM01'!BX$2),"")=0,"",IFERROR(INDEX(Consulta!$A:$DF,MATCH('MM01'!$B70,Consulta!$C:$C,0),'MM01'!BX$2),""))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54"/>
        <v/>
      </c>
      <c r="CD70" s="45" t="s">
        <v>430</v>
      </c>
      <c r="CE70" s="45">
        <v>1</v>
      </c>
      <c r="CF70" s="45" t="s">
        <v>496</v>
      </c>
      <c r="CG70" s="45"/>
      <c r="CH70" s="44">
        <v>2</v>
      </c>
      <c r="CI70" s="49" t="str">
        <f t="shared" si="55"/>
        <v/>
      </c>
      <c r="CJ70" s="49" t="str">
        <f t="shared" si="56"/>
        <v/>
      </c>
      <c r="CK70" s="45"/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7"/>
        <v>K00_P_</v>
      </c>
      <c r="CS70" s="45">
        <v>5000</v>
      </c>
      <c r="CT70" s="43" t="str">
        <f>IF(IFERROR(INDEX(Consulta!$A:$DF,MATCH('MM01'!$B70,Consulta!$C:$C,0),'MM01'!CT$2),"")=0,"",IFERROR(INDEX(Consulta!$A:$DF,MATCH('MM01'!$B70,Consulta!$C:$C,0),'MM01'!CT$2),""))</f>
        <v/>
      </c>
      <c r="CU70" s="43" t="str">
        <f>IF(IFERROR(INDEX(Consulta!$A:$DF,MATCH('MM01'!$B70,Consulta!$C:$C,0),'MM01'!CU$2),"")=0,"",IFERROR(INDEX(Consulta!$A:$DF,MATCH('MM01'!$B70,Consulta!$C:$C,0),'MM01'!CU$2),""))</f>
        <v/>
      </c>
      <c r="CV70" s="43" t="str">
        <f>IF(IFERROR(INDEX(Consulta!$A:$DF,MATCH('MM01'!$B70,Consulta!$C:$C,0),'MM01'!CV$2),"")=0,"",IFERROR(INDEX(Consulta!$A:$DF,MATCH('MM01'!$B70,Consulta!$C:$C,0),'MM01'!CV$2),""))</f>
        <v/>
      </c>
      <c r="CW70" s="43" t="str">
        <f>IF(IFERROR(INDEX(Consulta!$A:$DF,MATCH('MM01'!$B70,Consulta!$C:$C,0),'MM01'!CW$2),"")=0,"",IFERROR(INDEX(Consulta!$A:$DF,MATCH('MM01'!$B70,Consulta!$C:$C,0),'MM01'!CW$2),""))</f>
        <v/>
      </c>
      <c r="CX70" s="43" t="str">
        <f t="shared" si="58"/>
        <v/>
      </c>
      <c r="CY70" s="43" t="str">
        <f t="shared" si="59"/>
        <v/>
      </c>
      <c r="CZ70" s="43" t="str">
        <f t="shared" si="60"/>
        <v/>
      </c>
      <c r="DA70" s="43" t="str">
        <f>IF(IFERROR(INDEX(Consulta!$A:$DF,MATCH('MM01'!$B70,Consulta!$C:$C,0),'MM01'!DA$2),"")=0,"",IFERROR(INDEX(Consulta!$A:$DF,MATCH('MM01'!$B70,Consulta!$C:$C,0),'MM01'!DA$2),""))</f>
        <v/>
      </c>
      <c r="DB70" s="43" t="str">
        <f t="shared" si="61"/>
        <v/>
      </c>
      <c r="DC70" s="43" t="str">
        <f>IF(IFERROR(INDEX(Consulta!$A:$DF,MATCH('MM01'!$B70,Consulta!$C:$C,0),'MM01'!DC$2),"")=0,"",IFERROR(INDEX(Consulta!$A:$DF,MATCH('MM01'!$B70,Consulta!$C:$C,0),'MM01'!DC$2),""))</f>
        <v/>
      </c>
      <c r="DD70" s="45">
        <v>0</v>
      </c>
      <c r="DE70" s="45">
        <v>0</v>
      </c>
      <c r="DF70" s="43" t="str">
        <f t="shared" si="62"/>
        <v/>
      </c>
      <c r="DG70" s="43" t="str">
        <f t="shared" si="63"/>
        <v/>
      </c>
      <c r="DH70" s="55"/>
      <c r="DI70" s="43" t="str">
        <f t="shared" ca="1" si="64"/>
        <v/>
      </c>
      <c r="DJ70" s="43" t="str">
        <f t="shared" si="65"/>
        <v/>
      </c>
      <c r="DK70" s="43" t="str">
        <f t="shared" si="66"/>
        <v/>
      </c>
      <c r="DL70" s="55"/>
      <c r="DM70" s="43" t="str">
        <f t="shared" ca="1" si="67"/>
        <v/>
      </c>
      <c r="DN70" s="43" t="str">
        <f t="shared" si="68"/>
        <v/>
      </c>
      <c r="DO70" s="43" t="str">
        <f t="shared" si="69"/>
        <v/>
      </c>
      <c r="DP70" s="55"/>
      <c r="DQ70" s="43" t="str">
        <f t="shared" ca="1" si="70"/>
        <v/>
      </c>
      <c r="DR70" s="43" t="str">
        <f t="shared" si="71"/>
        <v/>
      </c>
      <c r="DS70" s="43" t="str">
        <f t="shared" si="72"/>
        <v/>
      </c>
      <c r="DT70" s="55"/>
      <c r="DU70" s="43" t="str">
        <f t="shared" ca="1" si="73"/>
        <v/>
      </c>
      <c r="DV70" s="43" t="str">
        <f t="shared" si="74"/>
        <v/>
      </c>
      <c r="DX70" s="44">
        <v>1</v>
      </c>
      <c r="DY70" s="44" t="s">
        <v>774</v>
      </c>
      <c r="DZ70" s="43">
        <f t="shared" si="75"/>
        <v>0.01</v>
      </c>
      <c r="EA70" s="43" t="str">
        <f t="shared" si="76"/>
        <v>M</v>
      </c>
      <c r="EB70" s="43" t="str">
        <f>IF(IFERROR(INDEX(Consulta!$A:$DF,MATCH('MM01'!$B70,Consulta!$C:$C,0),'MM01'!EB$2),"")=0,"7925",IF(IFERROR(INDEX(Consulta!$A:$DF,MATCH('MM01'!$B70,Consulta!$C:$C,0),'MM01'!EB$2),"")="68","7910","7925"))</f>
        <v>7925</v>
      </c>
      <c r="EC70" s="44">
        <v>100</v>
      </c>
      <c r="ED70" s="60">
        <v>1</v>
      </c>
      <c r="EE70" s="43">
        <f t="shared" si="77"/>
        <v>100</v>
      </c>
      <c r="EF70" s="44">
        <v>1</v>
      </c>
      <c r="EG70" s="44">
        <v>0</v>
      </c>
      <c r="EH70" s="44" t="s">
        <v>867</v>
      </c>
      <c r="EI70" s="45">
        <v>0</v>
      </c>
      <c r="EJ70" s="43">
        <f t="shared" si="78"/>
        <v>5000</v>
      </c>
      <c r="EK70" s="65"/>
    </row>
    <row r="71" spans="1:141" x14ac:dyDescent="0.3">
      <c r="A71" s="7" t="str">
        <f t="shared" si="79"/>
        <v>Execução 67</v>
      </c>
      <c r="B71" s="42"/>
      <c r="C71" s="43" t="str">
        <f>IF(IFERROR(INDEX(Consulta!$A:$DF,MATCH('MM01'!$B71,Consulta!$C:$C,0),'MM01'!C$2),"")=0,"",IFERROR(INDEX(Consulta!$A:$DF,MATCH('MM01'!$B71,Consulta!$C:$C,0),'MM01'!C$2),""))</f>
        <v/>
      </c>
      <c r="D71" s="43" t="str">
        <f>IF(IFERROR(INDEX(Consulta!$A:$DF,MATCH('MM01'!$B71,Consulta!$C:$C,0),'MM01'!D$2),"")=0,"",IFERROR(INDEX(Consulta!$A:$DF,MATCH('MM01'!$B71,Consulta!$C:$C,0),'MM01'!D$2),""))</f>
        <v/>
      </c>
      <c r="E71" s="43" t="str">
        <f>IF(IFERROR(INDEX(Consulta!$A:$DF,MATCH('MM01'!$B71,Consulta!$C:$C,0),'MM01'!E$2),"")=0,"",IFERROR(INDEX(Consulta!$A:$DF,MATCH('MM01'!$B71,Consulta!$C:$C,0),'MM01'!E$2),""))</f>
        <v/>
      </c>
      <c r="F71" s="44" t="s">
        <v>100</v>
      </c>
      <c r="G71" s="49" t="str">
        <f>IF(IFERROR(INDEX(Consulta!$A:$DF,MATCH('MM01'!$B71,Consulta!$C:$C,0),'MM01'!G$2),"")=0,"",IFERROR(INDEX(Consulta!$A:$DF,MATCH('MM01'!$B71,Consulta!$C:$C,0),'MM01'!G$2),""))</f>
        <v/>
      </c>
      <c r="H71" s="49" t="str">
        <f>IF(IFERROR(INDEX(Consulta!$A:$DF,MATCH('MM01'!$B71,Consulta!$C:$C,0),'MM01'!H$2),"")=0,"",IFERROR(INDEX(Consulta!$A:$DF,MATCH('MM01'!$B71,Consulta!$C:$C,0),'MM01'!H$2),""))</f>
        <v/>
      </c>
      <c r="I71" s="49" t="str">
        <f t="shared" si="40"/>
        <v/>
      </c>
      <c r="J71" s="49" t="str">
        <f>IF(IFERROR(INDEX(Consulta!$A:$DF,MATCH('MM01'!$B71,Consulta!$C:$C,0),'MM01'!J$2),"")=0,"",IFERROR(INDEX(Consulta!$A:$DF,MATCH('MM01'!$B71,Consulta!$C:$C,0),'MM01'!J$2),""))</f>
        <v/>
      </c>
      <c r="K71" s="49" t="str">
        <f t="shared" si="41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IF(IFERROR(INDEX(Consulta!$A:$DF,MATCH('MM01'!$B71,Consulta!$C:$C,0),'MM01'!AP$2),"")=0,"",IFERROR(INDEX(Consulta!$A:$DF,MATCH('MM01'!$B71,Consulta!$C:$C,0),'MM01'!AP$2),""))</f>
        <v/>
      </c>
      <c r="AQ71" s="45"/>
      <c r="AR71" s="43" t="str">
        <f>IF(IFERROR(INDEX(Consulta!$A:$DF,MATCH('MM01'!$B71,Consulta!$C:$C,0),'MM01'!AR$2),"")=0,"",IFERROR(INDEX(Consulta!$A:$DF,MATCH('MM01'!$B71,Consulta!$C:$C,0),'MM01'!AR$2),""))</f>
        <v/>
      </c>
      <c r="AS71" s="43" t="str">
        <f>IF(IFERROR(INDEX(Consulta!$A:$DF,MATCH('MM01'!$B71,Consulta!$C:$C,0),'MM01'!AS$2),"")=0,"",IF(AR71="68",5102,IFERROR(INDEX(Consulta!$A:$DF,MATCH('MM01'!$B71,Consulta!$C:$C,0),'MM01'!AS$2),"")))</f>
        <v/>
      </c>
      <c r="AT71" s="45"/>
      <c r="AU71" s="46" t="str">
        <f t="shared" ca="1" si="42"/>
        <v/>
      </c>
      <c r="AV71" s="47" t="s">
        <v>796</v>
      </c>
      <c r="AW71" s="43" t="str">
        <f>IF(IFERROR(INDEX(Consulta!$A:$DF,MATCH('MM01'!$B71,Consulta!$C:$C,0),'MM01'!AW$2),"")=0,"",IFERROR(ROUND(INDEX(Consulta!$A:$DF,MATCH('MM01'!$B71,Consulta!$C:$C,0),'MM01'!AW$2),3),""))</f>
        <v/>
      </c>
      <c r="AX71" s="43" t="str">
        <f t="shared" si="43"/>
        <v/>
      </c>
      <c r="AY71" s="48" t="s">
        <v>299</v>
      </c>
      <c r="AZ71" s="48"/>
      <c r="BA71" s="43" t="str">
        <f>IF(IFERROR(INDEX(Consulta!$A:$DF,MATCH('MM01'!$B71,Consulta!$C:$C,0),'MM01'!BA$2),"")=0,"",IFERROR(INDEX(Consulta!$A:$DF,MATCH('MM01'!$B71,Consulta!$C:$C,0),'MM01'!BA$2),""))</f>
        <v/>
      </c>
      <c r="BB71" s="43" t="str">
        <f t="shared" si="44"/>
        <v/>
      </c>
      <c r="BC71" s="43" t="str">
        <f t="shared" si="45"/>
        <v/>
      </c>
      <c r="BD71" s="43" t="str">
        <f t="shared" si="46"/>
        <v/>
      </c>
      <c r="BE71" s="43" t="str">
        <f t="shared" si="47"/>
        <v>M</v>
      </c>
      <c r="BF71" s="43" t="str">
        <f t="shared" si="48"/>
        <v/>
      </c>
      <c r="BG71" s="43" t="str">
        <f t="shared" si="49"/>
        <v/>
      </c>
      <c r="BH71" s="43" t="str">
        <f t="shared" si="50"/>
        <v/>
      </c>
      <c r="BI71" s="43" t="str">
        <f t="shared" si="51"/>
        <v>M</v>
      </c>
      <c r="BK71" s="45" t="s">
        <v>324</v>
      </c>
      <c r="BL71" s="43" t="str">
        <f>IF(IFERROR(INDEX(Consulta!$A:$DF,MATCH('MM01'!$B71,Consulta!$C:$C,0),'MM01'!BL$2),"")=0,"",IFERROR(INDEX(Consulta!$A:$DF,MATCH('MM01'!$B71,Consulta!$C:$C,0),'MM01'!BL$2),""))</f>
        <v/>
      </c>
      <c r="BM71" s="45">
        <v>99</v>
      </c>
      <c r="BN71" s="46" t="str">
        <f t="shared" ca="1" si="52"/>
        <v>28.04.2022</v>
      </c>
      <c r="BO71" s="49" t="str">
        <f t="shared" si="53"/>
        <v/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IF(IFERROR(INDEX(Consulta!$A:$DF,MATCH('MM01'!$B71,Consulta!$C:$C,0),'MM01'!BX$2),"")=0,"",IFERROR(INDEX(Consulta!$A:$DF,MATCH('MM01'!$B71,Consulta!$C:$C,0),'MM01'!BX$2),""))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54"/>
        <v/>
      </c>
      <c r="CD71" s="45" t="s">
        <v>430</v>
      </c>
      <c r="CE71" s="45">
        <v>1</v>
      </c>
      <c r="CF71" s="45" t="s">
        <v>496</v>
      </c>
      <c r="CG71" s="45"/>
      <c r="CH71" s="44">
        <v>2</v>
      </c>
      <c r="CI71" s="49" t="str">
        <f t="shared" si="55"/>
        <v/>
      </c>
      <c r="CJ71" s="49" t="str">
        <f t="shared" si="56"/>
        <v/>
      </c>
      <c r="CK71" s="45"/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7"/>
        <v>K00_P_</v>
      </c>
      <c r="CS71" s="45">
        <v>5000</v>
      </c>
      <c r="CT71" s="43" t="str">
        <f>IF(IFERROR(INDEX(Consulta!$A:$DF,MATCH('MM01'!$B71,Consulta!$C:$C,0),'MM01'!CT$2),"")=0,"",IFERROR(INDEX(Consulta!$A:$DF,MATCH('MM01'!$B71,Consulta!$C:$C,0),'MM01'!CT$2),""))</f>
        <v/>
      </c>
      <c r="CU71" s="43" t="str">
        <f>IF(IFERROR(INDEX(Consulta!$A:$DF,MATCH('MM01'!$B71,Consulta!$C:$C,0),'MM01'!CU$2),"")=0,"",IFERROR(INDEX(Consulta!$A:$DF,MATCH('MM01'!$B71,Consulta!$C:$C,0),'MM01'!CU$2),""))</f>
        <v/>
      </c>
      <c r="CV71" s="43" t="str">
        <f>IF(IFERROR(INDEX(Consulta!$A:$DF,MATCH('MM01'!$B71,Consulta!$C:$C,0),'MM01'!CV$2),"")=0,"",IFERROR(INDEX(Consulta!$A:$DF,MATCH('MM01'!$B71,Consulta!$C:$C,0),'MM01'!CV$2),""))</f>
        <v/>
      </c>
      <c r="CW71" s="43" t="str">
        <f>IF(IFERROR(INDEX(Consulta!$A:$DF,MATCH('MM01'!$B71,Consulta!$C:$C,0),'MM01'!CW$2),"")=0,"",IFERROR(INDEX(Consulta!$A:$DF,MATCH('MM01'!$B71,Consulta!$C:$C,0),'MM01'!CW$2),""))</f>
        <v/>
      </c>
      <c r="CX71" s="43" t="str">
        <f t="shared" si="58"/>
        <v/>
      </c>
      <c r="CY71" s="43" t="str">
        <f t="shared" si="59"/>
        <v/>
      </c>
      <c r="CZ71" s="43" t="str">
        <f t="shared" si="60"/>
        <v/>
      </c>
      <c r="DA71" s="43" t="str">
        <f>IF(IFERROR(INDEX(Consulta!$A:$DF,MATCH('MM01'!$B71,Consulta!$C:$C,0),'MM01'!DA$2),"")=0,"",IFERROR(INDEX(Consulta!$A:$DF,MATCH('MM01'!$B71,Consulta!$C:$C,0),'MM01'!DA$2),""))</f>
        <v/>
      </c>
      <c r="DB71" s="43" t="str">
        <f t="shared" si="61"/>
        <v/>
      </c>
      <c r="DC71" s="43" t="str">
        <f>IF(IFERROR(INDEX(Consulta!$A:$DF,MATCH('MM01'!$B71,Consulta!$C:$C,0),'MM01'!DC$2),"")=0,"",IFERROR(INDEX(Consulta!$A:$DF,MATCH('MM01'!$B71,Consulta!$C:$C,0),'MM01'!DC$2),""))</f>
        <v/>
      </c>
      <c r="DD71" s="45">
        <v>0</v>
      </c>
      <c r="DE71" s="45">
        <v>0</v>
      </c>
      <c r="DF71" s="43" t="str">
        <f t="shared" si="62"/>
        <v/>
      </c>
      <c r="DG71" s="43" t="str">
        <f t="shared" si="63"/>
        <v/>
      </c>
      <c r="DH71" s="55"/>
      <c r="DI71" s="43" t="str">
        <f t="shared" ca="1" si="64"/>
        <v/>
      </c>
      <c r="DJ71" s="43" t="str">
        <f t="shared" si="65"/>
        <v/>
      </c>
      <c r="DK71" s="43" t="str">
        <f t="shared" si="66"/>
        <v/>
      </c>
      <c r="DL71" s="55"/>
      <c r="DM71" s="43" t="str">
        <f t="shared" ca="1" si="67"/>
        <v/>
      </c>
      <c r="DN71" s="43" t="str">
        <f t="shared" si="68"/>
        <v/>
      </c>
      <c r="DO71" s="43" t="str">
        <f t="shared" si="69"/>
        <v/>
      </c>
      <c r="DP71" s="55"/>
      <c r="DQ71" s="43" t="str">
        <f t="shared" ca="1" si="70"/>
        <v/>
      </c>
      <c r="DR71" s="43" t="str">
        <f t="shared" si="71"/>
        <v/>
      </c>
      <c r="DS71" s="43" t="str">
        <f t="shared" si="72"/>
        <v/>
      </c>
      <c r="DT71" s="55"/>
      <c r="DU71" s="43" t="str">
        <f t="shared" ca="1" si="73"/>
        <v/>
      </c>
      <c r="DV71" s="43" t="str">
        <f t="shared" si="74"/>
        <v/>
      </c>
      <c r="DX71" s="44">
        <v>1</v>
      </c>
      <c r="DY71" s="44" t="s">
        <v>774</v>
      </c>
      <c r="DZ71" s="43">
        <f t="shared" si="75"/>
        <v>0.01</v>
      </c>
      <c r="EA71" s="43" t="str">
        <f t="shared" si="76"/>
        <v>M</v>
      </c>
      <c r="EB71" s="43" t="str">
        <f>IF(IFERROR(INDEX(Consulta!$A:$DF,MATCH('MM01'!$B71,Consulta!$C:$C,0),'MM01'!EB$2),"")=0,"7925",IF(IFERROR(INDEX(Consulta!$A:$DF,MATCH('MM01'!$B71,Consulta!$C:$C,0),'MM01'!EB$2),"")="68","7910","7925"))</f>
        <v>7925</v>
      </c>
      <c r="EC71" s="44">
        <v>100</v>
      </c>
      <c r="ED71" s="60">
        <v>1</v>
      </c>
      <c r="EE71" s="43">
        <f t="shared" si="77"/>
        <v>100</v>
      </c>
      <c r="EF71" s="44">
        <v>1</v>
      </c>
      <c r="EG71" s="44">
        <v>0</v>
      </c>
      <c r="EH71" s="44" t="s">
        <v>867</v>
      </c>
      <c r="EI71" s="45">
        <v>0</v>
      </c>
      <c r="EJ71" s="43">
        <f t="shared" si="78"/>
        <v>5000</v>
      </c>
      <c r="EK71" s="65"/>
    </row>
    <row r="72" spans="1:141" x14ac:dyDescent="0.3">
      <c r="A72" s="7" t="str">
        <f t="shared" si="79"/>
        <v>Execução 68</v>
      </c>
      <c r="B72" s="42"/>
      <c r="C72" s="43" t="str">
        <f>IF(IFERROR(INDEX(Consulta!$A:$DF,MATCH('MM01'!$B72,Consulta!$C:$C,0),'MM01'!C$2),"")=0,"",IFERROR(INDEX(Consulta!$A:$DF,MATCH('MM01'!$B72,Consulta!$C:$C,0),'MM01'!C$2),""))</f>
        <v/>
      </c>
      <c r="D72" s="43" t="str">
        <f>IF(IFERROR(INDEX(Consulta!$A:$DF,MATCH('MM01'!$B72,Consulta!$C:$C,0),'MM01'!D$2),"")=0,"",IFERROR(INDEX(Consulta!$A:$DF,MATCH('MM01'!$B72,Consulta!$C:$C,0),'MM01'!D$2),""))</f>
        <v/>
      </c>
      <c r="E72" s="43" t="str">
        <f>IF(IFERROR(INDEX(Consulta!$A:$DF,MATCH('MM01'!$B72,Consulta!$C:$C,0),'MM01'!E$2),"")=0,"",IFERROR(INDEX(Consulta!$A:$DF,MATCH('MM01'!$B72,Consulta!$C:$C,0),'MM01'!E$2),""))</f>
        <v/>
      </c>
      <c r="F72" s="44" t="s">
        <v>100</v>
      </c>
      <c r="G72" s="49" t="str">
        <f>IF(IFERROR(INDEX(Consulta!$A:$DF,MATCH('MM01'!$B72,Consulta!$C:$C,0),'MM01'!G$2),"")=0,"",IFERROR(INDEX(Consulta!$A:$DF,MATCH('MM01'!$B72,Consulta!$C:$C,0),'MM01'!G$2),""))</f>
        <v/>
      </c>
      <c r="H72" s="49" t="str">
        <f>IF(IFERROR(INDEX(Consulta!$A:$DF,MATCH('MM01'!$B72,Consulta!$C:$C,0),'MM01'!H$2),"")=0,"",IFERROR(INDEX(Consulta!$A:$DF,MATCH('MM01'!$B72,Consulta!$C:$C,0),'MM01'!H$2),""))</f>
        <v/>
      </c>
      <c r="I72" s="49" t="str">
        <f t="shared" si="40"/>
        <v/>
      </c>
      <c r="J72" s="49" t="str">
        <f>IF(IFERROR(INDEX(Consulta!$A:$DF,MATCH('MM01'!$B72,Consulta!$C:$C,0),'MM01'!J$2),"")=0,"",IFERROR(INDEX(Consulta!$A:$DF,MATCH('MM01'!$B72,Consulta!$C:$C,0),'MM01'!J$2),""))</f>
        <v/>
      </c>
      <c r="K72" s="49" t="str">
        <f t="shared" si="41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IF(IFERROR(INDEX(Consulta!$A:$DF,MATCH('MM01'!$B72,Consulta!$C:$C,0),'MM01'!AP$2),"")=0,"",IFERROR(INDEX(Consulta!$A:$DF,MATCH('MM01'!$B72,Consulta!$C:$C,0),'MM01'!AP$2),""))</f>
        <v/>
      </c>
      <c r="AQ72" s="45"/>
      <c r="AR72" s="43" t="str">
        <f>IF(IFERROR(INDEX(Consulta!$A:$DF,MATCH('MM01'!$B72,Consulta!$C:$C,0),'MM01'!AR$2),"")=0,"",IFERROR(INDEX(Consulta!$A:$DF,MATCH('MM01'!$B72,Consulta!$C:$C,0),'MM01'!AR$2),""))</f>
        <v/>
      </c>
      <c r="AS72" s="43" t="str">
        <f>IF(IFERROR(INDEX(Consulta!$A:$DF,MATCH('MM01'!$B72,Consulta!$C:$C,0),'MM01'!AS$2),"")=0,"",IF(AR72="68",5102,IFERROR(INDEX(Consulta!$A:$DF,MATCH('MM01'!$B72,Consulta!$C:$C,0),'MM01'!AS$2),"")))</f>
        <v/>
      </c>
      <c r="AT72" s="45"/>
      <c r="AU72" s="46" t="str">
        <f t="shared" ca="1" si="42"/>
        <v/>
      </c>
      <c r="AV72" s="47" t="s">
        <v>796</v>
      </c>
      <c r="AW72" s="43" t="str">
        <f>IF(IFERROR(INDEX(Consulta!$A:$DF,MATCH('MM01'!$B72,Consulta!$C:$C,0),'MM01'!AW$2),"")=0,"",IFERROR(ROUND(INDEX(Consulta!$A:$DF,MATCH('MM01'!$B72,Consulta!$C:$C,0),'MM01'!AW$2),3),""))</f>
        <v/>
      </c>
      <c r="AX72" s="43" t="str">
        <f t="shared" si="43"/>
        <v/>
      </c>
      <c r="AY72" s="48" t="s">
        <v>299</v>
      </c>
      <c r="AZ72" s="48"/>
      <c r="BA72" s="43" t="str">
        <f>IF(IFERROR(INDEX(Consulta!$A:$DF,MATCH('MM01'!$B72,Consulta!$C:$C,0),'MM01'!BA$2),"")=0,"",IFERROR(INDEX(Consulta!$A:$DF,MATCH('MM01'!$B72,Consulta!$C:$C,0),'MM01'!BA$2),""))</f>
        <v/>
      </c>
      <c r="BB72" s="43" t="str">
        <f t="shared" si="44"/>
        <v/>
      </c>
      <c r="BC72" s="43" t="str">
        <f t="shared" si="45"/>
        <v/>
      </c>
      <c r="BD72" s="43" t="str">
        <f t="shared" si="46"/>
        <v/>
      </c>
      <c r="BE72" s="43" t="str">
        <f t="shared" si="47"/>
        <v>M</v>
      </c>
      <c r="BF72" s="43" t="str">
        <f t="shared" si="48"/>
        <v/>
      </c>
      <c r="BG72" s="43" t="str">
        <f t="shared" si="49"/>
        <v/>
      </c>
      <c r="BH72" s="43" t="str">
        <f t="shared" si="50"/>
        <v/>
      </c>
      <c r="BI72" s="43" t="str">
        <f t="shared" si="51"/>
        <v>M</v>
      </c>
      <c r="BK72" s="45" t="s">
        <v>324</v>
      </c>
      <c r="BL72" s="43" t="str">
        <f>IF(IFERROR(INDEX(Consulta!$A:$DF,MATCH('MM01'!$B72,Consulta!$C:$C,0),'MM01'!BL$2),"")=0,"",IFERROR(INDEX(Consulta!$A:$DF,MATCH('MM01'!$B72,Consulta!$C:$C,0),'MM01'!BL$2),""))</f>
        <v/>
      </c>
      <c r="BM72" s="45">
        <v>99</v>
      </c>
      <c r="BN72" s="46" t="str">
        <f t="shared" ca="1" si="52"/>
        <v>28.04.2022</v>
      </c>
      <c r="BO72" s="49" t="str">
        <f t="shared" si="53"/>
        <v/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IF(IFERROR(INDEX(Consulta!$A:$DF,MATCH('MM01'!$B72,Consulta!$C:$C,0),'MM01'!BX$2),"")=0,"",IFERROR(INDEX(Consulta!$A:$DF,MATCH('MM01'!$B72,Consulta!$C:$C,0),'MM01'!BX$2),""))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54"/>
        <v/>
      </c>
      <c r="CD72" s="45" t="s">
        <v>430</v>
      </c>
      <c r="CE72" s="45">
        <v>1</v>
      </c>
      <c r="CF72" s="45" t="s">
        <v>496</v>
      </c>
      <c r="CG72" s="45"/>
      <c r="CH72" s="44">
        <v>2</v>
      </c>
      <c r="CI72" s="49" t="str">
        <f t="shared" si="55"/>
        <v/>
      </c>
      <c r="CJ72" s="49" t="str">
        <f t="shared" si="56"/>
        <v/>
      </c>
      <c r="CK72" s="45"/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7"/>
        <v>K00_P_</v>
      </c>
      <c r="CS72" s="45">
        <v>5000</v>
      </c>
      <c r="CT72" s="43" t="str">
        <f>IF(IFERROR(INDEX(Consulta!$A:$DF,MATCH('MM01'!$B72,Consulta!$C:$C,0),'MM01'!CT$2),"")=0,"",IFERROR(INDEX(Consulta!$A:$DF,MATCH('MM01'!$B72,Consulta!$C:$C,0),'MM01'!CT$2),""))</f>
        <v/>
      </c>
      <c r="CU72" s="43" t="str">
        <f>IF(IFERROR(INDEX(Consulta!$A:$DF,MATCH('MM01'!$B72,Consulta!$C:$C,0),'MM01'!CU$2),"")=0,"",IFERROR(INDEX(Consulta!$A:$DF,MATCH('MM01'!$B72,Consulta!$C:$C,0),'MM01'!CU$2),""))</f>
        <v/>
      </c>
      <c r="CV72" s="43" t="str">
        <f>IF(IFERROR(INDEX(Consulta!$A:$DF,MATCH('MM01'!$B72,Consulta!$C:$C,0),'MM01'!CV$2),"")=0,"",IFERROR(INDEX(Consulta!$A:$DF,MATCH('MM01'!$B72,Consulta!$C:$C,0),'MM01'!CV$2),""))</f>
        <v/>
      </c>
      <c r="CW72" s="43" t="str">
        <f>IF(IFERROR(INDEX(Consulta!$A:$DF,MATCH('MM01'!$B72,Consulta!$C:$C,0),'MM01'!CW$2),"")=0,"",IFERROR(INDEX(Consulta!$A:$DF,MATCH('MM01'!$B72,Consulta!$C:$C,0),'MM01'!CW$2),""))</f>
        <v/>
      </c>
      <c r="CX72" s="43" t="str">
        <f t="shared" si="58"/>
        <v/>
      </c>
      <c r="CY72" s="43" t="str">
        <f t="shared" si="59"/>
        <v/>
      </c>
      <c r="CZ72" s="43" t="str">
        <f t="shared" si="60"/>
        <v/>
      </c>
      <c r="DA72" s="43" t="str">
        <f>IF(IFERROR(INDEX(Consulta!$A:$DF,MATCH('MM01'!$B72,Consulta!$C:$C,0),'MM01'!DA$2),"")=0,"",IFERROR(INDEX(Consulta!$A:$DF,MATCH('MM01'!$B72,Consulta!$C:$C,0),'MM01'!DA$2),""))</f>
        <v/>
      </c>
      <c r="DB72" s="43" t="str">
        <f t="shared" si="61"/>
        <v/>
      </c>
      <c r="DC72" s="43" t="str">
        <f>IF(IFERROR(INDEX(Consulta!$A:$DF,MATCH('MM01'!$B72,Consulta!$C:$C,0),'MM01'!DC$2),"")=0,"",IFERROR(INDEX(Consulta!$A:$DF,MATCH('MM01'!$B72,Consulta!$C:$C,0),'MM01'!DC$2),""))</f>
        <v/>
      </c>
      <c r="DD72" s="45">
        <v>0</v>
      </c>
      <c r="DE72" s="45">
        <v>0</v>
      </c>
      <c r="DF72" s="43" t="str">
        <f t="shared" si="62"/>
        <v/>
      </c>
      <c r="DG72" s="43" t="str">
        <f t="shared" si="63"/>
        <v/>
      </c>
      <c r="DH72" s="55"/>
      <c r="DI72" s="43" t="str">
        <f t="shared" ca="1" si="64"/>
        <v/>
      </c>
      <c r="DJ72" s="43" t="str">
        <f t="shared" si="65"/>
        <v/>
      </c>
      <c r="DK72" s="43" t="str">
        <f t="shared" si="66"/>
        <v/>
      </c>
      <c r="DL72" s="55"/>
      <c r="DM72" s="43" t="str">
        <f t="shared" ca="1" si="67"/>
        <v/>
      </c>
      <c r="DN72" s="43" t="str">
        <f t="shared" si="68"/>
        <v/>
      </c>
      <c r="DO72" s="43" t="str">
        <f t="shared" si="69"/>
        <v/>
      </c>
      <c r="DP72" s="55"/>
      <c r="DQ72" s="43" t="str">
        <f t="shared" ca="1" si="70"/>
        <v/>
      </c>
      <c r="DR72" s="43" t="str">
        <f t="shared" si="71"/>
        <v/>
      </c>
      <c r="DS72" s="43" t="str">
        <f t="shared" si="72"/>
        <v/>
      </c>
      <c r="DT72" s="55"/>
      <c r="DU72" s="43" t="str">
        <f t="shared" ca="1" si="73"/>
        <v/>
      </c>
      <c r="DV72" s="43" t="str">
        <f t="shared" si="74"/>
        <v/>
      </c>
      <c r="DX72" s="44">
        <v>1</v>
      </c>
      <c r="DY72" s="44" t="s">
        <v>774</v>
      </c>
      <c r="DZ72" s="43">
        <f t="shared" si="75"/>
        <v>0.01</v>
      </c>
      <c r="EA72" s="43" t="str">
        <f t="shared" si="76"/>
        <v>M</v>
      </c>
      <c r="EB72" s="43" t="str">
        <f>IF(IFERROR(INDEX(Consulta!$A:$DF,MATCH('MM01'!$B72,Consulta!$C:$C,0),'MM01'!EB$2),"")=0,"7925",IF(IFERROR(INDEX(Consulta!$A:$DF,MATCH('MM01'!$B72,Consulta!$C:$C,0),'MM01'!EB$2),"")="68","7910","7925"))</f>
        <v>7925</v>
      </c>
      <c r="EC72" s="44">
        <v>100</v>
      </c>
      <c r="ED72" s="60">
        <v>1</v>
      </c>
      <c r="EE72" s="43">
        <f t="shared" si="77"/>
        <v>100</v>
      </c>
      <c r="EF72" s="44">
        <v>1</v>
      </c>
      <c r="EG72" s="44">
        <v>0</v>
      </c>
      <c r="EH72" s="44" t="s">
        <v>867</v>
      </c>
      <c r="EI72" s="45">
        <v>0</v>
      </c>
      <c r="EJ72" s="43">
        <f t="shared" si="78"/>
        <v>5000</v>
      </c>
      <c r="EK72" s="65"/>
    </row>
    <row r="73" spans="1:141" x14ac:dyDescent="0.3">
      <c r="A73" s="7" t="str">
        <f t="shared" si="79"/>
        <v>Execução 69</v>
      </c>
      <c r="B73" s="42"/>
      <c r="C73" s="43" t="str">
        <f>IF(IFERROR(INDEX(Consulta!$A:$DF,MATCH('MM01'!$B73,Consulta!$C:$C,0),'MM01'!C$2),"")=0,"",IFERROR(INDEX(Consulta!$A:$DF,MATCH('MM01'!$B73,Consulta!$C:$C,0),'MM01'!C$2),""))</f>
        <v/>
      </c>
      <c r="D73" s="43" t="str">
        <f>IF(IFERROR(INDEX(Consulta!$A:$DF,MATCH('MM01'!$B73,Consulta!$C:$C,0),'MM01'!D$2),"")=0,"",IFERROR(INDEX(Consulta!$A:$DF,MATCH('MM01'!$B73,Consulta!$C:$C,0),'MM01'!D$2),""))</f>
        <v/>
      </c>
      <c r="E73" s="43" t="str">
        <f>IF(IFERROR(INDEX(Consulta!$A:$DF,MATCH('MM01'!$B73,Consulta!$C:$C,0),'MM01'!E$2),"")=0,"",IFERROR(INDEX(Consulta!$A:$DF,MATCH('MM01'!$B73,Consulta!$C:$C,0),'MM01'!E$2),""))</f>
        <v/>
      </c>
      <c r="F73" s="44" t="s">
        <v>100</v>
      </c>
      <c r="G73" s="49" t="str">
        <f>IF(IFERROR(INDEX(Consulta!$A:$DF,MATCH('MM01'!$B73,Consulta!$C:$C,0),'MM01'!G$2),"")=0,"",IFERROR(INDEX(Consulta!$A:$DF,MATCH('MM01'!$B73,Consulta!$C:$C,0),'MM01'!G$2),""))</f>
        <v/>
      </c>
      <c r="H73" s="49" t="str">
        <f>IF(IFERROR(INDEX(Consulta!$A:$DF,MATCH('MM01'!$B73,Consulta!$C:$C,0),'MM01'!H$2),"")=0,"",IFERROR(INDEX(Consulta!$A:$DF,MATCH('MM01'!$B73,Consulta!$C:$C,0),'MM01'!H$2),""))</f>
        <v/>
      </c>
      <c r="I73" s="49" t="str">
        <f t="shared" si="40"/>
        <v/>
      </c>
      <c r="J73" s="49" t="str">
        <f>IF(IFERROR(INDEX(Consulta!$A:$DF,MATCH('MM01'!$B73,Consulta!$C:$C,0),'MM01'!J$2),"")=0,"",IFERROR(INDEX(Consulta!$A:$DF,MATCH('MM01'!$B73,Consulta!$C:$C,0),'MM01'!J$2),""))</f>
        <v/>
      </c>
      <c r="K73" s="49" t="str">
        <f t="shared" si="41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IF(IFERROR(INDEX(Consulta!$A:$DF,MATCH('MM01'!$B73,Consulta!$C:$C,0),'MM01'!AP$2),"")=0,"",IFERROR(INDEX(Consulta!$A:$DF,MATCH('MM01'!$B73,Consulta!$C:$C,0),'MM01'!AP$2),""))</f>
        <v/>
      </c>
      <c r="AQ73" s="45"/>
      <c r="AR73" s="43" t="str">
        <f>IF(IFERROR(INDEX(Consulta!$A:$DF,MATCH('MM01'!$B73,Consulta!$C:$C,0),'MM01'!AR$2),"")=0,"",IFERROR(INDEX(Consulta!$A:$DF,MATCH('MM01'!$B73,Consulta!$C:$C,0),'MM01'!AR$2),""))</f>
        <v/>
      </c>
      <c r="AS73" s="43" t="str">
        <f>IF(IFERROR(INDEX(Consulta!$A:$DF,MATCH('MM01'!$B73,Consulta!$C:$C,0),'MM01'!AS$2),"")=0,"",IF(AR73="68",5102,IFERROR(INDEX(Consulta!$A:$DF,MATCH('MM01'!$B73,Consulta!$C:$C,0),'MM01'!AS$2),"")))</f>
        <v/>
      </c>
      <c r="AT73" s="45"/>
      <c r="AU73" s="46" t="str">
        <f t="shared" ca="1" si="42"/>
        <v/>
      </c>
      <c r="AV73" s="47" t="s">
        <v>796</v>
      </c>
      <c r="AW73" s="43" t="str">
        <f>IF(IFERROR(INDEX(Consulta!$A:$DF,MATCH('MM01'!$B73,Consulta!$C:$C,0),'MM01'!AW$2),"")=0,"",IFERROR(ROUND(INDEX(Consulta!$A:$DF,MATCH('MM01'!$B73,Consulta!$C:$C,0),'MM01'!AW$2),3),""))</f>
        <v/>
      </c>
      <c r="AX73" s="43" t="str">
        <f t="shared" si="43"/>
        <v/>
      </c>
      <c r="AY73" s="48" t="s">
        <v>299</v>
      </c>
      <c r="AZ73" s="48"/>
      <c r="BA73" s="43" t="str">
        <f>IF(IFERROR(INDEX(Consulta!$A:$DF,MATCH('MM01'!$B73,Consulta!$C:$C,0),'MM01'!BA$2),"")=0,"",IFERROR(INDEX(Consulta!$A:$DF,MATCH('MM01'!$B73,Consulta!$C:$C,0),'MM01'!BA$2),""))</f>
        <v/>
      </c>
      <c r="BB73" s="43" t="str">
        <f t="shared" si="44"/>
        <v/>
      </c>
      <c r="BC73" s="43" t="str">
        <f t="shared" si="45"/>
        <v/>
      </c>
      <c r="BD73" s="43" t="str">
        <f t="shared" si="46"/>
        <v/>
      </c>
      <c r="BE73" s="43" t="str">
        <f t="shared" si="47"/>
        <v>M</v>
      </c>
      <c r="BF73" s="43" t="str">
        <f t="shared" si="48"/>
        <v/>
      </c>
      <c r="BG73" s="43" t="str">
        <f t="shared" si="49"/>
        <v/>
      </c>
      <c r="BH73" s="43" t="str">
        <f t="shared" si="50"/>
        <v/>
      </c>
      <c r="BI73" s="43" t="str">
        <f t="shared" si="51"/>
        <v>M</v>
      </c>
      <c r="BK73" s="45" t="s">
        <v>324</v>
      </c>
      <c r="BL73" s="43" t="str">
        <f>IF(IFERROR(INDEX(Consulta!$A:$DF,MATCH('MM01'!$B73,Consulta!$C:$C,0),'MM01'!BL$2),"")=0,"",IFERROR(INDEX(Consulta!$A:$DF,MATCH('MM01'!$B73,Consulta!$C:$C,0),'MM01'!BL$2),""))</f>
        <v/>
      </c>
      <c r="BM73" s="45">
        <v>99</v>
      </c>
      <c r="BN73" s="46" t="str">
        <f t="shared" ca="1" si="52"/>
        <v>28.04.2022</v>
      </c>
      <c r="BO73" s="49" t="str">
        <f t="shared" si="53"/>
        <v/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IF(IFERROR(INDEX(Consulta!$A:$DF,MATCH('MM01'!$B73,Consulta!$C:$C,0),'MM01'!BX$2),"")=0,"",IFERROR(INDEX(Consulta!$A:$DF,MATCH('MM01'!$B73,Consulta!$C:$C,0),'MM01'!BX$2),""))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54"/>
        <v/>
      </c>
      <c r="CD73" s="45" t="s">
        <v>430</v>
      </c>
      <c r="CE73" s="45">
        <v>1</v>
      </c>
      <c r="CF73" s="45" t="s">
        <v>496</v>
      </c>
      <c r="CG73" s="45"/>
      <c r="CH73" s="44">
        <v>2</v>
      </c>
      <c r="CI73" s="49" t="str">
        <f t="shared" si="55"/>
        <v/>
      </c>
      <c r="CJ73" s="49" t="str">
        <f t="shared" si="56"/>
        <v/>
      </c>
      <c r="CK73" s="45"/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7"/>
        <v>K00_P_</v>
      </c>
      <c r="CS73" s="45">
        <v>5000</v>
      </c>
      <c r="CT73" s="43" t="str">
        <f>IF(IFERROR(INDEX(Consulta!$A:$DF,MATCH('MM01'!$B73,Consulta!$C:$C,0),'MM01'!CT$2),"")=0,"",IFERROR(INDEX(Consulta!$A:$DF,MATCH('MM01'!$B73,Consulta!$C:$C,0),'MM01'!CT$2),""))</f>
        <v/>
      </c>
      <c r="CU73" s="43" t="str">
        <f>IF(IFERROR(INDEX(Consulta!$A:$DF,MATCH('MM01'!$B73,Consulta!$C:$C,0),'MM01'!CU$2),"")=0,"",IFERROR(INDEX(Consulta!$A:$DF,MATCH('MM01'!$B73,Consulta!$C:$C,0),'MM01'!CU$2),""))</f>
        <v/>
      </c>
      <c r="CV73" s="43" t="str">
        <f>IF(IFERROR(INDEX(Consulta!$A:$DF,MATCH('MM01'!$B73,Consulta!$C:$C,0),'MM01'!CV$2),"")=0,"",IFERROR(INDEX(Consulta!$A:$DF,MATCH('MM01'!$B73,Consulta!$C:$C,0),'MM01'!CV$2),""))</f>
        <v/>
      </c>
      <c r="CW73" s="43" t="str">
        <f>IF(IFERROR(INDEX(Consulta!$A:$DF,MATCH('MM01'!$B73,Consulta!$C:$C,0),'MM01'!CW$2),"")=0,"",IFERROR(INDEX(Consulta!$A:$DF,MATCH('MM01'!$B73,Consulta!$C:$C,0),'MM01'!CW$2),""))</f>
        <v/>
      </c>
      <c r="CX73" s="43" t="str">
        <f t="shared" si="58"/>
        <v/>
      </c>
      <c r="CY73" s="43" t="str">
        <f t="shared" si="59"/>
        <v/>
      </c>
      <c r="CZ73" s="43" t="str">
        <f t="shared" si="60"/>
        <v/>
      </c>
      <c r="DA73" s="43" t="str">
        <f>IF(IFERROR(INDEX(Consulta!$A:$DF,MATCH('MM01'!$B73,Consulta!$C:$C,0),'MM01'!DA$2),"")=0,"",IFERROR(INDEX(Consulta!$A:$DF,MATCH('MM01'!$B73,Consulta!$C:$C,0),'MM01'!DA$2),""))</f>
        <v/>
      </c>
      <c r="DB73" s="43" t="str">
        <f t="shared" si="61"/>
        <v/>
      </c>
      <c r="DC73" s="43" t="str">
        <f>IF(IFERROR(INDEX(Consulta!$A:$DF,MATCH('MM01'!$B73,Consulta!$C:$C,0),'MM01'!DC$2),"")=0,"",IFERROR(INDEX(Consulta!$A:$DF,MATCH('MM01'!$B73,Consulta!$C:$C,0),'MM01'!DC$2),""))</f>
        <v/>
      </c>
      <c r="DD73" s="45">
        <v>0</v>
      </c>
      <c r="DE73" s="45">
        <v>0</v>
      </c>
      <c r="DF73" s="43" t="str">
        <f t="shared" si="62"/>
        <v/>
      </c>
      <c r="DG73" s="43" t="str">
        <f t="shared" si="63"/>
        <v/>
      </c>
      <c r="DH73" s="55"/>
      <c r="DI73" s="43" t="str">
        <f t="shared" ca="1" si="64"/>
        <v/>
      </c>
      <c r="DJ73" s="43" t="str">
        <f t="shared" si="65"/>
        <v/>
      </c>
      <c r="DK73" s="43" t="str">
        <f t="shared" si="66"/>
        <v/>
      </c>
      <c r="DL73" s="55"/>
      <c r="DM73" s="43" t="str">
        <f t="shared" ca="1" si="67"/>
        <v/>
      </c>
      <c r="DN73" s="43" t="str">
        <f t="shared" si="68"/>
        <v/>
      </c>
      <c r="DO73" s="43" t="str">
        <f t="shared" si="69"/>
        <v/>
      </c>
      <c r="DP73" s="55"/>
      <c r="DQ73" s="43" t="str">
        <f t="shared" ca="1" si="70"/>
        <v/>
      </c>
      <c r="DR73" s="43" t="str">
        <f t="shared" si="71"/>
        <v/>
      </c>
      <c r="DS73" s="43" t="str">
        <f t="shared" si="72"/>
        <v/>
      </c>
      <c r="DT73" s="55"/>
      <c r="DU73" s="43" t="str">
        <f t="shared" ca="1" si="73"/>
        <v/>
      </c>
      <c r="DV73" s="43" t="str">
        <f t="shared" si="74"/>
        <v/>
      </c>
      <c r="DX73" s="44">
        <v>1</v>
      </c>
      <c r="DY73" s="44" t="s">
        <v>774</v>
      </c>
      <c r="DZ73" s="43">
        <f t="shared" si="75"/>
        <v>0.01</v>
      </c>
      <c r="EA73" s="43" t="str">
        <f t="shared" si="76"/>
        <v>M</v>
      </c>
      <c r="EB73" s="43" t="str">
        <f>IF(IFERROR(INDEX(Consulta!$A:$DF,MATCH('MM01'!$B73,Consulta!$C:$C,0),'MM01'!EB$2),"")=0,"7925",IF(IFERROR(INDEX(Consulta!$A:$DF,MATCH('MM01'!$B73,Consulta!$C:$C,0),'MM01'!EB$2),"")="68","7910","7925"))</f>
        <v>7925</v>
      </c>
      <c r="EC73" s="44">
        <v>100</v>
      </c>
      <c r="ED73" s="60">
        <v>1</v>
      </c>
      <c r="EE73" s="43">
        <f t="shared" si="77"/>
        <v>100</v>
      </c>
      <c r="EF73" s="44">
        <v>1</v>
      </c>
      <c r="EG73" s="44">
        <v>0</v>
      </c>
      <c r="EH73" s="44" t="s">
        <v>867</v>
      </c>
      <c r="EI73" s="45">
        <v>0</v>
      </c>
      <c r="EJ73" s="43">
        <f t="shared" si="78"/>
        <v>5000</v>
      </c>
      <c r="EK73" s="65"/>
    </row>
    <row r="74" spans="1:141" x14ac:dyDescent="0.3">
      <c r="A74" s="7" t="str">
        <f t="shared" si="79"/>
        <v>Execução 70</v>
      </c>
      <c r="B74" s="42"/>
      <c r="C74" s="43" t="str">
        <f>IF(IFERROR(INDEX(Consulta!$A:$DF,MATCH('MM01'!$B74,Consulta!$C:$C,0),'MM01'!C$2),"")=0,"",IFERROR(INDEX(Consulta!$A:$DF,MATCH('MM01'!$B74,Consulta!$C:$C,0),'MM01'!C$2),""))</f>
        <v/>
      </c>
      <c r="D74" s="43" t="str">
        <f>IF(IFERROR(INDEX(Consulta!$A:$DF,MATCH('MM01'!$B74,Consulta!$C:$C,0),'MM01'!D$2),"")=0,"",IFERROR(INDEX(Consulta!$A:$DF,MATCH('MM01'!$B74,Consulta!$C:$C,0),'MM01'!D$2),""))</f>
        <v/>
      </c>
      <c r="E74" s="43" t="str">
        <f>IF(IFERROR(INDEX(Consulta!$A:$DF,MATCH('MM01'!$B74,Consulta!$C:$C,0),'MM01'!E$2),"")=0,"",IFERROR(INDEX(Consulta!$A:$DF,MATCH('MM01'!$B74,Consulta!$C:$C,0),'MM01'!E$2),""))</f>
        <v/>
      </c>
      <c r="F74" s="44" t="s">
        <v>100</v>
      </c>
      <c r="G74" s="49" t="str">
        <f>IF(IFERROR(INDEX(Consulta!$A:$DF,MATCH('MM01'!$B74,Consulta!$C:$C,0),'MM01'!G$2),"")=0,"",IFERROR(INDEX(Consulta!$A:$DF,MATCH('MM01'!$B74,Consulta!$C:$C,0),'MM01'!G$2),""))</f>
        <v/>
      </c>
      <c r="H74" s="49" t="str">
        <f>IF(IFERROR(INDEX(Consulta!$A:$DF,MATCH('MM01'!$B74,Consulta!$C:$C,0),'MM01'!H$2),"")=0,"",IFERROR(INDEX(Consulta!$A:$DF,MATCH('MM01'!$B74,Consulta!$C:$C,0),'MM01'!H$2),""))</f>
        <v/>
      </c>
      <c r="I74" s="49" t="str">
        <f t="shared" si="40"/>
        <v/>
      </c>
      <c r="J74" s="49" t="str">
        <f>IF(IFERROR(INDEX(Consulta!$A:$DF,MATCH('MM01'!$B74,Consulta!$C:$C,0),'MM01'!J$2),"")=0,"",IFERROR(INDEX(Consulta!$A:$DF,MATCH('MM01'!$B74,Consulta!$C:$C,0),'MM01'!J$2),""))</f>
        <v/>
      </c>
      <c r="K74" s="49" t="str">
        <f t="shared" si="41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IF(IFERROR(INDEX(Consulta!$A:$DF,MATCH('MM01'!$B74,Consulta!$C:$C,0),'MM01'!AP$2),"")=0,"",IFERROR(INDEX(Consulta!$A:$DF,MATCH('MM01'!$B74,Consulta!$C:$C,0),'MM01'!AP$2),""))</f>
        <v/>
      </c>
      <c r="AQ74" s="45"/>
      <c r="AR74" s="43" t="str">
        <f>IF(IFERROR(INDEX(Consulta!$A:$DF,MATCH('MM01'!$B74,Consulta!$C:$C,0),'MM01'!AR$2),"")=0,"",IFERROR(INDEX(Consulta!$A:$DF,MATCH('MM01'!$B74,Consulta!$C:$C,0),'MM01'!AR$2),""))</f>
        <v/>
      </c>
      <c r="AS74" s="43" t="str">
        <f>IF(IFERROR(INDEX(Consulta!$A:$DF,MATCH('MM01'!$B74,Consulta!$C:$C,0),'MM01'!AS$2),"")=0,"",IF(AR74="68",5102,IFERROR(INDEX(Consulta!$A:$DF,MATCH('MM01'!$B74,Consulta!$C:$C,0),'MM01'!AS$2),"")))</f>
        <v/>
      </c>
      <c r="AT74" s="45"/>
      <c r="AU74" s="46" t="str">
        <f t="shared" ca="1" si="42"/>
        <v/>
      </c>
      <c r="AV74" s="47" t="s">
        <v>796</v>
      </c>
      <c r="AW74" s="43" t="str">
        <f>IF(IFERROR(INDEX(Consulta!$A:$DF,MATCH('MM01'!$B74,Consulta!$C:$C,0),'MM01'!AW$2),"")=0,"",IFERROR(ROUND(INDEX(Consulta!$A:$DF,MATCH('MM01'!$B74,Consulta!$C:$C,0),'MM01'!AW$2),3),""))</f>
        <v/>
      </c>
      <c r="AX74" s="43" t="str">
        <f t="shared" si="43"/>
        <v/>
      </c>
      <c r="AY74" s="48" t="s">
        <v>299</v>
      </c>
      <c r="AZ74" s="48"/>
      <c r="BA74" s="43" t="str">
        <f>IF(IFERROR(INDEX(Consulta!$A:$DF,MATCH('MM01'!$B74,Consulta!$C:$C,0),'MM01'!BA$2),"")=0,"",IFERROR(INDEX(Consulta!$A:$DF,MATCH('MM01'!$B74,Consulta!$C:$C,0),'MM01'!BA$2),""))</f>
        <v/>
      </c>
      <c r="BB74" s="43" t="str">
        <f t="shared" si="44"/>
        <v/>
      </c>
      <c r="BC74" s="43" t="str">
        <f t="shared" si="45"/>
        <v/>
      </c>
      <c r="BD74" s="43" t="str">
        <f t="shared" si="46"/>
        <v/>
      </c>
      <c r="BE74" s="43" t="str">
        <f t="shared" si="47"/>
        <v>M</v>
      </c>
      <c r="BF74" s="43" t="str">
        <f t="shared" si="48"/>
        <v/>
      </c>
      <c r="BG74" s="43" t="str">
        <f t="shared" si="49"/>
        <v/>
      </c>
      <c r="BH74" s="43" t="str">
        <f t="shared" si="50"/>
        <v/>
      </c>
      <c r="BI74" s="43" t="str">
        <f t="shared" si="51"/>
        <v>M</v>
      </c>
      <c r="BK74" s="45" t="s">
        <v>324</v>
      </c>
      <c r="BL74" s="43" t="str">
        <f>IF(IFERROR(INDEX(Consulta!$A:$DF,MATCH('MM01'!$B74,Consulta!$C:$C,0),'MM01'!BL$2),"")=0,"",IFERROR(INDEX(Consulta!$A:$DF,MATCH('MM01'!$B74,Consulta!$C:$C,0),'MM01'!BL$2),""))</f>
        <v/>
      </c>
      <c r="BM74" s="45">
        <v>99</v>
      </c>
      <c r="BN74" s="46" t="str">
        <f t="shared" ca="1" si="52"/>
        <v>28.04.2022</v>
      </c>
      <c r="BO74" s="49" t="str">
        <f t="shared" si="53"/>
        <v/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IF(IFERROR(INDEX(Consulta!$A:$DF,MATCH('MM01'!$B74,Consulta!$C:$C,0),'MM01'!BX$2),"")=0,"",IFERROR(INDEX(Consulta!$A:$DF,MATCH('MM01'!$B74,Consulta!$C:$C,0),'MM01'!BX$2),""))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54"/>
        <v/>
      </c>
      <c r="CD74" s="45" t="s">
        <v>430</v>
      </c>
      <c r="CE74" s="45">
        <v>1</v>
      </c>
      <c r="CF74" s="45" t="s">
        <v>496</v>
      </c>
      <c r="CG74" s="45"/>
      <c r="CH74" s="44">
        <v>2</v>
      </c>
      <c r="CI74" s="49" t="str">
        <f t="shared" si="55"/>
        <v/>
      </c>
      <c r="CJ74" s="49" t="str">
        <f t="shared" si="56"/>
        <v/>
      </c>
      <c r="CK74" s="45"/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7"/>
        <v>K00_P_</v>
      </c>
      <c r="CS74" s="45">
        <v>5000</v>
      </c>
      <c r="CT74" s="43" t="str">
        <f>IF(IFERROR(INDEX(Consulta!$A:$DF,MATCH('MM01'!$B74,Consulta!$C:$C,0),'MM01'!CT$2),"")=0,"",IFERROR(INDEX(Consulta!$A:$DF,MATCH('MM01'!$B74,Consulta!$C:$C,0),'MM01'!CT$2),""))</f>
        <v/>
      </c>
      <c r="CU74" s="43" t="str">
        <f>IF(IFERROR(INDEX(Consulta!$A:$DF,MATCH('MM01'!$B74,Consulta!$C:$C,0),'MM01'!CU$2),"")=0,"",IFERROR(INDEX(Consulta!$A:$DF,MATCH('MM01'!$B74,Consulta!$C:$C,0),'MM01'!CU$2),""))</f>
        <v/>
      </c>
      <c r="CV74" s="43" t="str">
        <f>IF(IFERROR(INDEX(Consulta!$A:$DF,MATCH('MM01'!$B74,Consulta!$C:$C,0),'MM01'!CV$2),"")=0,"",IFERROR(INDEX(Consulta!$A:$DF,MATCH('MM01'!$B74,Consulta!$C:$C,0),'MM01'!CV$2),""))</f>
        <v/>
      </c>
      <c r="CW74" s="43" t="str">
        <f>IF(IFERROR(INDEX(Consulta!$A:$DF,MATCH('MM01'!$B74,Consulta!$C:$C,0),'MM01'!CW$2),"")=0,"",IFERROR(INDEX(Consulta!$A:$DF,MATCH('MM01'!$B74,Consulta!$C:$C,0),'MM01'!CW$2),""))</f>
        <v/>
      </c>
      <c r="CX74" s="43" t="str">
        <f t="shared" si="58"/>
        <v/>
      </c>
      <c r="CY74" s="43" t="str">
        <f t="shared" si="59"/>
        <v/>
      </c>
      <c r="CZ74" s="43" t="str">
        <f t="shared" si="60"/>
        <v/>
      </c>
      <c r="DA74" s="43" t="str">
        <f>IF(IFERROR(INDEX(Consulta!$A:$DF,MATCH('MM01'!$B74,Consulta!$C:$C,0),'MM01'!DA$2),"")=0,"",IFERROR(INDEX(Consulta!$A:$DF,MATCH('MM01'!$B74,Consulta!$C:$C,0),'MM01'!DA$2),""))</f>
        <v/>
      </c>
      <c r="DB74" s="43" t="str">
        <f t="shared" si="61"/>
        <v/>
      </c>
      <c r="DC74" s="43" t="str">
        <f>IF(IFERROR(INDEX(Consulta!$A:$DF,MATCH('MM01'!$B74,Consulta!$C:$C,0),'MM01'!DC$2),"")=0,"",IFERROR(INDEX(Consulta!$A:$DF,MATCH('MM01'!$B74,Consulta!$C:$C,0),'MM01'!DC$2),""))</f>
        <v/>
      </c>
      <c r="DD74" s="45">
        <v>0</v>
      </c>
      <c r="DE74" s="45">
        <v>0</v>
      </c>
      <c r="DF74" s="43" t="str">
        <f t="shared" si="62"/>
        <v/>
      </c>
      <c r="DG74" s="43" t="str">
        <f t="shared" si="63"/>
        <v/>
      </c>
      <c r="DH74" s="55"/>
      <c r="DI74" s="43" t="str">
        <f t="shared" ca="1" si="64"/>
        <v/>
      </c>
      <c r="DJ74" s="43" t="str">
        <f t="shared" si="65"/>
        <v/>
      </c>
      <c r="DK74" s="43" t="str">
        <f t="shared" si="66"/>
        <v/>
      </c>
      <c r="DL74" s="55"/>
      <c r="DM74" s="43" t="str">
        <f t="shared" ca="1" si="67"/>
        <v/>
      </c>
      <c r="DN74" s="43" t="str">
        <f t="shared" si="68"/>
        <v/>
      </c>
      <c r="DO74" s="43" t="str">
        <f t="shared" si="69"/>
        <v/>
      </c>
      <c r="DP74" s="55"/>
      <c r="DQ74" s="43" t="str">
        <f t="shared" ca="1" si="70"/>
        <v/>
      </c>
      <c r="DR74" s="43" t="str">
        <f t="shared" si="71"/>
        <v/>
      </c>
      <c r="DS74" s="43" t="str">
        <f t="shared" si="72"/>
        <v/>
      </c>
      <c r="DT74" s="55"/>
      <c r="DU74" s="43" t="str">
        <f t="shared" ca="1" si="73"/>
        <v/>
      </c>
      <c r="DV74" s="43" t="str">
        <f t="shared" si="74"/>
        <v/>
      </c>
      <c r="DX74" s="44">
        <v>1</v>
      </c>
      <c r="DY74" s="44" t="s">
        <v>774</v>
      </c>
      <c r="DZ74" s="43">
        <f t="shared" si="75"/>
        <v>0.01</v>
      </c>
      <c r="EA74" s="43" t="str">
        <f t="shared" si="76"/>
        <v>M</v>
      </c>
      <c r="EB74" s="43" t="str">
        <f>IF(IFERROR(INDEX(Consulta!$A:$DF,MATCH('MM01'!$B74,Consulta!$C:$C,0),'MM01'!EB$2),"")=0,"7925",IF(IFERROR(INDEX(Consulta!$A:$DF,MATCH('MM01'!$B74,Consulta!$C:$C,0),'MM01'!EB$2),"")="68","7910","7925"))</f>
        <v>7925</v>
      </c>
      <c r="EC74" s="44">
        <v>100</v>
      </c>
      <c r="ED74" s="60">
        <v>1</v>
      </c>
      <c r="EE74" s="43">
        <f t="shared" si="77"/>
        <v>100</v>
      </c>
      <c r="EF74" s="44">
        <v>1</v>
      </c>
      <c r="EG74" s="44">
        <v>0</v>
      </c>
      <c r="EH74" s="44" t="s">
        <v>867</v>
      </c>
      <c r="EI74" s="45">
        <v>0</v>
      </c>
      <c r="EJ74" s="43">
        <f t="shared" si="78"/>
        <v>5000</v>
      </c>
      <c r="EK74" s="65"/>
    </row>
    <row r="75" spans="1:141" x14ac:dyDescent="0.3">
      <c r="A75" s="7" t="str">
        <f t="shared" si="79"/>
        <v>Execução 71</v>
      </c>
      <c r="B75" s="42"/>
      <c r="C75" s="43" t="str">
        <f>IF(IFERROR(INDEX(Consulta!$A:$DF,MATCH('MM01'!$B75,Consulta!$C:$C,0),'MM01'!C$2),"")=0,"",IFERROR(INDEX(Consulta!$A:$DF,MATCH('MM01'!$B75,Consulta!$C:$C,0),'MM01'!C$2),""))</f>
        <v/>
      </c>
      <c r="D75" s="43" t="str">
        <f>IF(IFERROR(INDEX(Consulta!$A:$DF,MATCH('MM01'!$B75,Consulta!$C:$C,0),'MM01'!D$2),"")=0,"",IFERROR(INDEX(Consulta!$A:$DF,MATCH('MM01'!$B75,Consulta!$C:$C,0),'MM01'!D$2),""))</f>
        <v/>
      </c>
      <c r="E75" s="43" t="str">
        <f>IF(IFERROR(INDEX(Consulta!$A:$DF,MATCH('MM01'!$B75,Consulta!$C:$C,0),'MM01'!E$2),"")=0,"",IFERROR(INDEX(Consulta!$A:$DF,MATCH('MM01'!$B75,Consulta!$C:$C,0),'MM01'!E$2),""))</f>
        <v/>
      </c>
      <c r="F75" s="44" t="s">
        <v>100</v>
      </c>
      <c r="G75" s="49" t="str">
        <f>IF(IFERROR(INDEX(Consulta!$A:$DF,MATCH('MM01'!$B75,Consulta!$C:$C,0),'MM01'!G$2),"")=0,"",IFERROR(INDEX(Consulta!$A:$DF,MATCH('MM01'!$B75,Consulta!$C:$C,0),'MM01'!G$2),""))</f>
        <v/>
      </c>
      <c r="H75" s="49" t="str">
        <f>IF(IFERROR(INDEX(Consulta!$A:$DF,MATCH('MM01'!$B75,Consulta!$C:$C,0),'MM01'!H$2),"")=0,"",IFERROR(INDEX(Consulta!$A:$DF,MATCH('MM01'!$B75,Consulta!$C:$C,0),'MM01'!H$2),""))</f>
        <v/>
      </c>
      <c r="I75" s="49" t="str">
        <f t="shared" si="40"/>
        <v/>
      </c>
      <c r="J75" s="49" t="str">
        <f>IF(IFERROR(INDEX(Consulta!$A:$DF,MATCH('MM01'!$B75,Consulta!$C:$C,0),'MM01'!J$2),"")=0,"",IFERROR(INDEX(Consulta!$A:$DF,MATCH('MM01'!$B75,Consulta!$C:$C,0),'MM01'!J$2),""))</f>
        <v/>
      </c>
      <c r="K75" s="49" t="str">
        <f t="shared" si="41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IF(IFERROR(INDEX(Consulta!$A:$DF,MATCH('MM01'!$B75,Consulta!$C:$C,0),'MM01'!AP$2),"")=0,"",IFERROR(INDEX(Consulta!$A:$DF,MATCH('MM01'!$B75,Consulta!$C:$C,0),'MM01'!AP$2),""))</f>
        <v/>
      </c>
      <c r="AQ75" s="45"/>
      <c r="AR75" s="43" t="str">
        <f>IF(IFERROR(INDEX(Consulta!$A:$DF,MATCH('MM01'!$B75,Consulta!$C:$C,0),'MM01'!AR$2),"")=0,"",IFERROR(INDEX(Consulta!$A:$DF,MATCH('MM01'!$B75,Consulta!$C:$C,0),'MM01'!AR$2),""))</f>
        <v/>
      </c>
      <c r="AS75" s="43" t="str">
        <f>IF(IFERROR(INDEX(Consulta!$A:$DF,MATCH('MM01'!$B75,Consulta!$C:$C,0),'MM01'!AS$2),"")=0,"",IF(AR75="68",5102,IFERROR(INDEX(Consulta!$A:$DF,MATCH('MM01'!$B75,Consulta!$C:$C,0),'MM01'!AS$2),"")))</f>
        <v/>
      </c>
      <c r="AT75" s="45"/>
      <c r="AU75" s="46" t="str">
        <f t="shared" ca="1" si="42"/>
        <v/>
      </c>
      <c r="AV75" s="47" t="s">
        <v>796</v>
      </c>
      <c r="AW75" s="43" t="str">
        <f>IF(IFERROR(INDEX(Consulta!$A:$DF,MATCH('MM01'!$B75,Consulta!$C:$C,0),'MM01'!AW$2),"")=0,"",IFERROR(ROUND(INDEX(Consulta!$A:$DF,MATCH('MM01'!$B75,Consulta!$C:$C,0),'MM01'!AW$2),3),""))</f>
        <v/>
      </c>
      <c r="AX75" s="43" t="str">
        <f t="shared" si="43"/>
        <v/>
      </c>
      <c r="AY75" s="48" t="s">
        <v>299</v>
      </c>
      <c r="AZ75" s="48"/>
      <c r="BA75" s="43" t="str">
        <f>IF(IFERROR(INDEX(Consulta!$A:$DF,MATCH('MM01'!$B75,Consulta!$C:$C,0),'MM01'!BA$2),"")=0,"",IFERROR(INDEX(Consulta!$A:$DF,MATCH('MM01'!$B75,Consulta!$C:$C,0),'MM01'!BA$2),""))</f>
        <v/>
      </c>
      <c r="BB75" s="43" t="str">
        <f t="shared" si="44"/>
        <v/>
      </c>
      <c r="BC75" s="43" t="str">
        <f t="shared" si="45"/>
        <v/>
      </c>
      <c r="BD75" s="43" t="str">
        <f t="shared" si="46"/>
        <v/>
      </c>
      <c r="BE75" s="43" t="str">
        <f t="shared" si="47"/>
        <v>M</v>
      </c>
      <c r="BF75" s="43" t="str">
        <f t="shared" si="48"/>
        <v/>
      </c>
      <c r="BG75" s="43" t="str">
        <f t="shared" si="49"/>
        <v/>
      </c>
      <c r="BH75" s="43" t="str">
        <f t="shared" si="50"/>
        <v/>
      </c>
      <c r="BI75" s="43" t="str">
        <f t="shared" si="51"/>
        <v>M</v>
      </c>
      <c r="BK75" s="45" t="s">
        <v>324</v>
      </c>
      <c r="BL75" s="43" t="str">
        <f>IF(IFERROR(INDEX(Consulta!$A:$DF,MATCH('MM01'!$B75,Consulta!$C:$C,0),'MM01'!BL$2),"")=0,"",IFERROR(INDEX(Consulta!$A:$DF,MATCH('MM01'!$B75,Consulta!$C:$C,0),'MM01'!BL$2),""))</f>
        <v/>
      </c>
      <c r="BM75" s="45">
        <v>99</v>
      </c>
      <c r="BN75" s="46" t="str">
        <f t="shared" ca="1" si="52"/>
        <v>28.04.2022</v>
      </c>
      <c r="BO75" s="49" t="str">
        <f t="shared" si="53"/>
        <v/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IF(IFERROR(INDEX(Consulta!$A:$DF,MATCH('MM01'!$B75,Consulta!$C:$C,0),'MM01'!BX$2),"")=0,"",IFERROR(INDEX(Consulta!$A:$DF,MATCH('MM01'!$B75,Consulta!$C:$C,0),'MM01'!BX$2),""))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54"/>
        <v/>
      </c>
      <c r="CD75" s="45" t="s">
        <v>430</v>
      </c>
      <c r="CE75" s="45">
        <v>1</v>
      </c>
      <c r="CF75" s="45" t="s">
        <v>496</v>
      </c>
      <c r="CG75" s="45"/>
      <c r="CH75" s="44">
        <v>2</v>
      </c>
      <c r="CI75" s="49" t="str">
        <f t="shared" si="55"/>
        <v/>
      </c>
      <c r="CJ75" s="49" t="str">
        <f t="shared" si="56"/>
        <v/>
      </c>
      <c r="CK75" s="45"/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7"/>
        <v>K00_P_</v>
      </c>
      <c r="CS75" s="45">
        <v>5000</v>
      </c>
      <c r="CT75" s="43" t="str">
        <f>IF(IFERROR(INDEX(Consulta!$A:$DF,MATCH('MM01'!$B75,Consulta!$C:$C,0),'MM01'!CT$2),"")=0,"",IFERROR(INDEX(Consulta!$A:$DF,MATCH('MM01'!$B75,Consulta!$C:$C,0),'MM01'!CT$2),""))</f>
        <v/>
      </c>
      <c r="CU75" s="43" t="str">
        <f>IF(IFERROR(INDEX(Consulta!$A:$DF,MATCH('MM01'!$B75,Consulta!$C:$C,0),'MM01'!CU$2),"")=0,"",IFERROR(INDEX(Consulta!$A:$DF,MATCH('MM01'!$B75,Consulta!$C:$C,0),'MM01'!CU$2),""))</f>
        <v/>
      </c>
      <c r="CV75" s="43" t="str">
        <f>IF(IFERROR(INDEX(Consulta!$A:$DF,MATCH('MM01'!$B75,Consulta!$C:$C,0),'MM01'!CV$2),"")=0,"",IFERROR(INDEX(Consulta!$A:$DF,MATCH('MM01'!$B75,Consulta!$C:$C,0),'MM01'!CV$2),""))</f>
        <v/>
      </c>
      <c r="CW75" s="43" t="str">
        <f>IF(IFERROR(INDEX(Consulta!$A:$DF,MATCH('MM01'!$B75,Consulta!$C:$C,0),'MM01'!CW$2),"")=0,"",IFERROR(INDEX(Consulta!$A:$DF,MATCH('MM01'!$B75,Consulta!$C:$C,0),'MM01'!CW$2),""))</f>
        <v/>
      </c>
      <c r="CX75" s="43" t="str">
        <f t="shared" si="58"/>
        <v/>
      </c>
      <c r="CY75" s="43" t="str">
        <f t="shared" si="59"/>
        <v/>
      </c>
      <c r="CZ75" s="43" t="str">
        <f t="shared" si="60"/>
        <v/>
      </c>
      <c r="DA75" s="43" t="str">
        <f>IF(IFERROR(INDEX(Consulta!$A:$DF,MATCH('MM01'!$B75,Consulta!$C:$C,0),'MM01'!DA$2),"")=0,"",IFERROR(INDEX(Consulta!$A:$DF,MATCH('MM01'!$B75,Consulta!$C:$C,0),'MM01'!DA$2),""))</f>
        <v/>
      </c>
      <c r="DB75" s="43" t="str">
        <f t="shared" si="61"/>
        <v/>
      </c>
      <c r="DC75" s="43" t="str">
        <f>IF(IFERROR(INDEX(Consulta!$A:$DF,MATCH('MM01'!$B75,Consulta!$C:$C,0),'MM01'!DC$2),"")=0,"",IFERROR(INDEX(Consulta!$A:$DF,MATCH('MM01'!$B75,Consulta!$C:$C,0),'MM01'!DC$2),""))</f>
        <v/>
      </c>
      <c r="DD75" s="45">
        <v>0</v>
      </c>
      <c r="DE75" s="45">
        <v>0</v>
      </c>
      <c r="DF75" s="43" t="str">
        <f t="shared" si="62"/>
        <v/>
      </c>
      <c r="DG75" s="43" t="str">
        <f t="shared" si="63"/>
        <v/>
      </c>
      <c r="DH75" s="55"/>
      <c r="DI75" s="43" t="str">
        <f t="shared" ca="1" si="64"/>
        <v/>
      </c>
      <c r="DJ75" s="43" t="str">
        <f t="shared" si="65"/>
        <v/>
      </c>
      <c r="DK75" s="43" t="str">
        <f t="shared" si="66"/>
        <v/>
      </c>
      <c r="DL75" s="55"/>
      <c r="DM75" s="43" t="str">
        <f t="shared" ca="1" si="67"/>
        <v/>
      </c>
      <c r="DN75" s="43" t="str">
        <f t="shared" si="68"/>
        <v/>
      </c>
      <c r="DO75" s="43" t="str">
        <f t="shared" si="69"/>
        <v/>
      </c>
      <c r="DP75" s="55"/>
      <c r="DQ75" s="43" t="str">
        <f t="shared" ca="1" si="70"/>
        <v/>
      </c>
      <c r="DR75" s="43" t="str">
        <f t="shared" si="71"/>
        <v/>
      </c>
      <c r="DS75" s="43" t="str">
        <f t="shared" si="72"/>
        <v/>
      </c>
      <c r="DT75" s="55"/>
      <c r="DU75" s="43" t="str">
        <f t="shared" ca="1" si="73"/>
        <v/>
      </c>
      <c r="DV75" s="43" t="str">
        <f t="shared" si="74"/>
        <v/>
      </c>
      <c r="DX75" s="44">
        <v>1</v>
      </c>
      <c r="DY75" s="44" t="s">
        <v>774</v>
      </c>
      <c r="DZ75" s="43">
        <f t="shared" si="75"/>
        <v>0.01</v>
      </c>
      <c r="EA75" s="43" t="str">
        <f t="shared" si="76"/>
        <v>M</v>
      </c>
      <c r="EB75" s="43" t="str">
        <f>IF(IFERROR(INDEX(Consulta!$A:$DF,MATCH('MM01'!$B75,Consulta!$C:$C,0),'MM01'!EB$2),"")=0,"7925",IF(IFERROR(INDEX(Consulta!$A:$DF,MATCH('MM01'!$B75,Consulta!$C:$C,0),'MM01'!EB$2),"")="68","7910","7925"))</f>
        <v>7925</v>
      </c>
      <c r="EC75" s="44">
        <v>100</v>
      </c>
      <c r="ED75" s="60">
        <v>1</v>
      </c>
      <c r="EE75" s="43">
        <f t="shared" si="77"/>
        <v>100</v>
      </c>
      <c r="EF75" s="44">
        <v>1</v>
      </c>
      <c r="EG75" s="44">
        <v>0</v>
      </c>
      <c r="EH75" s="44" t="s">
        <v>867</v>
      </c>
      <c r="EI75" s="45">
        <v>0</v>
      </c>
      <c r="EJ75" s="43">
        <f t="shared" si="78"/>
        <v>5000</v>
      </c>
      <c r="EK75" s="65"/>
    </row>
    <row r="76" spans="1:141" x14ac:dyDescent="0.3">
      <c r="A76" s="7" t="str">
        <f t="shared" si="79"/>
        <v>Execução 72</v>
      </c>
      <c r="B76" s="42"/>
      <c r="C76" s="43" t="str">
        <f>IF(IFERROR(INDEX(Consulta!$A:$DF,MATCH('MM01'!$B76,Consulta!$C:$C,0),'MM01'!C$2),"")=0,"",IFERROR(INDEX(Consulta!$A:$DF,MATCH('MM01'!$B76,Consulta!$C:$C,0),'MM01'!C$2),""))</f>
        <v/>
      </c>
      <c r="D76" s="43" t="str">
        <f>IF(IFERROR(INDEX(Consulta!$A:$DF,MATCH('MM01'!$B76,Consulta!$C:$C,0),'MM01'!D$2),"")=0,"",IFERROR(INDEX(Consulta!$A:$DF,MATCH('MM01'!$B76,Consulta!$C:$C,0),'MM01'!D$2),""))</f>
        <v/>
      </c>
      <c r="E76" s="43" t="str">
        <f>IF(IFERROR(INDEX(Consulta!$A:$DF,MATCH('MM01'!$B76,Consulta!$C:$C,0),'MM01'!E$2),"")=0,"",IFERROR(INDEX(Consulta!$A:$DF,MATCH('MM01'!$B76,Consulta!$C:$C,0),'MM01'!E$2),""))</f>
        <v/>
      </c>
      <c r="F76" s="44" t="s">
        <v>100</v>
      </c>
      <c r="G76" s="49" t="str">
        <f>IF(IFERROR(INDEX(Consulta!$A:$DF,MATCH('MM01'!$B76,Consulta!$C:$C,0),'MM01'!G$2),"")=0,"",IFERROR(INDEX(Consulta!$A:$DF,MATCH('MM01'!$B76,Consulta!$C:$C,0),'MM01'!G$2),""))</f>
        <v/>
      </c>
      <c r="H76" s="49" t="str">
        <f>IF(IFERROR(INDEX(Consulta!$A:$DF,MATCH('MM01'!$B76,Consulta!$C:$C,0),'MM01'!H$2),"")=0,"",IFERROR(INDEX(Consulta!$A:$DF,MATCH('MM01'!$B76,Consulta!$C:$C,0),'MM01'!H$2),""))</f>
        <v/>
      </c>
      <c r="I76" s="49" t="str">
        <f t="shared" si="40"/>
        <v/>
      </c>
      <c r="J76" s="49" t="str">
        <f>IF(IFERROR(INDEX(Consulta!$A:$DF,MATCH('MM01'!$B76,Consulta!$C:$C,0),'MM01'!J$2),"")=0,"",IFERROR(INDEX(Consulta!$A:$DF,MATCH('MM01'!$B76,Consulta!$C:$C,0),'MM01'!J$2),""))</f>
        <v/>
      </c>
      <c r="K76" s="49" t="str">
        <f t="shared" si="41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IF(IFERROR(INDEX(Consulta!$A:$DF,MATCH('MM01'!$B76,Consulta!$C:$C,0),'MM01'!AP$2),"")=0,"",IFERROR(INDEX(Consulta!$A:$DF,MATCH('MM01'!$B76,Consulta!$C:$C,0),'MM01'!AP$2),""))</f>
        <v/>
      </c>
      <c r="AQ76" s="45"/>
      <c r="AR76" s="43" t="str">
        <f>IF(IFERROR(INDEX(Consulta!$A:$DF,MATCH('MM01'!$B76,Consulta!$C:$C,0),'MM01'!AR$2),"")=0,"",IFERROR(INDEX(Consulta!$A:$DF,MATCH('MM01'!$B76,Consulta!$C:$C,0),'MM01'!AR$2),""))</f>
        <v/>
      </c>
      <c r="AS76" s="43" t="str">
        <f>IF(IFERROR(INDEX(Consulta!$A:$DF,MATCH('MM01'!$B76,Consulta!$C:$C,0),'MM01'!AS$2),"")=0,"",IF(AR76="68",5102,IFERROR(INDEX(Consulta!$A:$DF,MATCH('MM01'!$B76,Consulta!$C:$C,0),'MM01'!AS$2),"")))</f>
        <v/>
      </c>
      <c r="AT76" s="45"/>
      <c r="AU76" s="46" t="str">
        <f t="shared" ca="1" si="42"/>
        <v/>
      </c>
      <c r="AV76" s="47" t="s">
        <v>796</v>
      </c>
      <c r="AW76" s="43" t="str">
        <f>IF(IFERROR(INDEX(Consulta!$A:$DF,MATCH('MM01'!$B76,Consulta!$C:$C,0),'MM01'!AW$2),"")=0,"",IFERROR(ROUND(INDEX(Consulta!$A:$DF,MATCH('MM01'!$B76,Consulta!$C:$C,0),'MM01'!AW$2),3),""))</f>
        <v/>
      </c>
      <c r="AX76" s="43" t="str">
        <f t="shared" si="43"/>
        <v/>
      </c>
      <c r="AY76" s="48" t="s">
        <v>299</v>
      </c>
      <c r="AZ76" s="48"/>
      <c r="BA76" s="43" t="str">
        <f>IF(IFERROR(INDEX(Consulta!$A:$DF,MATCH('MM01'!$B76,Consulta!$C:$C,0),'MM01'!BA$2),"")=0,"",IFERROR(INDEX(Consulta!$A:$DF,MATCH('MM01'!$B76,Consulta!$C:$C,0),'MM01'!BA$2),""))</f>
        <v/>
      </c>
      <c r="BB76" s="43" t="str">
        <f t="shared" si="44"/>
        <v/>
      </c>
      <c r="BC76" s="43" t="str">
        <f t="shared" si="45"/>
        <v/>
      </c>
      <c r="BD76" s="43" t="str">
        <f t="shared" si="46"/>
        <v/>
      </c>
      <c r="BE76" s="43" t="str">
        <f t="shared" si="47"/>
        <v>M</v>
      </c>
      <c r="BF76" s="43" t="str">
        <f t="shared" si="48"/>
        <v/>
      </c>
      <c r="BG76" s="43" t="str">
        <f t="shared" si="49"/>
        <v/>
      </c>
      <c r="BH76" s="43" t="str">
        <f t="shared" si="50"/>
        <v/>
      </c>
      <c r="BI76" s="43" t="str">
        <f t="shared" si="51"/>
        <v>M</v>
      </c>
      <c r="BK76" s="45" t="s">
        <v>324</v>
      </c>
      <c r="BL76" s="43" t="str">
        <f>IF(IFERROR(INDEX(Consulta!$A:$DF,MATCH('MM01'!$B76,Consulta!$C:$C,0),'MM01'!BL$2),"")=0,"",IFERROR(INDEX(Consulta!$A:$DF,MATCH('MM01'!$B76,Consulta!$C:$C,0),'MM01'!BL$2),""))</f>
        <v/>
      </c>
      <c r="BM76" s="45">
        <v>99</v>
      </c>
      <c r="BN76" s="46" t="str">
        <f t="shared" ca="1" si="52"/>
        <v>28.04.2022</v>
      </c>
      <c r="BO76" s="49" t="str">
        <f t="shared" si="53"/>
        <v/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IF(IFERROR(INDEX(Consulta!$A:$DF,MATCH('MM01'!$B76,Consulta!$C:$C,0),'MM01'!BX$2),"")=0,"",IFERROR(INDEX(Consulta!$A:$DF,MATCH('MM01'!$B76,Consulta!$C:$C,0),'MM01'!BX$2),""))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54"/>
        <v/>
      </c>
      <c r="CD76" s="45" t="s">
        <v>430</v>
      </c>
      <c r="CE76" s="45">
        <v>1</v>
      </c>
      <c r="CF76" s="45" t="s">
        <v>496</v>
      </c>
      <c r="CG76" s="45"/>
      <c r="CH76" s="44">
        <v>2</v>
      </c>
      <c r="CI76" s="49" t="str">
        <f t="shared" si="55"/>
        <v/>
      </c>
      <c r="CJ76" s="49" t="str">
        <f t="shared" si="56"/>
        <v/>
      </c>
      <c r="CK76" s="45"/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7"/>
        <v>K00_P_</v>
      </c>
      <c r="CS76" s="45">
        <v>5000</v>
      </c>
      <c r="CT76" s="43" t="str">
        <f>IF(IFERROR(INDEX(Consulta!$A:$DF,MATCH('MM01'!$B76,Consulta!$C:$C,0),'MM01'!CT$2),"")=0,"",IFERROR(INDEX(Consulta!$A:$DF,MATCH('MM01'!$B76,Consulta!$C:$C,0),'MM01'!CT$2),""))</f>
        <v/>
      </c>
      <c r="CU76" s="43" t="str">
        <f>IF(IFERROR(INDEX(Consulta!$A:$DF,MATCH('MM01'!$B76,Consulta!$C:$C,0),'MM01'!CU$2),"")=0,"",IFERROR(INDEX(Consulta!$A:$DF,MATCH('MM01'!$B76,Consulta!$C:$C,0),'MM01'!CU$2),""))</f>
        <v/>
      </c>
      <c r="CV76" s="43" t="str">
        <f>IF(IFERROR(INDEX(Consulta!$A:$DF,MATCH('MM01'!$B76,Consulta!$C:$C,0),'MM01'!CV$2),"")=0,"",IFERROR(INDEX(Consulta!$A:$DF,MATCH('MM01'!$B76,Consulta!$C:$C,0),'MM01'!CV$2),""))</f>
        <v/>
      </c>
      <c r="CW76" s="43" t="str">
        <f>IF(IFERROR(INDEX(Consulta!$A:$DF,MATCH('MM01'!$B76,Consulta!$C:$C,0),'MM01'!CW$2),"")=0,"",IFERROR(INDEX(Consulta!$A:$DF,MATCH('MM01'!$B76,Consulta!$C:$C,0),'MM01'!CW$2),""))</f>
        <v/>
      </c>
      <c r="CX76" s="43" t="str">
        <f t="shared" si="58"/>
        <v/>
      </c>
      <c r="CY76" s="43" t="str">
        <f t="shared" si="59"/>
        <v/>
      </c>
      <c r="CZ76" s="43" t="str">
        <f t="shared" si="60"/>
        <v/>
      </c>
      <c r="DA76" s="43" t="str">
        <f>IF(IFERROR(INDEX(Consulta!$A:$DF,MATCH('MM01'!$B76,Consulta!$C:$C,0),'MM01'!DA$2),"")=0,"",IFERROR(INDEX(Consulta!$A:$DF,MATCH('MM01'!$B76,Consulta!$C:$C,0),'MM01'!DA$2),""))</f>
        <v/>
      </c>
      <c r="DB76" s="43" t="str">
        <f t="shared" si="61"/>
        <v/>
      </c>
      <c r="DC76" s="43" t="str">
        <f>IF(IFERROR(INDEX(Consulta!$A:$DF,MATCH('MM01'!$B76,Consulta!$C:$C,0),'MM01'!DC$2),"")=0,"",IFERROR(INDEX(Consulta!$A:$DF,MATCH('MM01'!$B76,Consulta!$C:$C,0),'MM01'!DC$2),""))</f>
        <v/>
      </c>
      <c r="DD76" s="45">
        <v>0</v>
      </c>
      <c r="DE76" s="45">
        <v>0</v>
      </c>
      <c r="DF76" s="43" t="str">
        <f t="shared" si="62"/>
        <v/>
      </c>
      <c r="DG76" s="43" t="str">
        <f t="shared" si="63"/>
        <v/>
      </c>
      <c r="DH76" s="55"/>
      <c r="DI76" s="43" t="str">
        <f t="shared" ca="1" si="64"/>
        <v/>
      </c>
      <c r="DJ76" s="43" t="str">
        <f t="shared" si="65"/>
        <v/>
      </c>
      <c r="DK76" s="43" t="str">
        <f t="shared" si="66"/>
        <v/>
      </c>
      <c r="DL76" s="55"/>
      <c r="DM76" s="43" t="str">
        <f t="shared" ca="1" si="67"/>
        <v/>
      </c>
      <c r="DN76" s="43" t="str">
        <f t="shared" si="68"/>
        <v/>
      </c>
      <c r="DO76" s="43" t="str">
        <f t="shared" si="69"/>
        <v/>
      </c>
      <c r="DP76" s="55"/>
      <c r="DQ76" s="43" t="str">
        <f t="shared" ca="1" si="70"/>
        <v/>
      </c>
      <c r="DR76" s="43" t="str">
        <f t="shared" si="71"/>
        <v/>
      </c>
      <c r="DS76" s="43" t="str">
        <f t="shared" si="72"/>
        <v/>
      </c>
      <c r="DT76" s="55"/>
      <c r="DU76" s="43" t="str">
        <f t="shared" ca="1" si="73"/>
        <v/>
      </c>
      <c r="DV76" s="43" t="str">
        <f t="shared" si="74"/>
        <v/>
      </c>
      <c r="DX76" s="44">
        <v>1</v>
      </c>
      <c r="DY76" s="44" t="s">
        <v>774</v>
      </c>
      <c r="DZ76" s="43">
        <f t="shared" si="75"/>
        <v>0.01</v>
      </c>
      <c r="EA76" s="43" t="str">
        <f t="shared" si="76"/>
        <v>M</v>
      </c>
      <c r="EB76" s="43" t="str">
        <f>IF(IFERROR(INDEX(Consulta!$A:$DF,MATCH('MM01'!$B76,Consulta!$C:$C,0),'MM01'!EB$2),"")=0,"7925",IF(IFERROR(INDEX(Consulta!$A:$DF,MATCH('MM01'!$B76,Consulta!$C:$C,0),'MM01'!EB$2),"")="68","7910","7925"))</f>
        <v>7925</v>
      </c>
      <c r="EC76" s="44">
        <v>100</v>
      </c>
      <c r="ED76" s="60">
        <v>1</v>
      </c>
      <c r="EE76" s="43">
        <f t="shared" si="77"/>
        <v>100</v>
      </c>
      <c r="EF76" s="44">
        <v>1</v>
      </c>
      <c r="EG76" s="44">
        <v>0</v>
      </c>
      <c r="EH76" s="44" t="s">
        <v>867</v>
      </c>
      <c r="EI76" s="45">
        <v>0</v>
      </c>
      <c r="EJ76" s="43">
        <f t="shared" si="78"/>
        <v>5000</v>
      </c>
      <c r="EK76" s="65"/>
    </row>
    <row r="77" spans="1:141" x14ac:dyDescent="0.3">
      <c r="A77" s="7" t="str">
        <f t="shared" si="79"/>
        <v>Execução 73</v>
      </c>
      <c r="B77" s="42"/>
      <c r="C77" s="43" t="str">
        <f>IF(IFERROR(INDEX(Consulta!$A:$DF,MATCH('MM01'!$B77,Consulta!$C:$C,0),'MM01'!C$2),"")=0,"",IFERROR(INDEX(Consulta!$A:$DF,MATCH('MM01'!$B77,Consulta!$C:$C,0),'MM01'!C$2),""))</f>
        <v/>
      </c>
      <c r="D77" s="43" t="str">
        <f>IF(IFERROR(INDEX(Consulta!$A:$DF,MATCH('MM01'!$B77,Consulta!$C:$C,0),'MM01'!D$2),"")=0,"",IFERROR(INDEX(Consulta!$A:$DF,MATCH('MM01'!$B77,Consulta!$C:$C,0),'MM01'!D$2),""))</f>
        <v/>
      </c>
      <c r="E77" s="43" t="str">
        <f>IF(IFERROR(INDEX(Consulta!$A:$DF,MATCH('MM01'!$B77,Consulta!$C:$C,0),'MM01'!E$2),"")=0,"",IFERROR(INDEX(Consulta!$A:$DF,MATCH('MM01'!$B77,Consulta!$C:$C,0),'MM01'!E$2),""))</f>
        <v/>
      </c>
      <c r="F77" s="44" t="s">
        <v>100</v>
      </c>
      <c r="G77" s="49" t="str">
        <f>IF(IFERROR(INDEX(Consulta!$A:$DF,MATCH('MM01'!$B77,Consulta!$C:$C,0),'MM01'!G$2),"")=0,"",IFERROR(INDEX(Consulta!$A:$DF,MATCH('MM01'!$B77,Consulta!$C:$C,0),'MM01'!G$2),""))</f>
        <v/>
      </c>
      <c r="H77" s="49" t="str">
        <f>IF(IFERROR(INDEX(Consulta!$A:$DF,MATCH('MM01'!$B77,Consulta!$C:$C,0),'MM01'!H$2),"")=0,"",IFERROR(INDEX(Consulta!$A:$DF,MATCH('MM01'!$B77,Consulta!$C:$C,0),'MM01'!H$2),""))</f>
        <v/>
      </c>
      <c r="I77" s="49" t="str">
        <f t="shared" si="40"/>
        <v/>
      </c>
      <c r="J77" s="49" t="str">
        <f>IF(IFERROR(INDEX(Consulta!$A:$DF,MATCH('MM01'!$B77,Consulta!$C:$C,0),'MM01'!J$2),"")=0,"",IFERROR(INDEX(Consulta!$A:$DF,MATCH('MM01'!$B77,Consulta!$C:$C,0),'MM01'!J$2),""))</f>
        <v/>
      </c>
      <c r="K77" s="49" t="str">
        <f t="shared" si="41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IF(IFERROR(INDEX(Consulta!$A:$DF,MATCH('MM01'!$B77,Consulta!$C:$C,0),'MM01'!AP$2),"")=0,"",IFERROR(INDEX(Consulta!$A:$DF,MATCH('MM01'!$B77,Consulta!$C:$C,0),'MM01'!AP$2),""))</f>
        <v/>
      </c>
      <c r="AQ77" s="45"/>
      <c r="AR77" s="43" t="str">
        <f>IF(IFERROR(INDEX(Consulta!$A:$DF,MATCH('MM01'!$B77,Consulta!$C:$C,0),'MM01'!AR$2),"")=0,"",IFERROR(INDEX(Consulta!$A:$DF,MATCH('MM01'!$B77,Consulta!$C:$C,0),'MM01'!AR$2),""))</f>
        <v/>
      </c>
      <c r="AS77" s="43" t="str">
        <f>IF(IFERROR(INDEX(Consulta!$A:$DF,MATCH('MM01'!$B77,Consulta!$C:$C,0),'MM01'!AS$2),"")=0,"",IF(AR77="68",5102,IFERROR(INDEX(Consulta!$A:$DF,MATCH('MM01'!$B77,Consulta!$C:$C,0),'MM01'!AS$2),"")))</f>
        <v/>
      </c>
      <c r="AT77" s="45"/>
      <c r="AU77" s="46" t="str">
        <f t="shared" ca="1" si="42"/>
        <v/>
      </c>
      <c r="AV77" s="47" t="s">
        <v>796</v>
      </c>
      <c r="AW77" s="43" t="str">
        <f>IF(IFERROR(INDEX(Consulta!$A:$DF,MATCH('MM01'!$B77,Consulta!$C:$C,0),'MM01'!AW$2),"")=0,"",IFERROR(ROUND(INDEX(Consulta!$A:$DF,MATCH('MM01'!$B77,Consulta!$C:$C,0),'MM01'!AW$2),3),""))</f>
        <v/>
      </c>
      <c r="AX77" s="43" t="str">
        <f t="shared" si="43"/>
        <v/>
      </c>
      <c r="AY77" s="48" t="s">
        <v>299</v>
      </c>
      <c r="AZ77" s="48"/>
      <c r="BA77" s="43" t="str">
        <f>IF(IFERROR(INDEX(Consulta!$A:$DF,MATCH('MM01'!$B77,Consulta!$C:$C,0),'MM01'!BA$2),"")=0,"",IFERROR(INDEX(Consulta!$A:$DF,MATCH('MM01'!$B77,Consulta!$C:$C,0),'MM01'!BA$2),""))</f>
        <v/>
      </c>
      <c r="BB77" s="43" t="str">
        <f t="shared" si="44"/>
        <v/>
      </c>
      <c r="BC77" s="43" t="str">
        <f t="shared" si="45"/>
        <v/>
      </c>
      <c r="BD77" s="43" t="str">
        <f t="shared" si="46"/>
        <v/>
      </c>
      <c r="BE77" s="43" t="str">
        <f t="shared" si="47"/>
        <v>M</v>
      </c>
      <c r="BF77" s="43" t="str">
        <f t="shared" si="48"/>
        <v/>
      </c>
      <c r="BG77" s="43" t="str">
        <f t="shared" si="49"/>
        <v/>
      </c>
      <c r="BH77" s="43" t="str">
        <f t="shared" si="50"/>
        <v/>
      </c>
      <c r="BI77" s="43" t="str">
        <f t="shared" si="51"/>
        <v>M</v>
      </c>
      <c r="BK77" s="45" t="s">
        <v>324</v>
      </c>
      <c r="BL77" s="43" t="str">
        <f>IF(IFERROR(INDEX(Consulta!$A:$DF,MATCH('MM01'!$B77,Consulta!$C:$C,0),'MM01'!BL$2),"")=0,"",IFERROR(INDEX(Consulta!$A:$DF,MATCH('MM01'!$B77,Consulta!$C:$C,0),'MM01'!BL$2),""))</f>
        <v/>
      </c>
      <c r="BM77" s="45">
        <v>99</v>
      </c>
      <c r="BN77" s="46" t="str">
        <f t="shared" ca="1" si="52"/>
        <v>28.04.2022</v>
      </c>
      <c r="BO77" s="49" t="str">
        <f t="shared" si="53"/>
        <v/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IF(IFERROR(INDEX(Consulta!$A:$DF,MATCH('MM01'!$B77,Consulta!$C:$C,0),'MM01'!BX$2),"")=0,"",IFERROR(INDEX(Consulta!$A:$DF,MATCH('MM01'!$B77,Consulta!$C:$C,0),'MM01'!BX$2),""))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54"/>
        <v/>
      </c>
      <c r="CD77" s="45" t="s">
        <v>430</v>
      </c>
      <c r="CE77" s="45">
        <v>1</v>
      </c>
      <c r="CF77" s="45" t="s">
        <v>496</v>
      </c>
      <c r="CG77" s="45"/>
      <c r="CH77" s="44">
        <v>2</v>
      </c>
      <c r="CI77" s="49" t="str">
        <f t="shared" si="55"/>
        <v/>
      </c>
      <c r="CJ77" s="49" t="str">
        <f t="shared" si="56"/>
        <v/>
      </c>
      <c r="CK77" s="45"/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7"/>
        <v>K00_P_</v>
      </c>
      <c r="CS77" s="45">
        <v>5000</v>
      </c>
      <c r="CT77" s="43" t="str">
        <f>IF(IFERROR(INDEX(Consulta!$A:$DF,MATCH('MM01'!$B77,Consulta!$C:$C,0),'MM01'!CT$2),"")=0,"",IFERROR(INDEX(Consulta!$A:$DF,MATCH('MM01'!$B77,Consulta!$C:$C,0),'MM01'!CT$2),""))</f>
        <v/>
      </c>
      <c r="CU77" s="43" t="str">
        <f>IF(IFERROR(INDEX(Consulta!$A:$DF,MATCH('MM01'!$B77,Consulta!$C:$C,0),'MM01'!CU$2),"")=0,"",IFERROR(INDEX(Consulta!$A:$DF,MATCH('MM01'!$B77,Consulta!$C:$C,0),'MM01'!CU$2),""))</f>
        <v/>
      </c>
      <c r="CV77" s="43" t="str">
        <f>IF(IFERROR(INDEX(Consulta!$A:$DF,MATCH('MM01'!$B77,Consulta!$C:$C,0),'MM01'!CV$2),"")=0,"",IFERROR(INDEX(Consulta!$A:$DF,MATCH('MM01'!$B77,Consulta!$C:$C,0),'MM01'!CV$2),""))</f>
        <v/>
      </c>
      <c r="CW77" s="43" t="str">
        <f>IF(IFERROR(INDEX(Consulta!$A:$DF,MATCH('MM01'!$B77,Consulta!$C:$C,0),'MM01'!CW$2),"")=0,"",IFERROR(INDEX(Consulta!$A:$DF,MATCH('MM01'!$B77,Consulta!$C:$C,0),'MM01'!CW$2),""))</f>
        <v/>
      </c>
      <c r="CX77" s="43" t="str">
        <f t="shared" si="58"/>
        <v/>
      </c>
      <c r="CY77" s="43" t="str">
        <f t="shared" si="59"/>
        <v/>
      </c>
      <c r="CZ77" s="43" t="str">
        <f t="shared" si="60"/>
        <v/>
      </c>
      <c r="DA77" s="43" t="str">
        <f>IF(IFERROR(INDEX(Consulta!$A:$DF,MATCH('MM01'!$B77,Consulta!$C:$C,0),'MM01'!DA$2),"")=0,"",IFERROR(INDEX(Consulta!$A:$DF,MATCH('MM01'!$B77,Consulta!$C:$C,0),'MM01'!DA$2),""))</f>
        <v/>
      </c>
      <c r="DB77" s="43" t="str">
        <f t="shared" si="61"/>
        <v/>
      </c>
      <c r="DC77" s="43" t="str">
        <f>IF(IFERROR(INDEX(Consulta!$A:$DF,MATCH('MM01'!$B77,Consulta!$C:$C,0),'MM01'!DC$2),"")=0,"",IFERROR(INDEX(Consulta!$A:$DF,MATCH('MM01'!$B77,Consulta!$C:$C,0),'MM01'!DC$2),""))</f>
        <v/>
      </c>
      <c r="DD77" s="45">
        <v>0</v>
      </c>
      <c r="DE77" s="45">
        <v>0</v>
      </c>
      <c r="DF77" s="43" t="str">
        <f t="shared" si="62"/>
        <v/>
      </c>
      <c r="DG77" s="43" t="str">
        <f t="shared" si="63"/>
        <v/>
      </c>
      <c r="DH77" s="55"/>
      <c r="DI77" s="43" t="str">
        <f t="shared" ca="1" si="64"/>
        <v/>
      </c>
      <c r="DJ77" s="43" t="str">
        <f t="shared" si="65"/>
        <v/>
      </c>
      <c r="DK77" s="43" t="str">
        <f t="shared" si="66"/>
        <v/>
      </c>
      <c r="DL77" s="55"/>
      <c r="DM77" s="43" t="str">
        <f t="shared" ca="1" si="67"/>
        <v/>
      </c>
      <c r="DN77" s="43" t="str">
        <f t="shared" si="68"/>
        <v/>
      </c>
      <c r="DO77" s="43" t="str">
        <f t="shared" si="69"/>
        <v/>
      </c>
      <c r="DP77" s="55"/>
      <c r="DQ77" s="43" t="str">
        <f t="shared" ca="1" si="70"/>
        <v/>
      </c>
      <c r="DR77" s="43" t="str">
        <f t="shared" si="71"/>
        <v/>
      </c>
      <c r="DS77" s="43" t="str">
        <f t="shared" si="72"/>
        <v/>
      </c>
      <c r="DT77" s="55"/>
      <c r="DU77" s="43" t="str">
        <f t="shared" ca="1" si="73"/>
        <v/>
      </c>
      <c r="DV77" s="43" t="str">
        <f t="shared" si="74"/>
        <v/>
      </c>
      <c r="DX77" s="44">
        <v>1</v>
      </c>
      <c r="DY77" s="44" t="s">
        <v>774</v>
      </c>
      <c r="DZ77" s="43">
        <f t="shared" si="75"/>
        <v>0.01</v>
      </c>
      <c r="EA77" s="43" t="str">
        <f t="shared" si="76"/>
        <v>M</v>
      </c>
      <c r="EB77" s="43" t="str">
        <f>IF(IFERROR(INDEX(Consulta!$A:$DF,MATCH('MM01'!$B77,Consulta!$C:$C,0),'MM01'!EB$2),"")=0,"7925",IF(IFERROR(INDEX(Consulta!$A:$DF,MATCH('MM01'!$B77,Consulta!$C:$C,0),'MM01'!EB$2),"")="68","7910","7925"))</f>
        <v>7925</v>
      </c>
      <c r="EC77" s="44">
        <v>100</v>
      </c>
      <c r="ED77" s="60">
        <v>1</v>
      </c>
      <c r="EE77" s="43">
        <f t="shared" si="77"/>
        <v>100</v>
      </c>
      <c r="EF77" s="44">
        <v>1</v>
      </c>
      <c r="EG77" s="44">
        <v>0</v>
      </c>
      <c r="EH77" s="44" t="s">
        <v>867</v>
      </c>
      <c r="EI77" s="45">
        <v>0</v>
      </c>
      <c r="EJ77" s="43">
        <f t="shared" si="78"/>
        <v>5000</v>
      </c>
      <c r="EK77" s="65"/>
    </row>
    <row r="78" spans="1:141" x14ac:dyDescent="0.3">
      <c r="A78" s="7" t="str">
        <f t="shared" si="79"/>
        <v>Execução 74</v>
      </c>
      <c r="B78" s="42"/>
      <c r="C78" s="43" t="str">
        <f>IF(IFERROR(INDEX(Consulta!$A:$DF,MATCH('MM01'!$B78,Consulta!$C:$C,0),'MM01'!C$2),"")=0,"",IFERROR(INDEX(Consulta!$A:$DF,MATCH('MM01'!$B78,Consulta!$C:$C,0),'MM01'!C$2),""))</f>
        <v/>
      </c>
      <c r="D78" s="43" t="str">
        <f>IF(IFERROR(INDEX(Consulta!$A:$DF,MATCH('MM01'!$B78,Consulta!$C:$C,0),'MM01'!D$2),"")=0,"",IFERROR(INDEX(Consulta!$A:$DF,MATCH('MM01'!$B78,Consulta!$C:$C,0),'MM01'!D$2),""))</f>
        <v/>
      </c>
      <c r="E78" s="43" t="str">
        <f>IF(IFERROR(INDEX(Consulta!$A:$DF,MATCH('MM01'!$B78,Consulta!$C:$C,0),'MM01'!E$2),"")=0,"",IFERROR(INDEX(Consulta!$A:$DF,MATCH('MM01'!$B78,Consulta!$C:$C,0),'MM01'!E$2),""))</f>
        <v/>
      </c>
      <c r="F78" s="44" t="s">
        <v>100</v>
      </c>
      <c r="G78" s="49" t="str">
        <f>IF(IFERROR(INDEX(Consulta!$A:$DF,MATCH('MM01'!$B78,Consulta!$C:$C,0),'MM01'!G$2),"")=0,"",IFERROR(INDEX(Consulta!$A:$DF,MATCH('MM01'!$B78,Consulta!$C:$C,0),'MM01'!G$2),""))</f>
        <v/>
      </c>
      <c r="H78" s="49" t="str">
        <f>IF(IFERROR(INDEX(Consulta!$A:$DF,MATCH('MM01'!$B78,Consulta!$C:$C,0),'MM01'!H$2),"")=0,"",IFERROR(INDEX(Consulta!$A:$DF,MATCH('MM01'!$B78,Consulta!$C:$C,0),'MM01'!H$2),""))</f>
        <v/>
      </c>
      <c r="I78" s="49" t="str">
        <f t="shared" si="40"/>
        <v/>
      </c>
      <c r="J78" s="49" t="str">
        <f>IF(IFERROR(INDEX(Consulta!$A:$DF,MATCH('MM01'!$B78,Consulta!$C:$C,0),'MM01'!J$2),"")=0,"",IFERROR(INDEX(Consulta!$A:$DF,MATCH('MM01'!$B78,Consulta!$C:$C,0),'MM01'!J$2),""))</f>
        <v/>
      </c>
      <c r="K78" s="49" t="str">
        <f t="shared" si="41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IF(IFERROR(INDEX(Consulta!$A:$DF,MATCH('MM01'!$B78,Consulta!$C:$C,0),'MM01'!AP$2),"")=0,"",IFERROR(INDEX(Consulta!$A:$DF,MATCH('MM01'!$B78,Consulta!$C:$C,0),'MM01'!AP$2),""))</f>
        <v/>
      </c>
      <c r="AQ78" s="45"/>
      <c r="AR78" s="43" t="str">
        <f>IF(IFERROR(INDEX(Consulta!$A:$DF,MATCH('MM01'!$B78,Consulta!$C:$C,0),'MM01'!AR$2),"")=0,"",IFERROR(INDEX(Consulta!$A:$DF,MATCH('MM01'!$B78,Consulta!$C:$C,0),'MM01'!AR$2),""))</f>
        <v/>
      </c>
      <c r="AS78" s="43" t="str">
        <f>IF(IFERROR(INDEX(Consulta!$A:$DF,MATCH('MM01'!$B78,Consulta!$C:$C,0),'MM01'!AS$2),"")=0,"",IF(AR78="68",5102,IFERROR(INDEX(Consulta!$A:$DF,MATCH('MM01'!$B78,Consulta!$C:$C,0),'MM01'!AS$2),"")))</f>
        <v/>
      </c>
      <c r="AT78" s="45"/>
      <c r="AU78" s="46" t="str">
        <f t="shared" ca="1" si="42"/>
        <v/>
      </c>
      <c r="AV78" s="47" t="s">
        <v>796</v>
      </c>
      <c r="AW78" s="43" t="str">
        <f>IF(IFERROR(INDEX(Consulta!$A:$DF,MATCH('MM01'!$B78,Consulta!$C:$C,0),'MM01'!AW$2),"")=0,"",IFERROR(ROUND(INDEX(Consulta!$A:$DF,MATCH('MM01'!$B78,Consulta!$C:$C,0),'MM01'!AW$2),3),""))</f>
        <v/>
      </c>
      <c r="AX78" s="43" t="str">
        <f t="shared" si="43"/>
        <v/>
      </c>
      <c r="AY78" s="48" t="s">
        <v>299</v>
      </c>
      <c r="AZ78" s="48"/>
      <c r="BA78" s="43" t="str">
        <f>IF(IFERROR(INDEX(Consulta!$A:$DF,MATCH('MM01'!$B78,Consulta!$C:$C,0),'MM01'!BA$2),"")=0,"",IFERROR(INDEX(Consulta!$A:$DF,MATCH('MM01'!$B78,Consulta!$C:$C,0),'MM01'!BA$2),""))</f>
        <v/>
      </c>
      <c r="BB78" s="43" t="str">
        <f t="shared" si="44"/>
        <v/>
      </c>
      <c r="BC78" s="43" t="str">
        <f t="shared" si="45"/>
        <v/>
      </c>
      <c r="BD78" s="43" t="str">
        <f t="shared" si="46"/>
        <v/>
      </c>
      <c r="BE78" s="43" t="str">
        <f t="shared" si="47"/>
        <v>M</v>
      </c>
      <c r="BF78" s="43" t="str">
        <f t="shared" si="48"/>
        <v/>
      </c>
      <c r="BG78" s="43" t="str">
        <f t="shared" si="49"/>
        <v/>
      </c>
      <c r="BH78" s="43" t="str">
        <f t="shared" si="50"/>
        <v/>
      </c>
      <c r="BI78" s="43" t="str">
        <f t="shared" si="51"/>
        <v>M</v>
      </c>
      <c r="BK78" s="45" t="s">
        <v>324</v>
      </c>
      <c r="BL78" s="43" t="str">
        <f>IF(IFERROR(INDEX(Consulta!$A:$DF,MATCH('MM01'!$B78,Consulta!$C:$C,0),'MM01'!BL$2),"")=0,"",IFERROR(INDEX(Consulta!$A:$DF,MATCH('MM01'!$B78,Consulta!$C:$C,0),'MM01'!BL$2),""))</f>
        <v/>
      </c>
      <c r="BM78" s="45">
        <v>99</v>
      </c>
      <c r="BN78" s="46" t="str">
        <f t="shared" ca="1" si="52"/>
        <v>28.04.2022</v>
      </c>
      <c r="BO78" s="49" t="str">
        <f t="shared" si="53"/>
        <v/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IF(IFERROR(INDEX(Consulta!$A:$DF,MATCH('MM01'!$B78,Consulta!$C:$C,0),'MM01'!BX$2),"")=0,"",IFERROR(INDEX(Consulta!$A:$DF,MATCH('MM01'!$B78,Consulta!$C:$C,0),'MM01'!BX$2),""))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54"/>
        <v/>
      </c>
      <c r="CD78" s="45" t="s">
        <v>430</v>
      </c>
      <c r="CE78" s="45">
        <v>1</v>
      </c>
      <c r="CF78" s="45" t="s">
        <v>496</v>
      </c>
      <c r="CG78" s="45"/>
      <c r="CH78" s="44">
        <v>2</v>
      </c>
      <c r="CI78" s="49" t="str">
        <f t="shared" si="55"/>
        <v/>
      </c>
      <c r="CJ78" s="49" t="str">
        <f t="shared" si="56"/>
        <v/>
      </c>
      <c r="CK78" s="45"/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7"/>
        <v>K00_P_</v>
      </c>
      <c r="CS78" s="45">
        <v>5000</v>
      </c>
      <c r="CT78" s="43" t="str">
        <f>IF(IFERROR(INDEX(Consulta!$A:$DF,MATCH('MM01'!$B78,Consulta!$C:$C,0),'MM01'!CT$2),"")=0,"",IFERROR(INDEX(Consulta!$A:$DF,MATCH('MM01'!$B78,Consulta!$C:$C,0),'MM01'!CT$2),""))</f>
        <v/>
      </c>
      <c r="CU78" s="43" t="str">
        <f>IF(IFERROR(INDEX(Consulta!$A:$DF,MATCH('MM01'!$B78,Consulta!$C:$C,0),'MM01'!CU$2),"")=0,"",IFERROR(INDEX(Consulta!$A:$DF,MATCH('MM01'!$B78,Consulta!$C:$C,0),'MM01'!CU$2),""))</f>
        <v/>
      </c>
      <c r="CV78" s="43" t="str">
        <f>IF(IFERROR(INDEX(Consulta!$A:$DF,MATCH('MM01'!$B78,Consulta!$C:$C,0),'MM01'!CV$2),"")=0,"",IFERROR(INDEX(Consulta!$A:$DF,MATCH('MM01'!$B78,Consulta!$C:$C,0),'MM01'!CV$2),""))</f>
        <v/>
      </c>
      <c r="CW78" s="43" t="str">
        <f>IF(IFERROR(INDEX(Consulta!$A:$DF,MATCH('MM01'!$B78,Consulta!$C:$C,0),'MM01'!CW$2),"")=0,"",IFERROR(INDEX(Consulta!$A:$DF,MATCH('MM01'!$B78,Consulta!$C:$C,0),'MM01'!CW$2),""))</f>
        <v/>
      </c>
      <c r="CX78" s="43" t="str">
        <f t="shared" si="58"/>
        <v/>
      </c>
      <c r="CY78" s="43" t="str">
        <f t="shared" si="59"/>
        <v/>
      </c>
      <c r="CZ78" s="43" t="str">
        <f t="shared" si="60"/>
        <v/>
      </c>
      <c r="DA78" s="43" t="str">
        <f>IF(IFERROR(INDEX(Consulta!$A:$DF,MATCH('MM01'!$B78,Consulta!$C:$C,0),'MM01'!DA$2),"")=0,"",IFERROR(INDEX(Consulta!$A:$DF,MATCH('MM01'!$B78,Consulta!$C:$C,0),'MM01'!DA$2),""))</f>
        <v/>
      </c>
      <c r="DB78" s="43" t="str">
        <f t="shared" si="61"/>
        <v/>
      </c>
      <c r="DC78" s="43" t="str">
        <f>IF(IFERROR(INDEX(Consulta!$A:$DF,MATCH('MM01'!$B78,Consulta!$C:$C,0),'MM01'!DC$2),"")=0,"",IFERROR(INDEX(Consulta!$A:$DF,MATCH('MM01'!$B78,Consulta!$C:$C,0),'MM01'!DC$2),""))</f>
        <v/>
      </c>
      <c r="DD78" s="45">
        <v>0</v>
      </c>
      <c r="DE78" s="45">
        <v>0</v>
      </c>
      <c r="DF78" s="43" t="str">
        <f t="shared" si="62"/>
        <v/>
      </c>
      <c r="DG78" s="43" t="str">
        <f t="shared" si="63"/>
        <v/>
      </c>
      <c r="DH78" s="55"/>
      <c r="DI78" s="43" t="str">
        <f t="shared" ca="1" si="64"/>
        <v/>
      </c>
      <c r="DJ78" s="43" t="str">
        <f t="shared" si="65"/>
        <v/>
      </c>
      <c r="DK78" s="43" t="str">
        <f t="shared" si="66"/>
        <v/>
      </c>
      <c r="DL78" s="55"/>
      <c r="DM78" s="43" t="str">
        <f t="shared" ca="1" si="67"/>
        <v/>
      </c>
      <c r="DN78" s="43" t="str">
        <f t="shared" si="68"/>
        <v/>
      </c>
      <c r="DO78" s="43" t="str">
        <f t="shared" si="69"/>
        <v/>
      </c>
      <c r="DP78" s="55"/>
      <c r="DQ78" s="43" t="str">
        <f t="shared" ca="1" si="70"/>
        <v/>
      </c>
      <c r="DR78" s="43" t="str">
        <f t="shared" si="71"/>
        <v/>
      </c>
      <c r="DS78" s="43" t="str">
        <f t="shared" si="72"/>
        <v/>
      </c>
      <c r="DT78" s="55"/>
      <c r="DU78" s="43" t="str">
        <f t="shared" ca="1" si="73"/>
        <v/>
      </c>
      <c r="DV78" s="43" t="str">
        <f t="shared" si="74"/>
        <v/>
      </c>
      <c r="DX78" s="44">
        <v>1</v>
      </c>
      <c r="DY78" s="44" t="s">
        <v>774</v>
      </c>
      <c r="DZ78" s="43">
        <f t="shared" si="75"/>
        <v>0.01</v>
      </c>
      <c r="EA78" s="43" t="str">
        <f t="shared" si="76"/>
        <v>M</v>
      </c>
      <c r="EB78" s="43" t="str">
        <f>IF(IFERROR(INDEX(Consulta!$A:$DF,MATCH('MM01'!$B78,Consulta!$C:$C,0),'MM01'!EB$2),"")=0,"7925",IF(IFERROR(INDEX(Consulta!$A:$DF,MATCH('MM01'!$B78,Consulta!$C:$C,0),'MM01'!EB$2),"")="68","7910","7925"))</f>
        <v>7925</v>
      </c>
      <c r="EC78" s="44">
        <v>100</v>
      </c>
      <c r="ED78" s="60">
        <v>1</v>
      </c>
      <c r="EE78" s="43">
        <f t="shared" si="77"/>
        <v>100</v>
      </c>
      <c r="EF78" s="44">
        <v>1</v>
      </c>
      <c r="EG78" s="44">
        <v>0</v>
      </c>
      <c r="EH78" s="44" t="s">
        <v>867</v>
      </c>
      <c r="EI78" s="45">
        <v>0</v>
      </c>
      <c r="EJ78" s="43">
        <f t="shared" si="78"/>
        <v>5000</v>
      </c>
      <c r="EK78" s="65"/>
    </row>
    <row r="79" spans="1:141" x14ac:dyDescent="0.3">
      <c r="A79" s="7" t="str">
        <f t="shared" si="79"/>
        <v>Execução 75</v>
      </c>
      <c r="B79" s="42"/>
      <c r="C79" s="43" t="str">
        <f>IF(IFERROR(INDEX(Consulta!$A:$DF,MATCH('MM01'!$B79,Consulta!$C:$C,0),'MM01'!C$2),"")=0,"",IFERROR(INDEX(Consulta!$A:$DF,MATCH('MM01'!$B79,Consulta!$C:$C,0),'MM01'!C$2),""))</f>
        <v/>
      </c>
      <c r="D79" s="43" t="str">
        <f>IF(IFERROR(INDEX(Consulta!$A:$DF,MATCH('MM01'!$B79,Consulta!$C:$C,0),'MM01'!D$2),"")=0,"",IFERROR(INDEX(Consulta!$A:$DF,MATCH('MM01'!$B79,Consulta!$C:$C,0),'MM01'!D$2),""))</f>
        <v/>
      </c>
      <c r="E79" s="43" t="str">
        <f>IF(IFERROR(INDEX(Consulta!$A:$DF,MATCH('MM01'!$B79,Consulta!$C:$C,0),'MM01'!E$2),"")=0,"",IFERROR(INDEX(Consulta!$A:$DF,MATCH('MM01'!$B79,Consulta!$C:$C,0),'MM01'!E$2),""))</f>
        <v/>
      </c>
      <c r="F79" s="44" t="s">
        <v>100</v>
      </c>
      <c r="G79" s="49" t="str">
        <f>IF(IFERROR(INDEX(Consulta!$A:$DF,MATCH('MM01'!$B79,Consulta!$C:$C,0),'MM01'!G$2),"")=0,"",IFERROR(INDEX(Consulta!$A:$DF,MATCH('MM01'!$B79,Consulta!$C:$C,0),'MM01'!G$2),""))</f>
        <v/>
      </c>
      <c r="H79" s="49" t="str">
        <f>IF(IFERROR(INDEX(Consulta!$A:$DF,MATCH('MM01'!$B79,Consulta!$C:$C,0),'MM01'!H$2),"")=0,"",IFERROR(INDEX(Consulta!$A:$DF,MATCH('MM01'!$B79,Consulta!$C:$C,0),'MM01'!H$2),""))</f>
        <v/>
      </c>
      <c r="I79" s="49" t="str">
        <f t="shared" si="40"/>
        <v/>
      </c>
      <c r="J79" s="49" t="str">
        <f>IF(IFERROR(INDEX(Consulta!$A:$DF,MATCH('MM01'!$B79,Consulta!$C:$C,0),'MM01'!J$2),"")=0,"",IFERROR(INDEX(Consulta!$A:$DF,MATCH('MM01'!$B79,Consulta!$C:$C,0),'MM01'!J$2),""))</f>
        <v/>
      </c>
      <c r="K79" s="49" t="str">
        <f t="shared" si="41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IF(IFERROR(INDEX(Consulta!$A:$DF,MATCH('MM01'!$B79,Consulta!$C:$C,0),'MM01'!AP$2),"")=0,"",IFERROR(INDEX(Consulta!$A:$DF,MATCH('MM01'!$B79,Consulta!$C:$C,0),'MM01'!AP$2),""))</f>
        <v/>
      </c>
      <c r="AQ79" s="45"/>
      <c r="AR79" s="43" t="str">
        <f>IF(IFERROR(INDEX(Consulta!$A:$DF,MATCH('MM01'!$B79,Consulta!$C:$C,0),'MM01'!AR$2),"")=0,"",IFERROR(INDEX(Consulta!$A:$DF,MATCH('MM01'!$B79,Consulta!$C:$C,0),'MM01'!AR$2),""))</f>
        <v/>
      </c>
      <c r="AS79" s="43" t="str">
        <f>IF(IFERROR(INDEX(Consulta!$A:$DF,MATCH('MM01'!$B79,Consulta!$C:$C,0),'MM01'!AS$2),"")=0,"",IF(AR79="68",5102,IFERROR(INDEX(Consulta!$A:$DF,MATCH('MM01'!$B79,Consulta!$C:$C,0),'MM01'!AS$2),"")))</f>
        <v/>
      </c>
      <c r="AT79" s="45"/>
      <c r="AU79" s="46" t="str">
        <f t="shared" ca="1" si="42"/>
        <v/>
      </c>
      <c r="AV79" s="47" t="s">
        <v>796</v>
      </c>
      <c r="AW79" s="43" t="str">
        <f>IF(IFERROR(INDEX(Consulta!$A:$DF,MATCH('MM01'!$B79,Consulta!$C:$C,0),'MM01'!AW$2),"")=0,"",IFERROR(ROUND(INDEX(Consulta!$A:$DF,MATCH('MM01'!$B79,Consulta!$C:$C,0),'MM01'!AW$2),3),""))</f>
        <v/>
      </c>
      <c r="AX79" s="43" t="str">
        <f t="shared" si="43"/>
        <v/>
      </c>
      <c r="AY79" s="48" t="s">
        <v>299</v>
      </c>
      <c r="AZ79" s="48"/>
      <c r="BA79" s="43" t="str">
        <f>IF(IFERROR(INDEX(Consulta!$A:$DF,MATCH('MM01'!$B79,Consulta!$C:$C,0),'MM01'!BA$2),"")=0,"",IFERROR(INDEX(Consulta!$A:$DF,MATCH('MM01'!$B79,Consulta!$C:$C,0),'MM01'!BA$2),""))</f>
        <v/>
      </c>
      <c r="BB79" s="43" t="str">
        <f t="shared" si="44"/>
        <v/>
      </c>
      <c r="BC79" s="43" t="str">
        <f t="shared" si="45"/>
        <v/>
      </c>
      <c r="BD79" s="43" t="str">
        <f t="shared" si="46"/>
        <v/>
      </c>
      <c r="BE79" s="43" t="str">
        <f t="shared" si="47"/>
        <v>M</v>
      </c>
      <c r="BF79" s="43" t="str">
        <f t="shared" si="48"/>
        <v/>
      </c>
      <c r="BG79" s="43" t="str">
        <f t="shared" si="49"/>
        <v/>
      </c>
      <c r="BH79" s="43" t="str">
        <f t="shared" si="50"/>
        <v/>
      </c>
      <c r="BI79" s="43" t="str">
        <f t="shared" si="51"/>
        <v>M</v>
      </c>
      <c r="BK79" s="45" t="s">
        <v>324</v>
      </c>
      <c r="BL79" s="43" t="str">
        <f>IF(IFERROR(INDEX(Consulta!$A:$DF,MATCH('MM01'!$B79,Consulta!$C:$C,0),'MM01'!BL$2),"")=0,"",IFERROR(INDEX(Consulta!$A:$DF,MATCH('MM01'!$B79,Consulta!$C:$C,0),'MM01'!BL$2),""))</f>
        <v/>
      </c>
      <c r="BM79" s="45">
        <v>99</v>
      </c>
      <c r="BN79" s="46" t="str">
        <f t="shared" ca="1" si="52"/>
        <v>28.04.2022</v>
      </c>
      <c r="BO79" s="49" t="str">
        <f t="shared" si="53"/>
        <v/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IF(IFERROR(INDEX(Consulta!$A:$DF,MATCH('MM01'!$B79,Consulta!$C:$C,0),'MM01'!BX$2),"")=0,"",IFERROR(INDEX(Consulta!$A:$DF,MATCH('MM01'!$B79,Consulta!$C:$C,0),'MM01'!BX$2),""))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54"/>
        <v/>
      </c>
      <c r="CD79" s="45" t="s">
        <v>430</v>
      </c>
      <c r="CE79" s="45">
        <v>1</v>
      </c>
      <c r="CF79" s="45" t="s">
        <v>496</v>
      </c>
      <c r="CG79" s="45"/>
      <c r="CH79" s="44">
        <v>2</v>
      </c>
      <c r="CI79" s="49" t="str">
        <f t="shared" si="55"/>
        <v/>
      </c>
      <c r="CJ79" s="49" t="str">
        <f t="shared" si="56"/>
        <v/>
      </c>
      <c r="CK79" s="45"/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7"/>
        <v>K00_P_</v>
      </c>
      <c r="CS79" s="45">
        <v>5000</v>
      </c>
      <c r="CT79" s="43" t="str">
        <f>IF(IFERROR(INDEX(Consulta!$A:$DF,MATCH('MM01'!$B79,Consulta!$C:$C,0),'MM01'!CT$2),"")=0,"",IFERROR(INDEX(Consulta!$A:$DF,MATCH('MM01'!$B79,Consulta!$C:$C,0),'MM01'!CT$2),""))</f>
        <v/>
      </c>
      <c r="CU79" s="43" t="str">
        <f>IF(IFERROR(INDEX(Consulta!$A:$DF,MATCH('MM01'!$B79,Consulta!$C:$C,0),'MM01'!CU$2),"")=0,"",IFERROR(INDEX(Consulta!$A:$DF,MATCH('MM01'!$B79,Consulta!$C:$C,0),'MM01'!CU$2),""))</f>
        <v/>
      </c>
      <c r="CV79" s="43" t="str">
        <f>IF(IFERROR(INDEX(Consulta!$A:$DF,MATCH('MM01'!$B79,Consulta!$C:$C,0),'MM01'!CV$2),"")=0,"",IFERROR(INDEX(Consulta!$A:$DF,MATCH('MM01'!$B79,Consulta!$C:$C,0),'MM01'!CV$2),""))</f>
        <v/>
      </c>
      <c r="CW79" s="43" t="str">
        <f>IF(IFERROR(INDEX(Consulta!$A:$DF,MATCH('MM01'!$B79,Consulta!$C:$C,0),'MM01'!CW$2),"")=0,"",IFERROR(INDEX(Consulta!$A:$DF,MATCH('MM01'!$B79,Consulta!$C:$C,0),'MM01'!CW$2),""))</f>
        <v/>
      </c>
      <c r="CX79" s="43" t="str">
        <f t="shared" si="58"/>
        <v/>
      </c>
      <c r="CY79" s="43" t="str">
        <f t="shared" si="59"/>
        <v/>
      </c>
      <c r="CZ79" s="43" t="str">
        <f t="shared" si="60"/>
        <v/>
      </c>
      <c r="DA79" s="43" t="str">
        <f>IF(IFERROR(INDEX(Consulta!$A:$DF,MATCH('MM01'!$B79,Consulta!$C:$C,0),'MM01'!DA$2),"")=0,"",IFERROR(INDEX(Consulta!$A:$DF,MATCH('MM01'!$B79,Consulta!$C:$C,0),'MM01'!DA$2),""))</f>
        <v/>
      </c>
      <c r="DB79" s="43" t="str">
        <f t="shared" si="61"/>
        <v/>
      </c>
      <c r="DC79" s="43" t="str">
        <f>IF(IFERROR(INDEX(Consulta!$A:$DF,MATCH('MM01'!$B79,Consulta!$C:$C,0),'MM01'!DC$2),"")=0,"",IFERROR(INDEX(Consulta!$A:$DF,MATCH('MM01'!$B79,Consulta!$C:$C,0),'MM01'!DC$2),""))</f>
        <v/>
      </c>
      <c r="DD79" s="45">
        <v>0</v>
      </c>
      <c r="DE79" s="45">
        <v>0</v>
      </c>
      <c r="DF79" s="43" t="str">
        <f t="shared" si="62"/>
        <v/>
      </c>
      <c r="DG79" s="43" t="str">
        <f t="shared" si="63"/>
        <v/>
      </c>
      <c r="DH79" s="55"/>
      <c r="DI79" s="43" t="str">
        <f t="shared" ca="1" si="64"/>
        <v/>
      </c>
      <c r="DJ79" s="43" t="str">
        <f t="shared" si="65"/>
        <v/>
      </c>
      <c r="DK79" s="43" t="str">
        <f t="shared" si="66"/>
        <v/>
      </c>
      <c r="DL79" s="55"/>
      <c r="DM79" s="43" t="str">
        <f t="shared" ca="1" si="67"/>
        <v/>
      </c>
      <c r="DN79" s="43" t="str">
        <f t="shared" si="68"/>
        <v/>
      </c>
      <c r="DO79" s="43" t="str">
        <f t="shared" si="69"/>
        <v/>
      </c>
      <c r="DP79" s="55"/>
      <c r="DQ79" s="43" t="str">
        <f t="shared" ca="1" si="70"/>
        <v/>
      </c>
      <c r="DR79" s="43" t="str">
        <f t="shared" si="71"/>
        <v/>
      </c>
      <c r="DS79" s="43" t="str">
        <f t="shared" si="72"/>
        <v/>
      </c>
      <c r="DT79" s="55"/>
      <c r="DU79" s="43" t="str">
        <f t="shared" ca="1" si="73"/>
        <v/>
      </c>
      <c r="DV79" s="43" t="str">
        <f t="shared" si="74"/>
        <v/>
      </c>
      <c r="DX79" s="44">
        <v>1</v>
      </c>
      <c r="DY79" s="44" t="s">
        <v>774</v>
      </c>
      <c r="DZ79" s="43">
        <f t="shared" si="75"/>
        <v>0.01</v>
      </c>
      <c r="EA79" s="43" t="str">
        <f t="shared" si="76"/>
        <v>M</v>
      </c>
      <c r="EB79" s="43" t="str">
        <f>IF(IFERROR(INDEX(Consulta!$A:$DF,MATCH('MM01'!$B79,Consulta!$C:$C,0),'MM01'!EB$2),"")=0,"7925",IF(IFERROR(INDEX(Consulta!$A:$DF,MATCH('MM01'!$B79,Consulta!$C:$C,0),'MM01'!EB$2),"")="68","7910","7925"))</f>
        <v>7925</v>
      </c>
      <c r="EC79" s="44">
        <v>100</v>
      </c>
      <c r="ED79" s="60">
        <v>1</v>
      </c>
      <c r="EE79" s="43">
        <f t="shared" si="77"/>
        <v>100</v>
      </c>
      <c r="EF79" s="44">
        <v>1</v>
      </c>
      <c r="EG79" s="44">
        <v>0</v>
      </c>
      <c r="EH79" s="44" t="s">
        <v>867</v>
      </c>
      <c r="EI79" s="45">
        <v>0</v>
      </c>
      <c r="EJ79" s="43">
        <f t="shared" si="78"/>
        <v>5000</v>
      </c>
      <c r="EK79" s="65"/>
    </row>
    <row r="80" spans="1:141" x14ac:dyDescent="0.3">
      <c r="A80" s="7" t="str">
        <f t="shared" si="79"/>
        <v>Execução 76</v>
      </c>
      <c r="B80" s="42"/>
      <c r="C80" s="43" t="str">
        <f>IF(IFERROR(INDEX(Consulta!$A:$DF,MATCH('MM01'!$B80,Consulta!$C:$C,0),'MM01'!C$2),"")=0,"",IFERROR(INDEX(Consulta!$A:$DF,MATCH('MM01'!$B80,Consulta!$C:$C,0),'MM01'!C$2),""))</f>
        <v/>
      </c>
      <c r="D80" s="43" t="str">
        <f>IF(IFERROR(INDEX(Consulta!$A:$DF,MATCH('MM01'!$B80,Consulta!$C:$C,0),'MM01'!D$2),"")=0,"",IFERROR(INDEX(Consulta!$A:$DF,MATCH('MM01'!$B80,Consulta!$C:$C,0),'MM01'!D$2),""))</f>
        <v/>
      </c>
      <c r="E80" s="43" t="str">
        <f>IF(IFERROR(INDEX(Consulta!$A:$DF,MATCH('MM01'!$B80,Consulta!$C:$C,0),'MM01'!E$2),"")=0,"",IFERROR(INDEX(Consulta!$A:$DF,MATCH('MM01'!$B80,Consulta!$C:$C,0),'MM01'!E$2),""))</f>
        <v/>
      </c>
      <c r="F80" s="44" t="s">
        <v>100</v>
      </c>
      <c r="G80" s="49" t="str">
        <f>IF(IFERROR(INDEX(Consulta!$A:$DF,MATCH('MM01'!$B80,Consulta!$C:$C,0),'MM01'!G$2),"")=0,"",IFERROR(INDEX(Consulta!$A:$DF,MATCH('MM01'!$B80,Consulta!$C:$C,0),'MM01'!G$2),""))</f>
        <v/>
      </c>
      <c r="H80" s="49" t="str">
        <f>IF(IFERROR(INDEX(Consulta!$A:$DF,MATCH('MM01'!$B80,Consulta!$C:$C,0),'MM01'!H$2),"")=0,"",IFERROR(INDEX(Consulta!$A:$DF,MATCH('MM01'!$B80,Consulta!$C:$C,0),'MM01'!H$2),""))</f>
        <v/>
      </c>
      <c r="I80" s="49" t="str">
        <f t="shared" si="40"/>
        <v/>
      </c>
      <c r="J80" s="49" t="str">
        <f>IF(IFERROR(INDEX(Consulta!$A:$DF,MATCH('MM01'!$B80,Consulta!$C:$C,0),'MM01'!J$2),"")=0,"",IFERROR(INDEX(Consulta!$A:$DF,MATCH('MM01'!$B80,Consulta!$C:$C,0),'MM01'!J$2),""))</f>
        <v/>
      </c>
      <c r="K80" s="49" t="str">
        <f t="shared" si="41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IF(IFERROR(INDEX(Consulta!$A:$DF,MATCH('MM01'!$B80,Consulta!$C:$C,0),'MM01'!AP$2),"")=0,"",IFERROR(INDEX(Consulta!$A:$DF,MATCH('MM01'!$B80,Consulta!$C:$C,0),'MM01'!AP$2),""))</f>
        <v/>
      </c>
      <c r="AQ80" s="45"/>
      <c r="AR80" s="43" t="str">
        <f>IF(IFERROR(INDEX(Consulta!$A:$DF,MATCH('MM01'!$B80,Consulta!$C:$C,0),'MM01'!AR$2),"")=0,"",IFERROR(INDEX(Consulta!$A:$DF,MATCH('MM01'!$B80,Consulta!$C:$C,0),'MM01'!AR$2),""))</f>
        <v/>
      </c>
      <c r="AS80" s="43" t="str">
        <f>IF(IFERROR(INDEX(Consulta!$A:$DF,MATCH('MM01'!$B80,Consulta!$C:$C,0),'MM01'!AS$2),"")=0,"",IF(AR80="68",5102,IFERROR(INDEX(Consulta!$A:$DF,MATCH('MM01'!$B80,Consulta!$C:$C,0),'MM01'!AS$2),"")))</f>
        <v/>
      </c>
      <c r="AT80" s="45"/>
      <c r="AU80" s="46" t="str">
        <f t="shared" ca="1" si="42"/>
        <v/>
      </c>
      <c r="AV80" s="47" t="s">
        <v>796</v>
      </c>
      <c r="AW80" s="43" t="str">
        <f>IF(IFERROR(INDEX(Consulta!$A:$DF,MATCH('MM01'!$B80,Consulta!$C:$C,0),'MM01'!AW$2),"")=0,"",IFERROR(ROUND(INDEX(Consulta!$A:$DF,MATCH('MM01'!$B80,Consulta!$C:$C,0),'MM01'!AW$2),3),""))</f>
        <v/>
      </c>
      <c r="AX80" s="43" t="str">
        <f t="shared" si="43"/>
        <v/>
      </c>
      <c r="AY80" s="48" t="s">
        <v>299</v>
      </c>
      <c r="AZ80" s="48"/>
      <c r="BA80" s="43" t="str">
        <f>IF(IFERROR(INDEX(Consulta!$A:$DF,MATCH('MM01'!$B80,Consulta!$C:$C,0),'MM01'!BA$2),"")=0,"",IFERROR(INDEX(Consulta!$A:$DF,MATCH('MM01'!$B80,Consulta!$C:$C,0),'MM01'!BA$2),""))</f>
        <v/>
      </c>
      <c r="BB80" s="43" t="str">
        <f t="shared" si="44"/>
        <v/>
      </c>
      <c r="BC80" s="43" t="str">
        <f t="shared" si="45"/>
        <v/>
      </c>
      <c r="BD80" s="43" t="str">
        <f t="shared" si="46"/>
        <v/>
      </c>
      <c r="BE80" s="43" t="str">
        <f t="shared" si="47"/>
        <v>M</v>
      </c>
      <c r="BF80" s="43" t="str">
        <f t="shared" si="48"/>
        <v/>
      </c>
      <c r="BG80" s="43" t="str">
        <f t="shared" si="49"/>
        <v/>
      </c>
      <c r="BH80" s="43" t="str">
        <f t="shared" si="50"/>
        <v/>
      </c>
      <c r="BI80" s="43" t="str">
        <f t="shared" si="51"/>
        <v>M</v>
      </c>
      <c r="BK80" s="45" t="s">
        <v>324</v>
      </c>
      <c r="BL80" s="43" t="str">
        <f>IF(IFERROR(INDEX(Consulta!$A:$DF,MATCH('MM01'!$B80,Consulta!$C:$C,0),'MM01'!BL$2),"")=0,"",IFERROR(INDEX(Consulta!$A:$DF,MATCH('MM01'!$B80,Consulta!$C:$C,0),'MM01'!BL$2),""))</f>
        <v/>
      </c>
      <c r="BM80" s="45">
        <v>99</v>
      </c>
      <c r="BN80" s="46" t="str">
        <f t="shared" ca="1" si="52"/>
        <v>28.04.2022</v>
      </c>
      <c r="BO80" s="49" t="str">
        <f t="shared" si="53"/>
        <v/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IF(IFERROR(INDEX(Consulta!$A:$DF,MATCH('MM01'!$B80,Consulta!$C:$C,0),'MM01'!BX$2),"")=0,"",IFERROR(INDEX(Consulta!$A:$DF,MATCH('MM01'!$B80,Consulta!$C:$C,0),'MM01'!BX$2),""))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54"/>
        <v/>
      </c>
      <c r="CD80" s="45" t="s">
        <v>430</v>
      </c>
      <c r="CE80" s="45">
        <v>1</v>
      </c>
      <c r="CF80" s="45" t="s">
        <v>496</v>
      </c>
      <c r="CG80" s="45"/>
      <c r="CH80" s="44">
        <v>2</v>
      </c>
      <c r="CI80" s="49" t="str">
        <f t="shared" si="55"/>
        <v/>
      </c>
      <c r="CJ80" s="49" t="str">
        <f t="shared" si="56"/>
        <v/>
      </c>
      <c r="CK80" s="45"/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7"/>
        <v>K00_P_</v>
      </c>
      <c r="CS80" s="45">
        <v>5000</v>
      </c>
      <c r="CT80" s="43" t="str">
        <f>IF(IFERROR(INDEX(Consulta!$A:$DF,MATCH('MM01'!$B80,Consulta!$C:$C,0),'MM01'!CT$2),"")=0,"",IFERROR(INDEX(Consulta!$A:$DF,MATCH('MM01'!$B80,Consulta!$C:$C,0),'MM01'!CT$2),""))</f>
        <v/>
      </c>
      <c r="CU80" s="43" t="str">
        <f>IF(IFERROR(INDEX(Consulta!$A:$DF,MATCH('MM01'!$B80,Consulta!$C:$C,0),'MM01'!CU$2),"")=0,"",IFERROR(INDEX(Consulta!$A:$DF,MATCH('MM01'!$B80,Consulta!$C:$C,0),'MM01'!CU$2),""))</f>
        <v/>
      </c>
      <c r="CV80" s="43" t="str">
        <f>IF(IFERROR(INDEX(Consulta!$A:$DF,MATCH('MM01'!$B80,Consulta!$C:$C,0),'MM01'!CV$2),"")=0,"",IFERROR(INDEX(Consulta!$A:$DF,MATCH('MM01'!$B80,Consulta!$C:$C,0),'MM01'!CV$2),""))</f>
        <v/>
      </c>
      <c r="CW80" s="43" t="str">
        <f>IF(IFERROR(INDEX(Consulta!$A:$DF,MATCH('MM01'!$B80,Consulta!$C:$C,0),'MM01'!CW$2),"")=0,"",IFERROR(INDEX(Consulta!$A:$DF,MATCH('MM01'!$B80,Consulta!$C:$C,0),'MM01'!CW$2),""))</f>
        <v/>
      </c>
      <c r="CX80" s="43" t="str">
        <f t="shared" si="58"/>
        <v/>
      </c>
      <c r="CY80" s="43" t="str">
        <f t="shared" si="59"/>
        <v/>
      </c>
      <c r="CZ80" s="43" t="str">
        <f t="shared" si="60"/>
        <v/>
      </c>
      <c r="DA80" s="43" t="str">
        <f>IF(IFERROR(INDEX(Consulta!$A:$DF,MATCH('MM01'!$B80,Consulta!$C:$C,0),'MM01'!DA$2),"")=0,"",IFERROR(INDEX(Consulta!$A:$DF,MATCH('MM01'!$B80,Consulta!$C:$C,0),'MM01'!DA$2),""))</f>
        <v/>
      </c>
      <c r="DB80" s="43" t="str">
        <f t="shared" si="61"/>
        <v/>
      </c>
      <c r="DC80" s="43" t="str">
        <f>IF(IFERROR(INDEX(Consulta!$A:$DF,MATCH('MM01'!$B80,Consulta!$C:$C,0),'MM01'!DC$2),"")=0,"",IFERROR(INDEX(Consulta!$A:$DF,MATCH('MM01'!$B80,Consulta!$C:$C,0),'MM01'!DC$2),""))</f>
        <v/>
      </c>
      <c r="DD80" s="45">
        <v>0</v>
      </c>
      <c r="DE80" s="45">
        <v>0</v>
      </c>
      <c r="DF80" s="43" t="str">
        <f t="shared" si="62"/>
        <v/>
      </c>
      <c r="DG80" s="43" t="str">
        <f t="shared" si="63"/>
        <v/>
      </c>
      <c r="DH80" s="55"/>
      <c r="DI80" s="43" t="str">
        <f t="shared" ca="1" si="64"/>
        <v/>
      </c>
      <c r="DJ80" s="43" t="str">
        <f t="shared" si="65"/>
        <v/>
      </c>
      <c r="DK80" s="43" t="str">
        <f t="shared" si="66"/>
        <v/>
      </c>
      <c r="DL80" s="55"/>
      <c r="DM80" s="43" t="str">
        <f t="shared" ca="1" si="67"/>
        <v/>
      </c>
      <c r="DN80" s="43" t="str">
        <f t="shared" si="68"/>
        <v/>
      </c>
      <c r="DO80" s="43" t="str">
        <f t="shared" si="69"/>
        <v/>
      </c>
      <c r="DP80" s="55"/>
      <c r="DQ80" s="43" t="str">
        <f t="shared" ca="1" si="70"/>
        <v/>
      </c>
      <c r="DR80" s="43" t="str">
        <f t="shared" si="71"/>
        <v/>
      </c>
      <c r="DS80" s="43" t="str">
        <f t="shared" si="72"/>
        <v/>
      </c>
      <c r="DT80" s="55"/>
      <c r="DU80" s="43" t="str">
        <f t="shared" ca="1" si="73"/>
        <v/>
      </c>
      <c r="DV80" s="43" t="str">
        <f t="shared" si="74"/>
        <v/>
      </c>
      <c r="DX80" s="44">
        <v>1</v>
      </c>
      <c r="DY80" s="44" t="s">
        <v>774</v>
      </c>
      <c r="DZ80" s="43">
        <f t="shared" si="75"/>
        <v>0.01</v>
      </c>
      <c r="EA80" s="43" t="str">
        <f t="shared" si="76"/>
        <v>M</v>
      </c>
      <c r="EB80" s="43" t="str">
        <f>IF(IFERROR(INDEX(Consulta!$A:$DF,MATCH('MM01'!$B80,Consulta!$C:$C,0),'MM01'!EB$2),"")=0,"7925",IF(IFERROR(INDEX(Consulta!$A:$DF,MATCH('MM01'!$B80,Consulta!$C:$C,0),'MM01'!EB$2),"")="68","7910","7925"))</f>
        <v>7925</v>
      </c>
      <c r="EC80" s="44">
        <v>100</v>
      </c>
      <c r="ED80" s="60">
        <v>1</v>
      </c>
      <c r="EE80" s="43">
        <f t="shared" si="77"/>
        <v>100</v>
      </c>
      <c r="EF80" s="44">
        <v>1</v>
      </c>
      <c r="EG80" s="44">
        <v>0</v>
      </c>
      <c r="EH80" s="44" t="s">
        <v>867</v>
      </c>
      <c r="EI80" s="45">
        <v>0</v>
      </c>
      <c r="EJ80" s="43">
        <f t="shared" si="78"/>
        <v>5000</v>
      </c>
      <c r="EK80" s="65"/>
    </row>
    <row r="81" spans="1:141" x14ac:dyDescent="0.3">
      <c r="A81" s="7" t="str">
        <f t="shared" si="79"/>
        <v>Execução 77</v>
      </c>
      <c r="B81" s="42"/>
      <c r="C81" s="43" t="str">
        <f>IF(IFERROR(INDEX(Consulta!$A:$DF,MATCH('MM01'!$B81,Consulta!$C:$C,0),'MM01'!C$2),"")=0,"",IFERROR(INDEX(Consulta!$A:$DF,MATCH('MM01'!$B81,Consulta!$C:$C,0),'MM01'!C$2),""))</f>
        <v/>
      </c>
      <c r="D81" s="43" t="str">
        <f>IF(IFERROR(INDEX(Consulta!$A:$DF,MATCH('MM01'!$B81,Consulta!$C:$C,0),'MM01'!D$2),"")=0,"",IFERROR(INDEX(Consulta!$A:$DF,MATCH('MM01'!$B81,Consulta!$C:$C,0),'MM01'!D$2),""))</f>
        <v/>
      </c>
      <c r="E81" s="43" t="str">
        <f>IF(IFERROR(INDEX(Consulta!$A:$DF,MATCH('MM01'!$B81,Consulta!$C:$C,0),'MM01'!E$2),"")=0,"",IFERROR(INDEX(Consulta!$A:$DF,MATCH('MM01'!$B81,Consulta!$C:$C,0),'MM01'!E$2),""))</f>
        <v/>
      </c>
      <c r="F81" s="44" t="s">
        <v>100</v>
      </c>
      <c r="G81" s="49" t="str">
        <f>IF(IFERROR(INDEX(Consulta!$A:$DF,MATCH('MM01'!$B81,Consulta!$C:$C,0),'MM01'!G$2),"")=0,"",IFERROR(INDEX(Consulta!$A:$DF,MATCH('MM01'!$B81,Consulta!$C:$C,0),'MM01'!G$2),""))</f>
        <v/>
      </c>
      <c r="H81" s="49" t="str">
        <f>IF(IFERROR(INDEX(Consulta!$A:$DF,MATCH('MM01'!$B81,Consulta!$C:$C,0),'MM01'!H$2),"")=0,"",IFERROR(INDEX(Consulta!$A:$DF,MATCH('MM01'!$B81,Consulta!$C:$C,0),'MM01'!H$2),""))</f>
        <v/>
      </c>
      <c r="I81" s="49" t="str">
        <f t="shared" si="40"/>
        <v/>
      </c>
      <c r="J81" s="49" t="str">
        <f>IF(IFERROR(INDEX(Consulta!$A:$DF,MATCH('MM01'!$B81,Consulta!$C:$C,0),'MM01'!J$2),"")=0,"",IFERROR(INDEX(Consulta!$A:$DF,MATCH('MM01'!$B81,Consulta!$C:$C,0),'MM01'!J$2),""))</f>
        <v/>
      </c>
      <c r="K81" s="49" t="str">
        <f t="shared" si="41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IF(IFERROR(INDEX(Consulta!$A:$DF,MATCH('MM01'!$B81,Consulta!$C:$C,0),'MM01'!AP$2),"")=0,"",IFERROR(INDEX(Consulta!$A:$DF,MATCH('MM01'!$B81,Consulta!$C:$C,0),'MM01'!AP$2),""))</f>
        <v/>
      </c>
      <c r="AQ81" s="45"/>
      <c r="AR81" s="43" t="str">
        <f>IF(IFERROR(INDEX(Consulta!$A:$DF,MATCH('MM01'!$B81,Consulta!$C:$C,0),'MM01'!AR$2),"")=0,"",IFERROR(INDEX(Consulta!$A:$DF,MATCH('MM01'!$B81,Consulta!$C:$C,0),'MM01'!AR$2),""))</f>
        <v/>
      </c>
      <c r="AS81" s="43" t="str">
        <f>IF(IFERROR(INDEX(Consulta!$A:$DF,MATCH('MM01'!$B81,Consulta!$C:$C,0),'MM01'!AS$2),"")=0,"",IF(AR81="68",5102,IFERROR(INDEX(Consulta!$A:$DF,MATCH('MM01'!$B81,Consulta!$C:$C,0),'MM01'!AS$2),"")))</f>
        <v/>
      </c>
      <c r="AT81" s="45"/>
      <c r="AU81" s="46" t="str">
        <f t="shared" ca="1" si="42"/>
        <v/>
      </c>
      <c r="AV81" s="47" t="s">
        <v>796</v>
      </c>
      <c r="AW81" s="43" t="str">
        <f>IF(IFERROR(INDEX(Consulta!$A:$DF,MATCH('MM01'!$B81,Consulta!$C:$C,0),'MM01'!AW$2),"")=0,"",IFERROR(ROUND(INDEX(Consulta!$A:$DF,MATCH('MM01'!$B81,Consulta!$C:$C,0),'MM01'!AW$2),3),""))</f>
        <v/>
      </c>
      <c r="AX81" s="43" t="str">
        <f t="shared" si="43"/>
        <v/>
      </c>
      <c r="AY81" s="48" t="s">
        <v>299</v>
      </c>
      <c r="AZ81" s="48"/>
      <c r="BA81" s="43" t="str">
        <f>IF(IFERROR(INDEX(Consulta!$A:$DF,MATCH('MM01'!$B81,Consulta!$C:$C,0),'MM01'!BA$2),"")=0,"",IFERROR(INDEX(Consulta!$A:$DF,MATCH('MM01'!$B81,Consulta!$C:$C,0),'MM01'!BA$2),""))</f>
        <v/>
      </c>
      <c r="BB81" s="43" t="str">
        <f t="shared" si="44"/>
        <v/>
      </c>
      <c r="BC81" s="43" t="str">
        <f t="shared" si="45"/>
        <v/>
      </c>
      <c r="BD81" s="43" t="str">
        <f t="shared" si="46"/>
        <v/>
      </c>
      <c r="BE81" s="43" t="str">
        <f t="shared" si="47"/>
        <v>M</v>
      </c>
      <c r="BF81" s="43" t="str">
        <f t="shared" si="48"/>
        <v/>
      </c>
      <c r="BG81" s="43" t="str">
        <f t="shared" si="49"/>
        <v/>
      </c>
      <c r="BH81" s="43" t="str">
        <f t="shared" si="50"/>
        <v/>
      </c>
      <c r="BI81" s="43" t="str">
        <f t="shared" si="51"/>
        <v>M</v>
      </c>
      <c r="BK81" s="45" t="s">
        <v>324</v>
      </c>
      <c r="BL81" s="43" t="str">
        <f>IF(IFERROR(INDEX(Consulta!$A:$DF,MATCH('MM01'!$B81,Consulta!$C:$C,0),'MM01'!BL$2),"")=0,"",IFERROR(INDEX(Consulta!$A:$DF,MATCH('MM01'!$B81,Consulta!$C:$C,0),'MM01'!BL$2),""))</f>
        <v/>
      </c>
      <c r="BM81" s="45">
        <v>99</v>
      </c>
      <c r="BN81" s="46" t="str">
        <f t="shared" ca="1" si="52"/>
        <v>28.04.2022</v>
      </c>
      <c r="BO81" s="49" t="str">
        <f t="shared" si="53"/>
        <v/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IF(IFERROR(INDEX(Consulta!$A:$DF,MATCH('MM01'!$B81,Consulta!$C:$C,0),'MM01'!BX$2),"")=0,"",IFERROR(INDEX(Consulta!$A:$DF,MATCH('MM01'!$B81,Consulta!$C:$C,0),'MM01'!BX$2),""))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54"/>
        <v/>
      </c>
      <c r="CD81" s="45" t="s">
        <v>430</v>
      </c>
      <c r="CE81" s="45">
        <v>1</v>
      </c>
      <c r="CF81" s="45" t="s">
        <v>496</v>
      </c>
      <c r="CG81" s="45"/>
      <c r="CH81" s="44">
        <v>2</v>
      </c>
      <c r="CI81" s="49" t="str">
        <f t="shared" si="55"/>
        <v/>
      </c>
      <c r="CJ81" s="49" t="str">
        <f t="shared" si="56"/>
        <v/>
      </c>
      <c r="CK81" s="45"/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7"/>
        <v>K00_P_</v>
      </c>
      <c r="CS81" s="45">
        <v>5000</v>
      </c>
      <c r="CT81" s="43" t="str">
        <f>IF(IFERROR(INDEX(Consulta!$A:$DF,MATCH('MM01'!$B81,Consulta!$C:$C,0),'MM01'!CT$2),"")=0,"",IFERROR(INDEX(Consulta!$A:$DF,MATCH('MM01'!$B81,Consulta!$C:$C,0),'MM01'!CT$2),""))</f>
        <v/>
      </c>
      <c r="CU81" s="43" t="str">
        <f>IF(IFERROR(INDEX(Consulta!$A:$DF,MATCH('MM01'!$B81,Consulta!$C:$C,0),'MM01'!CU$2),"")=0,"",IFERROR(INDEX(Consulta!$A:$DF,MATCH('MM01'!$B81,Consulta!$C:$C,0),'MM01'!CU$2),""))</f>
        <v/>
      </c>
      <c r="CV81" s="43" t="str">
        <f>IF(IFERROR(INDEX(Consulta!$A:$DF,MATCH('MM01'!$B81,Consulta!$C:$C,0),'MM01'!CV$2),"")=0,"",IFERROR(INDEX(Consulta!$A:$DF,MATCH('MM01'!$B81,Consulta!$C:$C,0),'MM01'!CV$2),""))</f>
        <v/>
      </c>
      <c r="CW81" s="43" t="str">
        <f>IF(IFERROR(INDEX(Consulta!$A:$DF,MATCH('MM01'!$B81,Consulta!$C:$C,0),'MM01'!CW$2),"")=0,"",IFERROR(INDEX(Consulta!$A:$DF,MATCH('MM01'!$B81,Consulta!$C:$C,0),'MM01'!CW$2),""))</f>
        <v/>
      </c>
      <c r="CX81" s="43" t="str">
        <f t="shared" si="58"/>
        <v/>
      </c>
      <c r="CY81" s="43" t="str">
        <f t="shared" si="59"/>
        <v/>
      </c>
      <c r="CZ81" s="43" t="str">
        <f t="shared" si="60"/>
        <v/>
      </c>
      <c r="DA81" s="43" t="str">
        <f>IF(IFERROR(INDEX(Consulta!$A:$DF,MATCH('MM01'!$B81,Consulta!$C:$C,0),'MM01'!DA$2),"")=0,"",IFERROR(INDEX(Consulta!$A:$DF,MATCH('MM01'!$B81,Consulta!$C:$C,0),'MM01'!DA$2),""))</f>
        <v/>
      </c>
      <c r="DB81" s="43" t="str">
        <f t="shared" si="61"/>
        <v/>
      </c>
      <c r="DC81" s="43" t="str">
        <f>IF(IFERROR(INDEX(Consulta!$A:$DF,MATCH('MM01'!$B81,Consulta!$C:$C,0),'MM01'!DC$2),"")=0,"",IFERROR(INDEX(Consulta!$A:$DF,MATCH('MM01'!$B81,Consulta!$C:$C,0),'MM01'!DC$2),""))</f>
        <v/>
      </c>
      <c r="DD81" s="45">
        <v>0</v>
      </c>
      <c r="DE81" s="45">
        <v>0</v>
      </c>
      <c r="DF81" s="43" t="str">
        <f t="shared" si="62"/>
        <v/>
      </c>
      <c r="DG81" s="43" t="str">
        <f t="shared" si="63"/>
        <v/>
      </c>
      <c r="DH81" s="55"/>
      <c r="DI81" s="43" t="str">
        <f t="shared" ca="1" si="64"/>
        <v/>
      </c>
      <c r="DJ81" s="43" t="str">
        <f t="shared" si="65"/>
        <v/>
      </c>
      <c r="DK81" s="43" t="str">
        <f t="shared" si="66"/>
        <v/>
      </c>
      <c r="DL81" s="55"/>
      <c r="DM81" s="43" t="str">
        <f t="shared" ca="1" si="67"/>
        <v/>
      </c>
      <c r="DN81" s="43" t="str">
        <f t="shared" si="68"/>
        <v/>
      </c>
      <c r="DO81" s="43" t="str">
        <f t="shared" si="69"/>
        <v/>
      </c>
      <c r="DP81" s="55"/>
      <c r="DQ81" s="43" t="str">
        <f t="shared" ca="1" si="70"/>
        <v/>
      </c>
      <c r="DR81" s="43" t="str">
        <f t="shared" si="71"/>
        <v/>
      </c>
      <c r="DS81" s="43" t="str">
        <f t="shared" si="72"/>
        <v/>
      </c>
      <c r="DT81" s="55"/>
      <c r="DU81" s="43" t="str">
        <f t="shared" ca="1" si="73"/>
        <v/>
      </c>
      <c r="DV81" s="43" t="str">
        <f t="shared" si="74"/>
        <v/>
      </c>
      <c r="DX81" s="44">
        <v>1</v>
      </c>
      <c r="DY81" s="44" t="s">
        <v>774</v>
      </c>
      <c r="DZ81" s="43">
        <f t="shared" si="75"/>
        <v>0.01</v>
      </c>
      <c r="EA81" s="43" t="str">
        <f t="shared" si="76"/>
        <v>M</v>
      </c>
      <c r="EB81" s="43" t="str">
        <f>IF(IFERROR(INDEX(Consulta!$A:$DF,MATCH('MM01'!$B81,Consulta!$C:$C,0),'MM01'!EB$2),"")=0,"7925",IF(IFERROR(INDEX(Consulta!$A:$DF,MATCH('MM01'!$B81,Consulta!$C:$C,0),'MM01'!EB$2),"")="68","7910","7925"))</f>
        <v>7925</v>
      </c>
      <c r="EC81" s="44">
        <v>100</v>
      </c>
      <c r="ED81" s="60">
        <v>1</v>
      </c>
      <c r="EE81" s="43">
        <f t="shared" si="77"/>
        <v>100</v>
      </c>
      <c r="EF81" s="44">
        <v>1</v>
      </c>
      <c r="EG81" s="44">
        <v>0</v>
      </c>
      <c r="EH81" s="44" t="s">
        <v>867</v>
      </c>
      <c r="EI81" s="45">
        <v>0</v>
      </c>
      <c r="EJ81" s="43">
        <f t="shared" si="78"/>
        <v>5000</v>
      </c>
      <c r="EK81" s="65"/>
    </row>
    <row r="82" spans="1:141" x14ac:dyDescent="0.3">
      <c r="A82" s="7" t="str">
        <f t="shared" si="79"/>
        <v>Execução 78</v>
      </c>
      <c r="B82" s="42"/>
      <c r="C82" s="43" t="str">
        <f>IF(IFERROR(INDEX(Consulta!$A:$DF,MATCH('MM01'!$B82,Consulta!$C:$C,0),'MM01'!C$2),"")=0,"",IFERROR(INDEX(Consulta!$A:$DF,MATCH('MM01'!$B82,Consulta!$C:$C,0),'MM01'!C$2),""))</f>
        <v/>
      </c>
      <c r="D82" s="43" t="str">
        <f>IF(IFERROR(INDEX(Consulta!$A:$DF,MATCH('MM01'!$B82,Consulta!$C:$C,0),'MM01'!D$2),"")=0,"",IFERROR(INDEX(Consulta!$A:$DF,MATCH('MM01'!$B82,Consulta!$C:$C,0),'MM01'!D$2),""))</f>
        <v/>
      </c>
      <c r="E82" s="43" t="str">
        <f>IF(IFERROR(INDEX(Consulta!$A:$DF,MATCH('MM01'!$B82,Consulta!$C:$C,0),'MM01'!E$2),"")=0,"",IFERROR(INDEX(Consulta!$A:$DF,MATCH('MM01'!$B82,Consulta!$C:$C,0),'MM01'!E$2),""))</f>
        <v/>
      </c>
      <c r="F82" s="44" t="s">
        <v>100</v>
      </c>
      <c r="G82" s="49" t="str">
        <f>IF(IFERROR(INDEX(Consulta!$A:$DF,MATCH('MM01'!$B82,Consulta!$C:$C,0),'MM01'!G$2),"")=0,"",IFERROR(INDEX(Consulta!$A:$DF,MATCH('MM01'!$B82,Consulta!$C:$C,0),'MM01'!G$2),""))</f>
        <v/>
      </c>
      <c r="H82" s="49" t="str">
        <f>IF(IFERROR(INDEX(Consulta!$A:$DF,MATCH('MM01'!$B82,Consulta!$C:$C,0),'MM01'!H$2),"")=0,"",IFERROR(INDEX(Consulta!$A:$DF,MATCH('MM01'!$B82,Consulta!$C:$C,0),'MM01'!H$2),""))</f>
        <v/>
      </c>
      <c r="I82" s="49" t="str">
        <f t="shared" si="40"/>
        <v/>
      </c>
      <c r="J82" s="49" t="str">
        <f>IF(IFERROR(INDEX(Consulta!$A:$DF,MATCH('MM01'!$B82,Consulta!$C:$C,0),'MM01'!J$2),"")=0,"",IFERROR(INDEX(Consulta!$A:$DF,MATCH('MM01'!$B82,Consulta!$C:$C,0),'MM01'!J$2),""))</f>
        <v/>
      </c>
      <c r="K82" s="49" t="str">
        <f t="shared" si="41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IF(IFERROR(INDEX(Consulta!$A:$DF,MATCH('MM01'!$B82,Consulta!$C:$C,0),'MM01'!AP$2),"")=0,"",IFERROR(INDEX(Consulta!$A:$DF,MATCH('MM01'!$B82,Consulta!$C:$C,0),'MM01'!AP$2),""))</f>
        <v/>
      </c>
      <c r="AQ82" s="45"/>
      <c r="AR82" s="43" t="str">
        <f>IF(IFERROR(INDEX(Consulta!$A:$DF,MATCH('MM01'!$B82,Consulta!$C:$C,0),'MM01'!AR$2),"")=0,"",IFERROR(INDEX(Consulta!$A:$DF,MATCH('MM01'!$B82,Consulta!$C:$C,0),'MM01'!AR$2),""))</f>
        <v/>
      </c>
      <c r="AS82" s="43" t="str">
        <f>IF(IFERROR(INDEX(Consulta!$A:$DF,MATCH('MM01'!$B82,Consulta!$C:$C,0),'MM01'!AS$2),"")=0,"",IF(AR82="68",5102,IFERROR(INDEX(Consulta!$A:$DF,MATCH('MM01'!$B82,Consulta!$C:$C,0),'MM01'!AS$2),"")))</f>
        <v/>
      </c>
      <c r="AT82" s="45"/>
      <c r="AU82" s="46" t="str">
        <f t="shared" ca="1" si="42"/>
        <v/>
      </c>
      <c r="AV82" s="47" t="s">
        <v>796</v>
      </c>
      <c r="AW82" s="43" t="str">
        <f>IF(IFERROR(INDEX(Consulta!$A:$DF,MATCH('MM01'!$B82,Consulta!$C:$C,0),'MM01'!AW$2),"")=0,"",IFERROR(ROUND(INDEX(Consulta!$A:$DF,MATCH('MM01'!$B82,Consulta!$C:$C,0),'MM01'!AW$2),3),""))</f>
        <v/>
      </c>
      <c r="AX82" s="43" t="str">
        <f t="shared" si="43"/>
        <v/>
      </c>
      <c r="AY82" s="48" t="s">
        <v>299</v>
      </c>
      <c r="AZ82" s="48"/>
      <c r="BA82" s="43" t="str">
        <f>IF(IFERROR(INDEX(Consulta!$A:$DF,MATCH('MM01'!$B82,Consulta!$C:$C,0),'MM01'!BA$2),"")=0,"",IFERROR(INDEX(Consulta!$A:$DF,MATCH('MM01'!$B82,Consulta!$C:$C,0),'MM01'!BA$2),""))</f>
        <v/>
      </c>
      <c r="BB82" s="43" t="str">
        <f t="shared" si="44"/>
        <v/>
      </c>
      <c r="BC82" s="43" t="str">
        <f t="shared" si="45"/>
        <v/>
      </c>
      <c r="BD82" s="43" t="str">
        <f t="shared" si="46"/>
        <v/>
      </c>
      <c r="BE82" s="43" t="str">
        <f t="shared" si="47"/>
        <v>M</v>
      </c>
      <c r="BF82" s="43" t="str">
        <f t="shared" si="48"/>
        <v/>
      </c>
      <c r="BG82" s="43" t="str">
        <f t="shared" si="49"/>
        <v/>
      </c>
      <c r="BH82" s="43" t="str">
        <f t="shared" si="50"/>
        <v/>
      </c>
      <c r="BI82" s="43" t="str">
        <f t="shared" si="51"/>
        <v>M</v>
      </c>
      <c r="BK82" s="45" t="s">
        <v>324</v>
      </c>
      <c r="BL82" s="43" t="str">
        <f>IF(IFERROR(INDEX(Consulta!$A:$DF,MATCH('MM01'!$B82,Consulta!$C:$C,0),'MM01'!BL$2),"")=0,"",IFERROR(INDEX(Consulta!$A:$DF,MATCH('MM01'!$B82,Consulta!$C:$C,0),'MM01'!BL$2),""))</f>
        <v/>
      </c>
      <c r="BM82" s="45">
        <v>99</v>
      </c>
      <c r="BN82" s="46" t="str">
        <f t="shared" ca="1" si="52"/>
        <v>28.04.2022</v>
      </c>
      <c r="BO82" s="49" t="str">
        <f t="shared" si="53"/>
        <v/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IF(IFERROR(INDEX(Consulta!$A:$DF,MATCH('MM01'!$B82,Consulta!$C:$C,0),'MM01'!BX$2),"")=0,"",IFERROR(INDEX(Consulta!$A:$DF,MATCH('MM01'!$B82,Consulta!$C:$C,0),'MM01'!BX$2),""))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54"/>
        <v/>
      </c>
      <c r="CD82" s="45" t="s">
        <v>430</v>
      </c>
      <c r="CE82" s="45">
        <v>1</v>
      </c>
      <c r="CF82" s="45" t="s">
        <v>496</v>
      </c>
      <c r="CG82" s="45"/>
      <c r="CH82" s="44">
        <v>2</v>
      </c>
      <c r="CI82" s="49" t="str">
        <f t="shared" si="55"/>
        <v/>
      </c>
      <c r="CJ82" s="49" t="str">
        <f t="shared" si="56"/>
        <v/>
      </c>
      <c r="CK82" s="45"/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7"/>
        <v>K00_P_</v>
      </c>
      <c r="CS82" s="45">
        <v>5000</v>
      </c>
      <c r="CT82" s="43" t="str">
        <f>IF(IFERROR(INDEX(Consulta!$A:$DF,MATCH('MM01'!$B82,Consulta!$C:$C,0),'MM01'!CT$2),"")=0,"",IFERROR(INDEX(Consulta!$A:$DF,MATCH('MM01'!$B82,Consulta!$C:$C,0),'MM01'!CT$2),""))</f>
        <v/>
      </c>
      <c r="CU82" s="43" t="str">
        <f>IF(IFERROR(INDEX(Consulta!$A:$DF,MATCH('MM01'!$B82,Consulta!$C:$C,0),'MM01'!CU$2),"")=0,"",IFERROR(INDEX(Consulta!$A:$DF,MATCH('MM01'!$B82,Consulta!$C:$C,0),'MM01'!CU$2),""))</f>
        <v/>
      </c>
      <c r="CV82" s="43" t="str">
        <f>IF(IFERROR(INDEX(Consulta!$A:$DF,MATCH('MM01'!$B82,Consulta!$C:$C,0),'MM01'!CV$2),"")=0,"",IFERROR(INDEX(Consulta!$A:$DF,MATCH('MM01'!$B82,Consulta!$C:$C,0),'MM01'!CV$2),""))</f>
        <v/>
      </c>
      <c r="CW82" s="43" t="str">
        <f>IF(IFERROR(INDEX(Consulta!$A:$DF,MATCH('MM01'!$B82,Consulta!$C:$C,0),'MM01'!CW$2),"")=0,"",IFERROR(INDEX(Consulta!$A:$DF,MATCH('MM01'!$B82,Consulta!$C:$C,0),'MM01'!CW$2),""))</f>
        <v/>
      </c>
      <c r="CX82" s="43" t="str">
        <f t="shared" si="58"/>
        <v/>
      </c>
      <c r="CY82" s="43" t="str">
        <f t="shared" si="59"/>
        <v/>
      </c>
      <c r="CZ82" s="43" t="str">
        <f t="shared" si="60"/>
        <v/>
      </c>
      <c r="DA82" s="43" t="str">
        <f>IF(IFERROR(INDEX(Consulta!$A:$DF,MATCH('MM01'!$B82,Consulta!$C:$C,0),'MM01'!DA$2),"")=0,"",IFERROR(INDEX(Consulta!$A:$DF,MATCH('MM01'!$B82,Consulta!$C:$C,0),'MM01'!DA$2),""))</f>
        <v/>
      </c>
      <c r="DB82" s="43" t="str">
        <f t="shared" si="61"/>
        <v/>
      </c>
      <c r="DC82" s="43" t="str">
        <f>IF(IFERROR(INDEX(Consulta!$A:$DF,MATCH('MM01'!$B82,Consulta!$C:$C,0),'MM01'!DC$2),"")=0,"",IFERROR(INDEX(Consulta!$A:$DF,MATCH('MM01'!$B82,Consulta!$C:$C,0),'MM01'!DC$2),""))</f>
        <v/>
      </c>
      <c r="DD82" s="45">
        <v>0</v>
      </c>
      <c r="DE82" s="45">
        <v>0</v>
      </c>
      <c r="DF82" s="43" t="str">
        <f t="shared" si="62"/>
        <v/>
      </c>
      <c r="DG82" s="43" t="str">
        <f t="shared" si="63"/>
        <v/>
      </c>
      <c r="DH82" s="55"/>
      <c r="DI82" s="43" t="str">
        <f t="shared" ca="1" si="64"/>
        <v/>
      </c>
      <c r="DJ82" s="43" t="str">
        <f t="shared" si="65"/>
        <v/>
      </c>
      <c r="DK82" s="43" t="str">
        <f t="shared" si="66"/>
        <v/>
      </c>
      <c r="DL82" s="55"/>
      <c r="DM82" s="43" t="str">
        <f t="shared" ca="1" si="67"/>
        <v/>
      </c>
      <c r="DN82" s="43" t="str">
        <f t="shared" si="68"/>
        <v/>
      </c>
      <c r="DO82" s="43" t="str">
        <f t="shared" si="69"/>
        <v/>
      </c>
      <c r="DP82" s="55"/>
      <c r="DQ82" s="43" t="str">
        <f t="shared" ca="1" si="70"/>
        <v/>
      </c>
      <c r="DR82" s="43" t="str">
        <f t="shared" si="71"/>
        <v/>
      </c>
      <c r="DS82" s="43" t="str">
        <f t="shared" si="72"/>
        <v/>
      </c>
      <c r="DT82" s="55"/>
      <c r="DU82" s="43" t="str">
        <f t="shared" ca="1" si="73"/>
        <v/>
      </c>
      <c r="DV82" s="43" t="str">
        <f t="shared" si="74"/>
        <v/>
      </c>
      <c r="DX82" s="44">
        <v>1</v>
      </c>
      <c r="DY82" s="44" t="s">
        <v>774</v>
      </c>
      <c r="DZ82" s="43">
        <f t="shared" si="75"/>
        <v>0.01</v>
      </c>
      <c r="EA82" s="43" t="str">
        <f t="shared" si="76"/>
        <v>M</v>
      </c>
      <c r="EB82" s="43" t="str">
        <f>IF(IFERROR(INDEX(Consulta!$A:$DF,MATCH('MM01'!$B82,Consulta!$C:$C,0),'MM01'!EB$2),"")=0,"7925",IF(IFERROR(INDEX(Consulta!$A:$DF,MATCH('MM01'!$B82,Consulta!$C:$C,0),'MM01'!EB$2),"")="68","7910","7925"))</f>
        <v>7925</v>
      </c>
      <c r="EC82" s="44">
        <v>100</v>
      </c>
      <c r="ED82" s="60">
        <v>1</v>
      </c>
      <c r="EE82" s="43">
        <f t="shared" si="77"/>
        <v>100</v>
      </c>
      <c r="EF82" s="44">
        <v>1</v>
      </c>
      <c r="EG82" s="44">
        <v>0</v>
      </c>
      <c r="EH82" s="44" t="s">
        <v>867</v>
      </c>
      <c r="EI82" s="45">
        <v>0</v>
      </c>
      <c r="EJ82" s="43">
        <f t="shared" si="78"/>
        <v>5000</v>
      </c>
      <c r="EK82" s="65"/>
    </row>
    <row r="83" spans="1:141" x14ac:dyDescent="0.3">
      <c r="A83" s="7" t="str">
        <f t="shared" si="79"/>
        <v>Execução 79</v>
      </c>
      <c r="B83" s="42"/>
      <c r="C83" s="43" t="str">
        <f>IF(IFERROR(INDEX(Consulta!$A:$DF,MATCH('MM01'!$B83,Consulta!$C:$C,0),'MM01'!C$2),"")=0,"",IFERROR(INDEX(Consulta!$A:$DF,MATCH('MM01'!$B83,Consulta!$C:$C,0),'MM01'!C$2),""))</f>
        <v/>
      </c>
      <c r="D83" s="43" t="str">
        <f>IF(IFERROR(INDEX(Consulta!$A:$DF,MATCH('MM01'!$B83,Consulta!$C:$C,0),'MM01'!D$2),"")=0,"",IFERROR(INDEX(Consulta!$A:$DF,MATCH('MM01'!$B83,Consulta!$C:$C,0),'MM01'!D$2),""))</f>
        <v/>
      </c>
      <c r="E83" s="43" t="str">
        <f>IF(IFERROR(INDEX(Consulta!$A:$DF,MATCH('MM01'!$B83,Consulta!$C:$C,0),'MM01'!E$2),"")=0,"",IFERROR(INDEX(Consulta!$A:$DF,MATCH('MM01'!$B83,Consulta!$C:$C,0),'MM01'!E$2),""))</f>
        <v/>
      </c>
      <c r="F83" s="44" t="s">
        <v>100</v>
      </c>
      <c r="G83" s="49" t="str">
        <f>IF(IFERROR(INDEX(Consulta!$A:$DF,MATCH('MM01'!$B83,Consulta!$C:$C,0),'MM01'!G$2),"")=0,"",IFERROR(INDEX(Consulta!$A:$DF,MATCH('MM01'!$B83,Consulta!$C:$C,0),'MM01'!G$2),""))</f>
        <v/>
      </c>
      <c r="H83" s="49" t="str">
        <f>IF(IFERROR(INDEX(Consulta!$A:$DF,MATCH('MM01'!$B83,Consulta!$C:$C,0),'MM01'!H$2),"")=0,"",IFERROR(INDEX(Consulta!$A:$DF,MATCH('MM01'!$B83,Consulta!$C:$C,0),'MM01'!H$2),""))</f>
        <v/>
      </c>
      <c r="I83" s="49" t="str">
        <f t="shared" si="40"/>
        <v/>
      </c>
      <c r="J83" s="49" t="str">
        <f>IF(IFERROR(INDEX(Consulta!$A:$DF,MATCH('MM01'!$B83,Consulta!$C:$C,0),'MM01'!J$2),"")=0,"",IFERROR(INDEX(Consulta!$A:$DF,MATCH('MM01'!$B83,Consulta!$C:$C,0),'MM01'!J$2),""))</f>
        <v/>
      </c>
      <c r="K83" s="49" t="str">
        <f t="shared" si="41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IF(IFERROR(INDEX(Consulta!$A:$DF,MATCH('MM01'!$B83,Consulta!$C:$C,0),'MM01'!AP$2),"")=0,"",IFERROR(INDEX(Consulta!$A:$DF,MATCH('MM01'!$B83,Consulta!$C:$C,0),'MM01'!AP$2),""))</f>
        <v/>
      </c>
      <c r="AQ83" s="45"/>
      <c r="AR83" s="43" t="str">
        <f>IF(IFERROR(INDEX(Consulta!$A:$DF,MATCH('MM01'!$B83,Consulta!$C:$C,0),'MM01'!AR$2),"")=0,"",IFERROR(INDEX(Consulta!$A:$DF,MATCH('MM01'!$B83,Consulta!$C:$C,0),'MM01'!AR$2),""))</f>
        <v/>
      </c>
      <c r="AS83" s="43" t="str">
        <f>IF(IFERROR(INDEX(Consulta!$A:$DF,MATCH('MM01'!$B83,Consulta!$C:$C,0),'MM01'!AS$2),"")=0,"",IF(AR83="68",5102,IFERROR(INDEX(Consulta!$A:$DF,MATCH('MM01'!$B83,Consulta!$C:$C,0),'MM01'!AS$2),"")))</f>
        <v/>
      </c>
      <c r="AT83" s="45"/>
      <c r="AU83" s="46" t="str">
        <f t="shared" ca="1" si="42"/>
        <v/>
      </c>
      <c r="AV83" s="47" t="s">
        <v>796</v>
      </c>
      <c r="AW83" s="43" t="str">
        <f>IF(IFERROR(INDEX(Consulta!$A:$DF,MATCH('MM01'!$B83,Consulta!$C:$C,0),'MM01'!AW$2),"")=0,"",IFERROR(ROUND(INDEX(Consulta!$A:$DF,MATCH('MM01'!$B83,Consulta!$C:$C,0),'MM01'!AW$2),3),""))</f>
        <v/>
      </c>
      <c r="AX83" s="43" t="str">
        <f t="shared" si="43"/>
        <v/>
      </c>
      <c r="AY83" s="48" t="s">
        <v>299</v>
      </c>
      <c r="AZ83" s="48"/>
      <c r="BA83" s="43" t="str">
        <f>IF(IFERROR(INDEX(Consulta!$A:$DF,MATCH('MM01'!$B83,Consulta!$C:$C,0),'MM01'!BA$2),"")=0,"",IFERROR(INDEX(Consulta!$A:$DF,MATCH('MM01'!$B83,Consulta!$C:$C,0),'MM01'!BA$2),""))</f>
        <v/>
      </c>
      <c r="BB83" s="43" t="str">
        <f t="shared" si="44"/>
        <v/>
      </c>
      <c r="BC83" s="43" t="str">
        <f t="shared" si="45"/>
        <v/>
      </c>
      <c r="BD83" s="43" t="str">
        <f t="shared" si="46"/>
        <v/>
      </c>
      <c r="BE83" s="43" t="str">
        <f t="shared" si="47"/>
        <v>M</v>
      </c>
      <c r="BF83" s="43" t="str">
        <f t="shared" si="48"/>
        <v/>
      </c>
      <c r="BG83" s="43" t="str">
        <f t="shared" si="49"/>
        <v/>
      </c>
      <c r="BH83" s="43" t="str">
        <f t="shared" si="50"/>
        <v/>
      </c>
      <c r="BI83" s="43" t="str">
        <f t="shared" si="51"/>
        <v>M</v>
      </c>
      <c r="BK83" s="45" t="s">
        <v>324</v>
      </c>
      <c r="BL83" s="43" t="str">
        <f>IF(IFERROR(INDEX(Consulta!$A:$DF,MATCH('MM01'!$B83,Consulta!$C:$C,0),'MM01'!BL$2),"")=0,"",IFERROR(INDEX(Consulta!$A:$DF,MATCH('MM01'!$B83,Consulta!$C:$C,0),'MM01'!BL$2),""))</f>
        <v/>
      </c>
      <c r="BM83" s="45">
        <v>99</v>
      </c>
      <c r="BN83" s="46" t="str">
        <f t="shared" ca="1" si="52"/>
        <v>28.04.2022</v>
      </c>
      <c r="BO83" s="49" t="str">
        <f t="shared" si="53"/>
        <v/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IF(IFERROR(INDEX(Consulta!$A:$DF,MATCH('MM01'!$B83,Consulta!$C:$C,0),'MM01'!BX$2),"")=0,"",IFERROR(INDEX(Consulta!$A:$DF,MATCH('MM01'!$B83,Consulta!$C:$C,0),'MM01'!BX$2),""))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54"/>
        <v/>
      </c>
      <c r="CD83" s="45" t="s">
        <v>430</v>
      </c>
      <c r="CE83" s="45">
        <v>1</v>
      </c>
      <c r="CF83" s="45" t="s">
        <v>496</v>
      </c>
      <c r="CG83" s="45"/>
      <c r="CH83" s="44">
        <v>2</v>
      </c>
      <c r="CI83" s="49" t="str">
        <f t="shared" si="55"/>
        <v/>
      </c>
      <c r="CJ83" s="49" t="str">
        <f t="shared" si="56"/>
        <v/>
      </c>
      <c r="CK83" s="45"/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7"/>
        <v>K00_P_</v>
      </c>
      <c r="CS83" s="45">
        <v>5000</v>
      </c>
      <c r="CT83" s="43" t="str">
        <f>IF(IFERROR(INDEX(Consulta!$A:$DF,MATCH('MM01'!$B83,Consulta!$C:$C,0),'MM01'!CT$2),"")=0,"",IFERROR(INDEX(Consulta!$A:$DF,MATCH('MM01'!$B83,Consulta!$C:$C,0),'MM01'!CT$2),""))</f>
        <v/>
      </c>
      <c r="CU83" s="43" t="str">
        <f>IF(IFERROR(INDEX(Consulta!$A:$DF,MATCH('MM01'!$B83,Consulta!$C:$C,0),'MM01'!CU$2),"")=0,"",IFERROR(INDEX(Consulta!$A:$DF,MATCH('MM01'!$B83,Consulta!$C:$C,0),'MM01'!CU$2),""))</f>
        <v/>
      </c>
      <c r="CV83" s="43" t="str">
        <f>IF(IFERROR(INDEX(Consulta!$A:$DF,MATCH('MM01'!$B83,Consulta!$C:$C,0),'MM01'!CV$2),"")=0,"",IFERROR(INDEX(Consulta!$A:$DF,MATCH('MM01'!$B83,Consulta!$C:$C,0),'MM01'!CV$2),""))</f>
        <v/>
      </c>
      <c r="CW83" s="43" t="str">
        <f>IF(IFERROR(INDEX(Consulta!$A:$DF,MATCH('MM01'!$B83,Consulta!$C:$C,0),'MM01'!CW$2),"")=0,"",IFERROR(INDEX(Consulta!$A:$DF,MATCH('MM01'!$B83,Consulta!$C:$C,0),'MM01'!CW$2),""))</f>
        <v/>
      </c>
      <c r="CX83" s="43" t="str">
        <f t="shared" si="58"/>
        <v/>
      </c>
      <c r="CY83" s="43" t="str">
        <f t="shared" si="59"/>
        <v/>
      </c>
      <c r="CZ83" s="43" t="str">
        <f t="shared" si="60"/>
        <v/>
      </c>
      <c r="DA83" s="43" t="str">
        <f>IF(IFERROR(INDEX(Consulta!$A:$DF,MATCH('MM01'!$B83,Consulta!$C:$C,0),'MM01'!DA$2),"")=0,"",IFERROR(INDEX(Consulta!$A:$DF,MATCH('MM01'!$B83,Consulta!$C:$C,0),'MM01'!DA$2),""))</f>
        <v/>
      </c>
      <c r="DB83" s="43" t="str">
        <f t="shared" si="61"/>
        <v/>
      </c>
      <c r="DC83" s="43" t="str">
        <f>IF(IFERROR(INDEX(Consulta!$A:$DF,MATCH('MM01'!$B83,Consulta!$C:$C,0),'MM01'!DC$2),"")=0,"",IFERROR(INDEX(Consulta!$A:$DF,MATCH('MM01'!$B83,Consulta!$C:$C,0),'MM01'!DC$2),""))</f>
        <v/>
      </c>
      <c r="DD83" s="45">
        <v>0</v>
      </c>
      <c r="DE83" s="45">
        <v>0</v>
      </c>
      <c r="DF83" s="43" t="str">
        <f t="shared" si="62"/>
        <v/>
      </c>
      <c r="DG83" s="43" t="str">
        <f t="shared" si="63"/>
        <v/>
      </c>
      <c r="DH83" s="55"/>
      <c r="DI83" s="43" t="str">
        <f t="shared" ca="1" si="64"/>
        <v/>
      </c>
      <c r="DJ83" s="43" t="str">
        <f t="shared" si="65"/>
        <v/>
      </c>
      <c r="DK83" s="43" t="str">
        <f t="shared" si="66"/>
        <v/>
      </c>
      <c r="DL83" s="55"/>
      <c r="DM83" s="43" t="str">
        <f t="shared" ca="1" si="67"/>
        <v/>
      </c>
      <c r="DN83" s="43" t="str">
        <f t="shared" si="68"/>
        <v/>
      </c>
      <c r="DO83" s="43" t="str">
        <f t="shared" si="69"/>
        <v/>
      </c>
      <c r="DP83" s="55"/>
      <c r="DQ83" s="43" t="str">
        <f t="shared" ca="1" si="70"/>
        <v/>
      </c>
      <c r="DR83" s="43" t="str">
        <f t="shared" si="71"/>
        <v/>
      </c>
      <c r="DS83" s="43" t="str">
        <f t="shared" si="72"/>
        <v/>
      </c>
      <c r="DT83" s="55"/>
      <c r="DU83" s="43" t="str">
        <f t="shared" ca="1" si="73"/>
        <v/>
      </c>
      <c r="DV83" s="43" t="str">
        <f t="shared" si="74"/>
        <v/>
      </c>
      <c r="DX83" s="44">
        <v>1</v>
      </c>
      <c r="DY83" s="44" t="s">
        <v>774</v>
      </c>
      <c r="DZ83" s="43">
        <f t="shared" si="75"/>
        <v>0.01</v>
      </c>
      <c r="EA83" s="43" t="str">
        <f t="shared" si="76"/>
        <v>M</v>
      </c>
      <c r="EB83" s="43" t="str">
        <f>IF(IFERROR(INDEX(Consulta!$A:$DF,MATCH('MM01'!$B83,Consulta!$C:$C,0),'MM01'!EB$2),"")=0,"7925",IF(IFERROR(INDEX(Consulta!$A:$DF,MATCH('MM01'!$B83,Consulta!$C:$C,0),'MM01'!EB$2),"")="68","7910","7925"))</f>
        <v>7925</v>
      </c>
      <c r="EC83" s="44">
        <v>100</v>
      </c>
      <c r="ED83" s="60">
        <v>1</v>
      </c>
      <c r="EE83" s="43">
        <f t="shared" si="77"/>
        <v>100</v>
      </c>
      <c r="EF83" s="44">
        <v>1</v>
      </c>
      <c r="EG83" s="44">
        <v>0</v>
      </c>
      <c r="EH83" s="44" t="s">
        <v>867</v>
      </c>
      <c r="EI83" s="45">
        <v>0</v>
      </c>
      <c r="EJ83" s="43">
        <f t="shared" si="78"/>
        <v>5000</v>
      </c>
      <c r="EK83" s="65"/>
    </row>
    <row r="84" spans="1:141" x14ac:dyDescent="0.3">
      <c r="A84" s="7" t="str">
        <f t="shared" si="79"/>
        <v>Execução 80</v>
      </c>
      <c r="B84" s="42"/>
      <c r="C84" s="43" t="str">
        <f>IF(IFERROR(INDEX(Consulta!$A:$DF,MATCH('MM01'!$B84,Consulta!$C:$C,0),'MM01'!C$2),"")=0,"",IFERROR(INDEX(Consulta!$A:$DF,MATCH('MM01'!$B84,Consulta!$C:$C,0),'MM01'!C$2),""))</f>
        <v/>
      </c>
      <c r="D84" s="43" t="str">
        <f>IF(IFERROR(INDEX(Consulta!$A:$DF,MATCH('MM01'!$B84,Consulta!$C:$C,0),'MM01'!D$2),"")=0,"",IFERROR(INDEX(Consulta!$A:$DF,MATCH('MM01'!$B84,Consulta!$C:$C,0),'MM01'!D$2),""))</f>
        <v/>
      </c>
      <c r="E84" s="43" t="str">
        <f>IF(IFERROR(INDEX(Consulta!$A:$DF,MATCH('MM01'!$B84,Consulta!$C:$C,0),'MM01'!E$2),"")=0,"",IFERROR(INDEX(Consulta!$A:$DF,MATCH('MM01'!$B84,Consulta!$C:$C,0),'MM01'!E$2),""))</f>
        <v/>
      </c>
      <c r="F84" s="44" t="s">
        <v>100</v>
      </c>
      <c r="G84" s="49" t="str">
        <f>IF(IFERROR(INDEX(Consulta!$A:$DF,MATCH('MM01'!$B84,Consulta!$C:$C,0),'MM01'!G$2),"")=0,"",IFERROR(INDEX(Consulta!$A:$DF,MATCH('MM01'!$B84,Consulta!$C:$C,0),'MM01'!G$2),""))</f>
        <v/>
      </c>
      <c r="H84" s="49" t="str">
        <f>IF(IFERROR(INDEX(Consulta!$A:$DF,MATCH('MM01'!$B84,Consulta!$C:$C,0),'MM01'!H$2),"")=0,"",IFERROR(INDEX(Consulta!$A:$DF,MATCH('MM01'!$B84,Consulta!$C:$C,0),'MM01'!H$2),""))</f>
        <v/>
      </c>
      <c r="I84" s="49" t="str">
        <f t="shared" si="40"/>
        <v/>
      </c>
      <c r="J84" s="49" t="str">
        <f>IF(IFERROR(INDEX(Consulta!$A:$DF,MATCH('MM01'!$B84,Consulta!$C:$C,0),'MM01'!J$2),"")=0,"",IFERROR(INDEX(Consulta!$A:$DF,MATCH('MM01'!$B84,Consulta!$C:$C,0),'MM01'!J$2),""))</f>
        <v/>
      </c>
      <c r="K84" s="49" t="str">
        <f t="shared" si="41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IF(IFERROR(INDEX(Consulta!$A:$DF,MATCH('MM01'!$B84,Consulta!$C:$C,0),'MM01'!AP$2),"")=0,"",IFERROR(INDEX(Consulta!$A:$DF,MATCH('MM01'!$B84,Consulta!$C:$C,0),'MM01'!AP$2),""))</f>
        <v/>
      </c>
      <c r="AQ84" s="45"/>
      <c r="AR84" s="43" t="str">
        <f>IF(IFERROR(INDEX(Consulta!$A:$DF,MATCH('MM01'!$B84,Consulta!$C:$C,0),'MM01'!AR$2),"")=0,"",IFERROR(INDEX(Consulta!$A:$DF,MATCH('MM01'!$B84,Consulta!$C:$C,0),'MM01'!AR$2),""))</f>
        <v/>
      </c>
      <c r="AS84" s="43" t="str">
        <f>IF(IFERROR(INDEX(Consulta!$A:$DF,MATCH('MM01'!$B84,Consulta!$C:$C,0),'MM01'!AS$2),"")=0,"",IF(AR84="68",5102,IFERROR(INDEX(Consulta!$A:$DF,MATCH('MM01'!$B84,Consulta!$C:$C,0),'MM01'!AS$2),"")))</f>
        <v/>
      </c>
      <c r="AT84" s="45"/>
      <c r="AU84" s="46" t="str">
        <f t="shared" ca="1" si="42"/>
        <v/>
      </c>
      <c r="AV84" s="47" t="s">
        <v>796</v>
      </c>
      <c r="AW84" s="43" t="str">
        <f>IF(IFERROR(INDEX(Consulta!$A:$DF,MATCH('MM01'!$B84,Consulta!$C:$C,0),'MM01'!AW$2),"")=0,"",IFERROR(ROUND(INDEX(Consulta!$A:$DF,MATCH('MM01'!$B84,Consulta!$C:$C,0),'MM01'!AW$2),3),""))</f>
        <v/>
      </c>
      <c r="AX84" s="43" t="str">
        <f t="shared" si="43"/>
        <v/>
      </c>
      <c r="AY84" s="48" t="s">
        <v>299</v>
      </c>
      <c r="AZ84" s="48"/>
      <c r="BA84" s="43" t="str">
        <f>IF(IFERROR(INDEX(Consulta!$A:$DF,MATCH('MM01'!$B84,Consulta!$C:$C,0),'MM01'!BA$2),"")=0,"",IFERROR(INDEX(Consulta!$A:$DF,MATCH('MM01'!$B84,Consulta!$C:$C,0),'MM01'!BA$2),""))</f>
        <v/>
      </c>
      <c r="BB84" s="43" t="str">
        <f t="shared" si="44"/>
        <v/>
      </c>
      <c r="BC84" s="43" t="str">
        <f t="shared" si="45"/>
        <v/>
      </c>
      <c r="BD84" s="43" t="str">
        <f t="shared" si="46"/>
        <v/>
      </c>
      <c r="BE84" s="43" t="str">
        <f t="shared" si="47"/>
        <v>M</v>
      </c>
      <c r="BF84" s="43" t="str">
        <f t="shared" si="48"/>
        <v/>
      </c>
      <c r="BG84" s="43" t="str">
        <f t="shared" si="49"/>
        <v/>
      </c>
      <c r="BH84" s="43" t="str">
        <f t="shared" si="50"/>
        <v/>
      </c>
      <c r="BI84" s="43" t="str">
        <f t="shared" si="51"/>
        <v>M</v>
      </c>
      <c r="BK84" s="45" t="s">
        <v>324</v>
      </c>
      <c r="BL84" s="43" t="str">
        <f>IF(IFERROR(INDEX(Consulta!$A:$DF,MATCH('MM01'!$B84,Consulta!$C:$C,0),'MM01'!BL$2),"")=0,"",IFERROR(INDEX(Consulta!$A:$DF,MATCH('MM01'!$B84,Consulta!$C:$C,0),'MM01'!BL$2),""))</f>
        <v/>
      </c>
      <c r="BM84" s="45">
        <v>99</v>
      </c>
      <c r="BN84" s="46" t="str">
        <f t="shared" ca="1" si="52"/>
        <v>28.04.2022</v>
      </c>
      <c r="BO84" s="49" t="str">
        <f t="shared" si="53"/>
        <v/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IF(IFERROR(INDEX(Consulta!$A:$DF,MATCH('MM01'!$B84,Consulta!$C:$C,0),'MM01'!BX$2),"")=0,"",IFERROR(INDEX(Consulta!$A:$DF,MATCH('MM01'!$B84,Consulta!$C:$C,0),'MM01'!BX$2),""))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54"/>
        <v/>
      </c>
      <c r="CD84" s="45" t="s">
        <v>430</v>
      </c>
      <c r="CE84" s="45">
        <v>1</v>
      </c>
      <c r="CF84" s="45" t="s">
        <v>496</v>
      </c>
      <c r="CG84" s="45"/>
      <c r="CH84" s="44">
        <v>2</v>
      </c>
      <c r="CI84" s="49" t="str">
        <f t="shared" si="55"/>
        <v/>
      </c>
      <c r="CJ84" s="49" t="str">
        <f t="shared" si="56"/>
        <v/>
      </c>
      <c r="CK84" s="45"/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7"/>
        <v>K00_P_</v>
      </c>
      <c r="CS84" s="45">
        <v>5000</v>
      </c>
      <c r="CT84" s="43" t="str">
        <f>IF(IFERROR(INDEX(Consulta!$A:$DF,MATCH('MM01'!$B84,Consulta!$C:$C,0),'MM01'!CT$2),"")=0,"",IFERROR(INDEX(Consulta!$A:$DF,MATCH('MM01'!$B84,Consulta!$C:$C,0),'MM01'!CT$2),""))</f>
        <v/>
      </c>
      <c r="CU84" s="43" t="str">
        <f>IF(IFERROR(INDEX(Consulta!$A:$DF,MATCH('MM01'!$B84,Consulta!$C:$C,0),'MM01'!CU$2),"")=0,"",IFERROR(INDEX(Consulta!$A:$DF,MATCH('MM01'!$B84,Consulta!$C:$C,0),'MM01'!CU$2),""))</f>
        <v/>
      </c>
      <c r="CV84" s="43" t="str">
        <f>IF(IFERROR(INDEX(Consulta!$A:$DF,MATCH('MM01'!$B84,Consulta!$C:$C,0),'MM01'!CV$2),"")=0,"",IFERROR(INDEX(Consulta!$A:$DF,MATCH('MM01'!$B84,Consulta!$C:$C,0),'MM01'!CV$2),""))</f>
        <v/>
      </c>
      <c r="CW84" s="43" t="str">
        <f>IF(IFERROR(INDEX(Consulta!$A:$DF,MATCH('MM01'!$B84,Consulta!$C:$C,0),'MM01'!CW$2),"")=0,"",IFERROR(INDEX(Consulta!$A:$DF,MATCH('MM01'!$B84,Consulta!$C:$C,0),'MM01'!CW$2),""))</f>
        <v/>
      </c>
      <c r="CX84" s="43" t="str">
        <f t="shared" si="58"/>
        <v/>
      </c>
      <c r="CY84" s="43" t="str">
        <f t="shared" si="59"/>
        <v/>
      </c>
      <c r="CZ84" s="43" t="str">
        <f t="shared" si="60"/>
        <v/>
      </c>
      <c r="DA84" s="43" t="str">
        <f>IF(IFERROR(INDEX(Consulta!$A:$DF,MATCH('MM01'!$B84,Consulta!$C:$C,0),'MM01'!DA$2),"")=0,"",IFERROR(INDEX(Consulta!$A:$DF,MATCH('MM01'!$B84,Consulta!$C:$C,0),'MM01'!DA$2),""))</f>
        <v/>
      </c>
      <c r="DB84" s="43" t="str">
        <f t="shared" si="61"/>
        <v/>
      </c>
      <c r="DC84" s="43" t="str">
        <f>IF(IFERROR(INDEX(Consulta!$A:$DF,MATCH('MM01'!$B84,Consulta!$C:$C,0),'MM01'!DC$2),"")=0,"",IFERROR(INDEX(Consulta!$A:$DF,MATCH('MM01'!$B84,Consulta!$C:$C,0),'MM01'!DC$2),""))</f>
        <v/>
      </c>
      <c r="DD84" s="45">
        <v>0</v>
      </c>
      <c r="DE84" s="45">
        <v>0</v>
      </c>
      <c r="DF84" s="43" t="str">
        <f t="shared" si="62"/>
        <v/>
      </c>
      <c r="DG84" s="43" t="str">
        <f t="shared" si="63"/>
        <v/>
      </c>
      <c r="DH84" s="55"/>
      <c r="DI84" s="43" t="str">
        <f t="shared" ca="1" si="64"/>
        <v/>
      </c>
      <c r="DJ84" s="43" t="str">
        <f t="shared" si="65"/>
        <v/>
      </c>
      <c r="DK84" s="43" t="str">
        <f t="shared" si="66"/>
        <v/>
      </c>
      <c r="DL84" s="55"/>
      <c r="DM84" s="43" t="str">
        <f t="shared" ca="1" si="67"/>
        <v/>
      </c>
      <c r="DN84" s="43" t="str">
        <f t="shared" si="68"/>
        <v/>
      </c>
      <c r="DO84" s="43" t="str">
        <f t="shared" si="69"/>
        <v/>
      </c>
      <c r="DP84" s="55"/>
      <c r="DQ84" s="43" t="str">
        <f t="shared" ca="1" si="70"/>
        <v/>
      </c>
      <c r="DR84" s="43" t="str">
        <f t="shared" si="71"/>
        <v/>
      </c>
      <c r="DS84" s="43" t="str">
        <f t="shared" si="72"/>
        <v/>
      </c>
      <c r="DT84" s="55"/>
      <c r="DU84" s="43" t="str">
        <f t="shared" ca="1" si="73"/>
        <v/>
      </c>
      <c r="DV84" s="43" t="str">
        <f t="shared" si="74"/>
        <v/>
      </c>
      <c r="DX84" s="44">
        <v>1</v>
      </c>
      <c r="DY84" s="44" t="s">
        <v>774</v>
      </c>
      <c r="DZ84" s="43">
        <f t="shared" si="75"/>
        <v>0.01</v>
      </c>
      <c r="EA84" s="43" t="str">
        <f t="shared" si="76"/>
        <v>M</v>
      </c>
      <c r="EB84" s="43" t="str">
        <f>IF(IFERROR(INDEX(Consulta!$A:$DF,MATCH('MM01'!$B84,Consulta!$C:$C,0),'MM01'!EB$2),"")=0,"7925",IF(IFERROR(INDEX(Consulta!$A:$DF,MATCH('MM01'!$B84,Consulta!$C:$C,0),'MM01'!EB$2),"")="68","7910","7925"))</f>
        <v>7925</v>
      </c>
      <c r="EC84" s="44">
        <v>100</v>
      </c>
      <c r="ED84" s="60">
        <v>1</v>
      </c>
      <c r="EE84" s="43">
        <f t="shared" si="77"/>
        <v>100</v>
      </c>
      <c r="EF84" s="44">
        <v>1</v>
      </c>
      <c r="EG84" s="44">
        <v>0</v>
      </c>
      <c r="EH84" s="44" t="s">
        <v>867</v>
      </c>
      <c r="EI84" s="45">
        <v>0</v>
      </c>
      <c r="EJ84" s="43">
        <f t="shared" si="78"/>
        <v>5000</v>
      </c>
      <c r="EK84" s="65"/>
    </row>
    <row r="85" spans="1:141" x14ac:dyDescent="0.3">
      <c r="A85" s="7" t="str">
        <f t="shared" si="79"/>
        <v>Execução 81</v>
      </c>
      <c r="B85" s="42"/>
      <c r="C85" s="43" t="str">
        <f>IF(IFERROR(INDEX(Consulta!$A:$DF,MATCH('MM01'!$B85,Consulta!$C:$C,0),'MM01'!C$2),"")=0,"",IFERROR(INDEX(Consulta!$A:$DF,MATCH('MM01'!$B85,Consulta!$C:$C,0),'MM01'!C$2),""))</f>
        <v/>
      </c>
      <c r="D85" s="43" t="str">
        <f>IF(IFERROR(INDEX(Consulta!$A:$DF,MATCH('MM01'!$B85,Consulta!$C:$C,0),'MM01'!D$2),"")=0,"",IFERROR(INDEX(Consulta!$A:$DF,MATCH('MM01'!$B85,Consulta!$C:$C,0),'MM01'!D$2),""))</f>
        <v/>
      </c>
      <c r="E85" s="43" t="str">
        <f>IF(IFERROR(INDEX(Consulta!$A:$DF,MATCH('MM01'!$B85,Consulta!$C:$C,0),'MM01'!E$2),"")=0,"",IFERROR(INDEX(Consulta!$A:$DF,MATCH('MM01'!$B85,Consulta!$C:$C,0),'MM01'!E$2),""))</f>
        <v/>
      </c>
      <c r="F85" s="44" t="s">
        <v>100</v>
      </c>
      <c r="G85" s="49" t="str">
        <f>IF(IFERROR(INDEX(Consulta!$A:$DF,MATCH('MM01'!$B85,Consulta!$C:$C,0),'MM01'!G$2),"")=0,"",IFERROR(INDEX(Consulta!$A:$DF,MATCH('MM01'!$B85,Consulta!$C:$C,0),'MM01'!G$2),""))</f>
        <v/>
      </c>
      <c r="H85" s="49" t="str">
        <f>IF(IFERROR(INDEX(Consulta!$A:$DF,MATCH('MM01'!$B85,Consulta!$C:$C,0),'MM01'!H$2),"")=0,"",IFERROR(INDEX(Consulta!$A:$DF,MATCH('MM01'!$B85,Consulta!$C:$C,0),'MM01'!H$2),""))</f>
        <v/>
      </c>
      <c r="I85" s="49" t="str">
        <f t="shared" si="40"/>
        <v/>
      </c>
      <c r="J85" s="49" t="str">
        <f>IF(IFERROR(INDEX(Consulta!$A:$DF,MATCH('MM01'!$B85,Consulta!$C:$C,0),'MM01'!J$2),"")=0,"",IFERROR(INDEX(Consulta!$A:$DF,MATCH('MM01'!$B85,Consulta!$C:$C,0),'MM01'!J$2),""))</f>
        <v/>
      </c>
      <c r="K85" s="49" t="str">
        <f t="shared" si="41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IF(IFERROR(INDEX(Consulta!$A:$DF,MATCH('MM01'!$B85,Consulta!$C:$C,0),'MM01'!AP$2),"")=0,"",IFERROR(INDEX(Consulta!$A:$DF,MATCH('MM01'!$B85,Consulta!$C:$C,0),'MM01'!AP$2),""))</f>
        <v/>
      </c>
      <c r="AQ85" s="45"/>
      <c r="AR85" s="43" t="str">
        <f>IF(IFERROR(INDEX(Consulta!$A:$DF,MATCH('MM01'!$B85,Consulta!$C:$C,0),'MM01'!AR$2),"")=0,"",IFERROR(INDEX(Consulta!$A:$DF,MATCH('MM01'!$B85,Consulta!$C:$C,0),'MM01'!AR$2),""))</f>
        <v/>
      </c>
      <c r="AS85" s="43" t="str">
        <f>IF(IFERROR(INDEX(Consulta!$A:$DF,MATCH('MM01'!$B85,Consulta!$C:$C,0),'MM01'!AS$2),"")=0,"",IF(AR85="68",5102,IFERROR(INDEX(Consulta!$A:$DF,MATCH('MM01'!$B85,Consulta!$C:$C,0),'MM01'!AS$2),"")))</f>
        <v/>
      </c>
      <c r="AT85" s="45"/>
      <c r="AU85" s="46" t="str">
        <f t="shared" ca="1" si="42"/>
        <v/>
      </c>
      <c r="AV85" s="47" t="s">
        <v>796</v>
      </c>
      <c r="AW85" s="43" t="str">
        <f>IF(IFERROR(INDEX(Consulta!$A:$DF,MATCH('MM01'!$B85,Consulta!$C:$C,0),'MM01'!AW$2),"")=0,"",IFERROR(ROUND(INDEX(Consulta!$A:$DF,MATCH('MM01'!$B85,Consulta!$C:$C,0),'MM01'!AW$2),3),""))</f>
        <v/>
      </c>
      <c r="AX85" s="43" t="str">
        <f t="shared" si="43"/>
        <v/>
      </c>
      <c r="AY85" s="48" t="s">
        <v>299</v>
      </c>
      <c r="AZ85" s="48"/>
      <c r="BA85" s="43" t="str">
        <f>IF(IFERROR(INDEX(Consulta!$A:$DF,MATCH('MM01'!$B85,Consulta!$C:$C,0),'MM01'!BA$2),"")=0,"",IFERROR(INDEX(Consulta!$A:$DF,MATCH('MM01'!$B85,Consulta!$C:$C,0),'MM01'!BA$2),""))</f>
        <v/>
      </c>
      <c r="BB85" s="43" t="str">
        <f t="shared" si="44"/>
        <v/>
      </c>
      <c r="BC85" s="43" t="str">
        <f t="shared" si="45"/>
        <v/>
      </c>
      <c r="BD85" s="43" t="str">
        <f t="shared" si="46"/>
        <v/>
      </c>
      <c r="BE85" s="43" t="str">
        <f t="shared" si="47"/>
        <v>M</v>
      </c>
      <c r="BF85" s="43" t="str">
        <f t="shared" si="48"/>
        <v/>
      </c>
      <c r="BG85" s="43" t="str">
        <f t="shared" si="49"/>
        <v/>
      </c>
      <c r="BH85" s="43" t="str">
        <f t="shared" si="50"/>
        <v/>
      </c>
      <c r="BI85" s="43" t="str">
        <f t="shared" si="51"/>
        <v>M</v>
      </c>
      <c r="BK85" s="45" t="s">
        <v>324</v>
      </c>
      <c r="BL85" s="43" t="str">
        <f>IF(IFERROR(INDEX(Consulta!$A:$DF,MATCH('MM01'!$B85,Consulta!$C:$C,0),'MM01'!BL$2),"")=0,"",IFERROR(INDEX(Consulta!$A:$DF,MATCH('MM01'!$B85,Consulta!$C:$C,0),'MM01'!BL$2),""))</f>
        <v/>
      </c>
      <c r="BM85" s="45">
        <v>99</v>
      </c>
      <c r="BN85" s="46" t="str">
        <f t="shared" ca="1" si="52"/>
        <v>28.04.2022</v>
      </c>
      <c r="BO85" s="49" t="str">
        <f t="shared" si="53"/>
        <v/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IF(IFERROR(INDEX(Consulta!$A:$DF,MATCH('MM01'!$B85,Consulta!$C:$C,0),'MM01'!BX$2),"")=0,"",IFERROR(INDEX(Consulta!$A:$DF,MATCH('MM01'!$B85,Consulta!$C:$C,0),'MM01'!BX$2),""))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54"/>
        <v/>
      </c>
      <c r="CD85" s="45" t="s">
        <v>430</v>
      </c>
      <c r="CE85" s="45">
        <v>1</v>
      </c>
      <c r="CF85" s="45" t="s">
        <v>496</v>
      </c>
      <c r="CG85" s="45"/>
      <c r="CH85" s="44">
        <v>2</v>
      </c>
      <c r="CI85" s="49" t="str">
        <f t="shared" si="55"/>
        <v/>
      </c>
      <c r="CJ85" s="49" t="str">
        <f t="shared" si="56"/>
        <v/>
      </c>
      <c r="CK85" s="45"/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7"/>
        <v>K00_P_</v>
      </c>
      <c r="CS85" s="45">
        <v>5000</v>
      </c>
      <c r="CT85" s="43" t="str">
        <f>IF(IFERROR(INDEX(Consulta!$A:$DF,MATCH('MM01'!$B85,Consulta!$C:$C,0),'MM01'!CT$2),"")=0,"",IFERROR(INDEX(Consulta!$A:$DF,MATCH('MM01'!$B85,Consulta!$C:$C,0),'MM01'!CT$2),""))</f>
        <v/>
      </c>
      <c r="CU85" s="43" t="str">
        <f>IF(IFERROR(INDEX(Consulta!$A:$DF,MATCH('MM01'!$B85,Consulta!$C:$C,0),'MM01'!CU$2),"")=0,"",IFERROR(INDEX(Consulta!$A:$DF,MATCH('MM01'!$B85,Consulta!$C:$C,0),'MM01'!CU$2),""))</f>
        <v/>
      </c>
      <c r="CV85" s="43" t="str">
        <f>IF(IFERROR(INDEX(Consulta!$A:$DF,MATCH('MM01'!$B85,Consulta!$C:$C,0),'MM01'!CV$2),"")=0,"",IFERROR(INDEX(Consulta!$A:$DF,MATCH('MM01'!$B85,Consulta!$C:$C,0),'MM01'!CV$2),""))</f>
        <v/>
      </c>
      <c r="CW85" s="43" t="str">
        <f>IF(IFERROR(INDEX(Consulta!$A:$DF,MATCH('MM01'!$B85,Consulta!$C:$C,0),'MM01'!CW$2),"")=0,"",IFERROR(INDEX(Consulta!$A:$DF,MATCH('MM01'!$B85,Consulta!$C:$C,0),'MM01'!CW$2),""))</f>
        <v/>
      </c>
      <c r="CX85" s="43" t="str">
        <f t="shared" si="58"/>
        <v/>
      </c>
      <c r="CY85" s="43" t="str">
        <f t="shared" si="59"/>
        <v/>
      </c>
      <c r="CZ85" s="43" t="str">
        <f t="shared" si="60"/>
        <v/>
      </c>
      <c r="DA85" s="43" t="str">
        <f>IF(IFERROR(INDEX(Consulta!$A:$DF,MATCH('MM01'!$B85,Consulta!$C:$C,0),'MM01'!DA$2),"")=0,"",IFERROR(INDEX(Consulta!$A:$DF,MATCH('MM01'!$B85,Consulta!$C:$C,0),'MM01'!DA$2),""))</f>
        <v/>
      </c>
      <c r="DB85" s="43" t="str">
        <f t="shared" si="61"/>
        <v/>
      </c>
      <c r="DC85" s="43" t="str">
        <f>IF(IFERROR(INDEX(Consulta!$A:$DF,MATCH('MM01'!$B85,Consulta!$C:$C,0),'MM01'!DC$2),"")=0,"",IFERROR(INDEX(Consulta!$A:$DF,MATCH('MM01'!$B85,Consulta!$C:$C,0),'MM01'!DC$2),""))</f>
        <v/>
      </c>
      <c r="DD85" s="45">
        <v>0</v>
      </c>
      <c r="DE85" s="45">
        <v>0</v>
      </c>
      <c r="DF85" s="43" t="str">
        <f t="shared" si="62"/>
        <v/>
      </c>
      <c r="DG85" s="43" t="str">
        <f t="shared" si="63"/>
        <v/>
      </c>
      <c r="DH85" s="55"/>
      <c r="DI85" s="43" t="str">
        <f t="shared" ca="1" si="64"/>
        <v/>
      </c>
      <c r="DJ85" s="43" t="str">
        <f t="shared" si="65"/>
        <v/>
      </c>
      <c r="DK85" s="43" t="str">
        <f t="shared" si="66"/>
        <v/>
      </c>
      <c r="DL85" s="55"/>
      <c r="DM85" s="43" t="str">
        <f t="shared" ca="1" si="67"/>
        <v/>
      </c>
      <c r="DN85" s="43" t="str">
        <f t="shared" si="68"/>
        <v/>
      </c>
      <c r="DO85" s="43" t="str">
        <f t="shared" si="69"/>
        <v/>
      </c>
      <c r="DP85" s="55"/>
      <c r="DQ85" s="43" t="str">
        <f t="shared" ca="1" si="70"/>
        <v/>
      </c>
      <c r="DR85" s="43" t="str">
        <f t="shared" si="71"/>
        <v/>
      </c>
      <c r="DS85" s="43" t="str">
        <f t="shared" si="72"/>
        <v/>
      </c>
      <c r="DT85" s="55"/>
      <c r="DU85" s="43" t="str">
        <f t="shared" ca="1" si="73"/>
        <v/>
      </c>
      <c r="DV85" s="43" t="str">
        <f t="shared" si="74"/>
        <v/>
      </c>
      <c r="DX85" s="44">
        <v>1</v>
      </c>
      <c r="DY85" s="44" t="s">
        <v>774</v>
      </c>
      <c r="DZ85" s="43">
        <f t="shared" si="75"/>
        <v>0.01</v>
      </c>
      <c r="EA85" s="43" t="str">
        <f t="shared" si="76"/>
        <v>M</v>
      </c>
      <c r="EB85" s="43" t="str">
        <f>IF(IFERROR(INDEX(Consulta!$A:$DF,MATCH('MM01'!$B85,Consulta!$C:$C,0),'MM01'!EB$2),"")=0,"7925",IF(IFERROR(INDEX(Consulta!$A:$DF,MATCH('MM01'!$B85,Consulta!$C:$C,0),'MM01'!EB$2),"")="68","7910","7925"))</f>
        <v>7925</v>
      </c>
      <c r="EC85" s="44">
        <v>100</v>
      </c>
      <c r="ED85" s="60">
        <v>1</v>
      </c>
      <c r="EE85" s="43">
        <f t="shared" si="77"/>
        <v>100</v>
      </c>
      <c r="EF85" s="44">
        <v>1</v>
      </c>
      <c r="EG85" s="44">
        <v>0</v>
      </c>
      <c r="EH85" s="44" t="s">
        <v>867</v>
      </c>
      <c r="EI85" s="45">
        <v>0</v>
      </c>
      <c r="EJ85" s="43">
        <f t="shared" si="78"/>
        <v>5000</v>
      </c>
      <c r="EK85" s="65"/>
    </row>
    <row r="86" spans="1:141" x14ac:dyDescent="0.3">
      <c r="A86" s="7" t="str">
        <f t="shared" si="79"/>
        <v>Execução 82</v>
      </c>
      <c r="B86" s="42"/>
      <c r="C86" s="43" t="str">
        <f>IF(IFERROR(INDEX(Consulta!$A:$DF,MATCH('MM01'!$B86,Consulta!$C:$C,0),'MM01'!C$2),"")=0,"",IFERROR(INDEX(Consulta!$A:$DF,MATCH('MM01'!$B86,Consulta!$C:$C,0),'MM01'!C$2),""))</f>
        <v/>
      </c>
      <c r="D86" s="43" t="str">
        <f>IF(IFERROR(INDEX(Consulta!$A:$DF,MATCH('MM01'!$B86,Consulta!$C:$C,0),'MM01'!D$2),"")=0,"",IFERROR(INDEX(Consulta!$A:$DF,MATCH('MM01'!$B86,Consulta!$C:$C,0),'MM01'!D$2),""))</f>
        <v/>
      </c>
      <c r="E86" s="43" t="str">
        <f>IF(IFERROR(INDEX(Consulta!$A:$DF,MATCH('MM01'!$B86,Consulta!$C:$C,0),'MM01'!E$2),"")=0,"",IFERROR(INDEX(Consulta!$A:$DF,MATCH('MM01'!$B86,Consulta!$C:$C,0),'MM01'!E$2),""))</f>
        <v/>
      </c>
      <c r="F86" s="44" t="s">
        <v>100</v>
      </c>
      <c r="G86" s="49" t="str">
        <f>IF(IFERROR(INDEX(Consulta!$A:$DF,MATCH('MM01'!$B86,Consulta!$C:$C,0),'MM01'!G$2),"")=0,"",IFERROR(INDEX(Consulta!$A:$DF,MATCH('MM01'!$B86,Consulta!$C:$C,0),'MM01'!G$2),""))</f>
        <v/>
      </c>
      <c r="H86" s="49" t="str">
        <f>IF(IFERROR(INDEX(Consulta!$A:$DF,MATCH('MM01'!$B86,Consulta!$C:$C,0),'MM01'!H$2),"")=0,"",IFERROR(INDEX(Consulta!$A:$DF,MATCH('MM01'!$B86,Consulta!$C:$C,0),'MM01'!H$2),""))</f>
        <v/>
      </c>
      <c r="I86" s="49" t="str">
        <f t="shared" si="40"/>
        <v/>
      </c>
      <c r="J86" s="49" t="str">
        <f>IF(IFERROR(INDEX(Consulta!$A:$DF,MATCH('MM01'!$B86,Consulta!$C:$C,0),'MM01'!J$2),"")=0,"",IFERROR(INDEX(Consulta!$A:$DF,MATCH('MM01'!$B86,Consulta!$C:$C,0),'MM01'!J$2),""))</f>
        <v/>
      </c>
      <c r="K86" s="49" t="str">
        <f t="shared" si="41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IF(IFERROR(INDEX(Consulta!$A:$DF,MATCH('MM01'!$B86,Consulta!$C:$C,0),'MM01'!AP$2),"")=0,"",IFERROR(INDEX(Consulta!$A:$DF,MATCH('MM01'!$B86,Consulta!$C:$C,0),'MM01'!AP$2),""))</f>
        <v/>
      </c>
      <c r="AQ86" s="45"/>
      <c r="AR86" s="43" t="str">
        <f>IF(IFERROR(INDEX(Consulta!$A:$DF,MATCH('MM01'!$B86,Consulta!$C:$C,0),'MM01'!AR$2),"")=0,"",IFERROR(INDEX(Consulta!$A:$DF,MATCH('MM01'!$B86,Consulta!$C:$C,0),'MM01'!AR$2),""))</f>
        <v/>
      </c>
      <c r="AS86" s="43" t="str">
        <f>IF(IFERROR(INDEX(Consulta!$A:$DF,MATCH('MM01'!$B86,Consulta!$C:$C,0),'MM01'!AS$2),"")=0,"",IF(AR86="68",5102,IFERROR(INDEX(Consulta!$A:$DF,MATCH('MM01'!$B86,Consulta!$C:$C,0),'MM01'!AS$2),"")))</f>
        <v/>
      </c>
      <c r="AT86" s="45"/>
      <c r="AU86" s="46" t="str">
        <f t="shared" ca="1" si="42"/>
        <v/>
      </c>
      <c r="AV86" s="47" t="s">
        <v>796</v>
      </c>
      <c r="AW86" s="43" t="str">
        <f>IF(IFERROR(INDEX(Consulta!$A:$DF,MATCH('MM01'!$B86,Consulta!$C:$C,0),'MM01'!AW$2),"")=0,"",IFERROR(ROUND(INDEX(Consulta!$A:$DF,MATCH('MM01'!$B86,Consulta!$C:$C,0),'MM01'!AW$2),3),""))</f>
        <v/>
      </c>
      <c r="AX86" s="43" t="str">
        <f t="shared" si="43"/>
        <v/>
      </c>
      <c r="AY86" s="48" t="s">
        <v>299</v>
      </c>
      <c r="AZ86" s="48"/>
      <c r="BA86" s="43" t="str">
        <f>IF(IFERROR(INDEX(Consulta!$A:$DF,MATCH('MM01'!$B86,Consulta!$C:$C,0),'MM01'!BA$2),"")=0,"",IFERROR(INDEX(Consulta!$A:$DF,MATCH('MM01'!$B86,Consulta!$C:$C,0),'MM01'!BA$2),""))</f>
        <v/>
      </c>
      <c r="BB86" s="43" t="str">
        <f t="shared" si="44"/>
        <v/>
      </c>
      <c r="BC86" s="43" t="str">
        <f t="shared" si="45"/>
        <v/>
      </c>
      <c r="BD86" s="43" t="str">
        <f t="shared" si="46"/>
        <v/>
      </c>
      <c r="BE86" s="43" t="str">
        <f t="shared" si="47"/>
        <v>M</v>
      </c>
      <c r="BF86" s="43" t="str">
        <f t="shared" si="48"/>
        <v/>
      </c>
      <c r="BG86" s="43" t="str">
        <f t="shared" si="49"/>
        <v/>
      </c>
      <c r="BH86" s="43" t="str">
        <f t="shared" si="50"/>
        <v/>
      </c>
      <c r="BI86" s="43" t="str">
        <f t="shared" si="51"/>
        <v>M</v>
      </c>
      <c r="BK86" s="45" t="s">
        <v>324</v>
      </c>
      <c r="BL86" s="43" t="str">
        <f>IF(IFERROR(INDEX(Consulta!$A:$DF,MATCH('MM01'!$B86,Consulta!$C:$C,0),'MM01'!BL$2),"")=0,"",IFERROR(INDEX(Consulta!$A:$DF,MATCH('MM01'!$B86,Consulta!$C:$C,0),'MM01'!BL$2),""))</f>
        <v/>
      </c>
      <c r="BM86" s="45">
        <v>99</v>
      </c>
      <c r="BN86" s="46" t="str">
        <f t="shared" ca="1" si="52"/>
        <v>28.04.2022</v>
      </c>
      <c r="BO86" s="49" t="str">
        <f t="shared" si="53"/>
        <v/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IF(IFERROR(INDEX(Consulta!$A:$DF,MATCH('MM01'!$B86,Consulta!$C:$C,0),'MM01'!BX$2),"")=0,"",IFERROR(INDEX(Consulta!$A:$DF,MATCH('MM01'!$B86,Consulta!$C:$C,0),'MM01'!BX$2),""))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54"/>
        <v/>
      </c>
      <c r="CD86" s="45" t="s">
        <v>430</v>
      </c>
      <c r="CE86" s="45">
        <v>1</v>
      </c>
      <c r="CF86" s="45" t="s">
        <v>496</v>
      </c>
      <c r="CG86" s="45"/>
      <c r="CH86" s="44">
        <v>2</v>
      </c>
      <c r="CI86" s="49" t="str">
        <f t="shared" si="55"/>
        <v/>
      </c>
      <c r="CJ86" s="49" t="str">
        <f t="shared" si="56"/>
        <v/>
      </c>
      <c r="CK86" s="45"/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7"/>
        <v>K00_P_</v>
      </c>
      <c r="CS86" s="45">
        <v>5000</v>
      </c>
      <c r="CT86" s="43" t="str">
        <f>IF(IFERROR(INDEX(Consulta!$A:$DF,MATCH('MM01'!$B86,Consulta!$C:$C,0),'MM01'!CT$2),"")=0,"",IFERROR(INDEX(Consulta!$A:$DF,MATCH('MM01'!$B86,Consulta!$C:$C,0),'MM01'!CT$2),""))</f>
        <v/>
      </c>
      <c r="CU86" s="43" t="str">
        <f>IF(IFERROR(INDEX(Consulta!$A:$DF,MATCH('MM01'!$B86,Consulta!$C:$C,0),'MM01'!CU$2),"")=0,"",IFERROR(INDEX(Consulta!$A:$DF,MATCH('MM01'!$B86,Consulta!$C:$C,0),'MM01'!CU$2),""))</f>
        <v/>
      </c>
      <c r="CV86" s="43" t="str">
        <f>IF(IFERROR(INDEX(Consulta!$A:$DF,MATCH('MM01'!$B86,Consulta!$C:$C,0),'MM01'!CV$2),"")=0,"",IFERROR(INDEX(Consulta!$A:$DF,MATCH('MM01'!$B86,Consulta!$C:$C,0),'MM01'!CV$2),""))</f>
        <v/>
      </c>
      <c r="CW86" s="43" t="str">
        <f>IF(IFERROR(INDEX(Consulta!$A:$DF,MATCH('MM01'!$B86,Consulta!$C:$C,0),'MM01'!CW$2),"")=0,"",IFERROR(INDEX(Consulta!$A:$DF,MATCH('MM01'!$B86,Consulta!$C:$C,0),'MM01'!CW$2),""))</f>
        <v/>
      </c>
      <c r="CX86" s="43" t="str">
        <f t="shared" si="58"/>
        <v/>
      </c>
      <c r="CY86" s="43" t="str">
        <f t="shared" si="59"/>
        <v/>
      </c>
      <c r="CZ86" s="43" t="str">
        <f t="shared" si="60"/>
        <v/>
      </c>
      <c r="DA86" s="43" t="str">
        <f>IF(IFERROR(INDEX(Consulta!$A:$DF,MATCH('MM01'!$B86,Consulta!$C:$C,0),'MM01'!DA$2),"")=0,"",IFERROR(INDEX(Consulta!$A:$DF,MATCH('MM01'!$B86,Consulta!$C:$C,0),'MM01'!DA$2),""))</f>
        <v/>
      </c>
      <c r="DB86" s="43" t="str">
        <f t="shared" si="61"/>
        <v/>
      </c>
      <c r="DC86" s="43" t="str">
        <f>IF(IFERROR(INDEX(Consulta!$A:$DF,MATCH('MM01'!$B86,Consulta!$C:$C,0),'MM01'!DC$2),"")=0,"",IFERROR(INDEX(Consulta!$A:$DF,MATCH('MM01'!$B86,Consulta!$C:$C,0),'MM01'!DC$2),""))</f>
        <v/>
      </c>
      <c r="DD86" s="45">
        <v>0</v>
      </c>
      <c r="DE86" s="45">
        <v>0</v>
      </c>
      <c r="DF86" s="43" t="str">
        <f t="shared" si="62"/>
        <v/>
      </c>
      <c r="DG86" s="43" t="str">
        <f t="shared" si="63"/>
        <v/>
      </c>
      <c r="DH86" s="55"/>
      <c r="DI86" s="43" t="str">
        <f t="shared" ca="1" si="64"/>
        <v/>
      </c>
      <c r="DJ86" s="43" t="str">
        <f t="shared" si="65"/>
        <v/>
      </c>
      <c r="DK86" s="43" t="str">
        <f t="shared" si="66"/>
        <v/>
      </c>
      <c r="DL86" s="55"/>
      <c r="DM86" s="43" t="str">
        <f t="shared" ca="1" si="67"/>
        <v/>
      </c>
      <c r="DN86" s="43" t="str">
        <f t="shared" si="68"/>
        <v/>
      </c>
      <c r="DO86" s="43" t="str">
        <f t="shared" si="69"/>
        <v/>
      </c>
      <c r="DP86" s="55"/>
      <c r="DQ86" s="43" t="str">
        <f t="shared" ca="1" si="70"/>
        <v/>
      </c>
      <c r="DR86" s="43" t="str">
        <f t="shared" si="71"/>
        <v/>
      </c>
      <c r="DS86" s="43" t="str">
        <f t="shared" si="72"/>
        <v/>
      </c>
      <c r="DT86" s="55"/>
      <c r="DU86" s="43" t="str">
        <f t="shared" ca="1" si="73"/>
        <v/>
      </c>
      <c r="DV86" s="43" t="str">
        <f t="shared" si="74"/>
        <v/>
      </c>
      <c r="DX86" s="44">
        <v>1</v>
      </c>
      <c r="DY86" s="44" t="s">
        <v>774</v>
      </c>
      <c r="DZ86" s="43">
        <f t="shared" si="75"/>
        <v>0.01</v>
      </c>
      <c r="EA86" s="43" t="str">
        <f t="shared" si="76"/>
        <v>M</v>
      </c>
      <c r="EB86" s="43" t="str">
        <f>IF(IFERROR(INDEX(Consulta!$A:$DF,MATCH('MM01'!$B86,Consulta!$C:$C,0),'MM01'!EB$2),"")=0,"7925",IF(IFERROR(INDEX(Consulta!$A:$DF,MATCH('MM01'!$B86,Consulta!$C:$C,0),'MM01'!EB$2),"")="68","7910","7925"))</f>
        <v>7925</v>
      </c>
      <c r="EC86" s="44">
        <v>100</v>
      </c>
      <c r="ED86" s="60">
        <v>1</v>
      </c>
      <c r="EE86" s="43">
        <f t="shared" si="77"/>
        <v>100</v>
      </c>
      <c r="EF86" s="44">
        <v>1</v>
      </c>
      <c r="EG86" s="44">
        <v>0</v>
      </c>
      <c r="EH86" s="44" t="s">
        <v>867</v>
      </c>
      <c r="EI86" s="45">
        <v>0</v>
      </c>
      <c r="EJ86" s="43">
        <f t="shared" si="78"/>
        <v>5000</v>
      </c>
      <c r="EK86" s="65"/>
    </row>
    <row r="87" spans="1:141" x14ac:dyDescent="0.3">
      <c r="A87" s="7" t="str">
        <f t="shared" si="79"/>
        <v>Execução 83</v>
      </c>
      <c r="B87" s="42"/>
      <c r="C87" s="43" t="str">
        <f>IF(IFERROR(INDEX(Consulta!$A:$DF,MATCH('MM01'!$B87,Consulta!$C:$C,0),'MM01'!C$2),"")=0,"",IFERROR(INDEX(Consulta!$A:$DF,MATCH('MM01'!$B87,Consulta!$C:$C,0),'MM01'!C$2),""))</f>
        <v/>
      </c>
      <c r="D87" s="43" t="str">
        <f>IF(IFERROR(INDEX(Consulta!$A:$DF,MATCH('MM01'!$B87,Consulta!$C:$C,0),'MM01'!D$2),"")=0,"",IFERROR(INDEX(Consulta!$A:$DF,MATCH('MM01'!$B87,Consulta!$C:$C,0),'MM01'!D$2),""))</f>
        <v/>
      </c>
      <c r="E87" s="43" t="str">
        <f>IF(IFERROR(INDEX(Consulta!$A:$DF,MATCH('MM01'!$B87,Consulta!$C:$C,0),'MM01'!E$2),"")=0,"",IFERROR(INDEX(Consulta!$A:$DF,MATCH('MM01'!$B87,Consulta!$C:$C,0),'MM01'!E$2),""))</f>
        <v/>
      </c>
      <c r="F87" s="44" t="s">
        <v>100</v>
      </c>
      <c r="G87" s="49" t="str">
        <f>IF(IFERROR(INDEX(Consulta!$A:$DF,MATCH('MM01'!$B87,Consulta!$C:$C,0),'MM01'!G$2),"")=0,"",IFERROR(INDEX(Consulta!$A:$DF,MATCH('MM01'!$B87,Consulta!$C:$C,0),'MM01'!G$2),""))</f>
        <v/>
      </c>
      <c r="H87" s="49" t="str">
        <f>IF(IFERROR(INDEX(Consulta!$A:$DF,MATCH('MM01'!$B87,Consulta!$C:$C,0),'MM01'!H$2),"")=0,"",IFERROR(INDEX(Consulta!$A:$DF,MATCH('MM01'!$B87,Consulta!$C:$C,0),'MM01'!H$2),""))</f>
        <v/>
      </c>
      <c r="I87" s="49" t="str">
        <f t="shared" si="40"/>
        <v/>
      </c>
      <c r="J87" s="49" t="str">
        <f>IF(IFERROR(INDEX(Consulta!$A:$DF,MATCH('MM01'!$B87,Consulta!$C:$C,0),'MM01'!J$2),"")=0,"",IFERROR(INDEX(Consulta!$A:$DF,MATCH('MM01'!$B87,Consulta!$C:$C,0),'MM01'!J$2),""))</f>
        <v/>
      </c>
      <c r="K87" s="49" t="str">
        <f t="shared" si="41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IF(IFERROR(INDEX(Consulta!$A:$DF,MATCH('MM01'!$B87,Consulta!$C:$C,0),'MM01'!AP$2),"")=0,"",IFERROR(INDEX(Consulta!$A:$DF,MATCH('MM01'!$B87,Consulta!$C:$C,0),'MM01'!AP$2),""))</f>
        <v/>
      </c>
      <c r="AQ87" s="45"/>
      <c r="AR87" s="43" t="str">
        <f>IF(IFERROR(INDEX(Consulta!$A:$DF,MATCH('MM01'!$B87,Consulta!$C:$C,0),'MM01'!AR$2),"")=0,"",IFERROR(INDEX(Consulta!$A:$DF,MATCH('MM01'!$B87,Consulta!$C:$C,0),'MM01'!AR$2),""))</f>
        <v/>
      </c>
      <c r="AS87" s="43" t="str">
        <f>IF(IFERROR(INDEX(Consulta!$A:$DF,MATCH('MM01'!$B87,Consulta!$C:$C,0),'MM01'!AS$2),"")=0,"",IF(AR87="68",5102,IFERROR(INDEX(Consulta!$A:$DF,MATCH('MM01'!$B87,Consulta!$C:$C,0),'MM01'!AS$2),"")))</f>
        <v/>
      </c>
      <c r="AT87" s="45"/>
      <c r="AU87" s="46" t="str">
        <f t="shared" ca="1" si="42"/>
        <v/>
      </c>
      <c r="AV87" s="47" t="s">
        <v>796</v>
      </c>
      <c r="AW87" s="43" t="str">
        <f>IF(IFERROR(INDEX(Consulta!$A:$DF,MATCH('MM01'!$B87,Consulta!$C:$C,0),'MM01'!AW$2),"")=0,"",IFERROR(ROUND(INDEX(Consulta!$A:$DF,MATCH('MM01'!$B87,Consulta!$C:$C,0),'MM01'!AW$2),3),""))</f>
        <v/>
      </c>
      <c r="AX87" s="43" t="str">
        <f t="shared" si="43"/>
        <v/>
      </c>
      <c r="AY87" s="48" t="s">
        <v>299</v>
      </c>
      <c r="AZ87" s="48"/>
      <c r="BA87" s="43" t="str">
        <f>IF(IFERROR(INDEX(Consulta!$A:$DF,MATCH('MM01'!$B87,Consulta!$C:$C,0),'MM01'!BA$2),"")=0,"",IFERROR(INDEX(Consulta!$A:$DF,MATCH('MM01'!$B87,Consulta!$C:$C,0),'MM01'!BA$2),""))</f>
        <v/>
      </c>
      <c r="BB87" s="43" t="str">
        <f t="shared" si="44"/>
        <v/>
      </c>
      <c r="BC87" s="43" t="str">
        <f t="shared" si="45"/>
        <v/>
      </c>
      <c r="BD87" s="43" t="str">
        <f t="shared" si="46"/>
        <v/>
      </c>
      <c r="BE87" s="43" t="str">
        <f t="shared" si="47"/>
        <v>M</v>
      </c>
      <c r="BF87" s="43" t="str">
        <f t="shared" si="48"/>
        <v/>
      </c>
      <c r="BG87" s="43" t="str">
        <f t="shared" si="49"/>
        <v/>
      </c>
      <c r="BH87" s="43" t="str">
        <f t="shared" si="50"/>
        <v/>
      </c>
      <c r="BI87" s="43" t="str">
        <f t="shared" si="51"/>
        <v>M</v>
      </c>
      <c r="BK87" s="45" t="s">
        <v>324</v>
      </c>
      <c r="BL87" s="43" t="str">
        <f>IF(IFERROR(INDEX(Consulta!$A:$DF,MATCH('MM01'!$B87,Consulta!$C:$C,0),'MM01'!BL$2),"")=0,"",IFERROR(INDEX(Consulta!$A:$DF,MATCH('MM01'!$B87,Consulta!$C:$C,0),'MM01'!BL$2),""))</f>
        <v/>
      </c>
      <c r="BM87" s="45">
        <v>99</v>
      </c>
      <c r="BN87" s="46" t="str">
        <f t="shared" ca="1" si="52"/>
        <v>28.04.2022</v>
      </c>
      <c r="BO87" s="49" t="str">
        <f t="shared" si="53"/>
        <v/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IF(IFERROR(INDEX(Consulta!$A:$DF,MATCH('MM01'!$B87,Consulta!$C:$C,0),'MM01'!BX$2),"")=0,"",IFERROR(INDEX(Consulta!$A:$DF,MATCH('MM01'!$B87,Consulta!$C:$C,0),'MM01'!BX$2),""))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si="54"/>
        <v/>
      </c>
      <c r="CD87" s="45" t="s">
        <v>430</v>
      </c>
      <c r="CE87" s="45">
        <v>1</v>
      </c>
      <c r="CF87" s="45" t="s">
        <v>496</v>
      </c>
      <c r="CG87" s="45"/>
      <c r="CH87" s="44">
        <v>2</v>
      </c>
      <c r="CI87" s="49" t="str">
        <f t="shared" si="55"/>
        <v/>
      </c>
      <c r="CJ87" s="49" t="str">
        <f t="shared" si="56"/>
        <v/>
      </c>
      <c r="CK87" s="45"/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si="57"/>
        <v>K00_P_</v>
      </c>
      <c r="CS87" s="45">
        <v>5000</v>
      </c>
      <c r="CT87" s="43" t="str">
        <f>IF(IFERROR(INDEX(Consulta!$A:$DF,MATCH('MM01'!$B87,Consulta!$C:$C,0),'MM01'!CT$2),"")=0,"",IFERROR(INDEX(Consulta!$A:$DF,MATCH('MM01'!$B87,Consulta!$C:$C,0),'MM01'!CT$2),""))</f>
        <v/>
      </c>
      <c r="CU87" s="43" t="str">
        <f>IF(IFERROR(INDEX(Consulta!$A:$DF,MATCH('MM01'!$B87,Consulta!$C:$C,0),'MM01'!CU$2),"")=0,"",IFERROR(INDEX(Consulta!$A:$DF,MATCH('MM01'!$B87,Consulta!$C:$C,0),'MM01'!CU$2),""))</f>
        <v/>
      </c>
      <c r="CV87" s="43" t="str">
        <f>IF(IFERROR(INDEX(Consulta!$A:$DF,MATCH('MM01'!$B87,Consulta!$C:$C,0),'MM01'!CV$2),"")=0,"",IFERROR(INDEX(Consulta!$A:$DF,MATCH('MM01'!$B87,Consulta!$C:$C,0),'MM01'!CV$2),""))</f>
        <v/>
      </c>
      <c r="CW87" s="43" t="str">
        <f>IF(IFERROR(INDEX(Consulta!$A:$DF,MATCH('MM01'!$B87,Consulta!$C:$C,0),'MM01'!CW$2),"")=0,"",IFERROR(INDEX(Consulta!$A:$DF,MATCH('MM01'!$B87,Consulta!$C:$C,0),'MM01'!CW$2),""))</f>
        <v/>
      </c>
      <c r="CX87" s="43" t="str">
        <f t="shared" si="58"/>
        <v/>
      </c>
      <c r="CY87" s="43" t="str">
        <f t="shared" si="59"/>
        <v/>
      </c>
      <c r="CZ87" s="43" t="str">
        <f t="shared" si="60"/>
        <v/>
      </c>
      <c r="DA87" s="43" t="str">
        <f>IF(IFERROR(INDEX(Consulta!$A:$DF,MATCH('MM01'!$B87,Consulta!$C:$C,0),'MM01'!DA$2),"")=0,"",IFERROR(INDEX(Consulta!$A:$DF,MATCH('MM01'!$B87,Consulta!$C:$C,0),'MM01'!DA$2),""))</f>
        <v/>
      </c>
      <c r="DB87" s="43" t="str">
        <f t="shared" si="61"/>
        <v/>
      </c>
      <c r="DC87" s="43" t="str">
        <f>IF(IFERROR(INDEX(Consulta!$A:$DF,MATCH('MM01'!$B87,Consulta!$C:$C,0),'MM01'!DC$2),"")=0,"",IFERROR(INDEX(Consulta!$A:$DF,MATCH('MM01'!$B87,Consulta!$C:$C,0),'MM01'!DC$2),""))</f>
        <v/>
      </c>
      <c r="DD87" s="45">
        <v>0</v>
      </c>
      <c r="DE87" s="45">
        <v>0</v>
      </c>
      <c r="DF87" s="43" t="str">
        <f t="shared" si="62"/>
        <v/>
      </c>
      <c r="DG87" s="43" t="str">
        <f t="shared" si="63"/>
        <v/>
      </c>
      <c r="DH87" s="55"/>
      <c r="DI87" s="43" t="str">
        <f t="shared" ca="1" si="64"/>
        <v/>
      </c>
      <c r="DJ87" s="43" t="str">
        <f t="shared" si="65"/>
        <v/>
      </c>
      <c r="DK87" s="43" t="str">
        <f t="shared" si="66"/>
        <v/>
      </c>
      <c r="DL87" s="55"/>
      <c r="DM87" s="43" t="str">
        <f t="shared" ca="1" si="67"/>
        <v/>
      </c>
      <c r="DN87" s="43" t="str">
        <f t="shared" si="68"/>
        <v/>
      </c>
      <c r="DO87" s="43" t="str">
        <f t="shared" si="69"/>
        <v/>
      </c>
      <c r="DP87" s="55"/>
      <c r="DQ87" s="43" t="str">
        <f t="shared" ca="1" si="70"/>
        <v/>
      </c>
      <c r="DR87" s="43" t="str">
        <f t="shared" si="71"/>
        <v/>
      </c>
      <c r="DS87" s="43" t="str">
        <f t="shared" si="72"/>
        <v/>
      </c>
      <c r="DT87" s="55"/>
      <c r="DU87" s="43" t="str">
        <f t="shared" ca="1" si="73"/>
        <v/>
      </c>
      <c r="DV87" s="43" t="str">
        <f t="shared" si="74"/>
        <v/>
      </c>
      <c r="DX87" s="44">
        <v>1</v>
      </c>
      <c r="DY87" s="44" t="s">
        <v>774</v>
      </c>
      <c r="DZ87" s="43">
        <f t="shared" si="75"/>
        <v>0.01</v>
      </c>
      <c r="EA87" s="43" t="str">
        <f t="shared" si="76"/>
        <v>M</v>
      </c>
      <c r="EB87" s="43" t="str">
        <f>IF(IFERROR(INDEX(Consulta!$A:$DF,MATCH('MM01'!$B87,Consulta!$C:$C,0),'MM01'!EB$2),"")=0,"7925",IF(IFERROR(INDEX(Consulta!$A:$DF,MATCH('MM01'!$B87,Consulta!$C:$C,0),'MM01'!EB$2),"")="68","7910","7925"))</f>
        <v>7925</v>
      </c>
      <c r="EC87" s="44">
        <v>100</v>
      </c>
      <c r="ED87" s="60">
        <v>1</v>
      </c>
      <c r="EE87" s="43">
        <f t="shared" si="77"/>
        <v>100</v>
      </c>
      <c r="EF87" s="44">
        <v>1</v>
      </c>
      <c r="EG87" s="44">
        <v>0</v>
      </c>
      <c r="EH87" s="44" t="s">
        <v>867</v>
      </c>
      <c r="EI87" s="45">
        <v>0</v>
      </c>
      <c r="EJ87" s="43">
        <f t="shared" si="78"/>
        <v>5000</v>
      </c>
      <c r="EK87" s="65"/>
    </row>
    <row r="88" spans="1:141" x14ac:dyDescent="0.3">
      <c r="A88" s="7" t="str">
        <f t="shared" si="79"/>
        <v>Execução 84</v>
      </c>
      <c r="B88" s="42"/>
      <c r="C88" s="43" t="str">
        <f>IF(IFERROR(INDEX(Consulta!$A:$DF,MATCH('MM01'!$B88,Consulta!$C:$C,0),'MM01'!C$2),"")=0,"",IFERROR(INDEX(Consulta!$A:$DF,MATCH('MM01'!$B88,Consulta!$C:$C,0),'MM01'!C$2),""))</f>
        <v/>
      </c>
      <c r="D88" s="43" t="str">
        <f>IF(IFERROR(INDEX(Consulta!$A:$DF,MATCH('MM01'!$B88,Consulta!$C:$C,0),'MM01'!D$2),"")=0,"",IFERROR(INDEX(Consulta!$A:$DF,MATCH('MM01'!$B88,Consulta!$C:$C,0),'MM01'!D$2),""))</f>
        <v/>
      </c>
      <c r="E88" s="43" t="str">
        <f>IF(IFERROR(INDEX(Consulta!$A:$DF,MATCH('MM01'!$B88,Consulta!$C:$C,0),'MM01'!E$2),"")=0,"",IFERROR(INDEX(Consulta!$A:$DF,MATCH('MM01'!$B88,Consulta!$C:$C,0),'MM01'!E$2),""))</f>
        <v/>
      </c>
      <c r="F88" s="44" t="s">
        <v>100</v>
      </c>
      <c r="G88" s="49" t="str">
        <f>IF(IFERROR(INDEX(Consulta!$A:$DF,MATCH('MM01'!$B88,Consulta!$C:$C,0),'MM01'!G$2),"")=0,"",IFERROR(INDEX(Consulta!$A:$DF,MATCH('MM01'!$B88,Consulta!$C:$C,0),'MM01'!G$2),""))</f>
        <v/>
      </c>
      <c r="H88" s="49" t="str">
        <f>IF(IFERROR(INDEX(Consulta!$A:$DF,MATCH('MM01'!$B88,Consulta!$C:$C,0),'MM01'!H$2),"")=0,"",IFERROR(INDEX(Consulta!$A:$DF,MATCH('MM01'!$B88,Consulta!$C:$C,0),'MM01'!H$2),""))</f>
        <v/>
      </c>
      <c r="I88" s="49" t="str">
        <f t="shared" si="40"/>
        <v/>
      </c>
      <c r="J88" s="49" t="str">
        <f>IF(IFERROR(INDEX(Consulta!$A:$DF,MATCH('MM01'!$B88,Consulta!$C:$C,0),'MM01'!J$2),"")=0,"",IFERROR(INDEX(Consulta!$A:$DF,MATCH('MM01'!$B88,Consulta!$C:$C,0),'MM01'!J$2),""))</f>
        <v/>
      </c>
      <c r="K88" s="49" t="str">
        <f t="shared" si="41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IF(IFERROR(INDEX(Consulta!$A:$DF,MATCH('MM01'!$B88,Consulta!$C:$C,0),'MM01'!AP$2),"")=0,"",IFERROR(INDEX(Consulta!$A:$DF,MATCH('MM01'!$B88,Consulta!$C:$C,0),'MM01'!AP$2),""))</f>
        <v/>
      </c>
      <c r="AQ88" s="45"/>
      <c r="AR88" s="43" t="str">
        <f>IF(IFERROR(INDEX(Consulta!$A:$DF,MATCH('MM01'!$B88,Consulta!$C:$C,0),'MM01'!AR$2),"")=0,"",IFERROR(INDEX(Consulta!$A:$DF,MATCH('MM01'!$B88,Consulta!$C:$C,0),'MM01'!AR$2),""))</f>
        <v/>
      </c>
      <c r="AS88" s="43" t="str">
        <f>IF(IFERROR(INDEX(Consulta!$A:$DF,MATCH('MM01'!$B88,Consulta!$C:$C,0),'MM01'!AS$2),"")=0,"",IF(AR88="68",5102,IFERROR(INDEX(Consulta!$A:$DF,MATCH('MM01'!$B88,Consulta!$C:$C,0),'MM01'!AS$2),"")))</f>
        <v/>
      </c>
      <c r="AT88" s="45"/>
      <c r="AU88" s="46" t="str">
        <f t="shared" ca="1" si="42"/>
        <v/>
      </c>
      <c r="AV88" s="47" t="s">
        <v>796</v>
      </c>
      <c r="AW88" s="43" t="str">
        <f>IF(IFERROR(INDEX(Consulta!$A:$DF,MATCH('MM01'!$B88,Consulta!$C:$C,0),'MM01'!AW$2),"")=0,"",IFERROR(ROUND(INDEX(Consulta!$A:$DF,MATCH('MM01'!$B88,Consulta!$C:$C,0),'MM01'!AW$2),3),""))</f>
        <v/>
      </c>
      <c r="AX88" s="43" t="str">
        <f t="shared" si="43"/>
        <v/>
      </c>
      <c r="AY88" s="48" t="s">
        <v>299</v>
      </c>
      <c r="AZ88" s="48"/>
      <c r="BA88" s="43" t="str">
        <f>IF(IFERROR(INDEX(Consulta!$A:$DF,MATCH('MM01'!$B88,Consulta!$C:$C,0),'MM01'!BA$2),"")=0,"",IFERROR(INDEX(Consulta!$A:$DF,MATCH('MM01'!$B88,Consulta!$C:$C,0),'MM01'!BA$2),""))</f>
        <v/>
      </c>
      <c r="BB88" s="43" t="str">
        <f t="shared" si="44"/>
        <v/>
      </c>
      <c r="BC88" s="43" t="str">
        <f t="shared" si="45"/>
        <v/>
      </c>
      <c r="BD88" s="43" t="str">
        <f t="shared" si="46"/>
        <v/>
      </c>
      <c r="BE88" s="43" t="str">
        <f t="shared" si="47"/>
        <v>M</v>
      </c>
      <c r="BF88" s="43" t="str">
        <f t="shared" si="48"/>
        <v/>
      </c>
      <c r="BG88" s="43" t="str">
        <f t="shared" si="49"/>
        <v/>
      </c>
      <c r="BH88" s="43" t="str">
        <f t="shared" si="50"/>
        <v/>
      </c>
      <c r="BI88" s="43" t="str">
        <f t="shared" si="51"/>
        <v>M</v>
      </c>
      <c r="BK88" s="45" t="s">
        <v>324</v>
      </c>
      <c r="BL88" s="43" t="str">
        <f>IF(IFERROR(INDEX(Consulta!$A:$DF,MATCH('MM01'!$B88,Consulta!$C:$C,0),'MM01'!BL$2),"")=0,"",IFERROR(INDEX(Consulta!$A:$DF,MATCH('MM01'!$B88,Consulta!$C:$C,0),'MM01'!BL$2),""))</f>
        <v/>
      </c>
      <c r="BM88" s="45">
        <v>99</v>
      </c>
      <c r="BN88" s="46" t="str">
        <f t="shared" ca="1" si="52"/>
        <v>28.04.2022</v>
      </c>
      <c r="BO88" s="49" t="str">
        <f t="shared" si="53"/>
        <v/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IF(IFERROR(INDEX(Consulta!$A:$DF,MATCH('MM01'!$B88,Consulta!$C:$C,0),'MM01'!BX$2),"")=0,"",IFERROR(INDEX(Consulta!$A:$DF,MATCH('MM01'!$B88,Consulta!$C:$C,0),'MM01'!BX$2),""))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54"/>
        <v/>
      </c>
      <c r="CD88" s="45" t="s">
        <v>430</v>
      </c>
      <c r="CE88" s="45">
        <v>1</v>
      </c>
      <c r="CF88" s="45" t="s">
        <v>496</v>
      </c>
      <c r="CG88" s="45"/>
      <c r="CH88" s="44">
        <v>2</v>
      </c>
      <c r="CI88" s="49" t="str">
        <f t="shared" si="55"/>
        <v/>
      </c>
      <c r="CJ88" s="49" t="str">
        <f t="shared" si="56"/>
        <v/>
      </c>
      <c r="CK88" s="45"/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57"/>
        <v>K00_P_</v>
      </c>
      <c r="CS88" s="45">
        <v>5000</v>
      </c>
      <c r="CT88" s="43" t="str">
        <f>IF(IFERROR(INDEX(Consulta!$A:$DF,MATCH('MM01'!$B88,Consulta!$C:$C,0),'MM01'!CT$2),"")=0,"",IFERROR(INDEX(Consulta!$A:$DF,MATCH('MM01'!$B88,Consulta!$C:$C,0),'MM01'!CT$2),""))</f>
        <v/>
      </c>
      <c r="CU88" s="43" t="str">
        <f>IF(IFERROR(INDEX(Consulta!$A:$DF,MATCH('MM01'!$B88,Consulta!$C:$C,0),'MM01'!CU$2),"")=0,"",IFERROR(INDEX(Consulta!$A:$DF,MATCH('MM01'!$B88,Consulta!$C:$C,0),'MM01'!CU$2),""))</f>
        <v/>
      </c>
      <c r="CV88" s="43" t="str">
        <f>IF(IFERROR(INDEX(Consulta!$A:$DF,MATCH('MM01'!$B88,Consulta!$C:$C,0),'MM01'!CV$2),"")=0,"",IFERROR(INDEX(Consulta!$A:$DF,MATCH('MM01'!$B88,Consulta!$C:$C,0),'MM01'!CV$2),""))</f>
        <v/>
      </c>
      <c r="CW88" s="43" t="str">
        <f>IF(IFERROR(INDEX(Consulta!$A:$DF,MATCH('MM01'!$B88,Consulta!$C:$C,0),'MM01'!CW$2),"")=0,"",IFERROR(INDEX(Consulta!$A:$DF,MATCH('MM01'!$B88,Consulta!$C:$C,0),'MM01'!CW$2),""))</f>
        <v/>
      </c>
      <c r="CX88" s="43" t="str">
        <f t="shared" si="58"/>
        <v/>
      </c>
      <c r="CY88" s="43" t="str">
        <f t="shared" si="59"/>
        <v/>
      </c>
      <c r="CZ88" s="43" t="str">
        <f t="shared" si="60"/>
        <v/>
      </c>
      <c r="DA88" s="43" t="str">
        <f>IF(IFERROR(INDEX(Consulta!$A:$DF,MATCH('MM01'!$B88,Consulta!$C:$C,0),'MM01'!DA$2),"")=0,"",IFERROR(INDEX(Consulta!$A:$DF,MATCH('MM01'!$B88,Consulta!$C:$C,0),'MM01'!DA$2),""))</f>
        <v/>
      </c>
      <c r="DB88" s="43" t="str">
        <f t="shared" si="61"/>
        <v/>
      </c>
      <c r="DC88" s="43" t="str">
        <f>IF(IFERROR(INDEX(Consulta!$A:$DF,MATCH('MM01'!$B88,Consulta!$C:$C,0),'MM01'!DC$2),"")=0,"",IFERROR(INDEX(Consulta!$A:$DF,MATCH('MM01'!$B88,Consulta!$C:$C,0),'MM01'!DC$2),""))</f>
        <v/>
      </c>
      <c r="DD88" s="45">
        <v>0</v>
      </c>
      <c r="DE88" s="45">
        <v>0</v>
      </c>
      <c r="DF88" s="43" t="str">
        <f t="shared" si="62"/>
        <v/>
      </c>
      <c r="DG88" s="43" t="str">
        <f t="shared" si="63"/>
        <v/>
      </c>
      <c r="DH88" s="55"/>
      <c r="DI88" s="43" t="str">
        <f t="shared" ca="1" si="64"/>
        <v/>
      </c>
      <c r="DJ88" s="43" t="str">
        <f t="shared" si="65"/>
        <v/>
      </c>
      <c r="DK88" s="43" t="str">
        <f t="shared" si="66"/>
        <v/>
      </c>
      <c r="DL88" s="55"/>
      <c r="DM88" s="43" t="str">
        <f t="shared" ca="1" si="67"/>
        <v/>
      </c>
      <c r="DN88" s="43" t="str">
        <f t="shared" si="68"/>
        <v/>
      </c>
      <c r="DO88" s="43" t="str">
        <f t="shared" si="69"/>
        <v/>
      </c>
      <c r="DP88" s="55"/>
      <c r="DQ88" s="43" t="str">
        <f t="shared" ca="1" si="70"/>
        <v/>
      </c>
      <c r="DR88" s="43" t="str">
        <f t="shared" si="71"/>
        <v/>
      </c>
      <c r="DS88" s="43" t="str">
        <f t="shared" si="72"/>
        <v/>
      </c>
      <c r="DT88" s="55"/>
      <c r="DU88" s="43" t="str">
        <f t="shared" ca="1" si="73"/>
        <v/>
      </c>
      <c r="DV88" s="43" t="str">
        <f t="shared" si="74"/>
        <v/>
      </c>
      <c r="DX88" s="44">
        <v>1</v>
      </c>
      <c r="DY88" s="44" t="s">
        <v>774</v>
      </c>
      <c r="DZ88" s="43">
        <f t="shared" si="75"/>
        <v>0.01</v>
      </c>
      <c r="EA88" s="43" t="str">
        <f t="shared" si="76"/>
        <v>M</v>
      </c>
      <c r="EB88" s="43" t="str">
        <f>IF(IFERROR(INDEX(Consulta!$A:$DF,MATCH('MM01'!$B88,Consulta!$C:$C,0),'MM01'!EB$2),"")=0,"7925",IF(IFERROR(INDEX(Consulta!$A:$DF,MATCH('MM01'!$B88,Consulta!$C:$C,0),'MM01'!EB$2),"")="68","7910","7925"))</f>
        <v>7925</v>
      </c>
      <c r="EC88" s="44">
        <v>100</v>
      </c>
      <c r="ED88" s="60">
        <v>1</v>
      </c>
      <c r="EE88" s="43">
        <f t="shared" si="77"/>
        <v>100</v>
      </c>
      <c r="EF88" s="44">
        <v>1</v>
      </c>
      <c r="EG88" s="44">
        <v>0</v>
      </c>
      <c r="EH88" s="44" t="s">
        <v>867</v>
      </c>
      <c r="EI88" s="45">
        <v>0</v>
      </c>
      <c r="EJ88" s="43">
        <f t="shared" si="78"/>
        <v>5000</v>
      </c>
      <c r="EK88" s="65"/>
    </row>
    <row r="89" spans="1:141" x14ac:dyDescent="0.3">
      <c r="A89" s="7" t="str">
        <f t="shared" si="79"/>
        <v>Execução 85</v>
      </c>
      <c r="B89" s="42"/>
      <c r="C89" s="43" t="str">
        <f>IF(IFERROR(INDEX(Consulta!$A:$DF,MATCH('MM01'!$B89,Consulta!$C:$C,0),'MM01'!C$2),"")=0,"",IFERROR(INDEX(Consulta!$A:$DF,MATCH('MM01'!$B89,Consulta!$C:$C,0),'MM01'!C$2),""))</f>
        <v/>
      </c>
      <c r="D89" s="43" t="str">
        <f>IF(IFERROR(INDEX(Consulta!$A:$DF,MATCH('MM01'!$B89,Consulta!$C:$C,0),'MM01'!D$2),"")=0,"",IFERROR(INDEX(Consulta!$A:$DF,MATCH('MM01'!$B89,Consulta!$C:$C,0),'MM01'!D$2),""))</f>
        <v/>
      </c>
      <c r="E89" s="43" t="str">
        <f>IF(IFERROR(INDEX(Consulta!$A:$DF,MATCH('MM01'!$B89,Consulta!$C:$C,0),'MM01'!E$2),"")=0,"",IFERROR(INDEX(Consulta!$A:$DF,MATCH('MM01'!$B89,Consulta!$C:$C,0),'MM01'!E$2),""))</f>
        <v/>
      </c>
      <c r="F89" s="44" t="s">
        <v>100</v>
      </c>
      <c r="G89" s="49" t="str">
        <f>IF(IFERROR(INDEX(Consulta!$A:$DF,MATCH('MM01'!$B89,Consulta!$C:$C,0),'MM01'!G$2),"")=0,"",IFERROR(INDEX(Consulta!$A:$DF,MATCH('MM01'!$B89,Consulta!$C:$C,0),'MM01'!G$2),""))</f>
        <v/>
      </c>
      <c r="H89" s="49" t="str">
        <f>IF(IFERROR(INDEX(Consulta!$A:$DF,MATCH('MM01'!$B89,Consulta!$C:$C,0),'MM01'!H$2),"")=0,"",IFERROR(INDEX(Consulta!$A:$DF,MATCH('MM01'!$B89,Consulta!$C:$C,0),'MM01'!H$2),""))</f>
        <v/>
      </c>
      <c r="I89" s="49" t="str">
        <f t="shared" si="40"/>
        <v/>
      </c>
      <c r="J89" s="49" t="str">
        <f>IF(IFERROR(INDEX(Consulta!$A:$DF,MATCH('MM01'!$B89,Consulta!$C:$C,0),'MM01'!J$2),"")=0,"",IFERROR(INDEX(Consulta!$A:$DF,MATCH('MM01'!$B89,Consulta!$C:$C,0),'MM01'!J$2),""))</f>
        <v/>
      </c>
      <c r="K89" s="49" t="str">
        <f t="shared" si="41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IF(IFERROR(INDEX(Consulta!$A:$DF,MATCH('MM01'!$B89,Consulta!$C:$C,0),'MM01'!AP$2),"")=0,"",IFERROR(INDEX(Consulta!$A:$DF,MATCH('MM01'!$B89,Consulta!$C:$C,0),'MM01'!AP$2),""))</f>
        <v/>
      </c>
      <c r="AQ89" s="45"/>
      <c r="AR89" s="43" t="str">
        <f>IF(IFERROR(INDEX(Consulta!$A:$DF,MATCH('MM01'!$B89,Consulta!$C:$C,0),'MM01'!AR$2),"")=0,"",IFERROR(INDEX(Consulta!$A:$DF,MATCH('MM01'!$B89,Consulta!$C:$C,0),'MM01'!AR$2),""))</f>
        <v/>
      </c>
      <c r="AS89" s="43" t="str">
        <f>IF(IFERROR(INDEX(Consulta!$A:$DF,MATCH('MM01'!$B89,Consulta!$C:$C,0),'MM01'!AS$2),"")=0,"",IF(AR89="68",5102,IFERROR(INDEX(Consulta!$A:$DF,MATCH('MM01'!$B89,Consulta!$C:$C,0),'MM01'!AS$2),"")))</f>
        <v/>
      </c>
      <c r="AT89" s="45"/>
      <c r="AU89" s="46" t="str">
        <f t="shared" ca="1" si="42"/>
        <v/>
      </c>
      <c r="AV89" s="47" t="s">
        <v>796</v>
      </c>
      <c r="AW89" s="43" t="str">
        <f>IF(IFERROR(INDEX(Consulta!$A:$DF,MATCH('MM01'!$B89,Consulta!$C:$C,0),'MM01'!AW$2),"")=0,"",IFERROR(ROUND(INDEX(Consulta!$A:$DF,MATCH('MM01'!$B89,Consulta!$C:$C,0),'MM01'!AW$2),3),""))</f>
        <v/>
      </c>
      <c r="AX89" s="43" t="str">
        <f t="shared" si="43"/>
        <v/>
      </c>
      <c r="AY89" s="48" t="s">
        <v>299</v>
      </c>
      <c r="AZ89" s="48"/>
      <c r="BA89" s="43" t="str">
        <f>IF(IFERROR(INDEX(Consulta!$A:$DF,MATCH('MM01'!$B89,Consulta!$C:$C,0),'MM01'!BA$2),"")=0,"",IFERROR(INDEX(Consulta!$A:$DF,MATCH('MM01'!$B89,Consulta!$C:$C,0),'MM01'!BA$2),""))</f>
        <v/>
      </c>
      <c r="BB89" s="43" t="str">
        <f t="shared" si="44"/>
        <v/>
      </c>
      <c r="BC89" s="43" t="str">
        <f t="shared" si="45"/>
        <v/>
      </c>
      <c r="BD89" s="43" t="str">
        <f t="shared" si="46"/>
        <v/>
      </c>
      <c r="BE89" s="43" t="str">
        <f t="shared" si="47"/>
        <v>M</v>
      </c>
      <c r="BF89" s="43" t="str">
        <f t="shared" si="48"/>
        <v/>
      </c>
      <c r="BG89" s="43" t="str">
        <f t="shared" si="49"/>
        <v/>
      </c>
      <c r="BH89" s="43" t="str">
        <f t="shared" si="50"/>
        <v/>
      </c>
      <c r="BI89" s="43" t="str">
        <f t="shared" si="51"/>
        <v>M</v>
      </c>
      <c r="BK89" s="45" t="s">
        <v>324</v>
      </c>
      <c r="BL89" s="43" t="str">
        <f>IF(IFERROR(INDEX(Consulta!$A:$DF,MATCH('MM01'!$B89,Consulta!$C:$C,0),'MM01'!BL$2),"")=0,"",IFERROR(INDEX(Consulta!$A:$DF,MATCH('MM01'!$B89,Consulta!$C:$C,0),'MM01'!BL$2),""))</f>
        <v/>
      </c>
      <c r="BM89" s="45">
        <v>99</v>
      </c>
      <c r="BN89" s="46" t="str">
        <f t="shared" ca="1" si="52"/>
        <v>28.04.2022</v>
      </c>
      <c r="BO89" s="49" t="str">
        <f t="shared" si="53"/>
        <v/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IF(IFERROR(INDEX(Consulta!$A:$DF,MATCH('MM01'!$B89,Consulta!$C:$C,0),'MM01'!BX$2),"")=0,"",IFERROR(INDEX(Consulta!$A:$DF,MATCH('MM01'!$B89,Consulta!$C:$C,0),'MM01'!BX$2),""))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54"/>
        <v/>
      </c>
      <c r="CD89" s="45" t="s">
        <v>430</v>
      </c>
      <c r="CE89" s="45">
        <v>1</v>
      </c>
      <c r="CF89" s="45" t="s">
        <v>496</v>
      </c>
      <c r="CG89" s="45"/>
      <c r="CH89" s="44">
        <v>2</v>
      </c>
      <c r="CI89" s="49" t="str">
        <f t="shared" si="55"/>
        <v/>
      </c>
      <c r="CJ89" s="49" t="str">
        <f t="shared" si="56"/>
        <v/>
      </c>
      <c r="CK89" s="45"/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57"/>
        <v>K00_P_</v>
      </c>
      <c r="CS89" s="45">
        <v>5000</v>
      </c>
      <c r="CT89" s="43" t="str">
        <f>IF(IFERROR(INDEX(Consulta!$A:$DF,MATCH('MM01'!$B89,Consulta!$C:$C,0),'MM01'!CT$2),"")=0,"",IFERROR(INDEX(Consulta!$A:$DF,MATCH('MM01'!$B89,Consulta!$C:$C,0),'MM01'!CT$2),""))</f>
        <v/>
      </c>
      <c r="CU89" s="43" t="str">
        <f>IF(IFERROR(INDEX(Consulta!$A:$DF,MATCH('MM01'!$B89,Consulta!$C:$C,0),'MM01'!CU$2),"")=0,"",IFERROR(INDEX(Consulta!$A:$DF,MATCH('MM01'!$B89,Consulta!$C:$C,0),'MM01'!CU$2),""))</f>
        <v/>
      </c>
      <c r="CV89" s="43" t="str">
        <f>IF(IFERROR(INDEX(Consulta!$A:$DF,MATCH('MM01'!$B89,Consulta!$C:$C,0),'MM01'!CV$2),"")=0,"",IFERROR(INDEX(Consulta!$A:$DF,MATCH('MM01'!$B89,Consulta!$C:$C,0),'MM01'!CV$2),""))</f>
        <v/>
      </c>
      <c r="CW89" s="43" t="str">
        <f>IF(IFERROR(INDEX(Consulta!$A:$DF,MATCH('MM01'!$B89,Consulta!$C:$C,0),'MM01'!CW$2),"")=0,"",IFERROR(INDEX(Consulta!$A:$DF,MATCH('MM01'!$B89,Consulta!$C:$C,0),'MM01'!CW$2),""))</f>
        <v/>
      </c>
      <c r="CX89" s="43" t="str">
        <f t="shared" si="58"/>
        <v/>
      </c>
      <c r="CY89" s="43" t="str">
        <f t="shared" si="59"/>
        <v/>
      </c>
      <c r="CZ89" s="43" t="str">
        <f t="shared" si="60"/>
        <v/>
      </c>
      <c r="DA89" s="43" t="str">
        <f>IF(IFERROR(INDEX(Consulta!$A:$DF,MATCH('MM01'!$B89,Consulta!$C:$C,0),'MM01'!DA$2),"")=0,"",IFERROR(INDEX(Consulta!$A:$DF,MATCH('MM01'!$B89,Consulta!$C:$C,0),'MM01'!DA$2),""))</f>
        <v/>
      </c>
      <c r="DB89" s="43" t="str">
        <f t="shared" si="61"/>
        <v/>
      </c>
      <c r="DC89" s="43" t="str">
        <f>IF(IFERROR(INDEX(Consulta!$A:$DF,MATCH('MM01'!$B89,Consulta!$C:$C,0),'MM01'!DC$2),"")=0,"",IFERROR(INDEX(Consulta!$A:$DF,MATCH('MM01'!$B89,Consulta!$C:$C,0),'MM01'!DC$2),""))</f>
        <v/>
      </c>
      <c r="DD89" s="45">
        <v>0</v>
      </c>
      <c r="DE89" s="45">
        <v>0</v>
      </c>
      <c r="DF89" s="43" t="str">
        <f t="shared" si="62"/>
        <v/>
      </c>
      <c r="DG89" s="43" t="str">
        <f t="shared" si="63"/>
        <v/>
      </c>
      <c r="DH89" s="55"/>
      <c r="DI89" s="43" t="str">
        <f t="shared" ca="1" si="64"/>
        <v/>
      </c>
      <c r="DJ89" s="43" t="str">
        <f t="shared" si="65"/>
        <v/>
      </c>
      <c r="DK89" s="43" t="str">
        <f t="shared" si="66"/>
        <v/>
      </c>
      <c r="DL89" s="55"/>
      <c r="DM89" s="43" t="str">
        <f t="shared" ca="1" si="67"/>
        <v/>
      </c>
      <c r="DN89" s="43" t="str">
        <f t="shared" si="68"/>
        <v/>
      </c>
      <c r="DO89" s="43" t="str">
        <f t="shared" si="69"/>
        <v/>
      </c>
      <c r="DP89" s="55"/>
      <c r="DQ89" s="43" t="str">
        <f t="shared" ca="1" si="70"/>
        <v/>
      </c>
      <c r="DR89" s="43" t="str">
        <f t="shared" si="71"/>
        <v/>
      </c>
      <c r="DS89" s="43" t="str">
        <f t="shared" si="72"/>
        <v/>
      </c>
      <c r="DT89" s="55"/>
      <c r="DU89" s="43" t="str">
        <f t="shared" ca="1" si="73"/>
        <v/>
      </c>
      <c r="DV89" s="43" t="str">
        <f t="shared" si="74"/>
        <v/>
      </c>
      <c r="DX89" s="44">
        <v>1</v>
      </c>
      <c r="DY89" s="44" t="s">
        <v>774</v>
      </c>
      <c r="DZ89" s="43">
        <f t="shared" si="75"/>
        <v>0.01</v>
      </c>
      <c r="EA89" s="43" t="str">
        <f t="shared" si="76"/>
        <v>M</v>
      </c>
      <c r="EB89" s="43" t="str">
        <f>IF(IFERROR(INDEX(Consulta!$A:$DF,MATCH('MM01'!$B89,Consulta!$C:$C,0),'MM01'!EB$2),"")=0,"7925",IF(IFERROR(INDEX(Consulta!$A:$DF,MATCH('MM01'!$B89,Consulta!$C:$C,0),'MM01'!EB$2),"")="68","7910","7925"))</f>
        <v>7925</v>
      </c>
      <c r="EC89" s="44">
        <v>100</v>
      </c>
      <c r="ED89" s="60">
        <v>1</v>
      </c>
      <c r="EE89" s="43">
        <f t="shared" si="77"/>
        <v>100</v>
      </c>
      <c r="EF89" s="44">
        <v>1</v>
      </c>
      <c r="EG89" s="44">
        <v>0</v>
      </c>
      <c r="EH89" s="44" t="s">
        <v>867</v>
      </c>
      <c r="EI89" s="45">
        <v>0</v>
      </c>
      <c r="EJ89" s="43">
        <f t="shared" si="78"/>
        <v>5000</v>
      </c>
      <c r="EK89" s="65"/>
    </row>
    <row r="90" spans="1:141" x14ac:dyDescent="0.3">
      <c r="A90" s="7" t="str">
        <f t="shared" si="79"/>
        <v>Execução 86</v>
      </c>
      <c r="B90" s="42"/>
      <c r="C90" s="43" t="str">
        <f>IF(IFERROR(INDEX(Consulta!$A:$DF,MATCH('MM01'!$B90,Consulta!$C:$C,0),'MM01'!C$2),"")=0,"",IFERROR(INDEX(Consulta!$A:$DF,MATCH('MM01'!$B90,Consulta!$C:$C,0),'MM01'!C$2),""))</f>
        <v/>
      </c>
      <c r="D90" s="43" t="str">
        <f>IF(IFERROR(INDEX(Consulta!$A:$DF,MATCH('MM01'!$B90,Consulta!$C:$C,0),'MM01'!D$2),"")=0,"",IFERROR(INDEX(Consulta!$A:$DF,MATCH('MM01'!$B90,Consulta!$C:$C,0),'MM01'!D$2),""))</f>
        <v/>
      </c>
      <c r="E90" s="43" t="str">
        <f>IF(IFERROR(INDEX(Consulta!$A:$DF,MATCH('MM01'!$B90,Consulta!$C:$C,0),'MM01'!E$2),"")=0,"",IFERROR(INDEX(Consulta!$A:$DF,MATCH('MM01'!$B90,Consulta!$C:$C,0),'MM01'!E$2),""))</f>
        <v/>
      </c>
      <c r="F90" s="44" t="s">
        <v>100</v>
      </c>
      <c r="G90" s="49" t="str">
        <f>IF(IFERROR(INDEX(Consulta!$A:$DF,MATCH('MM01'!$B90,Consulta!$C:$C,0),'MM01'!G$2),"")=0,"",IFERROR(INDEX(Consulta!$A:$DF,MATCH('MM01'!$B90,Consulta!$C:$C,0),'MM01'!G$2),""))</f>
        <v/>
      </c>
      <c r="H90" s="49" t="str">
        <f>IF(IFERROR(INDEX(Consulta!$A:$DF,MATCH('MM01'!$B90,Consulta!$C:$C,0),'MM01'!H$2),"")=0,"",IFERROR(INDEX(Consulta!$A:$DF,MATCH('MM01'!$B90,Consulta!$C:$C,0),'MM01'!H$2),""))</f>
        <v/>
      </c>
      <c r="I90" s="49" t="str">
        <f t="shared" si="40"/>
        <v/>
      </c>
      <c r="J90" s="49" t="str">
        <f>IF(IFERROR(INDEX(Consulta!$A:$DF,MATCH('MM01'!$B90,Consulta!$C:$C,0),'MM01'!J$2),"")=0,"",IFERROR(INDEX(Consulta!$A:$DF,MATCH('MM01'!$B90,Consulta!$C:$C,0),'MM01'!J$2),""))</f>
        <v/>
      </c>
      <c r="K90" s="49" t="str">
        <f t="shared" si="41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IF(IFERROR(INDEX(Consulta!$A:$DF,MATCH('MM01'!$B90,Consulta!$C:$C,0),'MM01'!AP$2),"")=0,"",IFERROR(INDEX(Consulta!$A:$DF,MATCH('MM01'!$B90,Consulta!$C:$C,0),'MM01'!AP$2),""))</f>
        <v/>
      </c>
      <c r="AQ90" s="45"/>
      <c r="AR90" s="43" t="str">
        <f>IF(IFERROR(INDEX(Consulta!$A:$DF,MATCH('MM01'!$B90,Consulta!$C:$C,0),'MM01'!AR$2),"")=0,"",IFERROR(INDEX(Consulta!$A:$DF,MATCH('MM01'!$B90,Consulta!$C:$C,0),'MM01'!AR$2),""))</f>
        <v/>
      </c>
      <c r="AS90" s="43" t="str">
        <f>IF(IFERROR(INDEX(Consulta!$A:$DF,MATCH('MM01'!$B90,Consulta!$C:$C,0),'MM01'!AS$2),"")=0,"",IF(AR90="68",5102,IFERROR(INDEX(Consulta!$A:$DF,MATCH('MM01'!$B90,Consulta!$C:$C,0),'MM01'!AS$2),"")))</f>
        <v/>
      </c>
      <c r="AT90" s="45"/>
      <c r="AU90" s="46" t="str">
        <f t="shared" ca="1" si="42"/>
        <v/>
      </c>
      <c r="AV90" s="47" t="s">
        <v>796</v>
      </c>
      <c r="AW90" s="43" t="str">
        <f>IF(IFERROR(INDEX(Consulta!$A:$DF,MATCH('MM01'!$B90,Consulta!$C:$C,0),'MM01'!AW$2),"")=0,"",IFERROR(ROUND(INDEX(Consulta!$A:$DF,MATCH('MM01'!$B90,Consulta!$C:$C,0),'MM01'!AW$2),3),""))</f>
        <v/>
      </c>
      <c r="AX90" s="43" t="str">
        <f t="shared" si="43"/>
        <v/>
      </c>
      <c r="AY90" s="48" t="s">
        <v>299</v>
      </c>
      <c r="AZ90" s="48"/>
      <c r="BA90" s="43" t="str">
        <f>IF(IFERROR(INDEX(Consulta!$A:$DF,MATCH('MM01'!$B90,Consulta!$C:$C,0),'MM01'!BA$2),"")=0,"",IFERROR(INDEX(Consulta!$A:$DF,MATCH('MM01'!$B90,Consulta!$C:$C,0),'MM01'!BA$2),""))</f>
        <v/>
      </c>
      <c r="BB90" s="43" t="str">
        <f t="shared" si="44"/>
        <v/>
      </c>
      <c r="BC90" s="43" t="str">
        <f t="shared" si="45"/>
        <v/>
      </c>
      <c r="BD90" s="43" t="str">
        <f t="shared" si="46"/>
        <v/>
      </c>
      <c r="BE90" s="43" t="str">
        <f t="shared" si="47"/>
        <v>M</v>
      </c>
      <c r="BF90" s="43" t="str">
        <f t="shared" si="48"/>
        <v/>
      </c>
      <c r="BG90" s="43" t="str">
        <f t="shared" si="49"/>
        <v/>
      </c>
      <c r="BH90" s="43" t="str">
        <f t="shared" si="50"/>
        <v/>
      </c>
      <c r="BI90" s="43" t="str">
        <f t="shared" si="51"/>
        <v>M</v>
      </c>
      <c r="BK90" s="45" t="s">
        <v>324</v>
      </c>
      <c r="BL90" s="43" t="str">
        <f>IF(IFERROR(INDEX(Consulta!$A:$DF,MATCH('MM01'!$B90,Consulta!$C:$C,0),'MM01'!BL$2),"")=0,"",IFERROR(INDEX(Consulta!$A:$DF,MATCH('MM01'!$B90,Consulta!$C:$C,0),'MM01'!BL$2),""))</f>
        <v/>
      </c>
      <c r="BM90" s="45">
        <v>99</v>
      </c>
      <c r="BN90" s="46" t="str">
        <f t="shared" ca="1" si="52"/>
        <v>28.04.2022</v>
      </c>
      <c r="BO90" s="49" t="str">
        <f t="shared" si="53"/>
        <v/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IF(IFERROR(INDEX(Consulta!$A:$DF,MATCH('MM01'!$B90,Consulta!$C:$C,0),'MM01'!BX$2),"")=0,"",IFERROR(INDEX(Consulta!$A:$DF,MATCH('MM01'!$B90,Consulta!$C:$C,0),'MM01'!BX$2),""))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54"/>
        <v/>
      </c>
      <c r="CD90" s="45" t="s">
        <v>430</v>
      </c>
      <c r="CE90" s="45">
        <v>1</v>
      </c>
      <c r="CF90" s="45" t="s">
        <v>496</v>
      </c>
      <c r="CG90" s="45"/>
      <c r="CH90" s="44">
        <v>2</v>
      </c>
      <c r="CI90" s="49" t="str">
        <f t="shared" si="55"/>
        <v/>
      </c>
      <c r="CJ90" s="49" t="str">
        <f t="shared" si="56"/>
        <v/>
      </c>
      <c r="CK90" s="45"/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57"/>
        <v>K00_P_</v>
      </c>
      <c r="CS90" s="45">
        <v>5000</v>
      </c>
      <c r="CT90" s="43" t="str">
        <f>IF(IFERROR(INDEX(Consulta!$A:$DF,MATCH('MM01'!$B90,Consulta!$C:$C,0),'MM01'!CT$2),"")=0,"",IFERROR(INDEX(Consulta!$A:$DF,MATCH('MM01'!$B90,Consulta!$C:$C,0),'MM01'!CT$2),""))</f>
        <v/>
      </c>
      <c r="CU90" s="43" t="str">
        <f>IF(IFERROR(INDEX(Consulta!$A:$DF,MATCH('MM01'!$B90,Consulta!$C:$C,0),'MM01'!CU$2),"")=0,"",IFERROR(INDEX(Consulta!$A:$DF,MATCH('MM01'!$B90,Consulta!$C:$C,0),'MM01'!CU$2),""))</f>
        <v/>
      </c>
      <c r="CV90" s="43" t="str">
        <f>IF(IFERROR(INDEX(Consulta!$A:$DF,MATCH('MM01'!$B90,Consulta!$C:$C,0),'MM01'!CV$2),"")=0,"",IFERROR(INDEX(Consulta!$A:$DF,MATCH('MM01'!$B90,Consulta!$C:$C,0),'MM01'!CV$2),""))</f>
        <v/>
      </c>
      <c r="CW90" s="43" t="str">
        <f>IF(IFERROR(INDEX(Consulta!$A:$DF,MATCH('MM01'!$B90,Consulta!$C:$C,0),'MM01'!CW$2),"")=0,"",IFERROR(INDEX(Consulta!$A:$DF,MATCH('MM01'!$B90,Consulta!$C:$C,0),'MM01'!CW$2),""))</f>
        <v/>
      </c>
      <c r="CX90" s="43" t="str">
        <f t="shared" si="58"/>
        <v/>
      </c>
      <c r="CY90" s="43" t="str">
        <f t="shared" si="59"/>
        <v/>
      </c>
      <c r="CZ90" s="43" t="str">
        <f t="shared" si="60"/>
        <v/>
      </c>
      <c r="DA90" s="43" t="str">
        <f>IF(IFERROR(INDEX(Consulta!$A:$DF,MATCH('MM01'!$B90,Consulta!$C:$C,0),'MM01'!DA$2),"")=0,"",IFERROR(INDEX(Consulta!$A:$DF,MATCH('MM01'!$B90,Consulta!$C:$C,0),'MM01'!DA$2),""))</f>
        <v/>
      </c>
      <c r="DB90" s="43" t="str">
        <f t="shared" si="61"/>
        <v/>
      </c>
      <c r="DC90" s="43" t="str">
        <f>IF(IFERROR(INDEX(Consulta!$A:$DF,MATCH('MM01'!$B90,Consulta!$C:$C,0),'MM01'!DC$2),"")=0,"",IFERROR(INDEX(Consulta!$A:$DF,MATCH('MM01'!$B90,Consulta!$C:$C,0),'MM01'!DC$2),""))</f>
        <v/>
      </c>
      <c r="DD90" s="45">
        <v>0</v>
      </c>
      <c r="DE90" s="45">
        <v>0</v>
      </c>
      <c r="DF90" s="43" t="str">
        <f t="shared" si="62"/>
        <v/>
      </c>
      <c r="DG90" s="43" t="str">
        <f t="shared" si="63"/>
        <v/>
      </c>
      <c r="DH90" s="55"/>
      <c r="DI90" s="43" t="str">
        <f t="shared" ca="1" si="64"/>
        <v/>
      </c>
      <c r="DJ90" s="43" t="str">
        <f t="shared" si="65"/>
        <v/>
      </c>
      <c r="DK90" s="43" t="str">
        <f t="shared" si="66"/>
        <v/>
      </c>
      <c r="DL90" s="55"/>
      <c r="DM90" s="43" t="str">
        <f t="shared" ca="1" si="67"/>
        <v/>
      </c>
      <c r="DN90" s="43" t="str">
        <f t="shared" si="68"/>
        <v/>
      </c>
      <c r="DO90" s="43" t="str">
        <f t="shared" si="69"/>
        <v/>
      </c>
      <c r="DP90" s="55"/>
      <c r="DQ90" s="43" t="str">
        <f t="shared" ca="1" si="70"/>
        <v/>
      </c>
      <c r="DR90" s="43" t="str">
        <f t="shared" si="71"/>
        <v/>
      </c>
      <c r="DS90" s="43" t="str">
        <f t="shared" si="72"/>
        <v/>
      </c>
      <c r="DT90" s="55"/>
      <c r="DU90" s="43" t="str">
        <f t="shared" ca="1" si="73"/>
        <v/>
      </c>
      <c r="DV90" s="43" t="str">
        <f t="shared" si="74"/>
        <v/>
      </c>
      <c r="DX90" s="44">
        <v>1</v>
      </c>
      <c r="DY90" s="44" t="s">
        <v>774</v>
      </c>
      <c r="DZ90" s="43">
        <f t="shared" si="75"/>
        <v>0.01</v>
      </c>
      <c r="EA90" s="43" t="str">
        <f t="shared" si="76"/>
        <v>M</v>
      </c>
      <c r="EB90" s="43" t="str">
        <f>IF(IFERROR(INDEX(Consulta!$A:$DF,MATCH('MM01'!$B90,Consulta!$C:$C,0),'MM01'!EB$2),"")=0,"7925",IF(IFERROR(INDEX(Consulta!$A:$DF,MATCH('MM01'!$B90,Consulta!$C:$C,0),'MM01'!EB$2),"")="68","7910","7925"))</f>
        <v>7925</v>
      </c>
      <c r="EC90" s="44">
        <v>100</v>
      </c>
      <c r="ED90" s="60">
        <v>1</v>
      </c>
      <c r="EE90" s="43">
        <f t="shared" si="77"/>
        <v>100</v>
      </c>
      <c r="EF90" s="44">
        <v>1</v>
      </c>
      <c r="EG90" s="44">
        <v>0</v>
      </c>
      <c r="EH90" s="44" t="s">
        <v>867</v>
      </c>
      <c r="EI90" s="45">
        <v>0</v>
      </c>
      <c r="EJ90" s="43">
        <f t="shared" si="78"/>
        <v>5000</v>
      </c>
      <c r="EK90" s="65"/>
    </row>
    <row r="91" spans="1:141" x14ac:dyDescent="0.3">
      <c r="A91" s="7" t="str">
        <f t="shared" si="79"/>
        <v>Execução 87</v>
      </c>
      <c r="B91" s="42"/>
      <c r="C91" s="43" t="str">
        <f>IF(IFERROR(INDEX(Consulta!$A:$DF,MATCH('MM01'!$B91,Consulta!$C:$C,0),'MM01'!C$2),"")=0,"",IFERROR(INDEX(Consulta!$A:$DF,MATCH('MM01'!$B91,Consulta!$C:$C,0),'MM01'!C$2),""))</f>
        <v/>
      </c>
      <c r="D91" s="43" t="str">
        <f>IF(IFERROR(INDEX(Consulta!$A:$DF,MATCH('MM01'!$B91,Consulta!$C:$C,0),'MM01'!D$2),"")=0,"",IFERROR(INDEX(Consulta!$A:$DF,MATCH('MM01'!$B91,Consulta!$C:$C,0),'MM01'!D$2),""))</f>
        <v/>
      </c>
      <c r="E91" s="43" t="str">
        <f>IF(IFERROR(INDEX(Consulta!$A:$DF,MATCH('MM01'!$B91,Consulta!$C:$C,0),'MM01'!E$2),"")=0,"",IFERROR(INDEX(Consulta!$A:$DF,MATCH('MM01'!$B91,Consulta!$C:$C,0),'MM01'!E$2),""))</f>
        <v/>
      </c>
      <c r="F91" s="44" t="s">
        <v>100</v>
      </c>
      <c r="G91" s="49" t="str">
        <f>IF(IFERROR(INDEX(Consulta!$A:$DF,MATCH('MM01'!$B91,Consulta!$C:$C,0),'MM01'!G$2),"")=0,"",IFERROR(INDEX(Consulta!$A:$DF,MATCH('MM01'!$B91,Consulta!$C:$C,0),'MM01'!G$2),""))</f>
        <v/>
      </c>
      <c r="H91" s="49" t="str">
        <f>IF(IFERROR(INDEX(Consulta!$A:$DF,MATCH('MM01'!$B91,Consulta!$C:$C,0),'MM01'!H$2),"")=0,"",IFERROR(INDEX(Consulta!$A:$DF,MATCH('MM01'!$B91,Consulta!$C:$C,0),'MM01'!H$2),""))</f>
        <v/>
      </c>
      <c r="I91" s="49" t="str">
        <f t="shared" si="40"/>
        <v/>
      </c>
      <c r="J91" s="49" t="str">
        <f>IF(IFERROR(INDEX(Consulta!$A:$DF,MATCH('MM01'!$B91,Consulta!$C:$C,0),'MM01'!J$2),"")=0,"",IFERROR(INDEX(Consulta!$A:$DF,MATCH('MM01'!$B91,Consulta!$C:$C,0),'MM01'!J$2),""))</f>
        <v/>
      </c>
      <c r="K91" s="49" t="str">
        <f t="shared" si="41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IF(IFERROR(INDEX(Consulta!$A:$DF,MATCH('MM01'!$B91,Consulta!$C:$C,0),'MM01'!AP$2),"")=0,"",IFERROR(INDEX(Consulta!$A:$DF,MATCH('MM01'!$B91,Consulta!$C:$C,0),'MM01'!AP$2),""))</f>
        <v/>
      </c>
      <c r="AQ91" s="45"/>
      <c r="AR91" s="43" t="str">
        <f>IF(IFERROR(INDEX(Consulta!$A:$DF,MATCH('MM01'!$B91,Consulta!$C:$C,0),'MM01'!AR$2),"")=0,"",IFERROR(INDEX(Consulta!$A:$DF,MATCH('MM01'!$B91,Consulta!$C:$C,0),'MM01'!AR$2),""))</f>
        <v/>
      </c>
      <c r="AS91" s="43" t="str">
        <f>IF(IFERROR(INDEX(Consulta!$A:$DF,MATCH('MM01'!$B91,Consulta!$C:$C,0),'MM01'!AS$2),"")=0,"",IF(AR91="68",5102,IFERROR(INDEX(Consulta!$A:$DF,MATCH('MM01'!$B91,Consulta!$C:$C,0),'MM01'!AS$2),"")))</f>
        <v/>
      </c>
      <c r="AT91" s="45"/>
      <c r="AU91" s="46" t="str">
        <f t="shared" ca="1" si="42"/>
        <v/>
      </c>
      <c r="AV91" s="47" t="s">
        <v>796</v>
      </c>
      <c r="AW91" s="43" t="str">
        <f>IF(IFERROR(INDEX(Consulta!$A:$DF,MATCH('MM01'!$B91,Consulta!$C:$C,0),'MM01'!AW$2),"")=0,"",IFERROR(ROUND(INDEX(Consulta!$A:$DF,MATCH('MM01'!$B91,Consulta!$C:$C,0),'MM01'!AW$2),3),""))</f>
        <v/>
      </c>
      <c r="AX91" s="43" t="str">
        <f t="shared" si="43"/>
        <v/>
      </c>
      <c r="AY91" s="48" t="s">
        <v>299</v>
      </c>
      <c r="AZ91" s="48"/>
      <c r="BA91" s="43" t="str">
        <f>IF(IFERROR(INDEX(Consulta!$A:$DF,MATCH('MM01'!$B91,Consulta!$C:$C,0),'MM01'!BA$2),"")=0,"",IFERROR(INDEX(Consulta!$A:$DF,MATCH('MM01'!$B91,Consulta!$C:$C,0),'MM01'!BA$2),""))</f>
        <v/>
      </c>
      <c r="BB91" s="43" t="str">
        <f t="shared" si="44"/>
        <v/>
      </c>
      <c r="BC91" s="43" t="str">
        <f t="shared" si="45"/>
        <v/>
      </c>
      <c r="BD91" s="43" t="str">
        <f t="shared" si="46"/>
        <v/>
      </c>
      <c r="BE91" s="43" t="str">
        <f t="shared" si="47"/>
        <v>M</v>
      </c>
      <c r="BF91" s="43" t="str">
        <f t="shared" si="48"/>
        <v/>
      </c>
      <c r="BG91" s="43" t="str">
        <f t="shared" si="49"/>
        <v/>
      </c>
      <c r="BH91" s="43" t="str">
        <f t="shared" si="50"/>
        <v/>
      </c>
      <c r="BI91" s="43" t="str">
        <f t="shared" si="51"/>
        <v>M</v>
      </c>
      <c r="BK91" s="45" t="s">
        <v>324</v>
      </c>
      <c r="BL91" s="43" t="str">
        <f>IF(IFERROR(INDEX(Consulta!$A:$DF,MATCH('MM01'!$B91,Consulta!$C:$C,0),'MM01'!BL$2),"")=0,"",IFERROR(INDEX(Consulta!$A:$DF,MATCH('MM01'!$B91,Consulta!$C:$C,0),'MM01'!BL$2),""))</f>
        <v/>
      </c>
      <c r="BM91" s="45">
        <v>99</v>
      </c>
      <c r="BN91" s="46" t="str">
        <f t="shared" ca="1" si="52"/>
        <v>28.04.2022</v>
      </c>
      <c r="BO91" s="49" t="str">
        <f t="shared" si="53"/>
        <v/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IF(IFERROR(INDEX(Consulta!$A:$DF,MATCH('MM01'!$B91,Consulta!$C:$C,0),'MM01'!BX$2),"")=0,"",IFERROR(INDEX(Consulta!$A:$DF,MATCH('MM01'!$B91,Consulta!$C:$C,0),'MM01'!BX$2),""))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54"/>
        <v/>
      </c>
      <c r="CD91" s="45" t="s">
        <v>430</v>
      </c>
      <c r="CE91" s="45">
        <v>1</v>
      </c>
      <c r="CF91" s="45" t="s">
        <v>496</v>
      </c>
      <c r="CG91" s="45"/>
      <c r="CH91" s="44">
        <v>2</v>
      </c>
      <c r="CI91" s="49" t="str">
        <f t="shared" si="55"/>
        <v/>
      </c>
      <c r="CJ91" s="49" t="str">
        <f t="shared" si="56"/>
        <v/>
      </c>
      <c r="CK91" s="45"/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57"/>
        <v>K00_P_</v>
      </c>
      <c r="CS91" s="45">
        <v>5000</v>
      </c>
      <c r="CT91" s="43" t="str">
        <f>IF(IFERROR(INDEX(Consulta!$A:$DF,MATCH('MM01'!$B91,Consulta!$C:$C,0),'MM01'!CT$2),"")=0,"",IFERROR(INDEX(Consulta!$A:$DF,MATCH('MM01'!$B91,Consulta!$C:$C,0),'MM01'!CT$2),""))</f>
        <v/>
      </c>
      <c r="CU91" s="43" t="str">
        <f>IF(IFERROR(INDEX(Consulta!$A:$DF,MATCH('MM01'!$B91,Consulta!$C:$C,0),'MM01'!CU$2),"")=0,"",IFERROR(INDEX(Consulta!$A:$DF,MATCH('MM01'!$B91,Consulta!$C:$C,0),'MM01'!CU$2),""))</f>
        <v/>
      </c>
      <c r="CV91" s="43" t="str">
        <f>IF(IFERROR(INDEX(Consulta!$A:$DF,MATCH('MM01'!$B91,Consulta!$C:$C,0),'MM01'!CV$2),"")=0,"",IFERROR(INDEX(Consulta!$A:$DF,MATCH('MM01'!$B91,Consulta!$C:$C,0),'MM01'!CV$2),""))</f>
        <v/>
      </c>
      <c r="CW91" s="43" t="str">
        <f>IF(IFERROR(INDEX(Consulta!$A:$DF,MATCH('MM01'!$B91,Consulta!$C:$C,0),'MM01'!CW$2),"")=0,"",IFERROR(INDEX(Consulta!$A:$DF,MATCH('MM01'!$B91,Consulta!$C:$C,0),'MM01'!CW$2),""))</f>
        <v/>
      </c>
      <c r="CX91" s="43" t="str">
        <f t="shared" si="58"/>
        <v/>
      </c>
      <c r="CY91" s="43" t="str">
        <f t="shared" si="59"/>
        <v/>
      </c>
      <c r="CZ91" s="43" t="str">
        <f t="shared" si="60"/>
        <v/>
      </c>
      <c r="DA91" s="43" t="str">
        <f>IF(IFERROR(INDEX(Consulta!$A:$DF,MATCH('MM01'!$B91,Consulta!$C:$C,0),'MM01'!DA$2),"")=0,"",IFERROR(INDEX(Consulta!$A:$DF,MATCH('MM01'!$B91,Consulta!$C:$C,0),'MM01'!DA$2),""))</f>
        <v/>
      </c>
      <c r="DB91" s="43" t="str">
        <f t="shared" si="61"/>
        <v/>
      </c>
      <c r="DC91" s="43" t="str">
        <f>IF(IFERROR(INDEX(Consulta!$A:$DF,MATCH('MM01'!$B91,Consulta!$C:$C,0),'MM01'!DC$2),"")=0,"",IFERROR(INDEX(Consulta!$A:$DF,MATCH('MM01'!$B91,Consulta!$C:$C,0),'MM01'!DC$2),""))</f>
        <v/>
      </c>
      <c r="DD91" s="45">
        <v>0</v>
      </c>
      <c r="DE91" s="45">
        <v>0</v>
      </c>
      <c r="DF91" s="43" t="str">
        <f t="shared" si="62"/>
        <v/>
      </c>
      <c r="DG91" s="43" t="str">
        <f t="shared" si="63"/>
        <v/>
      </c>
      <c r="DH91" s="55"/>
      <c r="DI91" s="43" t="str">
        <f t="shared" ca="1" si="64"/>
        <v/>
      </c>
      <c r="DJ91" s="43" t="str">
        <f t="shared" si="65"/>
        <v/>
      </c>
      <c r="DK91" s="43" t="str">
        <f t="shared" si="66"/>
        <v/>
      </c>
      <c r="DL91" s="55"/>
      <c r="DM91" s="43" t="str">
        <f t="shared" ca="1" si="67"/>
        <v/>
      </c>
      <c r="DN91" s="43" t="str">
        <f t="shared" si="68"/>
        <v/>
      </c>
      <c r="DO91" s="43" t="str">
        <f t="shared" si="69"/>
        <v/>
      </c>
      <c r="DP91" s="55"/>
      <c r="DQ91" s="43" t="str">
        <f t="shared" ca="1" si="70"/>
        <v/>
      </c>
      <c r="DR91" s="43" t="str">
        <f t="shared" si="71"/>
        <v/>
      </c>
      <c r="DS91" s="43" t="str">
        <f t="shared" si="72"/>
        <v/>
      </c>
      <c r="DT91" s="55"/>
      <c r="DU91" s="43" t="str">
        <f t="shared" ca="1" si="73"/>
        <v/>
      </c>
      <c r="DV91" s="43" t="str">
        <f t="shared" si="74"/>
        <v/>
      </c>
      <c r="DX91" s="44">
        <v>1</v>
      </c>
      <c r="DY91" s="44" t="s">
        <v>774</v>
      </c>
      <c r="DZ91" s="43">
        <f t="shared" si="75"/>
        <v>0.01</v>
      </c>
      <c r="EA91" s="43" t="str">
        <f t="shared" si="76"/>
        <v>M</v>
      </c>
      <c r="EB91" s="43" t="str">
        <f>IF(IFERROR(INDEX(Consulta!$A:$DF,MATCH('MM01'!$B91,Consulta!$C:$C,0),'MM01'!EB$2),"")=0,"7925",IF(IFERROR(INDEX(Consulta!$A:$DF,MATCH('MM01'!$B91,Consulta!$C:$C,0),'MM01'!EB$2),"")="68","7910","7925"))</f>
        <v>7925</v>
      </c>
      <c r="EC91" s="44">
        <v>100</v>
      </c>
      <c r="ED91" s="60">
        <v>1</v>
      </c>
      <c r="EE91" s="43">
        <f t="shared" si="77"/>
        <v>100</v>
      </c>
      <c r="EF91" s="44">
        <v>1</v>
      </c>
      <c r="EG91" s="44">
        <v>0</v>
      </c>
      <c r="EH91" s="44" t="s">
        <v>867</v>
      </c>
      <c r="EI91" s="45">
        <v>0</v>
      </c>
      <c r="EJ91" s="43">
        <f t="shared" si="78"/>
        <v>5000</v>
      </c>
      <c r="EK91" s="65"/>
    </row>
    <row r="92" spans="1:141" x14ac:dyDescent="0.3">
      <c r="A92" s="7" t="str">
        <f t="shared" si="79"/>
        <v>Execução 88</v>
      </c>
      <c r="B92" s="42"/>
      <c r="C92" s="43" t="str">
        <f>IF(IFERROR(INDEX(Consulta!$A:$DF,MATCH('MM01'!$B92,Consulta!$C:$C,0),'MM01'!C$2),"")=0,"",IFERROR(INDEX(Consulta!$A:$DF,MATCH('MM01'!$B92,Consulta!$C:$C,0),'MM01'!C$2),""))</f>
        <v/>
      </c>
      <c r="D92" s="43" t="str">
        <f>IF(IFERROR(INDEX(Consulta!$A:$DF,MATCH('MM01'!$B92,Consulta!$C:$C,0),'MM01'!D$2),"")=0,"",IFERROR(INDEX(Consulta!$A:$DF,MATCH('MM01'!$B92,Consulta!$C:$C,0),'MM01'!D$2),""))</f>
        <v/>
      </c>
      <c r="E92" s="43" t="str">
        <f>IF(IFERROR(INDEX(Consulta!$A:$DF,MATCH('MM01'!$B92,Consulta!$C:$C,0),'MM01'!E$2),"")=0,"",IFERROR(INDEX(Consulta!$A:$DF,MATCH('MM01'!$B92,Consulta!$C:$C,0),'MM01'!E$2),""))</f>
        <v/>
      </c>
      <c r="F92" s="44" t="s">
        <v>100</v>
      </c>
      <c r="G92" s="49" t="str">
        <f>IF(IFERROR(INDEX(Consulta!$A:$DF,MATCH('MM01'!$B92,Consulta!$C:$C,0),'MM01'!G$2),"")=0,"",IFERROR(INDEX(Consulta!$A:$DF,MATCH('MM01'!$B92,Consulta!$C:$C,0),'MM01'!G$2),""))</f>
        <v/>
      </c>
      <c r="H92" s="49" t="str">
        <f>IF(IFERROR(INDEX(Consulta!$A:$DF,MATCH('MM01'!$B92,Consulta!$C:$C,0),'MM01'!H$2),"")=0,"",IFERROR(INDEX(Consulta!$A:$DF,MATCH('MM01'!$B92,Consulta!$C:$C,0),'MM01'!H$2),""))</f>
        <v/>
      </c>
      <c r="I92" s="49" t="str">
        <f t="shared" si="40"/>
        <v/>
      </c>
      <c r="J92" s="49" t="str">
        <f>IF(IFERROR(INDEX(Consulta!$A:$DF,MATCH('MM01'!$B92,Consulta!$C:$C,0),'MM01'!J$2),"")=0,"",IFERROR(INDEX(Consulta!$A:$DF,MATCH('MM01'!$B92,Consulta!$C:$C,0),'MM01'!J$2),""))</f>
        <v/>
      </c>
      <c r="K92" s="49" t="str">
        <f t="shared" si="41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IF(IFERROR(INDEX(Consulta!$A:$DF,MATCH('MM01'!$B92,Consulta!$C:$C,0),'MM01'!AP$2),"")=0,"",IFERROR(INDEX(Consulta!$A:$DF,MATCH('MM01'!$B92,Consulta!$C:$C,0),'MM01'!AP$2),""))</f>
        <v/>
      </c>
      <c r="AQ92" s="45"/>
      <c r="AR92" s="43" t="str">
        <f>IF(IFERROR(INDEX(Consulta!$A:$DF,MATCH('MM01'!$B92,Consulta!$C:$C,0),'MM01'!AR$2),"")=0,"",IFERROR(INDEX(Consulta!$A:$DF,MATCH('MM01'!$B92,Consulta!$C:$C,0),'MM01'!AR$2),""))</f>
        <v/>
      </c>
      <c r="AS92" s="43" t="str">
        <f>IF(IFERROR(INDEX(Consulta!$A:$DF,MATCH('MM01'!$B92,Consulta!$C:$C,0),'MM01'!AS$2),"")=0,"",IF(AR92="68",5102,IFERROR(INDEX(Consulta!$A:$DF,MATCH('MM01'!$B92,Consulta!$C:$C,0),'MM01'!AS$2),"")))</f>
        <v/>
      </c>
      <c r="AT92" s="45"/>
      <c r="AU92" s="46" t="str">
        <f t="shared" ca="1" si="42"/>
        <v/>
      </c>
      <c r="AV92" s="47" t="s">
        <v>796</v>
      </c>
      <c r="AW92" s="43" t="str">
        <f>IF(IFERROR(INDEX(Consulta!$A:$DF,MATCH('MM01'!$B92,Consulta!$C:$C,0),'MM01'!AW$2),"")=0,"",IFERROR(ROUND(INDEX(Consulta!$A:$DF,MATCH('MM01'!$B92,Consulta!$C:$C,0),'MM01'!AW$2),3),""))</f>
        <v/>
      </c>
      <c r="AX92" s="43" t="str">
        <f t="shared" si="43"/>
        <v/>
      </c>
      <c r="AY92" s="48" t="s">
        <v>299</v>
      </c>
      <c r="AZ92" s="48"/>
      <c r="BA92" s="43" t="str">
        <f>IF(IFERROR(INDEX(Consulta!$A:$DF,MATCH('MM01'!$B92,Consulta!$C:$C,0),'MM01'!BA$2),"")=0,"",IFERROR(INDEX(Consulta!$A:$DF,MATCH('MM01'!$B92,Consulta!$C:$C,0),'MM01'!BA$2),""))</f>
        <v/>
      </c>
      <c r="BB92" s="43" t="str">
        <f t="shared" si="44"/>
        <v/>
      </c>
      <c r="BC92" s="43" t="str">
        <f t="shared" si="45"/>
        <v/>
      </c>
      <c r="BD92" s="43" t="str">
        <f t="shared" si="46"/>
        <v/>
      </c>
      <c r="BE92" s="43" t="str">
        <f t="shared" si="47"/>
        <v>M</v>
      </c>
      <c r="BF92" s="43" t="str">
        <f t="shared" si="48"/>
        <v/>
      </c>
      <c r="BG92" s="43" t="str">
        <f t="shared" si="49"/>
        <v/>
      </c>
      <c r="BH92" s="43" t="str">
        <f t="shared" si="50"/>
        <v/>
      </c>
      <c r="BI92" s="43" t="str">
        <f t="shared" si="51"/>
        <v>M</v>
      </c>
      <c r="BK92" s="45" t="s">
        <v>324</v>
      </c>
      <c r="BL92" s="43" t="str">
        <f>IF(IFERROR(INDEX(Consulta!$A:$DF,MATCH('MM01'!$B92,Consulta!$C:$C,0),'MM01'!BL$2),"")=0,"",IFERROR(INDEX(Consulta!$A:$DF,MATCH('MM01'!$B92,Consulta!$C:$C,0),'MM01'!BL$2),""))</f>
        <v/>
      </c>
      <c r="BM92" s="45">
        <v>99</v>
      </c>
      <c r="BN92" s="46" t="str">
        <f t="shared" ca="1" si="52"/>
        <v>28.04.2022</v>
      </c>
      <c r="BO92" s="49" t="str">
        <f t="shared" si="53"/>
        <v/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IF(IFERROR(INDEX(Consulta!$A:$DF,MATCH('MM01'!$B92,Consulta!$C:$C,0),'MM01'!BX$2),"")=0,"",IFERROR(INDEX(Consulta!$A:$DF,MATCH('MM01'!$B92,Consulta!$C:$C,0),'MM01'!BX$2),""))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54"/>
        <v/>
      </c>
      <c r="CD92" s="45" t="s">
        <v>430</v>
      </c>
      <c r="CE92" s="45">
        <v>1</v>
      </c>
      <c r="CF92" s="45" t="s">
        <v>496</v>
      </c>
      <c r="CG92" s="45"/>
      <c r="CH92" s="44">
        <v>2</v>
      </c>
      <c r="CI92" s="49" t="str">
        <f t="shared" si="55"/>
        <v/>
      </c>
      <c r="CJ92" s="49" t="str">
        <f t="shared" si="56"/>
        <v/>
      </c>
      <c r="CK92" s="45"/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57"/>
        <v>K00_P_</v>
      </c>
      <c r="CS92" s="45">
        <v>5000</v>
      </c>
      <c r="CT92" s="43" t="str">
        <f>IF(IFERROR(INDEX(Consulta!$A:$DF,MATCH('MM01'!$B92,Consulta!$C:$C,0),'MM01'!CT$2),"")=0,"",IFERROR(INDEX(Consulta!$A:$DF,MATCH('MM01'!$B92,Consulta!$C:$C,0),'MM01'!CT$2),""))</f>
        <v/>
      </c>
      <c r="CU92" s="43" t="str">
        <f>IF(IFERROR(INDEX(Consulta!$A:$DF,MATCH('MM01'!$B92,Consulta!$C:$C,0),'MM01'!CU$2),"")=0,"",IFERROR(INDEX(Consulta!$A:$DF,MATCH('MM01'!$B92,Consulta!$C:$C,0),'MM01'!CU$2),""))</f>
        <v/>
      </c>
      <c r="CV92" s="43" t="str">
        <f>IF(IFERROR(INDEX(Consulta!$A:$DF,MATCH('MM01'!$B92,Consulta!$C:$C,0),'MM01'!CV$2),"")=0,"",IFERROR(INDEX(Consulta!$A:$DF,MATCH('MM01'!$B92,Consulta!$C:$C,0),'MM01'!CV$2),""))</f>
        <v/>
      </c>
      <c r="CW92" s="43" t="str">
        <f>IF(IFERROR(INDEX(Consulta!$A:$DF,MATCH('MM01'!$B92,Consulta!$C:$C,0),'MM01'!CW$2),"")=0,"",IFERROR(INDEX(Consulta!$A:$DF,MATCH('MM01'!$B92,Consulta!$C:$C,0),'MM01'!CW$2),""))</f>
        <v/>
      </c>
      <c r="CX92" s="43" t="str">
        <f t="shared" si="58"/>
        <v/>
      </c>
      <c r="CY92" s="43" t="str">
        <f t="shared" si="59"/>
        <v/>
      </c>
      <c r="CZ92" s="43" t="str">
        <f t="shared" si="60"/>
        <v/>
      </c>
      <c r="DA92" s="43" t="str">
        <f>IF(IFERROR(INDEX(Consulta!$A:$DF,MATCH('MM01'!$B92,Consulta!$C:$C,0),'MM01'!DA$2),"")=0,"",IFERROR(INDEX(Consulta!$A:$DF,MATCH('MM01'!$B92,Consulta!$C:$C,0),'MM01'!DA$2),""))</f>
        <v/>
      </c>
      <c r="DB92" s="43" t="str">
        <f t="shared" si="61"/>
        <v/>
      </c>
      <c r="DC92" s="43" t="str">
        <f>IF(IFERROR(INDEX(Consulta!$A:$DF,MATCH('MM01'!$B92,Consulta!$C:$C,0),'MM01'!DC$2),"")=0,"",IFERROR(INDEX(Consulta!$A:$DF,MATCH('MM01'!$B92,Consulta!$C:$C,0),'MM01'!DC$2),""))</f>
        <v/>
      </c>
      <c r="DD92" s="45">
        <v>0</v>
      </c>
      <c r="DE92" s="45">
        <v>0</v>
      </c>
      <c r="DF92" s="43" t="str">
        <f t="shared" si="62"/>
        <v/>
      </c>
      <c r="DG92" s="43" t="str">
        <f t="shared" si="63"/>
        <v/>
      </c>
      <c r="DH92" s="55"/>
      <c r="DI92" s="43" t="str">
        <f t="shared" ca="1" si="64"/>
        <v/>
      </c>
      <c r="DJ92" s="43" t="str">
        <f t="shared" si="65"/>
        <v/>
      </c>
      <c r="DK92" s="43" t="str">
        <f t="shared" si="66"/>
        <v/>
      </c>
      <c r="DL92" s="55"/>
      <c r="DM92" s="43" t="str">
        <f t="shared" ca="1" si="67"/>
        <v/>
      </c>
      <c r="DN92" s="43" t="str">
        <f t="shared" si="68"/>
        <v/>
      </c>
      <c r="DO92" s="43" t="str">
        <f t="shared" si="69"/>
        <v/>
      </c>
      <c r="DP92" s="55"/>
      <c r="DQ92" s="43" t="str">
        <f t="shared" ca="1" si="70"/>
        <v/>
      </c>
      <c r="DR92" s="43" t="str">
        <f t="shared" si="71"/>
        <v/>
      </c>
      <c r="DS92" s="43" t="str">
        <f t="shared" si="72"/>
        <v/>
      </c>
      <c r="DT92" s="55"/>
      <c r="DU92" s="43" t="str">
        <f t="shared" ca="1" si="73"/>
        <v/>
      </c>
      <c r="DV92" s="43" t="str">
        <f t="shared" si="74"/>
        <v/>
      </c>
      <c r="DX92" s="44">
        <v>1</v>
      </c>
      <c r="DY92" s="44" t="s">
        <v>774</v>
      </c>
      <c r="DZ92" s="43">
        <f t="shared" si="75"/>
        <v>0.01</v>
      </c>
      <c r="EA92" s="43" t="str">
        <f t="shared" si="76"/>
        <v>M</v>
      </c>
      <c r="EB92" s="43" t="str">
        <f>IF(IFERROR(INDEX(Consulta!$A:$DF,MATCH('MM01'!$B92,Consulta!$C:$C,0),'MM01'!EB$2),"")=0,"7925",IF(IFERROR(INDEX(Consulta!$A:$DF,MATCH('MM01'!$B92,Consulta!$C:$C,0),'MM01'!EB$2),"")="68","7910","7925"))</f>
        <v>7925</v>
      </c>
      <c r="EC92" s="44">
        <v>100</v>
      </c>
      <c r="ED92" s="60">
        <v>1</v>
      </c>
      <c r="EE92" s="43">
        <f t="shared" si="77"/>
        <v>100</v>
      </c>
      <c r="EF92" s="44">
        <v>1</v>
      </c>
      <c r="EG92" s="44">
        <v>0</v>
      </c>
      <c r="EH92" s="44" t="s">
        <v>867</v>
      </c>
      <c r="EI92" s="45">
        <v>0</v>
      </c>
      <c r="EJ92" s="43">
        <f t="shared" si="78"/>
        <v>5000</v>
      </c>
      <c r="EK92" s="65"/>
    </row>
    <row r="93" spans="1:141" x14ac:dyDescent="0.3">
      <c r="A93" s="7" t="str">
        <f t="shared" si="79"/>
        <v>Execução 89</v>
      </c>
      <c r="B93" s="42"/>
      <c r="C93" s="43" t="str">
        <f>IF(IFERROR(INDEX(Consulta!$A:$DF,MATCH('MM01'!$B93,Consulta!$C:$C,0),'MM01'!C$2),"")=0,"",IFERROR(INDEX(Consulta!$A:$DF,MATCH('MM01'!$B93,Consulta!$C:$C,0),'MM01'!C$2),""))</f>
        <v/>
      </c>
      <c r="D93" s="43" t="str">
        <f>IF(IFERROR(INDEX(Consulta!$A:$DF,MATCH('MM01'!$B93,Consulta!$C:$C,0),'MM01'!D$2),"")=0,"",IFERROR(INDEX(Consulta!$A:$DF,MATCH('MM01'!$B93,Consulta!$C:$C,0),'MM01'!D$2),""))</f>
        <v/>
      </c>
      <c r="E93" s="43" t="str">
        <f>IF(IFERROR(INDEX(Consulta!$A:$DF,MATCH('MM01'!$B93,Consulta!$C:$C,0),'MM01'!E$2),"")=0,"",IFERROR(INDEX(Consulta!$A:$DF,MATCH('MM01'!$B93,Consulta!$C:$C,0),'MM01'!E$2),""))</f>
        <v/>
      </c>
      <c r="F93" s="44" t="s">
        <v>100</v>
      </c>
      <c r="G93" s="49" t="str">
        <f>IF(IFERROR(INDEX(Consulta!$A:$DF,MATCH('MM01'!$B93,Consulta!$C:$C,0),'MM01'!G$2),"")=0,"",IFERROR(INDEX(Consulta!$A:$DF,MATCH('MM01'!$B93,Consulta!$C:$C,0),'MM01'!G$2),""))</f>
        <v/>
      </c>
      <c r="H93" s="49" t="str">
        <f>IF(IFERROR(INDEX(Consulta!$A:$DF,MATCH('MM01'!$B93,Consulta!$C:$C,0),'MM01'!H$2),"")=0,"",IFERROR(INDEX(Consulta!$A:$DF,MATCH('MM01'!$B93,Consulta!$C:$C,0),'MM01'!H$2),""))</f>
        <v/>
      </c>
      <c r="I93" s="49" t="str">
        <f t="shared" si="40"/>
        <v/>
      </c>
      <c r="J93" s="49" t="str">
        <f>IF(IFERROR(INDEX(Consulta!$A:$DF,MATCH('MM01'!$B93,Consulta!$C:$C,0),'MM01'!J$2),"")=0,"",IFERROR(INDEX(Consulta!$A:$DF,MATCH('MM01'!$B93,Consulta!$C:$C,0),'MM01'!J$2),""))</f>
        <v/>
      </c>
      <c r="K93" s="49" t="str">
        <f t="shared" si="41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IF(IFERROR(INDEX(Consulta!$A:$DF,MATCH('MM01'!$B93,Consulta!$C:$C,0),'MM01'!AP$2),"")=0,"",IFERROR(INDEX(Consulta!$A:$DF,MATCH('MM01'!$B93,Consulta!$C:$C,0),'MM01'!AP$2),""))</f>
        <v/>
      </c>
      <c r="AQ93" s="45"/>
      <c r="AR93" s="43" t="str">
        <f>IF(IFERROR(INDEX(Consulta!$A:$DF,MATCH('MM01'!$B93,Consulta!$C:$C,0),'MM01'!AR$2),"")=0,"",IFERROR(INDEX(Consulta!$A:$DF,MATCH('MM01'!$B93,Consulta!$C:$C,0),'MM01'!AR$2),""))</f>
        <v/>
      </c>
      <c r="AS93" s="43" t="str">
        <f>IF(IFERROR(INDEX(Consulta!$A:$DF,MATCH('MM01'!$B93,Consulta!$C:$C,0),'MM01'!AS$2),"")=0,"",IF(AR93="68",5102,IFERROR(INDEX(Consulta!$A:$DF,MATCH('MM01'!$B93,Consulta!$C:$C,0),'MM01'!AS$2),"")))</f>
        <v/>
      </c>
      <c r="AT93" s="45"/>
      <c r="AU93" s="46" t="str">
        <f t="shared" ca="1" si="42"/>
        <v/>
      </c>
      <c r="AV93" s="47" t="s">
        <v>796</v>
      </c>
      <c r="AW93" s="43" t="str">
        <f>IF(IFERROR(INDEX(Consulta!$A:$DF,MATCH('MM01'!$B93,Consulta!$C:$C,0),'MM01'!AW$2),"")=0,"",IFERROR(ROUND(INDEX(Consulta!$A:$DF,MATCH('MM01'!$B93,Consulta!$C:$C,0),'MM01'!AW$2),3),""))</f>
        <v/>
      </c>
      <c r="AX93" s="43" t="str">
        <f t="shared" si="43"/>
        <v/>
      </c>
      <c r="AY93" s="48" t="s">
        <v>299</v>
      </c>
      <c r="AZ93" s="48"/>
      <c r="BA93" s="43" t="str">
        <f>IF(IFERROR(INDEX(Consulta!$A:$DF,MATCH('MM01'!$B93,Consulta!$C:$C,0),'MM01'!BA$2),"")=0,"",IFERROR(INDEX(Consulta!$A:$DF,MATCH('MM01'!$B93,Consulta!$C:$C,0),'MM01'!BA$2),""))</f>
        <v/>
      </c>
      <c r="BB93" s="43" t="str">
        <f t="shared" si="44"/>
        <v/>
      </c>
      <c r="BC93" s="43" t="str">
        <f t="shared" si="45"/>
        <v/>
      </c>
      <c r="BD93" s="43" t="str">
        <f t="shared" si="46"/>
        <v/>
      </c>
      <c r="BE93" s="43" t="str">
        <f t="shared" si="47"/>
        <v>M</v>
      </c>
      <c r="BF93" s="43" t="str">
        <f t="shared" si="48"/>
        <v/>
      </c>
      <c r="BG93" s="43" t="str">
        <f t="shared" si="49"/>
        <v/>
      </c>
      <c r="BH93" s="43" t="str">
        <f t="shared" si="50"/>
        <v/>
      </c>
      <c r="BI93" s="43" t="str">
        <f t="shared" si="51"/>
        <v>M</v>
      </c>
      <c r="BK93" s="45" t="s">
        <v>324</v>
      </c>
      <c r="BL93" s="43" t="str">
        <f>IF(IFERROR(INDEX(Consulta!$A:$DF,MATCH('MM01'!$B93,Consulta!$C:$C,0),'MM01'!BL$2),"")=0,"",IFERROR(INDEX(Consulta!$A:$DF,MATCH('MM01'!$B93,Consulta!$C:$C,0),'MM01'!BL$2),""))</f>
        <v/>
      </c>
      <c r="BM93" s="45">
        <v>99</v>
      </c>
      <c r="BN93" s="46" t="str">
        <f t="shared" ca="1" si="52"/>
        <v>28.04.2022</v>
      </c>
      <c r="BO93" s="49" t="str">
        <f t="shared" si="53"/>
        <v/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IF(IFERROR(INDEX(Consulta!$A:$DF,MATCH('MM01'!$B93,Consulta!$C:$C,0),'MM01'!BX$2),"")=0,"",IFERROR(INDEX(Consulta!$A:$DF,MATCH('MM01'!$B93,Consulta!$C:$C,0),'MM01'!BX$2),""))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54"/>
        <v/>
      </c>
      <c r="CD93" s="45" t="s">
        <v>430</v>
      </c>
      <c r="CE93" s="45">
        <v>1</v>
      </c>
      <c r="CF93" s="45" t="s">
        <v>496</v>
      </c>
      <c r="CG93" s="45"/>
      <c r="CH93" s="44">
        <v>2</v>
      </c>
      <c r="CI93" s="49" t="str">
        <f t="shared" si="55"/>
        <v/>
      </c>
      <c r="CJ93" s="49" t="str">
        <f t="shared" si="56"/>
        <v/>
      </c>
      <c r="CK93" s="45"/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57"/>
        <v>K00_P_</v>
      </c>
      <c r="CS93" s="45">
        <v>5000</v>
      </c>
      <c r="CT93" s="43" t="str">
        <f>IF(IFERROR(INDEX(Consulta!$A:$DF,MATCH('MM01'!$B93,Consulta!$C:$C,0),'MM01'!CT$2),"")=0,"",IFERROR(INDEX(Consulta!$A:$DF,MATCH('MM01'!$B93,Consulta!$C:$C,0),'MM01'!CT$2),""))</f>
        <v/>
      </c>
      <c r="CU93" s="43" t="str">
        <f>IF(IFERROR(INDEX(Consulta!$A:$DF,MATCH('MM01'!$B93,Consulta!$C:$C,0),'MM01'!CU$2),"")=0,"",IFERROR(INDEX(Consulta!$A:$DF,MATCH('MM01'!$B93,Consulta!$C:$C,0),'MM01'!CU$2),""))</f>
        <v/>
      </c>
      <c r="CV93" s="43" t="str">
        <f>IF(IFERROR(INDEX(Consulta!$A:$DF,MATCH('MM01'!$B93,Consulta!$C:$C,0),'MM01'!CV$2),"")=0,"",IFERROR(INDEX(Consulta!$A:$DF,MATCH('MM01'!$B93,Consulta!$C:$C,0),'MM01'!CV$2),""))</f>
        <v/>
      </c>
      <c r="CW93" s="43" t="str">
        <f>IF(IFERROR(INDEX(Consulta!$A:$DF,MATCH('MM01'!$B93,Consulta!$C:$C,0),'MM01'!CW$2),"")=0,"",IFERROR(INDEX(Consulta!$A:$DF,MATCH('MM01'!$B93,Consulta!$C:$C,0),'MM01'!CW$2),""))</f>
        <v/>
      </c>
      <c r="CX93" s="43" t="str">
        <f t="shared" si="58"/>
        <v/>
      </c>
      <c r="CY93" s="43" t="str">
        <f t="shared" si="59"/>
        <v/>
      </c>
      <c r="CZ93" s="43" t="str">
        <f t="shared" si="60"/>
        <v/>
      </c>
      <c r="DA93" s="43" t="str">
        <f>IF(IFERROR(INDEX(Consulta!$A:$DF,MATCH('MM01'!$B93,Consulta!$C:$C,0),'MM01'!DA$2),"")=0,"",IFERROR(INDEX(Consulta!$A:$DF,MATCH('MM01'!$B93,Consulta!$C:$C,0),'MM01'!DA$2),""))</f>
        <v/>
      </c>
      <c r="DB93" s="43" t="str">
        <f t="shared" si="61"/>
        <v/>
      </c>
      <c r="DC93" s="43" t="str">
        <f>IF(IFERROR(INDEX(Consulta!$A:$DF,MATCH('MM01'!$B93,Consulta!$C:$C,0),'MM01'!DC$2),"")=0,"",IFERROR(INDEX(Consulta!$A:$DF,MATCH('MM01'!$B93,Consulta!$C:$C,0),'MM01'!DC$2),""))</f>
        <v/>
      </c>
      <c r="DD93" s="45">
        <v>0</v>
      </c>
      <c r="DE93" s="45">
        <v>0</v>
      </c>
      <c r="DF93" s="43" t="str">
        <f t="shared" si="62"/>
        <v/>
      </c>
      <c r="DG93" s="43" t="str">
        <f t="shared" si="63"/>
        <v/>
      </c>
      <c r="DH93" s="55"/>
      <c r="DI93" s="43" t="str">
        <f t="shared" ca="1" si="64"/>
        <v/>
      </c>
      <c r="DJ93" s="43" t="str">
        <f t="shared" si="65"/>
        <v/>
      </c>
      <c r="DK93" s="43" t="str">
        <f t="shared" si="66"/>
        <v/>
      </c>
      <c r="DL93" s="55"/>
      <c r="DM93" s="43" t="str">
        <f t="shared" ca="1" si="67"/>
        <v/>
      </c>
      <c r="DN93" s="43" t="str">
        <f t="shared" si="68"/>
        <v/>
      </c>
      <c r="DO93" s="43" t="str">
        <f t="shared" si="69"/>
        <v/>
      </c>
      <c r="DP93" s="55"/>
      <c r="DQ93" s="43" t="str">
        <f t="shared" ca="1" si="70"/>
        <v/>
      </c>
      <c r="DR93" s="43" t="str">
        <f t="shared" si="71"/>
        <v/>
      </c>
      <c r="DS93" s="43" t="str">
        <f t="shared" si="72"/>
        <v/>
      </c>
      <c r="DT93" s="55"/>
      <c r="DU93" s="43" t="str">
        <f t="shared" ca="1" si="73"/>
        <v/>
      </c>
      <c r="DV93" s="43" t="str">
        <f t="shared" si="74"/>
        <v/>
      </c>
      <c r="DX93" s="44">
        <v>1</v>
      </c>
      <c r="DY93" s="44" t="s">
        <v>774</v>
      </c>
      <c r="DZ93" s="43">
        <f t="shared" si="75"/>
        <v>0.01</v>
      </c>
      <c r="EA93" s="43" t="str">
        <f t="shared" si="76"/>
        <v>M</v>
      </c>
      <c r="EB93" s="43" t="str">
        <f>IF(IFERROR(INDEX(Consulta!$A:$DF,MATCH('MM01'!$B93,Consulta!$C:$C,0),'MM01'!EB$2),"")=0,"7925",IF(IFERROR(INDEX(Consulta!$A:$DF,MATCH('MM01'!$B93,Consulta!$C:$C,0),'MM01'!EB$2),"")="68","7910","7925"))</f>
        <v>7925</v>
      </c>
      <c r="EC93" s="44">
        <v>100</v>
      </c>
      <c r="ED93" s="60">
        <v>1</v>
      </c>
      <c r="EE93" s="43">
        <f t="shared" si="77"/>
        <v>100</v>
      </c>
      <c r="EF93" s="44">
        <v>1</v>
      </c>
      <c r="EG93" s="44">
        <v>0</v>
      </c>
      <c r="EH93" s="44" t="s">
        <v>867</v>
      </c>
      <c r="EI93" s="45">
        <v>0</v>
      </c>
      <c r="EJ93" s="43">
        <f t="shared" si="78"/>
        <v>5000</v>
      </c>
      <c r="EK93" s="65"/>
    </row>
    <row r="94" spans="1:141" x14ac:dyDescent="0.3">
      <c r="A94" s="7" t="str">
        <f t="shared" si="79"/>
        <v>Execução 90</v>
      </c>
      <c r="B94" s="42"/>
      <c r="C94" s="43" t="str">
        <f>IF(IFERROR(INDEX(Consulta!$A:$DF,MATCH('MM01'!$B94,Consulta!$C:$C,0),'MM01'!C$2),"")=0,"",IFERROR(INDEX(Consulta!$A:$DF,MATCH('MM01'!$B94,Consulta!$C:$C,0),'MM01'!C$2),""))</f>
        <v/>
      </c>
      <c r="D94" s="43" t="str">
        <f>IF(IFERROR(INDEX(Consulta!$A:$DF,MATCH('MM01'!$B94,Consulta!$C:$C,0),'MM01'!D$2),"")=0,"",IFERROR(INDEX(Consulta!$A:$DF,MATCH('MM01'!$B94,Consulta!$C:$C,0),'MM01'!D$2),""))</f>
        <v/>
      </c>
      <c r="E94" s="43" t="str">
        <f>IF(IFERROR(INDEX(Consulta!$A:$DF,MATCH('MM01'!$B94,Consulta!$C:$C,0),'MM01'!E$2),"")=0,"",IFERROR(INDEX(Consulta!$A:$DF,MATCH('MM01'!$B94,Consulta!$C:$C,0),'MM01'!E$2),""))</f>
        <v/>
      </c>
      <c r="F94" s="44" t="s">
        <v>100</v>
      </c>
      <c r="G94" s="49" t="str">
        <f>IF(IFERROR(INDEX(Consulta!$A:$DF,MATCH('MM01'!$B94,Consulta!$C:$C,0),'MM01'!G$2),"")=0,"",IFERROR(INDEX(Consulta!$A:$DF,MATCH('MM01'!$B94,Consulta!$C:$C,0),'MM01'!G$2),""))</f>
        <v/>
      </c>
      <c r="H94" s="49" t="str">
        <f>IF(IFERROR(INDEX(Consulta!$A:$DF,MATCH('MM01'!$B94,Consulta!$C:$C,0),'MM01'!H$2),"")=0,"",IFERROR(INDEX(Consulta!$A:$DF,MATCH('MM01'!$B94,Consulta!$C:$C,0),'MM01'!H$2),""))</f>
        <v/>
      </c>
      <c r="I94" s="49" t="str">
        <f t="shared" si="40"/>
        <v/>
      </c>
      <c r="J94" s="49" t="str">
        <f>IF(IFERROR(INDEX(Consulta!$A:$DF,MATCH('MM01'!$B94,Consulta!$C:$C,0),'MM01'!J$2),"")=0,"",IFERROR(INDEX(Consulta!$A:$DF,MATCH('MM01'!$B94,Consulta!$C:$C,0),'MM01'!J$2),""))</f>
        <v/>
      </c>
      <c r="K94" s="49" t="str">
        <f t="shared" si="41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IF(IFERROR(INDEX(Consulta!$A:$DF,MATCH('MM01'!$B94,Consulta!$C:$C,0),'MM01'!AP$2),"")=0,"",IFERROR(INDEX(Consulta!$A:$DF,MATCH('MM01'!$B94,Consulta!$C:$C,0),'MM01'!AP$2),""))</f>
        <v/>
      </c>
      <c r="AQ94" s="45"/>
      <c r="AR94" s="43" t="str">
        <f>IF(IFERROR(INDEX(Consulta!$A:$DF,MATCH('MM01'!$B94,Consulta!$C:$C,0),'MM01'!AR$2),"")=0,"",IFERROR(INDEX(Consulta!$A:$DF,MATCH('MM01'!$B94,Consulta!$C:$C,0),'MM01'!AR$2),""))</f>
        <v/>
      </c>
      <c r="AS94" s="43" t="str">
        <f>IF(IFERROR(INDEX(Consulta!$A:$DF,MATCH('MM01'!$B94,Consulta!$C:$C,0),'MM01'!AS$2),"")=0,"",IF(AR94="68",5102,IFERROR(INDEX(Consulta!$A:$DF,MATCH('MM01'!$B94,Consulta!$C:$C,0),'MM01'!AS$2),"")))</f>
        <v/>
      </c>
      <c r="AT94" s="45"/>
      <c r="AU94" s="46" t="str">
        <f t="shared" ca="1" si="42"/>
        <v/>
      </c>
      <c r="AV94" s="47" t="s">
        <v>796</v>
      </c>
      <c r="AW94" s="43" t="str">
        <f>IF(IFERROR(INDEX(Consulta!$A:$DF,MATCH('MM01'!$B94,Consulta!$C:$C,0),'MM01'!AW$2),"")=0,"",IFERROR(ROUND(INDEX(Consulta!$A:$DF,MATCH('MM01'!$B94,Consulta!$C:$C,0),'MM01'!AW$2),3),""))</f>
        <v/>
      </c>
      <c r="AX94" s="43" t="str">
        <f t="shared" si="43"/>
        <v/>
      </c>
      <c r="AY94" s="48" t="s">
        <v>299</v>
      </c>
      <c r="AZ94" s="48"/>
      <c r="BA94" s="43" t="str">
        <f>IF(IFERROR(INDEX(Consulta!$A:$DF,MATCH('MM01'!$B94,Consulta!$C:$C,0),'MM01'!BA$2),"")=0,"",IFERROR(INDEX(Consulta!$A:$DF,MATCH('MM01'!$B94,Consulta!$C:$C,0),'MM01'!BA$2),""))</f>
        <v/>
      </c>
      <c r="BB94" s="43" t="str">
        <f t="shared" si="44"/>
        <v/>
      </c>
      <c r="BC94" s="43" t="str">
        <f t="shared" si="45"/>
        <v/>
      </c>
      <c r="BD94" s="43" t="str">
        <f t="shared" si="46"/>
        <v/>
      </c>
      <c r="BE94" s="43" t="str">
        <f t="shared" si="47"/>
        <v>M</v>
      </c>
      <c r="BF94" s="43" t="str">
        <f t="shared" si="48"/>
        <v/>
      </c>
      <c r="BG94" s="43" t="str">
        <f t="shared" si="49"/>
        <v/>
      </c>
      <c r="BH94" s="43" t="str">
        <f t="shared" si="50"/>
        <v/>
      </c>
      <c r="BI94" s="43" t="str">
        <f t="shared" si="51"/>
        <v>M</v>
      </c>
      <c r="BK94" s="45" t="s">
        <v>324</v>
      </c>
      <c r="BL94" s="43" t="str">
        <f>IF(IFERROR(INDEX(Consulta!$A:$DF,MATCH('MM01'!$B94,Consulta!$C:$C,0),'MM01'!BL$2),"")=0,"",IFERROR(INDEX(Consulta!$A:$DF,MATCH('MM01'!$B94,Consulta!$C:$C,0),'MM01'!BL$2),""))</f>
        <v/>
      </c>
      <c r="BM94" s="45">
        <v>99</v>
      </c>
      <c r="BN94" s="46" t="str">
        <f t="shared" ca="1" si="52"/>
        <v>28.04.2022</v>
      </c>
      <c r="BO94" s="49" t="str">
        <f t="shared" si="53"/>
        <v/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IF(IFERROR(INDEX(Consulta!$A:$DF,MATCH('MM01'!$B94,Consulta!$C:$C,0),'MM01'!BX$2),"")=0,"",IFERROR(INDEX(Consulta!$A:$DF,MATCH('MM01'!$B94,Consulta!$C:$C,0),'MM01'!BX$2),""))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54"/>
        <v/>
      </c>
      <c r="CD94" s="45" t="s">
        <v>430</v>
      </c>
      <c r="CE94" s="45">
        <v>1</v>
      </c>
      <c r="CF94" s="45" t="s">
        <v>496</v>
      </c>
      <c r="CG94" s="45"/>
      <c r="CH94" s="44">
        <v>2</v>
      </c>
      <c r="CI94" s="49" t="str">
        <f t="shared" si="55"/>
        <v/>
      </c>
      <c r="CJ94" s="49" t="str">
        <f t="shared" si="56"/>
        <v/>
      </c>
      <c r="CK94" s="45"/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57"/>
        <v>K00_P_</v>
      </c>
      <c r="CS94" s="45">
        <v>5000</v>
      </c>
      <c r="CT94" s="43" t="str">
        <f>IF(IFERROR(INDEX(Consulta!$A:$DF,MATCH('MM01'!$B94,Consulta!$C:$C,0),'MM01'!CT$2),"")=0,"",IFERROR(INDEX(Consulta!$A:$DF,MATCH('MM01'!$B94,Consulta!$C:$C,0),'MM01'!CT$2),""))</f>
        <v/>
      </c>
      <c r="CU94" s="43" t="str">
        <f>IF(IFERROR(INDEX(Consulta!$A:$DF,MATCH('MM01'!$B94,Consulta!$C:$C,0),'MM01'!CU$2),"")=0,"",IFERROR(INDEX(Consulta!$A:$DF,MATCH('MM01'!$B94,Consulta!$C:$C,0),'MM01'!CU$2),""))</f>
        <v/>
      </c>
      <c r="CV94" s="43" t="str">
        <f>IF(IFERROR(INDEX(Consulta!$A:$DF,MATCH('MM01'!$B94,Consulta!$C:$C,0),'MM01'!CV$2),"")=0,"",IFERROR(INDEX(Consulta!$A:$DF,MATCH('MM01'!$B94,Consulta!$C:$C,0),'MM01'!CV$2),""))</f>
        <v/>
      </c>
      <c r="CW94" s="43" t="str">
        <f>IF(IFERROR(INDEX(Consulta!$A:$DF,MATCH('MM01'!$B94,Consulta!$C:$C,0),'MM01'!CW$2),"")=0,"",IFERROR(INDEX(Consulta!$A:$DF,MATCH('MM01'!$B94,Consulta!$C:$C,0),'MM01'!CW$2),""))</f>
        <v/>
      </c>
      <c r="CX94" s="43" t="str">
        <f t="shared" si="58"/>
        <v/>
      </c>
      <c r="CY94" s="43" t="str">
        <f t="shared" si="59"/>
        <v/>
      </c>
      <c r="CZ94" s="43" t="str">
        <f t="shared" si="60"/>
        <v/>
      </c>
      <c r="DA94" s="43" t="str">
        <f>IF(IFERROR(INDEX(Consulta!$A:$DF,MATCH('MM01'!$B94,Consulta!$C:$C,0),'MM01'!DA$2),"")=0,"",IFERROR(INDEX(Consulta!$A:$DF,MATCH('MM01'!$B94,Consulta!$C:$C,0),'MM01'!DA$2),""))</f>
        <v/>
      </c>
      <c r="DB94" s="43" t="str">
        <f t="shared" si="61"/>
        <v/>
      </c>
      <c r="DC94" s="43" t="str">
        <f>IF(IFERROR(INDEX(Consulta!$A:$DF,MATCH('MM01'!$B94,Consulta!$C:$C,0),'MM01'!DC$2),"")=0,"",IFERROR(INDEX(Consulta!$A:$DF,MATCH('MM01'!$B94,Consulta!$C:$C,0),'MM01'!DC$2),""))</f>
        <v/>
      </c>
      <c r="DD94" s="45">
        <v>0</v>
      </c>
      <c r="DE94" s="45">
        <v>0</v>
      </c>
      <c r="DF94" s="43" t="str">
        <f t="shared" si="62"/>
        <v/>
      </c>
      <c r="DG94" s="43" t="str">
        <f t="shared" si="63"/>
        <v/>
      </c>
      <c r="DH94" s="55"/>
      <c r="DI94" s="43" t="str">
        <f t="shared" ca="1" si="64"/>
        <v/>
      </c>
      <c r="DJ94" s="43" t="str">
        <f t="shared" si="65"/>
        <v/>
      </c>
      <c r="DK94" s="43" t="str">
        <f t="shared" si="66"/>
        <v/>
      </c>
      <c r="DL94" s="55"/>
      <c r="DM94" s="43" t="str">
        <f t="shared" ca="1" si="67"/>
        <v/>
      </c>
      <c r="DN94" s="43" t="str">
        <f t="shared" si="68"/>
        <v/>
      </c>
      <c r="DO94" s="43" t="str">
        <f t="shared" si="69"/>
        <v/>
      </c>
      <c r="DP94" s="55"/>
      <c r="DQ94" s="43" t="str">
        <f t="shared" ca="1" si="70"/>
        <v/>
      </c>
      <c r="DR94" s="43" t="str">
        <f t="shared" si="71"/>
        <v/>
      </c>
      <c r="DS94" s="43" t="str">
        <f t="shared" si="72"/>
        <v/>
      </c>
      <c r="DT94" s="55"/>
      <c r="DU94" s="43" t="str">
        <f t="shared" ca="1" si="73"/>
        <v/>
      </c>
      <c r="DV94" s="43" t="str">
        <f t="shared" si="74"/>
        <v/>
      </c>
      <c r="DX94" s="44">
        <v>1</v>
      </c>
      <c r="DY94" s="44" t="s">
        <v>774</v>
      </c>
      <c r="DZ94" s="43">
        <f t="shared" si="75"/>
        <v>0.01</v>
      </c>
      <c r="EA94" s="43" t="str">
        <f t="shared" si="76"/>
        <v>M</v>
      </c>
      <c r="EB94" s="43" t="str">
        <f>IF(IFERROR(INDEX(Consulta!$A:$DF,MATCH('MM01'!$B94,Consulta!$C:$C,0),'MM01'!EB$2),"")=0,"7925",IF(IFERROR(INDEX(Consulta!$A:$DF,MATCH('MM01'!$B94,Consulta!$C:$C,0),'MM01'!EB$2),"")="68","7910","7925"))</f>
        <v>7925</v>
      </c>
      <c r="EC94" s="44">
        <v>100</v>
      </c>
      <c r="ED94" s="60">
        <v>1</v>
      </c>
      <c r="EE94" s="43">
        <f t="shared" si="77"/>
        <v>100</v>
      </c>
      <c r="EF94" s="44">
        <v>1</v>
      </c>
      <c r="EG94" s="44">
        <v>0</v>
      </c>
      <c r="EH94" s="44" t="s">
        <v>867</v>
      </c>
      <c r="EI94" s="45">
        <v>0</v>
      </c>
      <c r="EJ94" s="43">
        <f t="shared" si="78"/>
        <v>5000</v>
      </c>
      <c r="EK94" s="65"/>
    </row>
    <row r="95" spans="1:141" x14ac:dyDescent="0.3">
      <c r="A95" s="7" t="str">
        <f t="shared" si="79"/>
        <v>Execução 91</v>
      </c>
      <c r="B95" s="42"/>
      <c r="C95" s="43" t="str">
        <f>IF(IFERROR(INDEX(Consulta!$A:$DF,MATCH('MM01'!$B95,Consulta!$C:$C,0),'MM01'!C$2),"")=0,"",IFERROR(INDEX(Consulta!$A:$DF,MATCH('MM01'!$B95,Consulta!$C:$C,0),'MM01'!C$2),""))</f>
        <v/>
      </c>
      <c r="D95" s="43" t="str">
        <f>IF(IFERROR(INDEX(Consulta!$A:$DF,MATCH('MM01'!$B95,Consulta!$C:$C,0),'MM01'!D$2),"")=0,"",IFERROR(INDEX(Consulta!$A:$DF,MATCH('MM01'!$B95,Consulta!$C:$C,0),'MM01'!D$2),""))</f>
        <v/>
      </c>
      <c r="E95" s="43" t="str">
        <f>IF(IFERROR(INDEX(Consulta!$A:$DF,MATCH('MM01'!$B95,Consulta!$C:$C,0),'MM01'!E$2),"")=0,"",IFERROR(INDEX(Consulta!$A:$DF,MATCH('MM01'!$B95,Consulta!$C:$C,0),'MM01'!E$2),""))</f>
        <v/>
      </c>
      <c r="F95" s="44" t="s">
        <v>100</v>
      </c>
      <c r="G95" s="49" t="str">
        <f>IF(IFERROR(INDEX(Consulta!$A:$DF,MATCH('MM01'!$B95,Consulta!$C:$C,0),'MM01'!G$2),"")=0,"",IFERROR(INDEX(Consulta!$A:$DF,MATCH('MM01'!$B95,Consulta!$C:$C,0),'MM01'!G$2),""))</f>
        <v/>
      </c>
      <c r="H95" s="49" t="str">
        <f>IF(IFERROR(INDEX(Consulta!$A:$DF,MATCH('MM01'!$B95,Consulta!$C:$C,0),'MM01'!H$2),"")=0,"",IFERROR(INDEX(Consulta!$A:$DF,MATCH('MM01'!$B95,Consulta!$C:$C,0),'MM01'!H$2),""))</f>
        <v/>
      </c>
      <c r="I95" s="49" t="str">
        <f t="shared" si="40"/>
        <v/>
      </c>
      <c r="J95" s="49" t="str">
        <f>IF(IFERROR(INDEX(Consulta!$A:$DF,MATCH('MM01'!$B95,Consulta!$C:$C,0),'MM01'!J$2),"")=0,"",IFERROR(INDEX(Consulta!$A:$DF,MATCH('MM01'!$B95,Consulta!$C:$C,0),'MM01'!J$2),""))</f>
        <v/>
      </c>
      <c r="K95" s="49" t="str">
        <f t="shared" si="41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IF(IFERROR(INDEX(Consulta!$A:$DF,MATCH('MM01'!$B95,Consulta!$C:$C,0),'MM01'!AP$2),"")=0,"",IFERROR(INDEX(Consulta!$A:$DF,MATCH('MM01'!$B95,Consulta!$C:$C,0),'MM01'!AP$2),""))</f>
        <v/>
      </c>
      <c r="AQ95" s="45"/>
      <c r="AR95" s="43" t="str">
        <f>IF(IFERROR(INDEX(Consulta!$A:$DF,MATCH('MM01'!$B95,Consulta!$C:$C,0),'MM01'!AR$2),"")=0,"",IFERROR(INDEX(Consulta!$A:$DF,MATCH('MM01'!$B95,Consulta!$C:$C,0),'MM01'!AR$2),""))</f>
        <v/>
      </c>
      <c r="AS95" s="43" t="str">
        <f>IF(IFERROR(INDEX(Consulta!$A:$DF,MATCH('MM01'!$B95,Consulta!$C:$C,0),'MM01'!AS$2),"")=0,"",IF(AR95="68",5102,IFERROR(INDEX(Consulta!$A:$DF,MATCH('MM01'!$B95,Consulta!$C:$C,0),'MM01'!AS$2),"")))</f>
        <v/>
      </c>
      <c r="AT95" s="45"/>
      <c r="AU95" s="46" t="str">
        <f t="shared" ca="1" si="42"/>
        <v/>
      </c>
      <c r="AV95" s="47" t="s">
        <v>796</v>
      </c>
      <c r="AW95" s="43" t="str">
        <f>IF(IFERROR(INDEX(Consulta!$A:$DF,MATCH('MM01'!$B95,Consulta!$C:$C,0),'MM01'!AW$2),"")=0,"",IFERROR(ROUND(INDEX(Consulta!$A:$DF,MATCH('MM01'!$B95,Consulta!$C:$C,0),'MM01'!AW$2),3),""))</f>
        <v/>
      </c>
      <c r="AX95" s="43" t="str">
        <f t="shared" si="43"/>
        <v/>
      </c>
      <c r="AY95" s="48" t="s">
        <v>299</v>
      </c>
      <c r="AZ95" s="48"/>
      <c r="BA95" s="43" t="str">
        <f>IF(IFERROR(INDEX(Consulta!$A:$DF,MATCH('MM01'!$B95,Consulta!$C:$C,0),'MM01'!BA$2),"")=0,"",IFERROR(INDEX(Consulta!$A:$DF,MATCH('MM01'!$B95,Consulta!$C:$C,0),'MM01'!BA$2),""))</f>
        <v/>
      </c>
      <c r="BB95" s="43" t="str">
        <f t="shared" si="44"/>
        <v/>
      </c>
      <c r="BC95" s="43" t="str">
        <f t="shared" si="45"/>
        <v/>
      </c>
      <c r="BD95" s="43" t="str">
        <f t="shared" si="46"/>
        <v/>
      </c>
      <c r="BE95" s="43" t="str">
        <f t="shared" si="47"/>
        <v>M</v>
      </c>
      <c r="BF95" s="43" t="str">
        <f t="shared" si="48"/>
        <v/>
      </c>
      <c r="BG95" s="43" t="str">
        <f t="shared" si="49"/>
        <v/>
      </c>
      <c r="BH95" s="43" t="str">
        <f t="shared" si="50"/>
        <v/>
      </c>
      <c r="BI95" s="43" t="str">
        <f t="shared" si="51"/>
        <v>M</v>
      </c>
      <c r="BK95" s="45" t="s">
        <v>324</v>
      </c>
      <c r="BL95" s="43" t="str">
        <f>IF(IFERROR(INDEX(Consulta!$A:$DF,MATCH('MM01'!$B95,Consulta!$C:$C,0),'MM01'!BL$2),"")=0,"",IFERROR(INDEX(Consulta!$A:$DF,MATCH('MM01'!$B95,Consulta!$C:$C,0),'MM01'!BL$2),""))</f>
        <v/>
      </c>
      <c r="BM95" s="45">
        <v>99</v>
      </c>
      <c r="BN95" s="46" t="str">
        <f t="shared" ca="1" si="52"/>
        <v>28.04.2022</v>
      </c>
      <c r="BO95" s="49" t="str">
        <f t="shared" si="53"/>
        <v/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IF(IFERROR(INDEX(Consulta!$A:$DF,MATCH('MM01'!$B95,Consulta!$C:$C,0),'MM01'!BX$2),"")=0,"",IFERROR(INDEX(Consulta!$A:$DF,MATCH('MM01'!$B95,Consulta!$C:$C,0),'MM01'!BX$2),""))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54"/>
        <v/>
      </c>
      <c r="CD95" s="45" t="s">
        <v>430</v>
      </c>
      <c r="CE95" s="45">
        <v>1</v>
      </c>
      <c r="CF95" s="45" t="s">
        <v>496</v>
      </c>
      <c r="CG95" s="45"/>
      <c r="CH95" s="44">
        <v>2</v>
      </c>
      <c r="CI95" s="49" t="str">
        <f t="shared" si="55"/>
        <v/>
      </c>
      <c r="CJ95" s="49" t="str">
        <f t="shared" si="56"/>
        <v/>
      </c>
      <c r="CK95" s="45"/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57"/>
        <v>K00_P_</v>
      </c>
      <c r="CS95" s="45">
        <v>5000</v>
      </c>
      <c r="CT95" s="43" t="str">
        <f>IF(IFERROR(INDEX(Consulta!$A:$DF,MATCH('MM01'!$B95,Consulta!$C:$C,0),'MM01'!CT$2),"")=0,"",IFERROR(INDEX(Consulta!$A:$DF,MATCH('MM01'!$B95,Consulta!$C:$C,0),'MM01'!CT$2),""))</f>
        <v/>
      </c>
      <c r="CU95" s="43" t="str">
        <f>IF(IFERROR(INDEX(Consulta!$A:$DF,MATCH('MM01'!$B95,Consulta!$C:$C,0),'MM01'!CU$2),"")=0,"",IFERROR(INDEX(Consulta!$A:$DF,MATCH('MM01'!$B95,Consulta!$C:$C,0),'MM01'!CU$2),""))</f>
        <v/>
      </c>
      <c r="CV95" s="43" t="str">
        <f>IF(IFERROR(INDEX(Consulta!$A:$DF,MATCH('MM01'!$B95,Consulta!$C:$C,0),'MM01'!CV$2),"")=0,"",IFERROR(INDEX(Consulta!$A:$DF,MATCH('MM01'!$B95,Consulta!$C:$C,0),'MM01'!CV$2),""))</f>
        <v/>
      </c>
      <c r="CW95" s="43" t="str">
        <f>IF(IFERROR(INDEX(Consulta!$A:$DF,MATCH('MM01'!$B95,Consulta!$C:$C,0),'MM01'!CW$2),"")=0,"",IFERROR(INDEX(Consulta!$A:$DF,MATCH('MM01'!$B95,Consulta!$C:$C,0),'MM01'!CW$2),""))</f>
        <v/>
      </c>
      <c r="CX95" s="43" t="str">
        <f t="shared" si="58"/>
        <v/>
      </c>
      <c r="CY95" s="43" t="str">
        <f t="shared" si="59"/>
        <v/>
      </c>
      <c r="CZ95" s="43" t="str">
        <f t="shared" si="60"/>
        <v/>
      </c>
      <c r="DA95" s="43" t="str">
        <f>IF(IFERROR(INDEX(Consulta!$A:$DF,MATCH('MM01'!$B95,Consulta!$C:$C,0),'MM01'!DA$2),"")=0,"",IFERROR(INDEX(Consulta!$A:$DF,MATCH('MM01'!$B95,Consulta!$C:$C,0),'MM01'!DA$2),""))</f>
        <v/>
      </c>
      <c r="DB95" s="43" t="str">
        <f t="shared" si="61"/>
        <v/>
      </c>
      <c r="DC95" s="43" t="str">
        <f>IF(IFERROR(INDEX(Consulta!$A:$DF,MATCH('MM01'!$B95,Consulta!$C:$C,0),'MM01'!DC$2),"")=0,"",IFERROR(INDEX(Consulta!$A:$DF,MATCH('MM01'!$B95,Consulta!$C:$C,0),'MM01'!DC$2),""))</f>
        <v/>
      </c>
      <c r="DD95" s="45">
        <v>0</v>
      </c>
      <c r="DE95" s="45">
        <v>0</v>
      </c>
      <c r="DF95" s="43" t="str">
        <f t="shared" si="62"/>
        <v/>
      </c>
      <c r="DG95" s="43" t="str">
        <f t="shared" si="63"/>
        <v/>
      </c>
      <c r="DH95" s="55"/>
      <c r="DI95" s="43" t="str">
        <f t="shared" ca="1" si="64"/>
        <v/>
      </c>
      <c r="DJ95" s="43" t="str">
        <f t="shared" si="65"/>
        <v/>
      </c>
      <c r="DK95" s="43" t="str">
        <f t="shared" si="66"/>
        <v/>
      </c>
      <c r="DL95" s="55"/>
      <c r="DM95" s="43" t="str">
        <f t="shared" ca="1" si="67"/>
        <v/>
      </c>
      <c r="DN95" s="43" t="str">
        <f t="shared" si="68"/>
        <v/>
      </c>
      <c r="DO95" s="43" t="str">
        <f t="shared" si="69"/>
        <v/>
      </c>
      <c r="DP95" s="55"/>
      <c r="DQ95" s="43" t="str">
        <f t="shared" ca="1" si="70"/>
        <v/>
      </c>
      <c r="DR95" s="43" t="str">
        <f t="shared" si="71"/>
        <v/>
      </c>
      <c r="DS95" s="43" t="str">
        <f t="shared" si="72"/>
        <v/>
      </c>
      <c r="DT95" s="55"/>
      <c r="DU95" s="43" t="str">
        <f t="shared" ca="1" si="73"/>
        <v/>
      </c>
      <c r="DV95" s="43" t="str">
        <f t="shared" si="74"/>
        <v/>
      </c>
      <c r="DX95" s="44">
        <v>1</v>
      </c>
      <c r="DY95" s="44" t="s">
        <v>774</v>
      </c>
      <c r="DZ95" s="43">
        <f t="shared" si="75"/>
        <v>0.01</v>
      </c>
      <c r="EA95" s="43" t="str">
        <f t="shared" si="76"/>
        <v>M</v>
      </c>
      <c r="EB95" s="43" t="str">
        <f>IF(IFERROR(INDEX(Consulta!$A:$DF,MATCH('MM01'!$B95,Consulta!$C:$C,0),'MM01'!EB$2),"")=0,"7925",IF(IFERROR(INDEX(Consulta!$A:$DF,MATCH('MM01'!$B95,Consulta!$C:$C,0),'MM01'!EB$2),"")="68","7910","7925"))</f>
        <v>7925</v>
      </c>
      <c r="EC95" s="44">
        <v>100</v>
      </c>
      <c r="ED95" s="60">
        <v>1</v>
      </c>
      <c r="EE95" s="43">
        <f t="shared" si="77"/>
        <v>100</v>
      </c>
      <c r="EF95" s="44">
        <v>1</v>
      </c>
      <c r="EG95" s="44">
        <v>0</v>
      </c>
      <c r="EH95" s="44" t="s">
        <v>867</v>
      </c>
      <c r="EI95" s="45">
        <v>0</v>
      </c>
      <c r="EJ95" s="43">
        <f t="shared" si="78"/>
        <v>5000</v>
      </c>
      <c r="EK95" s="65"/>
    </row>
    <row r="96" spans="1:141" x14ac:dyDescent="0.3">
      <c r="A96" s="7" t="str">
        <f t="shared" si="79"/>
        <v>Execução 92</v>
      </c>
      <c r="B96" s="42"/>
      <c r="C96" s="43" t="str">
        <f>IF(IFERROR(INDEX(Consulta!$A:$DF,MATCH('MM01'!$B96,Consulta!$C:$C,0),'MM01'!C$2),"")=0,"",IFERROR(INDEX(Consulta!$A:$DF,MATCH('MM01'!$B96,Consulta!$C:$C,0),'MM01'!C$2),""))</f>
        <v/>
      </c>
      <c r="D96" s="43" t="str">
        <f>IF(IFERROR(INDEX(Consulta!$A:$DF,MATCH('MM01'!$B96,Consulta!$C:$C,0),'MM01'!D$2),"")=0,"",IFERROR(INDEX(Consulta!$A:$DF,MATCH('MM01'!$B96,Consulta!$C:$C,0),'MM01'!D$2),""))</f>
        <v/>
      </c>
      <c r="E96" s="43" t="str">
        <f>IF(IFERROR(INDEX(Consulta!$A:$DF,MATCH('MM01'!$B96,Consulta!$C:$C,0),'MM01'!E$2),"")=0,"",IFERROR(INDEX(Consulta!$A:$DF,MATCH('MM01'!$B96,Consulta!$C:$C,0),'MM01'!E$2),""))</f>
        <v/>
      </c>
      <c r="F96" s="44" t="s">
        <v>100</v>
      </c>
      <c r="G96" s="49" t="str">
        <f>IF(IFERROR(INDEX(Consulta!$A:$DF,MATCH('MM01'!$B96,Consulta!$C:$C,0),'MM01'!G$2),"")=0,"",IFERROR(INDEX(Consulta!$A:$DF,MATCH('MM01'!$B96,Consulta!$C:$C,0),'MM01'!G$2),""))</f>
        <v/>
      </c>
      <c r="H96" s="49" t="str">
        <f>IF(IFERROR(INDEX(Consulta!$A:$DF,MATCH('MM01'!$B96,Consulta!$C:$C,0),'MM01'!H$2),"")=0,"",IFERROR(INDEX(Consulta!$A:$DF,MATCH('MM01'!$B96,Consulta!$C:$C,0),'MM01'!H$2),""))</f>
        <v/>
      </c>
      <c r="I96" s="49" t="str">
        <f t="shared" si="40"/>
        <v/>
      </c>
      <c r="J96" s="49" t="str">
        <f>IF(IFERROR(INDEX(Consulta!$A:$DF,MATCH('MM01'!$B96,Consulta!$C:$C,0),'MM01'!J$2),"")=0,"",IFERROR(INDEX(Consulta!$A:$DF,MATCH('MM01'!$B96,Consulta!$C:$C,0),'MM01'!J$2),""))</f>
        <v/>
      </c>
      <c r="K96" s="49" t="str">
        <f t="shared" si="41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IF(IFERROR(INDEX(Consulta!$A:$DF,MATCH('MM01'!$B96,Consulta!$C:$C,0),'MM01'!AP$2),"")=0,"",IFERROR(INDEX(Consulta!$A:$DF,MATCH('MM01'!$B96,Consulta!$C:$C,0),'MM01'!AP$2),""))</f>
        <v/>
      </c>
      <c r="AQ96" s="45"/>
      <c r="AR96" s="43" t="str">
        <f>IF(IFERROR(INDEX(Consulta!$A:$DF,MATCH('MM01'!$B96,Consulta!$C:$C,0),'MM01'!AR$2),"")=0,"",IFERROR(INDEX(Consulta!$A:$DF,MATCH('MM01'!$B96,Consulta!$C:$C,0),'MM01'!AR$2),""))</f>
        <v/>
      </c>
      <c r="AS96" s="43" t="str">
        <f>IF(IFERROR(INDEX(Consulta!$A:$DF,MATCH('MM01'!$B96,Consulta!$C:$C,0),'MM01'!AS$2),"")=0,"",IF(AR96="68",5102,IFERROR(INDEX(Consulta!$A:$DF,MATCH('MM01'!$B96,Consulta!$C:$C,0),'MM01'!AS$2),"")))</f>
        <v/>
      </c>
      <c r="AT96" s="45"/>
      <c r="AU96" s="46" t="str">
        <f t="shared" ca="1" si="42"/>
        <v/>
      </c>
      <c r="AV96" s="47" t="s">
        <v>796</v>
      </c>
      <c r="AW96" s="43" t="str">
        <f>IF(IFERROR(INDEX(Consulta!$A:$DF,MATCH('MM01'!$B96,Consulta!$C:$C,0),'MM01'!AW$2),"")=0,"",IFERROR(ROUND(INDEX(Consulta!$A:$DF,MATCH('MM01'!$B96,Consulta!$C:$C,0),'MM01'!AW$2),3),""))</f>
        <v/>
      </c>
      <c r="AX96" s="43" t="str">
        <f t="shared" si="43"/>
        <v/>
      </c>
      <c r="AY96" s="48" t="s">
        <v>299</v>
      </c>
      <c r="AZ96" s="48"/>
      <c r="BA96" s="43" t="str">
        <f>IF(IFERROR(INDEX(Consulta!$A:$DF,MATCH('MM01'!$B96,Consulta!$C:$C,0),'MM01'!BA$2),"")=0,"",IFERROR(INDEX(Consulta!$A:$DF,MATCH('MM01'!$B96,Consulta!$C:$C,0),'MM01'!BA$2),""))</f>
        <v/>
      </c>
      <c r="BB96" s="43" t="str">
        <f t="shared" si="44"/>
        <v/>
      </c>
      <c r="BC96" s="43" t="str">
        <f t="shared" si="45"/>
        <v/>
      </c>
      <c r="BD96" s="43" t="str">
        <f t="shared" si="46"/>
        <v/>
      </c>
      <c r="BE96" s="43" t="str">
        <f t="shared" si="47"/>
        <v>M</v>
      </c>
      <c r="BF96" s="43" t="str">
        <f t="shared" si="48"/>
        <v/>
      </c>
      <c r="BG96" s="43" t="str">
        <f t="shared" si="49"/>
        <v/>
      </c>
      <c r="BH96" s="43" t="str">
        <f t="shared" si="50"/>
        <v/>
      </c>
      <c r="BI96" s="43" t="str">
        <f t="shared" si="51"/>
        <v>M</v>
      </c>
      <c r="BK96" s="45" t="s">
        <v>324</v>
      </c>
      <c r="BL96" s="43" t="str">
        <f>IF(IFERROR(INDEX(Consulta!$A:$DF,MATCH('MM01'!$B96,Consulta!$C:$C,0),'MM01'!BL$2),"")=0,"",IFERROR(INDEX(Consulta!$A:$DF,MATCH('MM01'!$B96,Consulta!$C:$C,0),'MM01'!BL$2),""))</f>
        <v/>
      </c>
      <c r="BM96" s="45">
        <v>99</v>
      </c>
      <c r="BN96" s="46" t="str">
        <f t="shared" ca="1" si="52"/>
        <v>28.04.2022</v>
      </c>
      <c r="BO96" s="49" t="str">
        <f t="shared" si="53"/>
        <v/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IF(IFERROR(INDEX(Consulta!$A:$DF,MATCH('MM01'!$B96,Consulta!$C:$C,0),'MM01'!BX$2),"")=0,"",IFERROR(INDEX(Consulta!$A:$DF,MATCH('MM01'!$B96,Consulta!$C:$C,0),'MM01'!BX$2),""))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54"/>
        <v/>
      </c>
      <c r="CD96" s="45" t="s">
        <v>430</v>
      </c>
      <c r="CE96" s="45">
        <v>1</v>
      </c>
      <c r="CF96" s="45" t="s">
        <v>496</v>
      </c>
      <c r="CG96" s="45"/>
      <c r="CH96" s="44">
        <v>2</v>
      </c>
      <c r="CI96" s="49" t="str">
        <f t="shared" si="55"/>
        <v/>
      </c>
      <c r="CJ96" s="49" t="str">
        <f t="shared" si="56"/>
        <v/>
      </c>
      <c r="CK96" s="45"/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57"/>
        <v>K00_P_</v>
      </c>
      <c r="CS96" s="45">
        <v>5000</v>
      </c>
      <c r="CT96" s="43" t="str">
        <f>IF(IFERROR(INDEX(Consulta!$A:$DF,MATCH('MM01'!$B96,Consulta!$C:$C,0),'MM01'!CT$2),"")=0,"",IFERROR(INDEX(Consulta!$A:$DF,MATCH('MM01'!$B96,Consulta!$C:$C,0),'MM01'!CT$2),""))</f>
        <v/>
      </c>
      <c r="CU96" s="43" t="str">
        <f>IF(IFERROR(INDEX(Consulta!$A:$DF,MATCH('MM01'!$B96,Consulta!$C:$C,0),'MM01'!CU$2),"")=0,"",IFERROR(INDEX(Consulta!$A:$DF,MATCH('MM01'!$B96,Consulta!$C:$C,0),'MM01'!CU$2),""))</f>
        <v/>
      </c>
      <c r="CV96" s="43" t="str">
        <f>IF(IFERROR(INDEX(Consulta!$A:$DF,MATCH('MM01'!$B96,Consulta!$C:$C,0),'MM01'!CV$2),"")=0,"",IFERROR(INDEX(Consulta!$A:$DF,MATCH('MM01'!$B96,Consulta!$C:$C,0),'MM01'!CV$2),""))</f>
        <v/>
      </c>
      <c r="CW96" s="43" t="str">
        <f>IF(IFERROR(INDEX(Consulta!$A:$DF,MATCH('MM01'!$B96,Consulta!$C:$C,0),'MM01'!CW$2),"")=0,"",IFERROR(INDEX(Consulta!$A:$DF,MATCH('MM01'!$B96,Consulta!$C:$C,0),'MM01'!CW$2),""))</f>
        <v/>
      </c>
      <c r="CX96" s="43" t="str">
        <f t="shared" si="58"/>
        <v/>
      </c>
      <c r="CY96" s="43" t="str">
        <f t="shared" si="59"/>
        <v/>
      </c>
      <c r="CZ96" s="43" t="str">
        <f t="shared" si="60"/>
        <v/>
      </c>
      <c r="DA96" s="43" t="str">
        <f>IF(IFERROR(INDEX(Consulta!$A:$DF,MATCH('MM01'!$B96,Consulta!$C:$C,0),'MM01'!DA$2),"")=0,"",IFERROR(INDEX(Consulta!$A:$DF,MATCH('MM01'!$B96,Consulta!$C:$C,0),'MM01'!DA$2),""))</f>
        <v/>
      </c>
      <c r="DB96" s="43" t="str">
        <f t="shared" si="61"/>
        <v/>
      </c>
      <c r="DC96" s="43" t="str">
        <f>IF(IFERROR(INDEX(Consulta!$A:$DF,MATCH('MM01'!$B96,Consulta!$C:$C,0),'MM01'!DC$2),"")=0,"",IFERROR(INDEX(Consulta!$A:$DF,MATCH('MM01'!$B96,Consulta!$C:$C,0),'MM01'!DC$2),""))</f>
        <v/>
      </c>
      <c r="DD96" s="45">
        <v>0</v>
      </c>
      <c r="DE96" s="45">
        <v>0</v>
      </c>
      <c r="DF96" s="43" t="str">
        <f t="shared" si="62"/>
        <v/>
      </c>
      <c r="DG96" s="43" t="str">
        <f t="shared" si="63"/>
        <v/>
      </c>
      <c r="DH96" s="55"/>
      <c r="DI96" s="43" t="str">
        <f t="shared" ca="1" si="64"/>
        <v/>
      </c>
      <c r="DJ96" s="43" t="str">
        <f t="shared" si="65"/>
        <v/>
      </c>
      <c r="DK96" s="43" t="str">
        <f t="shared" si="66"/>
        <v/>
      </c>
      <c r="DL96" s="55"/>
      <c r="DM96" s="43" t="str">
        <f t="shared" ca="1" si="67"/>
        <v/>
      </c>
      <c r="DN96" s="43" t="str">
        <f t="shared" si="68"/>
        <v/>
      </c>
      <c r="DO96" s="43" t="str">
        <f t="shared" si="69"/>
        <v/>
      </c>
      <c r="DP96" s="55"/>
      <c r="DQ96" s="43" t="str">
        <f t="shared" ca="1" si="70"/>
        <v/>
      </c>
      <c r="DR96" s="43" t="str">
        <f t="shared" si="71"/>
        <v/>
      </c>
      <c r="DS96" s="43" t="str">
        <f t="shared" si="72"/>
        <v/>
      </c>
      <c r="DT96" s="55"/>
      <c r="DU96" s="43" t="str">
        <f t="shared" ca="1" si="73"/>
        <v/>
      </c>
      <c r="DV96" s="43" t="str">
        <f t="shared" si="74"/>
        <v/>
      </c>
      <c r="DX96" s="44">
        <v>1</v>
      </c>
      <c r="DY96" s="44" t="s">
        <v>774</v>
      </c>
      <c r="DZ96" s="43">
        <f t="shared" si="75"/>
        <v>0.01</v>
      </c>
      <c r="EA96" s="43" t="str">
        <f t="shared" si="76"/>
        <v>M</v>
      </c>
      <c r="EB96" s="43" t="str">
        <f>IF(IFERROR(INDEX(Consulta!$A:$DF,MATCH('MM01'!$B96,Consulta!$C:$C,0),'MM01'!EB$2),"")=0,"7925",IF(IFERROR(INDEX(Consulta!$A:$DF,MATCH('MM01'!$B96,Consulta!$C:$C,0),'MM01'!EB$2),"")="68","7910","7925"))</f>
        <v>7925</v>
      </c>
      <c r="EC96" s="44">
        <v>100</v>
      </c>
      <c r="ED96" s="60">
        <v>1</v>
      </c>
      <c r="EE96" s="43">
        <f t="shared" si="77"/>
        <v>100</v>
      </c>
      <c r="EF96" s="44">
        <v>1</v>
      </c>
      <c r="EG96" s="44">
        <v>0</v>
      </c>
      <c r="EH96" s="44" t="s">
        <v>867</v>
      </c>
      <c r="EI96" s="45">
        <v>0</v>
      </c>
      <c r="EJ96" s="43">
        <f t="shared" si="78"/>
        <v>5000</v>
      </c>
      <c r="EK96" s="65"/>
    </row>
    <row r="97" spans="1:141" x14ac:dyDescent="0.3">
      <c r="A97" s="7" t="str">
        <f t="shared" si="79"/>
        <v>Execução 93</v>
      </c>
      <c r="B97" s="42"/>
      <c r="C97" s="43" t="str">
        <f>IF(IFERROR(INDEX(Consulta!$A:$DF,MATCH('MM01'!$B97,Consulta!$C:$C,0),'MM01'!C$2),"")=0,"",IFERROR(INDEX(Consulta!$A:$DF,MATCH('MM01'!$B97,Consulta!$C:$C,0),'MM01'!C$2),""))</f>
        <v/>
      </c>
      <c r="D97" s="43" t="str">
        <f>IF(IFERROR(INDEX(Consulta!$A:$DF,MATCH('MM01'!$B97,Consulta!$C:$C,0),'MM01'!D$2),"")=0,"",IFERROR(INDEX(Consulta!$A:$DF,MATCH('MM01'!$B97,Consulta!$C:$C,0),'MM01'!D$2),""))</f>
        <v/>
      </c>
      <c r="E97" s="43" t="str">
        <f>IF(IFERROR(INDEX(Consulta!$A:$DF,MATCH('MM01'!$B97,Consulta!$C:$C,0),'MM01'!E$2),"")=0,"",IFERROR(INDEX(Consulta!$A:$DF,MATCH('MM01'!$B97,Consulta!$C:$C,0),'MM01'!E$2),""))</f>
        <v/>
      </c>
      <c r="F97" s="44" t="s">
        <v>100</v>
      </c>
      <c r="G97" s="49" t="str">
        <f>IF(IFERROR(INDEX(Consulta!$A:$DF,MATCH('MM01'!$B97,Consulta!$C:$C,0),'MM01'!G$2),"")=0,"",IFERROR(INDEX(Consulta!$A:$DF,MATCH('MM01'!$B97,Consulta!$C:$C,0),'MM01'!G$2),""))</f>
        <v/>
      </c>
      <c r="H97" s="49" t="str">
        <f>IF(IFERROR(INDEX(Consulta!$A:$DF,MATCH('MM01'!$B97,Consulta!$C:$C,0),'MM01'!H$2),"")=0,"",IFERROR(INDEX(Consulta!$A:$DF,MATCH('MM01'!$B97,Consulta!$C:$C,0),'MM01'!H$2),""))</f>
        <v/>
      </c>
      <c r="I97" s="49" t="str">
        <f t="shared" si="40"/>
        <v/>
      </c>
      <c r="J97" s="49" t="str">
        <f>IF(IFERROR(INDEX(Consulta!$A:$DF,MATCH('MM01'!$B97,Consulta!$C:$C,0),'MM01'!J$2),"")=0,"",IFERROR(INDEX(Consulta!$A:$DF,MATCH('MM01'!$B97,Consulta!$C:$C,0),'MM01'!J$2),""))</f>
        <v/>
      </c>
      <c r="K97" s="49" t="str">
        <f t="shared" si="41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IF(IFERROR(INDEX(Consulta!$A:$DF,MATCH('MM01'!$B97,Consulta!$C:$C,0),'MM01'!AP$2),"")=0,"",IFERROR(INDEX(Consulta!$A:$DF,MATCH('MM01'!$B97,Consulta!$C:$C,0),'MM01'!AP$2),""))</f>
        <v/>
      </c>
      <c r="AQ97" s="45"/>
      <c r="AR97" s="43" t="str">
        <f>IF(IFERROR(INDEX(Consulta!$A:$DF,MATCH('MM01'!$B97,Consulta!$C:$C,0),'MM01'!AR$2),"")=0,"",IFERROR(INDEX(Consulta!$A:$DF,MATCH('MM01'!$B97,Consulta!$C:$C,0),'MM01'!AR$2),""))</f>
        <v/>
      </c>
      <c r="AS97" s="43" t="str">
        <f>IF(IFERROR(INDEX(Consulta!$A:$DF,MATCH('MM01'!$B97,Consulta!$C:$C,0),'MM01'!AS$2),"")=0,"",IF(AR97="68",5102,IFERROR(INDEX(Consulta!$A:$DF,MATCH('MM01'!$B97,Consulta!$C:$C,0),'MM01'!AS$2),"")))</f>
        <v/>
      </c>
      <c r="AT97" s="45"/>
      <c r="AU97" s="46" t="str">
        <f t="shared" ca="1" si="42"/>
        <v/>
      </c>
      <c r="AV97" s="47" t="s">
        <v>796</v>
      </c>
      <c r="AW97" s="43" t="str">
        <f>IF(IFERROR(INDEX(Consulta!$A:$DF,MATCH('MM01'!$B97,Consulta!$C:$C,0),'MM01'!AW$2),"")=0,"",IFERROR(ROUND(INDEX(Consulta!$A:$DF,MATCH('MM01'!$B97,Consulta!$C:$C,0),'MM01'!AW$2),3),""))</f>
        <v/>
      </c>
      <c r="AX97" s="43" t="str">
        <f t="shared" si="43"/>
        <v/>
      </c>
      <c r="AY97" s="48" t="s">
        <v>299</v>
      </c>
      <c r="AZ97" s="48"/>
      <c r="BA97" s="43" t="str">
        <f>IF(IFERROR(INDEX(Consulta!$A:$DF,MATCH('MM01'!$B97,Consulta!$C:$C,0),'MM01'!BA$2),"")=0,"",IFERROR(INDEX(Consulta!$A:$DF,MATCH('MM01'!$B97,Consulta!$C:$C,0),'MM01'!BA$2),""))</f>
        <v/>
      </c>
      <c r="BB97" s="43" t="str">
        <f t="shared" si="44"/>
        <v/>
      </c>
      <c r="BC97" s="43" t="str">
        <f t="shared" si="45"/>
        <v/>
      </c>
      <c r="BD97" s="43" t="str">
        <f t="shared" si="46"/>
        <v/>
      </c>
      <c r="BE97" s="43" t="str">
        <f t="shared" si="47"/>
        <v>M</v>
      </c>
      <c r="BF97" s="43" t="str">
        <f t="shared" si="48"/>
        <v/>
      </c>
      <c r="BG97" s="43" t="str">
        <f t="shared" si="49"/>
        <v/>
      </c>
      <c r="BH97" s="43" t="str">
        <f t="shared" si="50"/>
        <v/>
      </c>
      <c r="BI97" s="43" t="str">
        <f t="shared" si="51"/>
        <v>M</v>
      </c>
      <c r="BK97" s="45" t="s">
        <v>324</v>
      </c>
      <c r="BL97" s="43" t="str">
        <f>IF(IFERROR(INDEX(Consulta!$A:$DF,MATCH('MM01'!$B97,Consulta!$C:$C,0),'MM01'!BL$2),"")=0,"",IFERROR(INDEX(Consulta!$A:$DF,MATCH('MM01'!$B97,Consulta!$C:$C,0),'MM01'!BL$2),""))</f>
        <v/>
      </c>
      <c r="BM97" s="45">
        <v>99</v>
      </c>
      <c r="BN97" s="46" t="str">
        <f t="shared" ca="1" si="52"/>
        <v>28.04.2022</v>
      </c>
      <c r="BO97" s="49" t="str">
        <f t="shared" si="53"/>
        <v/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IF(IFERROR(INDEX(Consulta!$A:$DF,MATCH('MM01'!$B97,Consulta!$C:$C,0),'MM01'!BX$2),"")=0,"",IFERROR(INDEX(Consulta!$A:$DF,MATCH('MM01'!$B97,Consulta!$C:$C,0),'MM01'!BX$2),""))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54"/>
        <v/>
      </c>
      <c r="CD97" s="45" t="s">
        <v>430</v>
      </c>
      <c r="CE97" s="45">
        <v>1</v>
      </c>
      <c r="CF97" s="45" t="s">
        <v>496</v>
      </c>
      <c r="CG97" s="45"/>
      <c r="CH97" s="44">
        <v>2</v>
      </c>
      <c r="CI97" s="49" t="str">
        <f t="shared" si="55"/>
        <v/>
      </c>
      <c r="CJ97" s="49" t="str">
        <f t="shared" si="56"/>
        <v/>
      </c>
      <c r="CK97" s="45"/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57"/>
        <v>K00_P_</v>
      </c>
      <c r="CS97" s="45">
        <v>5000</v>
      </c>
      <c r="CT97" s="43" t="str">
        <f>IF(IFERROR(INDEX(Consulta!$A:$DF,MATCH('MM01'!$B97,Consulta!$C:$C,0),'MM01'!CT$2),"")=0,"",IFERROR(INDEX(Consulta!$A:$DF,MATCH('MM01'!$B97,Consulta!$C:$C,0),'MM01'!CT$2),""))</f>
        <v/>
      </c>
      <c r="CU97" s="43" t="str">
        <f>IF(IFERROR(INDEX(Consulta!$A:$DF,MATCH('MM01'!$B97,Consulta!$C:$C,0),'MM01'!CU$2),"")=0,"",IFERROR(INDEX(Consulta!$A:$DF,MATCH('MM01'!$B97,Consulta!$C:$C,0),'MM01'!CU$2),""))</f>
        <v/>
      </c>
      <c r="CV97" s="43" t="str">
        <f>IF(IFERROR(INDEX(Consulta!$A:$DF,MATCH('MM01'!$B97,Consulta!$C:$C,0),'MM01'!CV$2),"")=0,"",IFERROR(INDEX(Consulta!$A:$DF,MATCH('MM01'!$B97,Consulta!$C:$C,0),'MM01'!CV$2),""))</f>
        <v/>
      </c>
      <c r="CW97" s="43" t="str">
        <f>IF(IFERROR(INDEX(Consulta!$A:$DF,MATCH('MM01'!$B97,Consulta!$C:$C,0),'MM01'!CW$2),"")=0,"",IFERROR(INDEX(Consulta!$A:$DF,MATCH('MM01'!$B97,Consulta!$C:$C,0),'MM01'!CW$2),""))</f>
        <v/>
      </c>
      <c r="CX97" s="43" t="str">
        <f t="shared" si="58"/>
        <v/>
      </c>
      <c r="CY97" s="43" t="str">
        <f t="shared" si="59"/>
        <v/>
      </c>
      <c r="CZ97" s="43" t="str">
        <f t="shared" si="60"/>
        <v/>
      </c>
      <c r="DA97" s="43" t="str">
        <f>IF(IFERROR(INDEX(Consulta!$A:$DF,MATCH('MM01'!$B97,Consulta!$C:$C,0),'MM01'!DA$2),"")=0,"",IFERROR(INDEX(Consulta!$A:$DF,MATCH('MM01'!$B97,Consulta!$C:$C,0),'MM01'!DA$2),""))</f>
        <v/>
      </c>
      <c r="DB97" s="43" t="str">
        <f t="shared" si="61"/>
        <v/>
      </c>
      <c r="DC97" s="43" t="str">
        <f>IF(IFERROR(INDEX(Consulta!$A:$DF,MATCH('MM01'!$B97,Consulta!$C:$C,0),'MM01'!DC$2),"")=0,"",IFERROR(INDEX(Consulta!$A:$DF,MATCH('MM01'!$B97,Consulta!$C:$C,0),'MM01'!DC$2),""))</f>
        <v/>
      </c>
      <c r="DD97" s="45">
        <v>0</v>
      </c>
      <c r="DE97" s="45">
        <v>0</v>
      </c>
      <c r="DF97" s="43" t="str">
        <f t="shared" si="62"/>
        <v/>
      </c>
      <c r="DG97" s="43" t="str">
        <f t="shared" si="63"/>
        <v/>
      </c>
      <c r="DH97" s="55"/>
      <c r="DI97" s="43" t="str">
        <f t="shared" ca="1" si="64"/>
        <v/>
      </c>
      <c r="DJ97" s="43" t="str">
        <f t="shared" si="65"/>
        <v/>
      </c>
      <c r="DK97" s="43" t="str">
        <f t="shared" si="66"/>
        <v/>
      </c>
      <c r="DL97" s="55"/>
      <c r="DM97" s="43" t="str">
        <f t="shared" ca="1" si="67"/>
        <v/>
      </c>
      <c r="DN97" s="43" t="str">
        <f t="shared" si="68"/>
        <v/>
      </c>
      <c r="DO97" s="43" t="str">
        <f t="shared" si="69"/>
        <v/>
      </c>
      <c r="DP97" s="55"/>
      <c r="DQ97" s="43" t="str">
        <f t="shared" ca="1" si="70"/>
        <v/>
      </c>
      <c r="DR97" s="43" t="str">
        <f t="shared" si="71"/>
        <v/>
      </c>
      <c r="DS97" s="43" t="str">
        <f t="shared" si="72"/>
        <v/>
      </c>
      <c r="DT97" s="55"/>
      <c r="DU97" s="43" t="str">
        <f t="shared" ca="1" si="73"/>
        <v/>
      </c>
      <c r="DV97" s="43" t="str">
        <f t="shared" si="74"/>
        <v/>
      </c>
      <c r="DX97" s="44">
        <v>1</v>
      </c>
      <c r="DY97" s="44" t="s">
        <v>774</v>
      </c>
      <c r="DZ97" s="43">
        <f t="shared" si="75"/>
        <v>0.01</v>
      </c>
      <c r="EA97" s="43" t="str">
        <f t="shared" si="76"/>
        <v>M</v>
      </c>
      <c r="EB97" s="43" t="str">
        <f>IF(IFERROR(INDEX(Consulta!$A:$DF,MATCH('MM01'!$B97,Consulta!$C:$C,0),'MM01'!EB$2),"")=0,"7925",IF(IFERROR(INDEX(Consulta!$A:$DF,MATCH('MM01'!$B97,Consulta!$C:$C,0),'MM01'!EB$2),"")="68","7910","7925"))</f>
        <v>7925</v>
      </c>
      <c r="EC97" s="44">
        <v>100</v>
      </c>
      <c r="ED97" s="60">
        <v>1</v>
      </c>
      <c r="EE97" s="43">
        <f t="shared" si="77"/>
        <v>100</v>
      </c>
      <c r="EF97" s="44">
        <v>1</v>
      </c>
      <c r="EG97" s="44">
        <v>0</v>
      </c>
      <c r="EH97" s="44" t="s">
        <v>867</v>
      </c>
      <c r="EI97" s="45">
        <v>0</v>
      </c>
      <c r="EJ97" s="43">
        <f t="shared" si="78"/>
        <v>5000</v>
      </c>
      <c r="EK97" s="65"/>
    </row>
    <row r="98" spans="1:141" x14ac:dyDescent="0.3">
      <c r="A98" s="7" t="str">
        <f t="shared" si="79"/>
        <v>Execução 94</v>
      </c>
      <c r="B98" s="42"/>
      <c r="C98" s="43" t="str">
        <f>IF(IFERROR(INDEX(Consulta!$A:$DF,MATCH('MM01'!$B98,Consulta!$C:$C,0),'MM01'!C$2),"")=0,"",IFERROR(INDEX(Consulta!$A:$DF,MATCH('MM01'!$B98,Consulta!$C:$C,0),'MM01'!C$2),""))</f>
        <v/>
      </c>
      <c r="D98" s="43" t="str">
        <f>IF(IFERROR(INDEX(Consulta!$A:$DF,MATCH('MM01'!$B98,Consulta!$C:$C,0),'MM01'!D$2),"")=0,"",IFERROR(INDEX(Consulta!$A:$DF,MATCH('MM01'!$B98,Consulta!$C:$C,0),'MM01'!D$2),""))</f>
        <v/>
      </c>
      <c r="E98" s="43" t="str">
        <f>IF(IFERROR(INDEX(Consulta!$A:$DF,MATCH('MM01'!$B98,Consulta!$C:$C,0),'MM01'!E$2),"")=0,"",IFERROR(INDEX(Consulta!$A:$DF,MATCH('MM01'!$B98,Consulta!$C:$C,0),'MM01'!E$2),""))</f>
        <v/>
      </c>
      <c r="F98" s="44" t="s">
        <v>100</v>
      </c>
      <c r="G98" s="49" t="str">
        <f>IF(IFERROR(INDEX(Consulta!$A:$DF,MATCH('MM01'!$B98,Consulta!$C:$C,0),'MM01'!G$2),"")=0,"",IFERROR(INDEX(Consulta!$A:$DF,MATCH('MM01'!$B98,Consulta!$C:$C,0),'MM01'!G$2),""))</f>
        <v/>
      </c>
      <c r="H98" s="49" t="str">
        <f>IF(IFERROR(INDEX(Consulta!$A:$DF,MATCH('MM01'!$B98,Consulta!$C:$C,0),'MM01'!H$2),"")=0,"",IFERROR(INDEX(Consulta!$A:$DF,MATCH('MM01'!$B98,Consulta!$C:$C,0),'MM01'!H$2),""))</f>
        <v/>
      </c>
      <c r="I98" s="49" t="str">
        <f t="shared" si="40"/>
        <v/>
      </c>
      <c r="J98" s="49" t="str">
        <f>IF(IFERROR(INDEX(Consulta!$A:$DF,MATCH('MM01'!$B98,Consulta!$C:$C,0),'MM01'!J$2),"")=0,"",IFERROR(INDEX(Consulta!$A:$DF,MATCH('MM01'!$B98,Consulta!$C:$C,0),'MM01'!J$2),""))</f>
        <v/>
      </c>
      <c r="K98" s="49" t="str">
        <f t="shared" si="41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IF(IFERROR(INDEX(Consulta!$A:$DF,MATCH('MM01'!$B98,Consulta!$C:$C,0),'MM01'!AP$2),"")=0,"",IFERROR(INDEX(Consulta!$A:$DF,MATCH('MM01'!$B98,Consulta!$C:$C,0),'MM01'!AP$2),""))</f>
        <v/>
      </c>
      <c r="AQ98" s="45"/>
      <c r="AR98" s="43" t="str">
        <f>IF(IFERROR(INDEX(Consulta!$A:$DF,MATCH('MM01'!$B98,Consulta!$C:$C,0),'MM01'!AR$2),"")=0,"",IFERROR(INDEX(Consulta!$A:$DF,MATCH('MM01'!$B98,Consulta!$C:$C,0),'MM01'!AR$2),""))</f>
        <v/>
      </c>
      <c r="AS98" s="43" t="str">
        <f>IF(IFERROR(INDEX(Consulta!$A:$DF,MATCH('MM01'!$B98,Consulta!$C:$C,0),'MM01'!AS$2),"")=0,"",IF(AR98="68",5102,IFERROR(INDEX(Consulta!$A:$DF,MATCH('MM01'!$B98,Consulta!$C:$C,0),'MM01'!AS$2),"")))</f>
        <v/>
      </c>
      <c r="AT98" s="45"/>
      <c r="AU98" s="46" t="str">
        <f t="shared" ca="1" si="42"/>
        <v/>
      </c>
      <c r="AV98" s="47" t="s">
        <v>796</v>
      </c>
      <c r="AW98" s="43" t="str">
        <f>IF(IFERROR(INDEX(Consulta!$A:$DF,MATCH('MM01'!$B98,Consulta!$C:$C,0),'MM01'!AW$2),"")=0,"",IFERROR(ROUND(INDEX(Consulta!$A:$DF,MATCH('MM01'!$B98,Consulta!$C:$C,0),'MM01'!AW$2),3),""))</f>
        <v/>
      </c>
      <c r="AX98" s="43" t="str">
        <f t="shared" si="43"/>
        <v/>
      </c>
      <c r="AY98" s="48" t="s">
        <v>299</v>
      </c>
      <c r="AZ98" s="48"/>
      <c r="BA98" s="43" t="str">
        <f>IF(IFERROR(INDEX(Consulta!$A:$DF,MATCH('MM01'!$B98,Consulta!$C:$C,0),'MM01'!BA$2),"")=0,"",IFERROR(INDEX(Consulta!$A:$DF,MATCH('MM01'!$B98,Consulta!$C:$C,0),'MM01'!BA$2),""))</f>
        <v/>
      </c>
      <c r="BB98" s="43" t="str">
        <f t="shared" si="44"/>
        <v/>
      </c>
      <c r="BC98" s="43" t="str">
        <f t="shared" si="45"/>
        <v/>
      </c>
      <c r="BD98" s="43" t="str">
        <f t="shared" si="46"/>
        <v/>
      </c>
      <c r="BE98" s="43" t="str">
        <f t="shared" si="47"/>
        <v>M</v>
      </c>
      <c r="BF98" s="43" t="str">
        <f t="shared" si="48"/>
        <v/>
      </c>
      <c r="BG98" s="43" t="str">
        <f t="shared" si="49"/>
        <v/>
      </c>
      <c r="BH98" s="43" t="str">
        <f t="shared" si="50"/>
        <v/>
      </c>
      <c r="BI98" s="43" t="str">
        <f t="shared" si="51"/>
        <v>M</v>
      </c>
      <c r="BK98" s="45" t="s">
        <v>324</v>
      </c>
      <c r="BL98" s="43" t="str">
        <f>IF(IFERROR(INDEX(Consulta!$A:$DF,MATCH('MM01'!$B98,Consulta!$C:$C,0),'MM01'!BL$2),"")=0,"",IFERROR(INDEX(Consulta!$A:$DF,MATCH('MM01'!$B98,Consulta!$C:$C,0),'MM01'!BL$2),""))</f>
        <v/>
      </c>
      <c r="BM98" s="45">
        <v>99</v>
      </c>
      <c r="BN98" s="46" t="str">
        <f t="shared" ca="1" si="52"/>
        <v>28.04.2022</v>
      </c>
      <c r="BO98" s="49" t="str">
        <f t="shared" si="53"/>
        <v/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IF(IFERROR(INDEX(Consulta!$A:$DF,MATCH('MM01'!$B98,Consulta!$C:$C,0),'MM01'!BX$2),"")=0,"",IFERROR(INDEX(Consulta!$A:$DF,MATCH('MM01'!$B98,Consulta!$C:$C,0),'MM01'!BX$2),""))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54"/>
        <v/>
      </c>
      <c r="CD98" s="45" t="s">
        <v>430</v>
      </c>
      <c r="CE98" s="45">
        <v>1</v>
      </c>
      <c r="CF98" s="45" t="s">
        <v>496</v>
      </c>
      <c r="CG98" s="45"/>
      <c r="CH98" s="44">
        <v>2</v>
      </c>
      <c r="CI98" s="49" t="str">
        <f t="shared" si="55"/>
        <v/>
      </c>
      <c r="CJ98" s="49" t="str">
        <f t="shared" si="56"/>
        <v/>
      </c>
      <c r="CK98" s="45"/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57"/>
        <v>K00_P_</v>
      </c>
      <c r="CS98" s="45">
        <v>5000</v>
      </c>
      <c r="CT98" s="43" t="str">
        <f>IF(IFERROR(INDEX(Consulta!$A:$DF,MATCH('MM01'!$B98,Consulta!$C:$C,0),'MM01'!CT$2),"")=0,"",IFERROR(INDEX(Consulta!$A:$DF,MATCH('MM01'!$B98,Consulta!$C:$C,0),'MM01'!CT$2),""))</f>
        <v/>
      </c>
      <c r="CU98" s="43" t="str">
        <f>IF(IFERROR(INDEX(Consulta!$A:$DF,MATCH('MM01'!$B98,Consulta!$C:$C,0),'MM01'!CU$2),"")=0,"",IFERROR(INDEX(Consulta!$A:$DF,MATCH('MM01'!$B98,Consulta!$C:$C,0),'MM01'!CU$2),""))</f>
        <v/>
      </c>
      <c r="CV98" s="43" t="str">
        <f>IF(IFERROR(INDEX(Consulta!$A:$DF,MATCH('MM01'!$B98,Consulta!$C:$C,0),'MM01'!CV$2),"")=0,"",IFERROR(INDEX(Consulta!$A:$DF,MATCH('MM01'!$B98,Consulta!$C:$C,0),'MM01'!CV$2),""))</f>
        <v/>
      </c>
      <c r="CW98" s="43" t="str">
        <f>IF(IFERROR(INDEX(Consulta!$A:$DF,MATCH('MM01'!$B98,Consulta!$C:$C,0),'MM01'!CW$2),"")=0,"",IFERROR(INDEX(Consulta!$A:$DF,MATCH('MM01'!$B98,Consulta!$C:$C,0),'MM01'!CW$2),""))</f>
        <v/>
      </c>
      <c r="CX98" s="43" t="str">
        <f t="shared" si="58"/>
        <v/>
      </c>
      <c r="CY98" s="43" t="str">
        <f t="shared" si="59"/>
        <v/>
      </c>
      <c r="CZ98" s="43" t="str">
        <f t="shared" si="60"/>
        <v/>
      </c>
      <c r="DA98" s="43" t="str">
        <f>IF(IFERROR(INDEX(Consulta!$A:$DF,MATCH('MM01'!$B98,Consulta!$C:$C,0),'MM01'!DA$2),"")=0,"",IFERROR(INDEX(Consulta!$A:$DF,MATCH('MM01'!$B98,Consulta!$C:$C,0),'MM01'!DA$2),""))</f>
        <v/>
      </c>
      <c r="DB98" s="43" t="str">
        <f t="shared" si="61"/>
        <v/>
      </c>
      <c r="DC98" s="43" t="str">
        <f>IF(IFERROR(INDEX(Consulta!$A:$DF,MATCH('MM01'!$B98,Consulta!$C:$C,0),'MM01'!DC$2),"")=0,"",IFERROR(INDEX(Consulta!$A:$DF,MATCH('MM01'!$B98,Consulta!$C:$C,0),'MM01'!DC$2),""))</f>
        <v/>
      </c>
      <c r="DD98" s="45">
        <v>0</v>
      </c>
      <c r="DE98" s="45">
        <v>0</v>
      </c>
      <c r="DF98" s="43" t="str">
        <f t="shared" si="62"/>
        <v/>
      </c>
      <c r="DG98" s="43" t="str">
        <f t="shared" si="63"/>
        <v/>
      </c>
      <c r="DH98" s="55"/>
      <c r="DI98" s="43" t="str">
        <f t="shared" ca="1" si="64"/>
        <v/>
      </c>
      <c r="DJ98" s="43" t="str">
        <f t="shared" si="65"/>
        <v/>
      </c>
      <c r="DK98" s="43" t="str">
        <f t="shared" si="66"/>
        <v/>
      </c>
      <c r="DL98" s="55"/>
      <c r="DM98" s="43" t="str">
        <f t="shared" ca="1" si="67"/>
        <v/>
      </c>
      <c r="DN98" s="43" t="str">
        <f t="shared" si="68"/>
        <v/>
      </c>
      <c r="DO98" s="43" t="str">
        <f t="shared" si="69"/>
        <v/>
      </c>
      <c r="DP98" s="55"/>
      <c r="DQ98" s="43" t="str">
        <f t="shared" ca="1" si="70"/>
        <v/>
      </c>
      <c r="DR98" s="43" t="str">
        <f t="shared" si="71"/>
        <v/>
      </c>
      <c r="DS98" s="43" t="str">
        <f t="shared" si="72"/>
        <v/>
      </c>
      <c r="DT98" s="55"/>
      <c r="DU98" s="43" t="str">
        <f t="shared" ca="1" si="73"/>
        <v/>
      </c>
      <c r="DV98" s="43" t="str">
        <f t="shared" si="74"/>
        <v/>
      </c>
      <c r="DX98" s="44">
        <v>1</v>
      </c>
      <c r="DY98" s="44" t="s">
        <v>774</v>
      </c>
      <c r="DZ98" s="43">
        <f t="shared" si="75"/>
        <v>0.01</v>
      </c>
      <c r="EA98" s="43" t="str">
        <f t="shared" si="76"/>
        <v>M</v>
      </c>
      <c r="EB98" s="43" t="str">
        <f>IF(IFERROR(INDEX(Consulta!$A:$DF,MATCH('MM01'!$B98,Consulta!$C:$C,0),'MM01'!EB$2),"")=0,"7925",IF(IFERROR(INDEX(Consulta!$A:$DF,MATCH('MM01'!$B98,Consulta!$C:$C,0),'MM01'!EB$2),"")="68","7910","7925"))</f>
        <v>7925</v>
      </c>
      <c r="EC98" s="44">
        <v>100</v>
      </c>
      <c r="ED98" s="60">
        <v>1</v>
      </c>
      <c r="EE98" s="43">
        <f t="shared" si="77"/>
        <v>100</v>
      </c>
      <c r="EF98" s="44">
        <v>1</v>
      </c>
      <c r="EG98" s="44">
        <v>0</v>
      </c>
      <c r="EH98" s="44" t="s">
        <v>867</v>
      </c>
      <c r="EI98" s="45">
        <v>0</v>
      </c>
      <c r="EJ98" s="43">
        <f t="shared" si="78"/>
        <v>5000</v>
      </c>
      <c r="EK98" s="65"/>
    </row>
    <row r="99" spans="1:141" x14ac:dyDescent="0.3">
      <c r="A99" s="7" t="str">
        <f t="shared" si="79"/>
        <v>Execução 95</v>
      </c>
      <c r="B99" s="42"/>
      <c r="C99" s="43" t="str">
        <f>IF(IFERROR(INDEX(Consulta!$A:$DF,MATCH('MM01'!$B99,Consulta!$C:$C,0),'MM01'!C$2),"")=0,"",IFERROR(INDEX(Consulta!$A:$DF,MATCH('MM01'!$B99,Consulta!$C:$C,0),'MM01'!C$2),""))</f>
        <v/>
      </c>
      <c r="D99" s="43" t="str">
        <f>IF(IFERROR(INDEX(Consulta!$A:$DF,MATCH('MM01'!$B99,Consulta!$C:$C,0),'MM01'!D$2),"")=0,"",IFERROR(INDEX(Consulta!$A:$DF,MATCH('MM01'!$B99,Consulta!$C:$C,0),'MM01'!D$2),""))</f>
        <v/>
      </c>
      <c r="E99" s="43" t="str">
        <f>IF(IFERROR(INDEX(Consulta!$A:$DF,MATCH('MM01'!$B99,Consulta!$C:$C,0),'MM01'!E$2),"")=0,"",IFERROR(INDEX(Consulta!$A:$DF,MATCH('MM01'!$B99,Consulta!$C:$C,0),'MM01'!E$2),""))</f>
        <v/>
      </c>
      <c r="F99" s="44" t="s">
        <v>100</v>
      </c>
      <c r="G99" s="49" t="str">
        <f>IF(IFERROR(INDEX(Consulta!$A:$DF,MATCH('MM01'!$B99,Consulta!$C:$C,0),'MM01'!G$2),"")=0,"",IFERROR(INDEX(Consulta!$A:$DF,MATCH('MM01'!$B99,Consulta!$C:$C,0),'MM01'!G$2),""))</f>
        <v/>
      </c>
      <c r="H99" s="49" t="str">
        <f>IF(IFERROR(INDEX(Consulta!$A:$DF,MATCH('MM01'!$B99,Consulta!$C:$C,0),'MM01'!H$2),"")=0,"",IFERROR(INDEX(Consulta!$A:$DF,MATCH('MM01'!$B99,Consulta!$C:$C,0),'MM01'!H$2),""))</f>
        <v/>
      </c>
      <c r="I99" s="49" t="str">
        <f t="shared" si="40"/>
        <v/>
      </c>
      <c r="J99" s="49" t="str">
        <f>IF(IFERROR(INDEX(Consulta!$A:$DF,MATCH('MM01'!$B99,Consulta!$C:$C,0),'MM01'!J$2),"")=0,"",IFERROR(INDEX(Consulta!$A:$DF,MATCH('MM01'!$B99,Consulta!$C:$C,0),'MM01'!J$2),""))</f>
        <v/>
      </c>
      <c r="K99" s="49" t="str">
        <f t="shared" si="41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IF(IFERROR(INDEX(Consulta!$A:$DF,MATCH('MM01'!$B99,Consulta!$C:$C,0),'MM01'!AP$2),"")=0,"",IFERROR(INDEX(Consulta!$A:$DF,MATCH('MM01'!$B99,Consulta!$C:$C,0),'MM01'!AP$2),""))</f>
        <v/>
      </c>
      <c r="AQ99" s="45"/>
      <c r="AR99" s="43" t="str">
        <f>IF(IFERROR(INDEX(Consulta!$A:$DF,MATCH('MM01'!$B99,Consulta!$C:$C,0),'MM01'!AR$2),"")=0,"",IFERROR(INDEX(Consulta!$A:$DF,MATCH('MM01'!$B99,Consulta!$C:$C,0),'MM01'!AR$2),""))</f>
        <v/>
      </c>
      <c r="AS99" s="43" t="str">
        <f>IF(IFERROR(INDEX(Consulta!$A:$DF,MATCH('MM01'!$B99,Consulta!$C:$C,0),'MM01'!AS$2),"")=0,"",IF(AR99="68",5102,IFERROR(INDEX(Consulta!$A:$DF,MATCH('MM01'!$B99,Consulta!$C:$C,0),'MM01'!AS$2),"")))</f>
        <v/>
      </c>
      <c r="AT99" s="45"/>
      <c r="AU99" s="46" t="str">
        <f t="shared" ca="1" si="42"/>
        <v/>
      </c>
      <c r="AV99" s="47" t="s">
        <v>796</v>
      </c>
      <c r="AW99" s="43" t="str">
        <f>IF(IFERROR(INDEX(Consulta!$A:$DF,MATCH('MM01'!$B99,Consulta!$C:$C,0),'MM01'!AW$2),"")=0,"",IFERROR(ROUND(INDEX(Consulta!$A:$DF,MATCH('MM01'!$B99,Consulta!$C:$C,0),'MM01'!AW$2),3),""))</f>
        <v/>
      </c>
      <c r="AX99" s="43" t="str">
        <f t="shared" si="43"/>
        <v/>
      </c>
      <c r="AY99" s="48" t="s">
        <v>299</v>
      </c>
      <c r="AZ99" s="48"/>
      <c r="BA99" s="43" t="str">
        <f>IF(IFERROR(INDEX(Consulta!$A:$DF,MATCH('MM01'!$B99,Consulta!$C:$C,0),'MM01'!BA$2),"")=0,"",IFERROR(INDEX(Consulta!$A:$DF,MATCH('MM01'!$B99,Consulta!$C:$C,0),'MM01'!BA$2),""))</f>
        <v/>
      </c>
      <c r="BB99" s="43" t="str">
        <f t="shared" si="44"/>
        <v/>
      </c>
      <c r="BC99" s="43" t="str">
        <f t="shared" si="45"/>
        <v/>
      </c>
      <c r="BD99" s="43" t="str">
        <f t="shared" si="46"/>
        <v/>
      </c>
      <c r="BE99" s="43" t="str">
        <f t="shared" si="47"/>
        <v>M</v>
      </c>
      <c r="BF99" s="43" t="str">
        <f t="shared" si="48"/>
        <v/>
      </c>
      <c r="BG99" s="43" t="str">
        <f t="shared" si="49"/>
        <v/>
      </c>
      <c r="BH99" s="43" t="str">
        <f t="shared" si="50"/>
        <v/>
      </c>
      <c r="BI99" s="43" t="str">
        <f t="shared" si="51"/>
        <v>M</v>
      </c>
      <c r="BK99" s="45" t="s">
        <v>324</v>
      </c>
      <c r="BL99" s="43" t="str">
        <f>IF(IFERROR(INDEX(Consulta!$A:$DF,MATCH('MM01'!$B99,Consulta!$C:$C,0),'MM01'!BL$2),"")=0,"",IFERROR(INDEX(Consulta!$A:$DF,MATCH('MM01'!$B99,Consulta!$C:$C,0),'MM01'!BL$2),""))</f>
        <v/>
      </c>
      <c r="BM99" s="45">
        <v>99</v>
      </c>
      <c r="BN99" s="46" t="str">
        <f t="shared" ca="1" si="52"/>
        <v>28.04.2022</v>
      </c>
      <c r="BO99" s="49" t="str">
        <f t="shared" si="53"/>
        <v/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IF(IFERROR(INDEX(Consulta!$A:$DF,MATCH('MM01'!$B99,Consulta!$C:$C,0),'MM01'!BX$2),"")=0,"",IFERROR(INDEX(Consulta!$A:$DF,MATCH('MM01'!$B99,Consulta!$C:$C,0),'MM01'!BX$2),""))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54"/>
        <v/>
      </c>
      <c r="CD99" s="45" t="s">
        <v>430</v>
      </c>
      <c r="CE99" s="45">
        <v>1</v>
      </c>
      <c r="CF99" s="45" t="s">
        <v>496</v>
      </c>
      <c r="CG99" s="45"/>
      <c r="CH99" s="44">
        <v>2</v>
      </c>
      <c r="CI99" s="49" t="str">
        <f t="shared" si="55"/>
        <v/>
      </c>
      <c r="CJ99" s="49" t="str">
        <f t="shared" si="56"/>
        <v/>
      </c>
      <c r="CK99" s="45"/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57"/>
        <v>K00_P_</v>
      </c>
      <c r="CS99" s="45">
        <v>5000</v>
      </c>
      <c r="CT99" s="43" t="str">
        <f>IF(IFERROR(INDEX(Consulta!$A:$DF,MATCH('MM01'!$B99,Consulta!$C:$C,0),'MM01'!CT$2),"")=0,"",IFERROR(INDEX(Consulta!$A:$DF,MATCH('MM01'!$B99,Consulta!$C:$C,0),'MM01'!CT$2),""))</f>
        <v/>
      </c>
      <c r="CU99" s="43" t="str">
        <f>IF(IFERROR(INDEX(Consulta!$A:$DF,MATCH('MM01'!$B99,Consulta!$C:$C,0),'MM01'!CU$2),"")=0,"",IFERROR(INDEX(Consulta!$A:$DF,MATCH('MM01'!$B99,Consulta!$C:$C,0),'MM01'!CU$2),""))</f>
        <v/>
      </c>
      <c r="CV99" s="43" t="str">
        <f>IF(IFERROR(INDEX(Consulta!$A:$DF,MATCH('MM01'!$B99,Consulta!$C:$C,0),'MM01'!CV$2),"")=0,"",IFERROR(INDEX(Consulta!$A:$DF,MATCH('MM01'!$B99,Consulta!$C:$C,0),'MM01'!CV$2),""))</f>
        <v/>
      </c>
      <c r="CW99" s="43" t="str">
        <f>IF(IFERROR(INDEX(Consulta!$A:$DF,MATCH('MM01'!$B99,Consulta!$C:$C,0),'MM01'!CW$2),"")=0,"",IFERROR(INDEX(Consulta!$A:$DF,MATCH('MM01'!$B99,Consulta!$C:$C,0),'MM01'!CW$2),""))</f>
        <v/>
      </c>
      <c r="CX99" s="43" t="str">
        <f t="shared" si="58"/>
        <v/>
      </c>
      <c r="CY99" s="43" t="str">
        <f t="shared" si="59"/>
        <v/>
      </c>
      <c r="CZ99" s="43" t="str">
        <f t="shared" si="60"/>
        <v/>
      </c>
      <c r="DA99" s="43" t="str">
        <f>IF(IFERROR(INDEX(Consulta!$A:$DF,MATCH('MM01'!$B99,Consulta!$C:$C,0),'MM01'!DA$2),"")=0,"",IFERROR(INDEX(Consulta!$A:$DF,MATCH('MM01'!$B99,Consulta!$C:$C,0),'MM01'!DA$2),""))</f>
        <v/>
      </c>
      <c r="DB99" s="43" t="str">
        <f t="shared" si="61"/>
        <v/>
      </c>
      <c r="DC99" s="43" t="str">
        <f>IF(IFERROR(INDEX(Consulta!$A:$DF,MATCH('MM01'!$B99,Consulta!$C:$C,0),'MM01'!DC$2),"")=0,"",IFERROR(INDEX(Consulta!$A:$DF,MATCH('MM01'!$B99,Consulta!$C:$C,0),'MM01'!DC$2),""))</f>
        <v/>
      </c>
      <c r="DD99" s="45">
        <v>0</v>
      </c>
      <c r="DE99" s="45">
        <v>0</v>
      </c>
      <c r="DF99" s="43" t="str">
        <f t="shared" si="62"/>
        <v/>
      </c>
      <c r="DG99" s="43" t="str">
        <f t="shared" si="63"/>
        <v/>
      </c>
      <c r="DH99" s="55"/>
      <c r="DI99" s="43" t="str">
        <f t="shared" ca="1" si="64"/>
        <v/>
      </c>
      <c r="DJ99" s="43" t="str">
        <f t="shared" si="65"/>
        <v/>
      </c>
      <c r="DK99" s="43" t="str">
        <f t="shared" si="66"/>
        <v/>
      </c>
      <c r="DL99" s="55"/>
      <c r="DM99" s="43" t="str">
        <f t="shared" ca="1" si="67"/>
        <v/>
      </c>
      <c r="DN99" s="43" t="str">
        <f t="shared" si="68"/>
        <v/>
      </c>
      <c r="DO99" s="43" t="str">
        <f t="shared" si="69"/>
        <v/>
      </c>
      <c r="DP99" s="55"/>
      <c r="DQ99" s="43" t="str">
        <f t="shared" ca="1" si="70"/>
        <v/>
      </c>
      <c r="DR99" s="43" t="str">
        <f t="shared" si="71"/>
        <v/>
      </c>
      <c r="DS99" s="43" t="str">
        <f t="shared" si="72"/>
        <v/>
      </c>
      <c r="DT99" s="55"/>
      <c r="DU99" s="43" t="str">
        <f t="shared" ca="1" si="73"/>
        <v/>
      </c>
      <c r="DV99" s="43" t="str">
        <f t="shared" si="74"/>
        <v/>
      </c>
      <c r="DX99" s="44">
        <v>1</v>
      </c>
      <c r="DY99" s="44" t="s">
        <v>774</v>
      </c>
      <c r="DZ99" s="43">
        <f t="shared" si="75"/>
        <v>0.01</v>
      </c>
      <c r="EA99" s="43" t="str">
        <f t="shared" si="76"/>
        <v>M</v>
      </c>
      <c r="EB99" s="43" t="str">
        <f>IF(IFERROR(INDEX(Consulta!$A:$DF,MATCH('MM01'!$B99,Consulta!$C:$C,0),'MM01'!EB$2),"")=0,"7925",IF(IFERROR(INDEX(Consulta!$A:$DF,MATCH('MM01'!$B99,Consulta!$C:$C,0),'MM01'!EB$2),"")="68","7910","7925"))</f>
        <v>7925</v>
      </c>
      <c r="EC99" s="44">
        <v>100</v>
      </c>
      <c r="ED99" s="60">
        <v>1</v>
      </c>
      <c r="EE99" s="43">
        <f t="shared" si="77"/>
        <v>100</v>
      </c>
      <c r="EF99" s="44">
        <v>1</v>
      </c>
      <c r="EG99" s="44">
        <v>0</v>
      </c>
      <c r="EH99" s="44" t="s">
        <v>867</v>
      </c>
      <c r="EI99" s="45">
        <v>0</v>
      </c>
      <c r="EJ99" s="43">
        <f t="shared" si="78"/>
        <v>5000</v>
      </c>
      <c r="EK99" s="65"/>
    </row>
    <row r="100" spans="1:141" x14ac:dyDescent="0.3">
      <c r="A100" s="7" t="str">
        <f t="shared" si="79"/>
        <v>Execução 96</v>
      </c>
      <c r="B100" s="42"/>
      <c r="C100" s="43" t="str">
        <f>IF(IFERROR(INDEX(Consulta!$A:$DF,MATCH('MM01'!$B100,Consulta!$C:$C,0),'MM01'!C$2),"")=0,"",IFERROR(INDEX(Consulta!$A:$DF,MATCH('MM01'!$B100,Consulta!$C:$C,0),'MM01'!C$2),""))</f>
        <v/>
      </c>
      <c r="D100" s="43" t="str">
        <f>IF(IFERROR(INDEX(Consulta!$A:$DF,MATCH('MM01'!$B100,Consulta!$C:$C,0),'MM01'!D$2),"")=0,"",IFERROR(INDEX(Consulta!$A:$DF,MATCH('MM01'!$B100,Consulta!$C:$C,0),'MM01'!D$2),""))</f>
        <v/>
      </c>
      <c r="E100" s="43" t="str">
        <f>IF(IFERROR(INDEX(Consulta!$A:$DF,MATCH('MM01'!$B100,Consulta!$C:$C,0),'MM01'!E$2),"")=0,"",IFERROR(INDEX(Consulta!$A:$DF,MATCH('MM01'!$B100,Consulta!$C:$C,0),'MM01'!E$2),""))</f>
        <v/>
      </c>
      <c r="F100" s="44" t="s">
        <v>100</v>
      </c>
      <c r="G100" s="49" t="str">
        <f>IF(IFERROR(INDEX(Consulta!$A:$DF,MATCH('MM01'!$B100,Consulta!$C:$C,0),'MM01'!G$2),"")=0,"",IFERROR(INDEX(Consulta!$A:$DF,MATCH('MM01'!$B100,Consulta!$C:$C,0),'MM01'!G$2),""))</f>
        <v/>
      </c>
      <c r="H100" s="49" t="str">
        <f>IF(IFERROR(INDEX(Consulta!$A:$DF,MATCH('MM01'!$B100,Consulta!$C:$C,0),'MM01'!H$2),"")=0,"",IFERROR(INDEX(Consulta!$A:$DF,MATCH('MM01'!$B100,Consulta!$C:$C,0),'MM01'!H$2),""))</f>
        <v/>
      </c>
      <c r="I100" s="49" t="str">
        <f t="shared" si="40"/>
        <v/>
      </c>
      <c r="J100" s="49" t="str">
        <f>IF(IFERROR(INDEX(Consulta!$A:$DF,MATCH('MM01'!$B100,Consulta!$C:$C,0),'MM01'!J$2),"")=0,"",IFERROR(INDEX(Consulta!$A:$DF,MATCH('MM01'!$B100,Consulta!$C:$C,0),'MM01'!J$2),""))</f>
        <v/>
      </c>
      <c r="K100" s="49" t="str">
        <f t="shared" si="41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IF(IFERROR(INDEX(Consulta!$A:$DF,MATCH('MM01'!$B100,Consulta!$C:$C,0),'MM01'!AP$2),"")=0,"",IFERROR(INDEX(Consulta!$A:$DF,MATCH('MM01'!$B100,Consulta!$C:$C,0),'MM01'!AP$2),""))</f>
        <v/>
      </c>
      <c r="AQ100" s="45"/>
      <c r="AR100" s="43" t="str">
        <f>IF(IFERROR(INDEX(Consulta!$A:$DF,MATCH('MM01'!$B100,Consulta!$C:$C,0),'MM01'!AR$2),"")=0,"",IFERROR(INDEX(Consulta!$A:$DF,MATCH('MM01'!$B100,Consulta!$C:$C,0),'MM01'!AR$2),""))</f>
        <v/>
      </c>
      <c r="AS100" s="43" t="str">
        <f>IF(IFERROR(INDEX(Consulta!$A:$DF,MATCH('MM01'!$B100,Consulta!$C:$C,0),'MM01'!AS$2),"")=0,"",IF(AR100="68",5102,IFERROR(INDEX(Consulta!$A:$DF,MATCH('MM01'!$B100,Consulta!$C:$C,0),'MM01'!AS$2),"")))</f>
        <v/>
      </c>
      <c r="AT100" s="45"/>
      <c r="AU100" s="46" t="str">
        <f t="shared" ca="1" si="42"/>
        <v/>
      </c>
      <c r="AV100" s="47" t="s">
        <v>796</v>
      </c>
      <c r="AW100" s="43" t="str">
        <f>IF(IFERROR(INDEX(Consulta!$A:$DF,MATCH('MM01'!$B100,Consulta!$C:$C,0),'MM01'!AW$2),"")=0,"",IFERROR(ROUND(INDEX(Consulta!$A:$DF,MATCH('MM01'!$B100,Consulta!$C:$C,0),'MM01'!AW$2),3),""))</f>
        <v/>
      </c>
      <c r="AX100" s="43" t="str">
        <f t="shared" si="43"/>
        <v/>
      </c>
      <c r="AY100" s="48" t="s">
        <v>299</v>
      </c>
      <c r="AZ100" s="48"/>
      <c r="BA100" s="43" t="str">
        <f>IF(IFERROR(INDEX(Consulta!$A:$DF,MATCH('MM01'!$B100,Consulta!$C:$C,0),'MM01'!BA$2),"")=0,"",IFERROR(INDEX(Consulta!$A:$DF,MATCH('MM01'!$B100,Consulta!$C:$C,0),'MM01'!BA$2),""))</f>
        <v/>
      </c>
      <c r="BB100" s="43" t="str">
        <f t="shared" si="44"/>
        <v/>
      </c>
      <c r="BC100" s="43" t="str">
        <f t="shared" si="45"/>
        <v/>
      </c>
      <c r="BD100" s="43" t="str">
        <f t="shared" si="46"/>
        <v/>
      </c>
      <c r="BE100" s="43" t="str">
        <f t="shared" si="47"/>
        <v>M</v>
      </c>
      <c r="BF100" s="43" t="str">
        <f t="shared" si="48"/>
        <v/>
      </c>
      <c r="BG100" s="43" t="str">
        <f t="shared" si="49"/>
        <v/>
      </c>
      <c r="BH100" s="43" t="str">
        <f t="shared" si="50"/>
        <v/>
      </c>
      <c r="BI100" s="43" t="str">
        <f t="shared" si="51"/>
        <v>M</v>
      </c>
      <c r="BK100" s="45" t="s">
        <v>324</v>
      </c>
      <c r="BL100" s="43" t="str">
        <f>IF(IFERROR(INDEX(Consulta!$A:$DF,MATCH('MM01'!$B100,Consulta!$C:$C,0),'MM01'!BL$2),"")=0,"",IFERROR(INDEX(Consulta!$A:$DF,MATCH('MM01'!$B100,Consulta!$C:$C,0),'MM01'!BL$2),""))</f>
        <v/>
      </c>
      <c r="BM100" s="45">
        <v>99</v>
      </c>
      <c r="BN100" s="46" t="str">
        <f t="shared" ca="1" si="52"/>
        <v>28.04.2022</v>
      </c>
      <c r="BO100" s="49" t="str">
        <f t="shared" si="53"/>
        <v/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IF(IFERROR(INDEX(Consulta!$A:$DF,MATCH('MM01'!$B100,Consulta!$C:$C,0),'MM01'!BX$2),"")=0,"",IFERROR(INDEX(Consulta!$A:$DF,MATCH('MM01'!$B100,Consulta!$C:$C,0),'MM01'!BX$2),""))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54"/>
        <v/>
      </c>
      <c r="CD100" s="45" t="s">
        <v>430</v>
      </c>
      <c r="CE100" s="45">
        <v>1</v>
      </c>
      <c r="CF100" s="45" t="s">
        <v>496</v>
      </c>
      <c r="CG100" s="45"/>
      <c r="CH100" s="44">
        <v>2</v>
      </c>
      <c r="CI100" s="49" t="str">
        <f t="shared" si="55"/>
        <v/>
      </c>
      <c r="CJ100" s="49" t="str">
        <f t="shared" si="56"/>
        <v/>
      </c>
      <c r="CK100" s="45"/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57"/>
        <v>K00_P_</v>
      </c>
      <c r="CS100" s="45">
        <v>5000</v>
      </c>
      <c r="CT100" s="43" t="str">
        <f>IF(IFERROR(INDEX(Consulta!$A:$DF,MATCH('MM01'!$B100,Consulta!$C:$C,0),'MM01'!CT$2),"")=0,"",IFERROR(INDEX(Consulta!$A:$DF,MATCH('MM01'!$B100,Consulta!$C:$C,0),'MM01'!CT$2),""))</f>
        <v/>
      </c>
      <c r="CU100" s="43" t="str">
        <f>IF(IFERROR(INDEX(Consulta!$A:$DF,MATCH('MM01'!$B100,Consulta!$C:$C,0),'MM01'!CU$2),"")=0,"",IFERROR(INDEX(Consulta!$A:$DF,MATCH('MM01'!$B100,Consulta!$C:$C,0),'MM01'!CU$2),""))</f>
        <v/>
      </c>
      <c r="CV100" s="43" t="str">
        <f>IF(IFERROR(INDEX(Consulta!$A:$DF,MATCH('MM01'!$B100,Consulta!$C:$C,0),'MM01'!CV$2),"")=0,"",IFERROR(INDEX(Consulta!$A:$DF,MATCH('MM01'!$B100,Consulta!$C:$C,0),'MM01'!CV$2),""))</f>
        <v/>
      </c>
      <c r="CW100" s="43" t="str">
        <f>IF(IFERROR(INDEX(Consulta!$A:$DF,MATCH('MM01'!$B100,Consulta!$C:$C,0),'MM01'!CW$2),"")=0,"",IFERROR(INDEX(Consulta!$A:$DF,MATCH('MM01'!$B100,Consulta!$C:$C,0),'MM01'!CW$2),""))</f>
        <v/>
      </c>
      <c r="CX100" s="43" t="str">
        <f t="shared" si="58"/>
        <v/>
      </c>
      <c r="CY100" s="43" t="str">
        <f t="shared" si="59"/>
        <v/>
      </c>
      <c r="CZ100" s="43" t="str">
        <f t="shared" si="60"/>
        <v/>
      </c>
      <c r="DA100" s="43" t="str">
        <f>IF(IFERROR(INDEX(Consulta!$A:$DF,MATCH('MM01'!$B100,Consulta!$C:$C,0),'MM01'!DA$2),"")=0,"",IFERROR(INDEX(Consulta!$A:$DF,MATCH('MM01'!$B100,Consulta!$C:$C,0),'MM01'!DA$2),""))</f>
        <v/>
      </c>
      <c r="DB100" s="43" t="str">
        <f t="shared" si="61"/>
        <v/>
      </c>
      <c r="DC100" s="43" t="str">
        <f>IF(IFERROR(INDEX(Consulta!$A:$DF,MATCH('MM01'!$B100,Consulta!$C:$C,0),'MM01'!DC$2),"")=0,"",IFERROR(INDEX(Consulta!$A:$DF,MATCH('MM01'!$B100,Consulta!$C:$C,0),'MM01'!DC$2),""))</f>
        <v/>
      </c>
      <c r="DD100" s="45">
        <v>0</v>
      </c>
      <c r="DE100" s="45">
        <v>0</v>
      </c>
      <c r="DF100" s="43" t="str">
        <f t="shared" si="62"/>
        <v/>
      </c>
      <c r="DG100" s="43" t="str">
        <f t="shared" si="63"/>
        <v/>
      </c>
      <c r="DH100" s="55"/>
      <c r="DI100" s="43" t="str">
        <f t="shared" ca="1" si="64"/>
        <v/>
      </c>
      <c r="DJ100" s="43" t="str">
        <f t="shared" si="65"/>
        <v/>
      </c>
      <c r="DK100" s="43" t="str">
        <f t="shared" si="66"/>
        <v/>
      </c>
      <c r="DL100" s="55"/>
      <c r="DM100" s="43" t="str">
        <f t="shared" ca="1" si="67"/>
        <v/>
      </c>
      <c r="DN100" s="43" t="str">
        <f t="shared" si="68"/>
        <v/>
      </c>
      <c r="DO100" s="43" t="str">
        <f t="shared" si="69"/>
        <v/>
      </c>
      <c r="DP100" s="55"/>
      <c r="DQ100" s="43" t="str">
        <f t="shared" ca="1" si="70"/>
        <v/>
      </c>
      <c r="DR100" s="43" t="str">
        <f t="shared" si="71"/>
        <v/>
      </c>
      <c r="DS100" s="43" t="str">
        <f t="shared" si="72"/>
        <v/>
      </c>
      <c r="DT100" s="55"/>
      <c r="DU100" s="43" t="str">
        <f t="shared" ca="1" si="73"/>
        <v/>
      </c>
      <c r="DV100" s="43" t="str">
        <f t="shared" si="74"/>
        <v/>
      </c>
      <c r="DX100" s="44">
        <v>1</v>
      </c>
      <c r="DY100" s="44" t="s">
        <v>774</v>
      </c>
      <c r="DZ100" s="43">
        <f t="shared" si="75"/>
        <v>0.01</v>
      </c>
      <c r="EA100" s="43" t="str">
        <f t="shared" si="76"/>
        <v>M</v>
      </c>
      <c r="EB100" s="43" t="str">
        <f>IF(IFERROR(INDEX(Consulta!$A:$DF,MATCH('MM01'!$B100,Consulta!$C:$C,0),'MM01'!EB$2),"")=0,"7925",IF(IFERROR(INDEX(Consulta!$A:$DF,MATCH('MM01'!$B100,Consulta!$C:$C,0),'MM01'!EB$2),"")="68","7910","7925"))</f>
        <v>7925</v>
      </c>
      <c r="EC100" s="44">
        <v>100</v>
      </c>
      <c r="ED100" s="60">
        <v>1</v>
      </c>
      <c r="EE100" s="43">
        <f t="shared" si="77"/>
        <v>100</v>
      </c>
      <c r="EF100" s="44">
        <v>1</v>
      </c>
      <c r="EG100" s="44">
        <v>0</v>
      </c>
      <c r="EH100" s="44" t="s">
        <v>867</v>
      </c>
      <c r="EI100" s="45">
        <v>0</v>
      </c>
      <c r="EJ100" s="43">
        <f t="shared" si="78"/>
        <v>5000</v>
      </c>
      <c r="EK100" s="65"/>
    </row>
    <row r="101" spans="1:141" x14ac:dyDescent="0.3">
      <c r="A101" s="7" t="str">
        <f t="shared" si="79"/>
        <v>Execução 97</v>
      </c>
      <c r="B101" s="42"/>
      <c r="C101" s="43" t="str">
        <f>IF(IFERROR(INDEX(Consulta!$A:$DF,MATCH('MM01'!$B101,Consulta!$C:$C,0),'MM01'!C$2),"")=0,"",IFERROR(INDEX(Consulta!$A:$DF,MATCH('MM01'!$B101,Consulta!$C:$C,0),'MM01'!C$2),""))</f>
        <v/>
      </c>
      <c r="D101" s="43" t="str">
        <f>IF(IFERROR(INDEX(Consulta!$A:$DF,MATCH('MM01'!$B101,Consulta!$C:$C,0),'MM01'!D$2),"")=0,"",IFERROR(INDEX(Consulta!$A:$DF,MATCH('MM01'!$B101,Consulta!$C:$C,0),'MM01'!D$2),""))</f>
        <v/>
      </c>
      <c r="E101" s="43" t="str">
        <f>IF(IFERROR(INDEX(Consulta!$A:$DF,MATCH('MM01'!$B101,Consulta!$C:$C,0),'MM01'!E$2),"")=0,"",IFERROR(INDEX(Consulta!$A:$DF,MATCH('MM01'!$B101,Consulta!$C:$C,0),'MM01'!E$2),""))</f>
        <v/>
      </c>
      <c r="F101" s="44" t="s">
        <v>100</v>
      </c>
      <c r="G101" s="49" t="str">
        <f>IF(IFERROR(INDEX(Consulta!$A:$DF,MATCH('MM01'!$B101,Consulta!$C:$C,0),'MM01'!G$2),"")=0,"",IFERROR(INDEX(Consulta!$A:$DF,MATCH('MM01'!$B101,Consulta!$C:$C,0),'MM01'!G$2),""))</f>
        <v/>
      </c>
      <c r="H101" s="49" t="str">
        <f>IF(IFERROR(INDEX(Consulta!$A:$DF,MATCH('MM01'!$B101,Consulta!$C:$C,0),'MM01'!H$2),"")=0,"",IFERROR(INDEX(Consulta!$A:$DF,MATCH('MM01'!$B101,Consulta!$C:$C,0),'MM01'!H$2),""))</f>
        <v/>
      </c>
      <c r="I101" s="49" t="str">
        <f t="shared" si="40"/>
        <v/>
      </c>
      <c r="J101" s="49" t="str">
        <f>IF(IFERROR(INDEX(Consulta!$A:$DF,MATCH('MM01'!$B101,Consulta!$C:$C,0),'MM01'!J$2),"")=0,"",IFERROR(INDEX(Consulta!$A:$DF,MATCH('MM01'!$B101,Consulta!$C:$C,0),'MM01'!J$2),""))</f>
        <v/>
      </c>
      <c r="K101" s="49" t="str">
        <f t="shared" si="41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IF(IFERROR(INDEX(Consulta!$A:$DF,MATCH('MM01'!$B101,Consulta!$C:$C,0),'MM01'!AP$2),"")=0,"",IFERROR(INDEX(Consulta!$A:$DF,MATCH('MM01'!$B101,Consulta!$C:$C,0),'MM01'!AP$2),""))</f>
        <v/>
      </c>
      <c r="AQ101" s="45"/>
      <c r="AR101" s="43" t="str">
        <f>IF(IFERROR(INDEX(Consulta!$A:$DF,MATCH('MM01'!$B101,Consulta!$C:$C,0),'MM01'!AR$2),"")=0,"",IFERROR(INDEX(Consulta!$A:$DF,MATCH('MM01'!$B101,Consulta!$C:$C,0),'MM01'!AR$2),""))</f>
        <v/>
      </c>
      <c r="AS101" s="43" t="str">
        <f>IF(IFERROR(INDEX(Consulta!$A:$DF,MATCH('MM01'!$B101,Consulta!$C:$C,0),'MM01'!AS$2),"")=0,"",IF(AR101="68",5102,IFERROR(INDEX(Consulta!$A:$DF,MATCH('MM01'!$B101,Consulta!$C:$C,0),'MM01'!AS$2),"")))</f>
        <v/>
      </c>
      <c r="AT101" s="45"/>
      <c r="AU101" s="46" t="str">
        <f t="shared" ca="1" si="42"/>
        <v/>
      </c>
      <c r="AV101" s="47" t="s">
        <v>796</v>
      </c>
      <c r="AW101" s="43" t="str">
        <f>IF(IFERROR(INDEX(Consulta!$A:$DF,MATCH('MM01'!$B101,Consulta!$C:$C,0),'MM01'!AW$2),"")=0,"",IFERROR(ROUND(INDEX(Consulta!$A:$DF,MATCH('MM01'!$B101,Consulta!$C:$C,0),'MM01'!AW$2),3),""))</f>
        <v/>
      </c>
      <c r="AX101" s="43" t="str">
        <f t="shared" si="43"/>
        <v/>
      </c>
      <c r="AY101" s="48" t="s">
        <v>299</v>
      </c>
      <c r="AZ101" s="48"/>
      <c r="BA101" s="43" t="str">
        <f>IF(IFERROR(INDEX(Consulta!$A:$DF,MATCH('MM01'!$B101,Consulta!$C:$C,0),'MM01'!BA$2),"")=0,"",IFERROR(INDEX(Consulta!$A:$DF,MATCH('MM01'!$B101,Consulta!$C:$C,0),'MM01'!BA$2),""))</f>
        <v/>
      </c>
      <c r="BB101" s="43" t="str">
        <f t="shared" si="44"/>
        <v/>
      </c>
      <c r="BC101" s="43" t="str">
        <f t="shared" si="45"/>
        <v/>
      </c>
      <c r="BD101" s="43" t="str">
        <f t="shared" si="46"/>
        <v/>
      </c>
      <c r="BE101" s="43" t="str">
        <f t="shared" si="47"/>
        <v>M</v>
      </c>
      <c r="BF101" s="43" t="str">
        <f t="shared" si="48"/>
        <v/>
      </c>
      <c r="BG101" s="43" t="str">
        <f t="shared" si="49"/>
        <v/>
      </c>
      <c r="BH101" s="43" t="str">
        <f t="shared" si="50"/>
        <v/>
      </c>
      <c r="BI101" s="43" t="str">
        <f t="shared" si="51"/>
        <v>M</v>
      </c>
      <c r="BK101" s="45" t="s">
        <v>324</v>
      </c>
      <c r="BL101" s="43" t="str">
        <f>IF(IFERROR(INDEX(Consulta!$A:$DF,MATCH('MM01'!$B101,Consulta!$C:$C,0),'MM01'!BL$2),"")=0,"",IFERROR(INDEX(Consulta!$A:$DF,MATCH('MM01'!$B101,Consulta!$C:$C,0),'MM01'!BL$2),""))</f>
        <v/>
      </c>
      <c r="BM101" s="45">
        <v>99</v>
      </c>
      <c r="BN101" s="46" t="str">
        <f t="shared" ca="1" si="52"/>
        <v>28.04.2022</v>
      </c>
      <c r="BO101" s="49" t="str">
        <f t="shared" si="53"/>
        <v/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IF(IFERROR(INDEX(Consulta!$A:$DF,MATCH('MM01'!$B101,Consulta!$C:$C,0),'MM01'!BX$2),"")=0,"",IFERROR(INDEX(Consulta!$A:$DF,MATCH('MM01'!$B101,Consulta!$C:$C,0),'MM01'!BX$2),""))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54"/>
        <v/>
      </c>
      <c r="CD101" s="45" t="s">
        <v>430</v>
      </c>
      <c r="CE101" s="45">
        <v>1</v>
      </c>
      <c r="CF101" s="45" t="s">
        <v>496</v>
      </c>
      <c r="CG101" s="45"/>
      <c r="CH101" s="44">
        <v>2</v>
      </c>
      <c r="CI101" s="49" t="str">
        <f t="shared" si="55"/>
        <v/>
      </c>
      <c r="CJ101" s="49" t="str">
        <f t="shared" si="56"/>
        <v/>
      </c>
      <c r="CK101" s="45"/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57"/>
        <v>K00_P_</v>
      </c>
      <c r="CS101" s="45">
        <v>5000</v>
      </c>
      <c r="CT101" s="43" t="str">
        <f>IF(IFERROR(INDEX(Consulta!$A:$DF,MATCH('MM01'!$B101,Consulta!$C:$C,0),'MM01'!CT$2),"")=0,"",IFERROR(INDEX(Consulta!$A:$DF,MATCH('MM01'!$B101,Consulta!$C:$C,0),'MM01'!CT$2),""))</f>
        <v/>
      </c>
      <c r="CU101" s="43" t="str">
        <f>IF(IFERROR(INDEX(Consulta!$A:$DF,MATCH('MM01'!$B101,Consulta!$C:$C,0),'MM01'!CU$2),"")=0,"",IFERROR(INDEX(Consulta!$A:$DF,MATCH('MM01'!$B101,Consulta!$C:$C,0),'MM01'!CU$2),""))</f>
        <v/>
      </c>
      <c r="CV101" s="43" t="str">
        <f>IF(IFERROR(INDEX(Consulta!$A:$DF,MATCH('MM01'!$B101,Consulta!$C:$C,0),'MM01'!CV$2),"")=0,"",IFERROR(INDEX(Consulta!$A:$DF,MATCH('MM01'!$B101,Consulta!$C:$C,0),'MM01'!CV$2),""))</f>
        <v/>
      </c>
      <c r="CW101" s="43" t="str">
        <f>IF(IFERROR(INDEX(Consulta!$A:$DF,MATCH('MM01'!$B101,Consulta!$C:$C,0),'MM01'!CW$2),"")=0,"",IFERROR(INDEX(Consulta!$A:$DF,MATCH('MM01'!$B101,Consulta!$C:$C,0),'MM01'!CW$2),""))</f>
        <v/>
      </c>
      <c r="CX101" s="43" t="str">
        <f t="shared" si="58"/>
        <v/>
      </c>
      <c r="CY101" s="43" t="str">
        <f t="shared" si="59"/>
        <v/>
      </c>
      <c r="CZ101" s="43" t="str">
        <f t="shared" si="60"/>
        <v/>
      </c>
      <c r="DA101" s="43" t="str">
        <f>IF(IFERROR(INDEX(Consulta!$A:$DF,MATCH('MM01'!$B101,Consulta!$C:$C,0),'MM01'!DA$2),"")=0,"",IFERROR(INDEX(Consulta!$A:$DF,MATCH('MM01'!$B101,Consulta!$C:$C,0),'MM01'!DA$2),""))</f>
        <v/>
      </c>
      <c r="DB101" s="43" t="str">
        <f t="shared" si="61"/>
        <v/>
      </c>
      <c r="DC101" s="43" t="str">
        <f>IF(IFERROR(INDEX(Consulta!$A:$DF,MATCH('MM01'!$B101,Consulta!$C:$C,0),'MM01'!DC$2),"")=0,"",IFERROR(INDEX(Consulta!$A:$DF,MATCH('MM01'!$B101,Consulta!$C:$C,0),'MM01'!DC$2),""))</f>
        <v/>
      </c>
      <c r="DD101" s="45">
        <v>0</v>
      </c>
      <c r="DE101" s="45">
        <v>0</v>
      </c>
      <c r="DF101" s="43" t="str">
        <f t="shared" si="62"/>
        <v/>
      </c>
      <c r="DG101" s="43" t="str">
        <f t="shared" si="63"/>
        <v/>
      </c>
      <c r="DH101" s="55"/>
      <c r="DI101" s="43" t="str">
        <f t="shared" ca="1" si="64"/>
        <v/>
      </c>
      <c r="DJ101" s="43" t="str">
        <f t="shared" si="65"/>
        <v/>
      </c>
      <c r="DK101" s="43" t="str">
        <f t="shared" si="66"/>
        <v/>
      </c>
      <c r="DL101" s="55"/>
      <c r="DM101" s="43" t="str">
        <f t="shared" ca="1" si="67"/>
        <v/>
      </c>
      <c r="DN101" s="43" t="str">
        <f t="shared" si="68"/>
        <v/>
      </c>
      <c r="DO101" s="43" t="str">
        <f t="shared" si="69"/>
        <v/>
      </c>
      <c r="DP101" s="55"/>
      <c r="DQ101" s="43" t="str">
        <f t="shared" ca="1" si="70"/>
        <v/>
      </c>
      <c r="DR101" s="43" t="str">
        <f t="shared" si="71"/>
        <v/>
      </c>
      <c r="DS101" s="43" t="str">
        <f t="shared" si="72"/>
        <v/>
      </c>
      <c r="DT101" s="55"/>
      <c r="DU101" s="43" t="str">
        <f t="shared" ca="1" si="73"/>
        <v/>
      </c>
      <c r="DV101" s="43" t="str">
        <f t="shared" si="74"/>
        <v/>
      </c>
      <c r="DX101" s="44">
        <v>1</v>
      </c>
      <c r="DY101" s="44" t="s">
        <v>774</v>
      </c>
      <c r="DZ101" s="43">
        <f t="shared" si="75"/>
        <v>0.01</v>
      </c>
      <c r="EA101" s="43" t="str">
        <f t="shared" si="76"/>
        <v>M</v>
      </c>
      <c r="EB101" s="43" t="str">
        <f>IF(IFERROR(INDEX(Consulta!$A:$DF,MATCH('MM01'!$B101,Consulta!$C:$C,0),'MM01'!EB$2),"")=0,"7925",IF(IFERROR(INDEX(Consulta!$A:$DF,MATCH('MM01'!$B101,Consulta!$C:$C,0),'MM01'!EB$2),"")="68","7910","7925"))</f>
        <v>7925</v>
      </c>
      <c r="EC101" s="44">
        <v>100</v>
      </c>
      <c r="ED101" s="60">
        <v>1</v>
      </c>
      <c r="EE101" s="43">
        <f t="shared" si="77"/>
        <v>100</v>
      </c>
      <c r="EF101" s="44">
        <v>1</v>
      </c>
      <c r="EG101" s="44">
        <v>0</v>
      </c>
      <c r="EH101" s="44" t="s">
        <v>867</v>
      </c>
      <c r="EI101" s="45">
        <v>0</v>
      </c>
      <c r="EJ101" s="43">
        <f t="shared" si="78"/>
        <v>5000</v>
      </c>
      <c r="EK101" s="65"/>
    </row>
    <row r="102" spans="1:141" x14ac:dyDescent="0.3">
      <c r="A102" s="7" t="str">
        <f t="shared" si="79"/>
        <v>Execução 98</v>
      </c>
      <c r="B102" s="42"/>
      <c r="C102" s="43" t="str">
        <f>IF(IFERROR(INDEX(Consulta!$A:$DF,MATCH('MM01'!$B102,Consulta!$C:$C,0),'MM01'!C$2),"")=0,"",IFERROR(INDEX(Consulta!$A:$DF,MATCH('MM01'!$B102,Consulta!$C:$C,0),'MM01'!C$2),""))</f>
        <v/>
      </c>
      <c r="D102" s="43" t="str">
        <f>IF(IFERROR(INDEX(Consulta!$A:$DF,MATCH('MM01'!$B102,Consulta!$C:$C,0),'MM01'!D$2),"")=0,"",IFERROR(INDEX(Consulta!$A:$DF,MATCH('MM01'!$B102,Consulta!$C:$C,0),'MM01'!D$2),""))</f>
        <v/>
      </c>
      <c r="E102" s="43" t="str">
        <f>IF(IFERROR(INDEX(Consulta!$A:$DF,MATCH('MM01'!$B102,Consulta!$C:$C,0),'MM01'!E$2),"")=0,"",IFERROR(INDEX(Consulta!$A:$DF,MATCH('MM01'!$B102,Consulta!$C:$C,0),'MM01'!E$2),""))</f>
        <v/>
      </c>
      <c r="F102" s="44" t="s">
        <v>100</v>
      </c>
      <c r="G102" s="49" t="str">
        <f>IF(IFERROR(INDEX(Consulta!$A:$DF,MATCH('MM01'!$B102,Consulta!$C:$C,0),'MM01'!G$2),"")=0,"",IFERROR(INDEX(Consulta!$A:$DF,MATCH('MM01'!$B102,Consulta!$C:$C,0),'MM01'!G$2),""))</f>
        <v/>
      </c>
      <c r="H102" s="49" t="str">
        <f>IF(IFERROR(INDEX(Consulta!$A:$DF,MATCH('MM01'!$B102,Consulta!$C:$C,0),'MM01'!H$2),"")=0,"",IFERROR(INDEX(Consulta!$A:$DF,MATCH('MM01'!$B102,Consulta!$C:$C,0),'MM01'!H$2),""))</f>
        <v/>
      </c>
      <c r="I102" s="49" t="str">
        <f t="shared" si="40"/>
        <v/>
      </c>
      <c r="J102" s="49" t="str">
        <f>IF(IFERROR(INDEX(Consulta!$A:$DF,MATCH('MM01'!$B102,Consulta!$C:$C,0),'MM01'!J$2),"")=0,"",IFERROR(INDEX(Consulta!$A:$DF,MATCH('MM01'!$B102,Consulta!$C:$C,0),'MM01'!J$2),""))</f>
        <v/>
      </c>
      <c r="K102" s="49" t="str">
        <f t="shared" si="41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IF(IFERROR(INDEX(Consulta!$A:$DF,MATCH('MM01'!$B102,Consulta!$C:$C,0),'MM01'!AP$2),"")=0,"",IFERROR(INDEX(Consulta!$A:$DF,MATCH('MM01'!$B102,Consulta!$C:$C,0),'MM01'!AP$2),""))</f>
        <v/>
      </c>
      <c r="AQ102" s="45"/>
      <c r="AR102" s="43" t="str">
        <f>IF(IFERROR(INDEX(Consulta!$A:$DF,MATCH('MM01'!$B102,Consulta!$C:$C,0),'MM01'!AR$2),"")=0,"",IFERROR(INDEX(Consulta!$A:$DF,MATCH('MM01'!$B102,Consulta!$C:$C,0),'MM01'!AR$2),""))</f>
        <v/>
      </c>
      <c r="AS102" s="43" t="str">
        <f>IF(IFERROR(INDEX(Consulta!$A:$DF,MATCH('MM01'!$B102,Consulta!$C:$C,0),'MM01'!AS$2),"")=0,"",IF(AR102="68",5102,IFERROR(INDEX(Consulta!$A:$DF,MATCH('MM01'!$B102,Consulta!$C:$C,0),'MM01'!AS$2),"")))</f>
        <v/>
      </c>
      <c r="AT102" s="45"/>
      <c r="AU102" s="46" t="str">
        <f t="shared" ca="1" si="42"/>
        <v/>
      </c>
      <c r="AV102" s="47" t="s">
        <v>796</v>
      </c>
      <c r="AW102" s="43" t="str">
        <f>IF(IFERROR(INDEX(Consulta!$A:$DF,MATCH('MM01'!$B102,Consulta!$C:$C,0),'MM01'!AW$2),"")=0,"",IFERROR(ROUND(INDEX(Consulta!$A:$DF,MATCH('MM01'!$B102,Consulta!$C:$C,0),'MM01'!AW$2),3),""))</f>
        <v/>
      </c>
      <c r="AX102" s="43" t="str">
        <f t="shared" si="43"/>
        <v/>
      </c>
      <c r="AY102" s="48" t="s">
        <v>299</v>
      </c>
      <c r="AZ102" s="48"/>
      <c r="BA102" s="43" t="str">
        <f>IF(IFERROR(INDEX(Consulta!$A:$DF,MATCH('MM01'!$B102,Consulta!$C:$C,0),'MM01'!BA$2),"")=0,"",IFERROR(INDEX(Consulta!$A:$DF,MATCH('MM01'!$B102,Consulta!$C:$C,0),'MM01'!BA$2),""))</f>
        <v/>
      </c>
      <c r="BB102" s="43" t="str">
        <f t="shared" si="44"/>
        <v/>
      </c>
      <c r="BC102" s="43" t="str">
        <f t="shared" si="45"/>
        <v/>
      </c>
      <c r="BD102" s="43" t="str">
        <f t="shared" si="46"/>
        <v/>
      </c>
      <c r="BE102" s="43" t="str">
        <f t="shared" si="47"/>
        <v>M</v>
      </c>
      <c r="BF102" s="43" t="str">
        <f t="shared" si="48"/>
        <v/>
      </c>
      <c r="BG102" s="43" t="str">
        <f t="shared" si="49"/>
        <v/>
      </c>
      <c r="BH102" s="43" t="str">
        <f t="shared" si="50"/>
        <v/>
      </c>
      <c r="BI102" s="43" t="str">
        <f t="shared" si="51"/>
        <v>M</v>
      </c>
      <c r="BK102" s="45" t="s">
        <v>324</v>
      </c>
      <c r="BL102" s="43" t="str">
        <f>IF(IFERROR(INDEX(Consulta!$A:$DF,MATCH('MM01'!$B102,Consulta!$C:$C,0),'MM01'!BL$2),"")=0,"",IFERROR(INDEX(Consulta!$A:$DF,MATCH('MM01'!$B102,Consulta!$C:$C,0),'MM01'!BL$2),""))</f>
        <v/>
      </c>
      <c r="BM102" s="45">
        <v>99</v>
      </c>
      <c r="BN102" s="46" t="str">
        <f t="shared" ca="1" si="52"/>
        <v>28.04.2022</v>
      </c>
      <c r="BO102" s="49" t="str">
        <f t="shared" si="53"/>
        <v/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IF(IFERROR(INDEX(Consulta!$A:$DF,MATCH('MM01'!$B102,Consulta!$C:$C,0),'MM01'!BX$2),"")=0,"",IFERROR(INDEX(Consulta!$A:$DF,MATCH('MM01'!$B102,Consulta!$C:$C,0),'MM01'!BX$2),""))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54"/>
        <v/>
      </c>
      <c r="CD102" s="45" t="s">
        <v>430</v>
      </c>
      <c r="CE102" s="45">
        <v>1</v>
      </c>
      <c r="CF102" s="45" t="s">
        <v>496</v>
      </c>
      <c r="CG102" s="45"/>
      <c r="CH102" s="44">
        <v>2</v>
      </c>
      <c r="CI102" s="49" t="str">
        <f t="shared" si="55"/>
        <v/>
      </c>
      <c r="CJ102" s="49" t="str">
        <f t="shared" si="56"/>
        <v/>
      </c>
      <c r="CK102" s="45"/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57"/>
        <v>K00_P_</v>
      </c>
      <c r="CS102" s="45">
        <v>5000</v>
      </c>
      <c r="CT102" s="43" t="str">
        <f>IF(IFERROR(INDEX(Consulta!$A:$DF,MATCH('MM01'!$B102,Consulta!$C:$C,0),'MM01'!CT$2),"")=0,"",IFERROR(INDEX(Consulta!$A:$DF,MATCH('MM01'!$B102,Consulta!$C:$C,0),'MM01'!CT$2),""))</f>
        <v/>
      </c>
      <c r="CU102" s="43" t="str">
        <f>IF(IFERROR(INDEX(Consulta!$A:$DF,MATCH('MM01'!$B102,Consulta!$C:$C,0),'MM01'!CU$2),"")=0,"",IFERROR(INDEX(Consulta!$A:$DF,MATCH('MM01'!$B102,Consulta!$C:$C,0),'MM01'!CU$2),""))</f>
        <v/>
      </c>
      <c r="CV102" s="43" t="str">
        <f>IF(IFERROR(INDEX(Consulta!$A:$DF,MATCH('MM01'!$B102,Consulta!$C:$C,0),'MM01'!CV$2),"")=0,"",IFERROR(INDEX(Consulta!$A:$DF,MATCH('MM01'!$B102,Consulta!$C:$C,0),'MM01'!CV$2),""))</f>
        <v/>
      </c>
      <c r="CW102" s="43" t="str">
        <f>IF(IFERROR(INDEX(Consulta!$A:$DF,MATCH('MM01'!$B102,Consulta!$C:$C,0),'MM01'!CW$2),"")=0,"",IFERROR(INDEX(Consulta!$A:$DF,MATCH('MM01'!$B102,Consulta!$C:$C,0),'MM01'!CW$2),""))</f>
        <v/>
      </c>
      <c r="CX102" s="43" t="str">
        <f t="shared" si="58"/>
        <v/>
      </c>
      <c r="CY102" s="43" t="str">
        <f t="shared" si="59"/>
        <v/>
      </c>
      <c r="CZ102" s="43" t="str">
        <f t="shared" si="60"/>
        <v/>
      </c>
      <c r="DA102" s="43" t="str">
        <f>IF(IFERROR(INDEX(Consulta!$A:$DF,MATCH('MM01'!$B102,Consulta!$C:$C,0),'MM01'!DA$2),"")=0,"",IFERROR(INDEX(Consulta!$A:$DF,MATCH('MM01'!$B102,Consulta!$C:$C,0),'MM01'!DA$2),""))</f>
        <v/>
      </c>
      <c r="DB102" s="43" t="str">
        <f t="shared" si="61"/>
        <v/>
      </c>
      <c r="DC102" s="43" t="str">
        <f>IF(IFERROR(INDEX(Consulta!$A:$DF,MATCH('MM01'!$B102,Consulta!$C:$C,0),'MM01'!DC$2),"")=0,"",IFERROR(INDEX(Consulta!$A:$DF,MATCH('MM01'!$B102,Consulta!$C:$C,0),'MM01'!DC$2),""))</f>
        <v/>
      </c>
      <c r="DD102" s="45">
        <v>0</v>
      </c>
      <c r="DE102" s="45">
        <v>0</v>
      </c>
      <c r="DF102" s="43" t="str">
        <f t="shared" si="62"/>
        <v/>
      </c>
      <c r="DG102" s="43" t="str">
        <f t="shared" si="63"/>
        <v/>
      </c>
      <c r="DH102" s="55"/>
      <c r="DI102" s="43" t="str">
        <f t="shared" ca="1" si="64"/>
        <v/>
      </c>
      <c r="DJ102" s="43" t="str">
        <f t="shared" si="65"/>
        <v/>
      </c>
      <c r="DK102" s="43" t="str">
        <f t="shared" si="66"/>
        <v/>
      </c>
      <c r="DL102" s="55"/>
      <c r="DM102" s="43" t="str">
        <f t="shared" ca="1" si="67"/>
        <v/>
      </c>
      <c r="DN102" s="43" t="str">
        <f t="shared" si="68"/>
        <v/>
      </c>
      <c r="DO102" s="43" t="str">
        <f t="shared" si="69"/>
        <v/>
      </c>
      <c r="DP102" s="55"/>
      <c r="DQ102" s="43" t="str">
        <f t="shared" ca="1" si="70"/>
        <v/>
      </c>
      <c r="DR102" s="43" t="str">
        <f t="shared" si="71"/>
        <v/>
      </c>
      <c r="DS102" s="43" t="str">
        <f t="shared" si="72"/>
        <v/>
      </c>
      <c r="DT102" s="55"/>
      <c r="DU102" s="43" t="str">
        <f t="shared" ca="1" si="73"/>
        <v/>
      </c>
      <c r="DV102" s="43" t="str">
        <f t="shared" si="74"/>
        <v/>
      </c>
      <c r="DX102" s="44">
        <v>1</v>
      </c>
      <c r="DY102" s="44" t="s">
        <v>774</v>
      </c>
      <c r="DZ102" s="43">
        <f t="shared" si="75"/>
        <v>0.01</v>
      </c>
      <c r="EA102" s="43" t="str">
        <f t="shared" si="76"/>
        <v>M</v>
      </c>
      <c r="EB102" s="43" t="str">
        <f>IF(IFERROR(INDEX(Consulta!$A:$DF,MATCH('MM01'!$B102,Consulta!$C:$C,0),'MM01'!EB$2),"")=0,"7925",IF(IFERROR(INDEX(Consulta!$A:$DF,MATCH('MM01'!$B102,Consulta!$C:$C,0),'MM01'!EB$2),"")="68","7910","7925"))</f>
        <v>7925</v>
      </c>
      <c r="EC102" s="44">
        <v>100</v>
      </c>
      <c r="ED102" s="60">
        <v>1</v>
      </c>
      <c r="EE102" s="43">
        <f t="shared" si="77"/>
        <v>100</v>
      </c>
      <c r="EF102" s="44">
        <v>1</v>
      </c>
      <c r="EG102" s="44">
        <v>0</v>
      </c>
      <c r="EH102" s="44" t="s">
        <v>867</v>
      </c>
      <c r="EI102" s="45">
        <v>0</v>
      </c>
      <c r="EJ102" s="43">
        <f t="shared" si="78"/>
        <v>5000</v>
      </c>
      <c r="EK102" s="65"/>
    </row>
    <row r="103" spans="1:141" x14ac:dyDescent="0.3">
      <c r="A103" s="7" t="str">
        <f t="shared" si="79"/>
        <v>Execução 99</v>
      </c>
      <c r="B103" s="42"/>
      <c r="C103" s="43" t="str">
        <f>IF(IFERROR(INDEX(Consulta!$A:$DF,MATCH('MM01'!$B103,Consulta!$C:$C,0),'MM01'!C$2),"")=0,"",IFERROR(INDEX(Consulta!$A:$DF,MATCH('MM01'!$B103,Consulta!$C:$C,0),'MM01'!C$2),""))</f>
        <v/>
      </c>
      <c r="D103" s="43" t="str">
        <f>IF(IFERROR(INDEX(Consulta!$A:$DF,MATCH('MM01'!$B103,Consulta!$C:$C,0),'MM01'!D$2),"")=0,"",IFERROR(INDEX(Consulta!$A:$DF,MATCH('MM01'!$B103,Consulta!$C:$C,0),'MM01'!D$2),""))</f>
        <v/>
      </c>
      <c r="E103" s="43" t="str">
        <f>IF(IFERROR(INDEX(Consulta!$A:$DF,MATCH('MM01'!$B103,Consulta!$C:$C,0),'MM01'!E$2),"")=0,"",IFERROR(INDEX(Consulta!$A:$DF,MATCH('MM01'!$B103,Consulta!$C:$C,0),'MM01'!E$2),""))</f>
        <v/>
      </c>
      <c r="F103" s="44" t="s">
        <v>100</v>
      </c>
      <c r="G103" s="49" t="str">
        <f>IF(IFERROR(INDEX(Consulta!$A:$DF,MATCH('MM01'!$B103,Consulta!$C:$C,0),'MM01'!G$2),"")=0,"",IFERROR(INDEX(Consulta!$A:$DF,MATCH('MM01'!$B103,Consulta!$C:$C,0),'MM01'!G$2),""))</f>
        <v/>
      </c>
      <c r="H103" s="49" t="str">
        <f>IF(IFERROR(INDEX(Consulta!$A:$DF,MATCH('MM01'!$B103,Consulta!$C:$C,0),'MM01'!H$2),"")=0,"",IFERROR(INDEX(Consulta!$A:$DF,MATCH('MM01'!$B103,Consulta!$C:$C,0),'MM01'!H$2),""))</f>
        <v/>
      </c>
      <c r="I103" s="49" t="str">
        <f t="shared" si="40"/>
        <v/>
      </c>
      <c r="J103" s="49" t="str">
        <f>IF(IFERROR(INDEX(Consulta!$A:$DF,MATCH('MM01'!$B103,Consulta!$C:$C,0),'MM01'!J$2),"")=0,"",IFERROR(INDEX(Consulta!$A:$DF,MATCH('MM01'!$B103,Consulta!$C:$C,0),'MM01'!J$2),""))</f>
        <v/>
      </c>
      <c r="K103" s="49" t="str">
        <f t="shared" si="41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IF(IFERROR(INDEX(Consulta!$A:$DF,MATCH('MM01'!$B103,Consulta!$C:$C,0),'MM01'!AP$2),"")=0,"",IFERROR(INDEX(Consulta!$A:$DF,MATCH('MM01'!$B103,Consulta!$C:$C,0),'MM01'!AP$2),""))</f>
        <v/>
      </c>
      <c r="AQ103" s="45"/>
      <c r="AR103" s="43" t="str">
        <f>IF(IFERROR(INDEX(Consulta!$A:$DF,MATCH('MM01'!$B103,Consulta!$C:$C,0),'MM01'!AR$2),"")=0,"",IFERROR(INDEX(Consulta!$A:$DF,MATCH('MM01'!$B103,Consulta!$C:$C,0),'MM01'!AR$2),""))</f>
        <v/>
      </c>
      <c r="AS103" s="43" t="str">
        <f>IF(IFERROR(INDEX(Consulta!$A:$DF,MATCH('MM01'!$B103,Consulta!$C:$C,0),'MM01'!AS$2),"")=0,"",IF(AR103="68",5102,IFERROR(INDEX(Consulta!$A:$DF,MATCH('MM01'!$B103,Consulta!$C:$C,0),'MM01'!AS$2),"")))</f>
        <v/>
      </c>
      <c r="AT103" s="45"/>
      <c r="AU103" s="46" t="str">
        <f t="shared" ca="1" si="42"/>
        <v/>
      </c>
      <c r="AV103" s="47" t="s">
        <v>796</v>
      </c>
      <c r="AW103" s="43" t="str">
        <f>IF(IFERROR(INDEX(Consulta!$A:$DF,MATCH('MM01'!$B103,Consulta!$C:$C,0),'MM01'!AW$2),"")=0,"",IFERROR(ROUND(INDEX(Consulta!$A:$DF,MATCH('MM01'!$B103,Consulta!$C:$C,0),'MM01'!AW$2),3),""))</f>
        <v/>
      </c>
      <c r="AX103" s="43" t="str">
        <f t="shared" si="43"/>
        <v/>
      </c>
      <c r="AY103" s="48" t="s">
        <v>299</v>
      </c>
      <c r="AZ103" s="48"/>
      <c r="BA103" s="43" t="str">
        <f>IF(IFERROR(INDEX(Consulta!$A:$DF,MATCH('MM01'!$B103,Consulta!$C:$C,0),'MM01'!BA$2),"")=0,"",IFERROR(INDEX(Consulta!$A:$DF,MATCH('MM01'!$B103,Consulta!$C:$C,0),'MM01'!BA$2),""))</f>
        <v/>
      </c>
      <c r="BB103" s="43" t="str">
        <f t="shared" si="44"/>
        <v/>
      </c>
      <c r="BC103" s="43" t="str">
        <f t="shared" si="45"/>
        <v/>
      </c>
      <c r="BD103" s="43" t="str">
        <f t="shared" si="46"/>
        <v/>
      </c>
      <c r="BE103" s="43" t="str">
        <f t="shared" si="47"/>
        <v>M</v>
      </c>
      <c r="BF103" s="43" t="str">
        <f t="shared" si="48"/>
        <v/>
      </c>
      <c r="BG103" s="43" t="str">
        <f t="shared" si="49"/>
        <v/>
      </c>
      <c r="BH103" s="43" t="str">
        <f t="shared" si="50"/>
        <v/>
      </c>
      <c r="BI103" s="43" t="str">
        <f t="shared" si="51"/>
        <v>M</v>
      </c>
      <c r="BK103" s="45" t="s">
        <v>324</v>
      </c>
      <c r="BL103" s="43" t="str">
        <f>IF(IFERROR(INDEX(Consulta!$A:$DF,MATCH('MM01'!$B103,Consulta!$C:$C,0),'MM01'!BL$2),"")=0,"",IFERROR(INDEX(Consulta!$A:$DF,MATCH('MM01'!$B103,Consulta!$C:$C,0),'MM01'!BL$2),""))</f>
        <v/>
      </c>
      <c r="BM103" s="45">
        <v>99</v>
      </c>
      <c r="BN103" s="46" t="str">
        <f t="shared" ca="1" si="52"/>
        <v>28.04.2022</v>
      </c>
      <c r="BO103" s="49" t="str">
        <f t="shared" si="53"/>
        <v/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IF(IFERROR(INDEX(Consulta!$A:$DF,MATCH('MM01'!$B103,Consulta!$C:$C,0),'MM01'!BX$2),"")=0,"",IFERROR(INDEX(Consulta!$A:$DF,MATCH('MM01'!$B103,Consulta!$C:$C,0),'MM01'!BX$2),""))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54"/>
        <v/>
      </c>
      <c r="CD103" s="45" t="s">
        <v>430</v>
      </c>
      <c r="CE103" s="45">
        <v>1</v>
      </c>
      <c r="CF103" s="45" t="s">
        <v>496</v>
      </c>
      <c r="CG103" s="45"/>
      <c r="CH103" s="44">
        <v>2</v>
      </c>
      <c r="CI103" s="49" t="str">
        <f t="shared" si="55"/>
        <v/>
      </c>
      <c r="CJ103" s="49" t="str">
        <f t="shared" si="56"/>
        <v/>
      </c>
      <c r="CK103" s="45"/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57"/>
        <v>K00_P_</v>
      </c>
      <c r="CS103" s="45">
        <v>5000</v>
      </c>
      <c r="CT103" s="43" t="str">
        <f>IF(IFERROR(INDEX(Consulta!$A:$DF,MATCH('MM01'!$B103,Consulta!$C:$C,0),'MM01'!CT$2),"")=0,"",IFERROR(INDEX(Consulta!$A:$DF,MATCH('MM01'!$B103,Consulta!$C:$C,0),'MM01'!CT$2),""))</f>
        <v/>
      </c>
      <c r="CU103" s="43" t="str">
        <f>IF(IFERROR(INDEX(Consulta!$A:$DF,MATCH('MM01'!$B103,Consulta!$C:$C,0),'MM01'!CU$2),"")=0,"",IFERROR(INDEX(Consulta!$A:$DF,MATCH('MM01'!$B103,Consulta!$C:$C,0),'MM01'!CU$2),""))</f>
        <v/>
      </c>
      <c r="CV103" s="43" t="str">
        <f>IF(IFERROR(INDEX(Consulta!$A:$DF,MATCH('MM01'!$B103,Consulta!$C:$C,0),'MM01'!CV$2),"")=0,"",IFERROR(INDEX(Consulta!$A:$DF,MATCH('MM01'!$B103,Consulta!$C:$C,0),'MM01'!CV$2),""))</f>
        <v/>
      </c>
      <c r="CW103" s="43" t="str">
        <f>IF(IFERROR(INDEX(Consulta!$A:$DF,MATCH('MM01'!$B103,Consulta!$C:$C,0),'MM01'!CW$2),"")=0,"",IFERROR(INDEX(Consulta!$A:$DF,MATCH('MM01'!$B103,Consulta!$C:$C,0),'MM01'!CW$2),""))</f>
        <v/>
      </c>
      <c r="CX103" s="43" t="str">
        <f t="shared" si="58"/>
        <v/>
      </c>
      <c r="CY103" s="43" t="str">
        <f t="shared" si="59"/>
        <v/>
      </c>
      <c r="CZ103" s="43" t="str">
        <f t="shared" si="60"/>
        <v/>
      </c>
      <c r="DA103" s="43" t="str">
        <f>IF(IFERROR(INDEX(Consulta!$A:$DF,MATCH('MM01'!$B103,Consulta!$C:$C,0),'MM01'!DA$2),"")=0,"",IFERROR(INDEX(Consulta!$A:$DF,MATCH('MM01'!$B103,Consulta!$C:$C,0),'MM01'!DA$2),""))</f>
        <v/>
      </c>
      <c r="DB103" s="43" t="str">
        <f t="shared" si="61"/>
        <v/>
      </c>
      <c r="DC103" s="43" t="str">
        <f>IF(IFERROR(INDEX(Consulta!$A:$DF,MATCH('MM01'!$B103,Consulta!$C:$C,0),'MM01'!DC$2),"")=0,"",IFERROR(INDEX(Consulta!$A:$DF,MATCH('MM01'!$B103,Consulta!$C:$C,0),'MM01'!DC$2),""))</f>
        <v/>
      </c>
      <c r="DD103" s="45">
        <v>0</v>
      </c>
      <c r="DE103" s="45">
        <v>0</v>
      </c>
      <c r="DF103" s="43" t="str">
        <f t="shared" si="62"/>
        <v/>
      </c>
      <c r="DG103" s="43" t="str">
        <f t="shared" si="63"/>
        <v/>
      </c>
      <c r="DH103" s="55"/>
      <c r="DI103" s="43" t="str">
        <f t="shared" ca="1" si="64"/>
        <v/>
      </c>
      <c r="DJ103" s="43" t="str">
        <f t="shared" si="65"/>
        <v/>
      </c>
      <c r="DK103" s="43" t="str">
        <f t="shared" si="66"/>
        <v/>
      </c>
      <c r="DL103" s="55"/>
      <c r="DM103" s="43" t="str">
        <f t="shared" ca="1" si="67"/>
        <v/>
      </c>
      <c r="DN103" s="43" t="str">
        <f t="shared" si="68"/>
        <v/>
      </c>
      <c r="DO103" s="43" t="str">
        <f t="shared" si="69"/>
        <v/>
      </c>
      <c r="DP103" s="55"/>
      <c r="DQ103" s="43" t="str">
        <f t="shared" ca="1" si="70"/>
        <v/>
      </c>
      <c r="DR103" s="43" t="str">
        <f t="shared" si="71"/>
        <v/>
      </c>
      <c r="DS103" s="43" t="str">
        <f t="shared" si="72"/>
        <v/>
      </c>
      <c r="DT103" s="55"/>
      <c r="DU103" s="43" t="str">
        <f t="shared" ca="1" si="73"/>
        <v/>
      </c>
      <c r="DV103" s="43" t="str">
        <f t="shared" si="74"/>
        <v/>
      </c>
      <c r="DX103" s="44">
        <v>1</v>
      </c>
      <c r="DY103" s="44" t="s">
        <v>774</v>
      </c>
      <c r="DZ103" s="43">
        <f t="shared" si="75"/>
        <v>0.01</v>
      </c>
      <c r="EA103" s="43" t="str">
        <f t="shared" si="76"/>
        <v>M</v>
      </c>
      <c r="EB103" s="43" t="str">
        <f>IF(IFERROR(INDEX(Consulta!$A:$DF,MATCH('MM01'!$B103,Consulta!$C:$C,0),'MM01'!EB$2),"")=0,"7925",IF(IFERROR(INDEX(Consulta!$A:$DF,MATCH('MM01'!$B103,Consulta!$C:$C,0),'MM01'!EB$2),"")="68","7910","7925"))</f>
        <v>7925</v>
      </c>
      <c r="EC103" s="44">
        <v>100</v>
      </c>
      <c r="ED103" s="60">
        <v>1</v>
      </c>
      <c r="EE103" s="43">
        <f t="shared" si="77"/>
        <v>100</v>
      </c>
      <c r="EF103" s="44">
        <v>1</v>
      </c>
      <c r="EG103" s="44">
        <v>0</v>
      </c>
      <c r="EH103" s="44" t="s">
        <v>867</v>
      </c>
      <c r="EI103" s="45">
        <v>0</v>
      </c>
      <c r="EJ103" s="43">
        <f t="shared" si="78"/>
        <v>5000</v>
      </c>
      <c r="EK103" s="65"/>
    </row>
    <row r="104" spans="1:141" x14ac:dyDescent="0.3">
      <c r="A104" s="7" t="str">
        <f t="shared" si="79"/>
        <v>Execução 100</v>
      </c>
      <c r="B104" s="42"/>
      <c r="C104" s="43" t="str">
        <f>IF(IFERROR(INDEX(Consulta!$A:$DF,MATCH('MM01'!$B104,Consulta!$C:$C,0),'MM01'!C$2),"")=0,"",IFERROR(INDEX(Consulta!$A:$DF,MATCH('MM01'!$B104,Consulta!$C:$C,0),'MM01'!C$2),""))</f>
        <v/>
      </c>
      <c r="D104" s="43" t="str">
        <f>IF(IFERROR(INDEX(Consulta!$A:$DF,MATCH('MM01'!$B104,Consulta!$C:$C,0),'MM01'!D$2),"")=0,"",IFERROR(INDEX(Consulta!$A:$DF,MATCH('MM01'!$B104,Consulta!$C:$C,0),'MM01'!D$2),""))</f>
        <v/>
      </c>
      <c r="E104" s="43" t="str">
        <f>IF(IFERROR(INDEX(Consulta!$A:$DF,MATCH('MM01'!$B104,Consulta!$C:$C,0),'MM01'!E$2),"")=0,"",IFERROR(INDEX(Consulta!$A:$DF,MATCH('MM01'!$B104,Consulta!$C:$C,0),'MM01'!E$2),""))</f>
        <v/>
      </c>
      <c r="F104" s="44" t="s">
        <v>100</v>
      </c>
      <c r="G104" s="49" t="str">
        <f>IF(IFERROR(INDEX(Consulta!$A:$DF,MATCH('MM01'!$B104,Consulta!$C:$C,0),'MM01'!G$2),"")=0,"",IFERROR(INDEX(Consulta!$A:$DF,MATCH('MM01'!$B104,Consulta!$C:$C,0),'MM01'!G$2),""))</f>
        <v/>
      </c>
      <c r="H104" s="49" t="str">
        <f>IF(IFERROR(INDEX(Consulta!$A:$DF,MATCH('MM01'!$B104,Consulta!$C:$C,0),'MM01'!H$2),"")=0,"",IFERROR(INDEX(Consulta!$A:$DF,MATCH('MM01'!$B104,Consulta!$C:$C,0),'MM01'!H$2),""))</f>
        <v/>
      </c>
      <c r="I104" s="49" t="str">
        <f t="shared" si="40"/>
        <v/>
      </c>
      <c r="J104" s="49" t="str">
        <f>IF(IFERROR(INDEX(Consulta!$A:$DF,MATCH('MM01'!$B104,Consulta!$C:$C,0),'MM01'!J$2),"")=0,"",IFERROR(INDEX(Consulta!$A:$DF,MATCH('MM01'!$B104,Consulta!$C:$C,0),'MM01'!J$2),""))</f>
        <v/>
      </c>
      <c r="K104" s="49" t="str">
        <f t="shared" si="41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IF(IFERROR(INDEX(Consulta!$A:$DF,MATCH('MM01'!$B104,Consulta!$C:$C,0),'MM01'!AP$2),"")=0,"",IFERROR(INDEX(Consulta!$A:$DF,MATCH('MM01'!$B104,Consulta!$C:$C,0),'MM01'!AP$2),""))</f>
        <v/>
      </c>
      <c r="AQ104" s="45"/>
      <c r="AR104" s="43" t="str">
        <f>IF(IFERROR(INDEX(Consulta!$A:$DF,MATCH('MM01'!$B104,Consulta!$C:$C,0),'MM01'!AR$2),"")=0,"",IFERROR(INDEX(Consulta!$A:$DF,MATCH('MM01'!$B104,Consulta!$C:$C,0),'MM01'!AR$2),""))</f>
        <v/>
      </c>
      <c r="AS104" s="43" t="str">
        <f>IF(IFERROR(INDEX(Consulta!$A:$DF,MATCH('MM01'!$B104,Consulta!$C:$C,0),'MM01'!AS$2),"")=0,"",IF(AR104="68",5102,IFERROR(INDEX(Consulta!$A:$DF,MATCH('MM01'!$B104,Consulta!$C:$C,0),'MM01'!AS$2),"")))</f>
        <v/>
      </c>
      <c r="AT104" s="45"/>
      <c r="AU104" s="46" t="str">
        <f t="shared" ca="1" si="42"/>
        <v/>
      </c>
      <c r="AV104" s="47" t="s">
        <v>796</v>
      </c>
      <c r="AW104" s="43" t="str">
        <f>IF(IFERROR(INDEX(Consulta!$A:$DF,MATCH('MM01'!$B104,Consulta!$C:$C,0),'MM01'!AW$2),"")=0,"",IFERROR(ROUND(INDEX(Consulta!$A:$DF,MATCH('MM01'!$B104,Consulta!$C:$C,0),'MM01'!AW$2),3),""))</f>
        <v/>
      </c>
      <c r="AX104" s="43" t="str">
        <f t="shared" si="43"/>
        <v/>
      </c>
      <c r="AY104" s="48" t="s">
        <v>299</v>
      </c>
      <c r="AZ104" s="48"/>
      <c r="BA104" s="43" t="str">
        <f>IF(IFERROR(INDEX(Consulta!$A:$DF,MATCH('MM01'!$B104,Consulta!$C:$C,0),'MM01'!BA$2),"")=0,"",IFERROR(INDEX(Consulta!$A:$DF,MATCH('MM01'!$B104,Consulta!$C:$C,0),'MM01'!BA$2),""))</f>
        <v/>
      </c>
      <c r="BB104" s="43" t="str">
        <f t="shared" si="44"/>
        <v/>
      </c>
      <c r="BC104" s="43" t="str">
        <f t="shared" si="45"/>
        <v/>
      </c>
      <c r="BD104" s="43" t="str">
        <f t="shared" si="46"/>
        <v/>
      </c>
      <c r="BE104" s="43" t="str">
        <f t="shared" si="47"/>
        <v>M</v>
      </c>
      <c r="BF104" s="43" t="str">
        <f t="shared" si="48"/>
        <v/>
      </c>
      <c r="BG104" s="43" t="str">
        <f t="shared" si="49"/>
        <v/>
      </c>
      <c r="BH104" s="43" t="str">
        <f t="shared" si="50"/>
        <v/>
      </c>
      <c r="BI104" s="43" t="str">
        <f t="shared" si="51"/>
        <v>M</v>
      </c>
      <c r="BK104" s="45" t="s">
        <v>324</v>
      </c>
      <c r="BL104" s="43" t="str">
        <f>IF(IFERROR(INDEX(Consulta!$A:$DF,MATCH('MM01'!$B104,Consulta!$C:$C,0),'MM01'!BL$2),"")=0,"",IFERROR(INDEX(Consulta!$A:$DF,MATCH('MM01'!$B104,Consulta!$C:$C,0),'MM01'!BL$2),""))</f>
        <v/>
      </c>
      <c r="BM104" s="45">
        <v>99</v>
      </c>
      <c r="BN104" s="46" t="str">
        <f t="shared" ca="1" si="52"/>
        <v>28.04.2022</v>
      </c>
      <c r="BO104" s="49" t="str">
        <f t="shared" si="53"/>
        <v/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IF(IFERROR(INDEX(Consulta!$A:$DF,MATCH('MM01'!$B104,Consulta!$C:$C,0),'MM01'!BX$2),"")=0,"",IFERROR(INDEX(Consulta!$A:$DF,MATCH('MM01'!$B104,Consulta!$C:$C,0),'MM01'!BX$2),""))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54"/>
        <v/>
      </c>
      <c r="CD104" s="45" t="s">
        <v>430</v>
      </c>
      <c r="CE104" s="45">
        <v>1</v>
      </c>
      <c r="CF104" s="45" t="s">
        <v>496</v>
      </c>
      <c r="CG104" s="45"/>
      <c r="CH104" s="44">
        <v>2</v>
      </c>
      <c r="CI104" s="49" t="str">
        <f t="shared" si="55"/>
        <v/>
      </c>
      <c r="CJ104" s="49" t="str">
        <f t="shared" si="56"/>
        <v/>
      </c>
      <c r="CK104" s="45"/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57"/>
        <v>K00_P_</v>
      </c>
      <c r="CS104" s="45">
        <v>5000</v>
      </c>
      <c r="CT104" s="43" t="str">
        <f>IF(IFERROR(INDEX(Consulta!$A:$DF,MATCH('MM01'!$B104,Consulta!$C:$C,0),'MM01'!CT$2),"")=0,"",IFERROR(INDEX(Consulta!$A:$DF,MATCH('MM01'!$B104,Consulta!$C:$C,0),'MM01'!CT$2),""))</f>
        <v/>
      </c>
      <c r="CU104" s="43" t="str">
        <f>IF(IFERROR(INDEX(Consulta!$A:$DF,MATCH('MM01'!$B104,Consulta!$C:$C,0),'MM01'!CU$2),"")=0,"",IFERROR(INDEX(Consulta!$A:$DF,MATCH('MM01'!$B104,Consulta!$C:$C,0),'MM01'!CU$2),""))</f>
        <v/>
      </c>
      <c r="CV104" s="43" t="str">
        <f>IF(IFERROR(INDEX(Consulta!$A:$DF,MATCH('MM01'!$B104,Consulta!$C:$C,0),'MM01'!CV$2),"")=0,"",IFERROR(INDEX(Consulta!$A:$DF,MATCH('MM01'!$B104,Consulta!$C:$C,0),'MM01'!CV$2),""))</f>
        <v/>
      </c>
      <c r="CW104" s="43" t="str">
        <f>IF(IFERROR(INDEX(Consulta!$A:$DF,MATCH('MM01'!$B104,Consulta!$C:$C,0),'MM01'!CW$2),"")=0,"",IFERROR(INDEX(Consulta!$A:$DF,MATCH('MM01'!$B104,Consulta!$C:$C,0),'MM01'!CW$2),""))</f>
        <v/>
      </c>
      <c r="CX104" s="43" t="str">
        <f t="shared" si="58"/>
        <v/>
      </c>
      <c r="CY104" s="43" t="str">
        <f t="shared" si="59"/>
        <v/>
      </c>
      <c r="CZ104" s="43" t="str">
        <f t="shared" si="60"/>
        <v/>
      </c>
      <c r="DA104" s="43" t="str">
        <f>IF(IFERROR(INDEX(Consulta!$A:$DF,MATCH('MM01'!$B104,Consulta!$C:$C,0),'MM01'!DA$2),"")=0,"",IFERROR(INDEX(Consulta!$A:$DF,MATCH('MM01'!$B104,Consulta!$C:$C,0),'MM01'!DA$2),""))</f>
        <v/>
      </c>
      <c r="DB104" s="43" t="str">
        <f t="shared" si="61"/>
        <v/>
      </c>
      <c r="DC104" s="43" t="str">
        <f>IF(IFERROR(INDEX(Consulta!$A:$DF,MATCH('MM01'!$B104,Consulta!$C:$C,0),'MM01'!DC$2),"")=0,"",IFERROR(INDEX(Consulta!$A:$DF,MATCH('MM01'!$B104,Consulta!$C:$C,0),'MM01'!DC$2),""))</f>
        <v/>
      </c>
      <c r="DD104" s="45">
        <v>0</v>
      </c>
      <c r="DE104" s="45">
        <v>0</v>
      </c>
      <c r="DF104" s="43" t="str">
        <f t="shared" si="62"/>
        <v/>
      </c>
      <c r="DG104" s="43" t="str">
        <f t="shared" si="63"/>
        <v/>
      </c>
      <c r="DH104" s="55"/>
      <c r="DI104" s="43" t="str">
        <f t="shared" ca="1" si="64"/>
        <v/>
      </c>
      <c r="DJ104" s="43" t="str">
        <f t="shared" si="65"/>
        <v/>
      </c>
      <c r="DK104" s="43" t="str">
        <f t="shared" si="66"/>
        <v/>
      </c>
      <c r="DL104" s="55"/>
      <c r="DM104" s="43" t="str">
        <f t="shared" ca="1" si="67"/>
        <v/>
      </c>
      <c r="DN104" s="43" t="str">
        <f t="shared" si="68"/>
        <v/>
      </c>
      <c r="DO104" s="43" t="str">
        <f t="shared" si="69"/>
        <v/>
      </c>
      <c r="DP104" s="55"/>
      <c r="DQ104" s="43" t="str">
        <f t="shared" ca="1" si="70"/>
        <v/>
      </c>
      <c r="DR104" s="43" t="str">
        <f t="shared" si="71"/>
        <v/>
      </c>
      <c r="DS104" s="43" t="str">
        <f t="shared" si="72"/>
        <v/>
      </c>
      <c r="DT104" s="55"/>
      <c r="DU104" s="43" t="str">
        <f t="shared" ca="1" si="73"/>
        <v/>
      </c>
      <c r="DV104" s="43" t="str">
        <f t="shared" si="74"/>
        <v/>
      </c>
      <c r="DX104" s="44">
        <v>1</v>
      </c>
      <c r="DY104" s="44" t="s">
        <v>774</v>
      </c>
      <c r="DZ104" s="43">
        <f t="shared" si="75"/>
        <v>0.01</v>
      </c>
      <c r="EA104" s="43" t="str">
        <f t="shared" si="76"/>
        <v>M</v>
      </c>
      <c r="EB104" s="43" t="str">
        <f>IF(IFERROR(INDEX(Consulta!$A:$DF,MATCH('MM01'!$B104,Consulta!$C:$C,0),'MM01'!EB$2),"")=0,"7925",IF(IFERROR(INDEX(Consulta!$A:$DF,MATCH('MM01'!$B104,Consulta!$C:$C,0),'MM01'!EB$2),"")="68","7910","7925"))</f>
        <v>7925</v>
      </c>
      <c r="EC104" s="44">
        <v>100</v>
      </c>
      <c r="ED104" s="60">
        <v>1</v>
      </c>
      <c r="EE104" s="43">
        <f t="shared" si="77"/>
        <v>100</v>
      </c>
      <c r="EF104" s="44">
        <v>1</v>
      </c>
      <c r="EG104" s="44">
        <v>0</v>
      </c>
      <c r="EH104" s="44" t="s">
        <v>867</v>
      </c>
      <c r="EI104" s="45">
        <v>0</v>
      </c>
      <c r="EJ104" s="43">
        <f t="shared" si="78"/>
        <v>5000</v>
      </c>
      <c r="EK104" s="66"/>
    </row>
    <row r="105" spans="1:141" x14ac:dyDescent="0.3">
      <c r="A105" s="7" t="str">
        <f>"Execução "&amp;ROW()-4</f>
        <v>Execução 101</v>
      </c>
      <c r="B105" s="42"/>
      <c r="C105" s="43" t="str">
        <f>IF(IFERROR(INDEX(Consulta!$A:$DF,MATCH('MM01'!$B105,Consulta!$C:$C,0),'MM01'!C$2),"")=0,"",IFERROR(INDEX(Consulta!$A:$DF,MATCH('MM01'!$B105,Consulta!$C:$C,0),'MM01'!C$2),""))</f>
        <v/>
      </c>
      <c r="D105" s="43" t="str">
        <f>IF(IFERROR(INDEX(Consulta!$A:$DF,MATCH('MM01'!$B105,Consulta!$C:$C,0),'MM01'!D$2),"")=0,"",IFERROR(INDEX(Consulta!$A:$DF,MATCH('MM01'!$B105,Consulta!$C:$C,0),'MM01'!D$2),""))</f>
        <v/>
      </c>
      <c r="E105" s="43" t="str">
        <f>IF(IFERROR(INDEX(Consulta!$A:$DF,MATCH('MM01'!$B105,Consulta!$C:$C,0),'MM01'!E$2),"")=0,"",IFERROR(INDEX(Consulta!$A:$DF,MATCH('MM01'!$B105,Consulta!$C:$C,0),'MM01'!E$2),""))</f>
        <v/>
      </c>
      <c r="F105" s="44" t="s">
        <v>100</v>
      </c>
      <c r="G105" s="49" t="str">
        <f>IF(IFERROR(INDEX(Consulta!$A:$DF,MATCH('MM01'!$B105,Consulta!$C:$C,0),'MM01'!G$2),"")=0,"",IFERROR(INDEX(Consulta!$A:$DF,MATCH('MM01'!$B105,Consulta!$C:$C,0),'MM01'!G$2),""))</f>
        <v/>
      </c>
      <c r="H105" s="49" t="str">
        <f>IF(IFERROR(INDEX(Consulta!$A:$DF,MATCH('MM01'!$B105,Consulta!$C:$C,0),'MM01'!H$2),"")=0,"",IFERROR(INDEX(Consulta!$A:$DF,MATCH('MM01'!$B105,Consulta!$C:$C,0),'MM01'!H$2),""))</f>
        <v/>
      </c>
      <c r="I105" s="49" t="str">
        <f>G105</f>
        <v/>
      </c>
      <c r="J105" s="49" t="str">
        <f>IF(IFERROR(INDEX(Consulta!$A:$DF,MATCH('MM01'!$B105,Consulta!$C:$C,0),'MM01'!J$2),"")=0,"",IFERROR(INDEX(Consulta!$A:$DF,MATCH('MM01'!$B105,Consulta!$C:$C,0),'MM01'!J$2),""))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IF(IFERROR(INDEX(Consulta!$A:$DF,MATCH('MM01'!$B105,Consulta!$C:$C,0),'MM01'!AP$2),"")=0,"",IFERROR(INDEX(Consulta!$A:$DF,MATCH('MM01'!$B105,Consulta!$C:$C,0),'MM01'!AP$2),""))</f>
        <v/>
      </c>
      <c r="AQ105" s="45"/>
      <c r="AR105" s="43" t="str">
        <f>IF(IFERROR(INDEX(Consulta!$A:$DF,MATCH('MM01'!$B105,Consulta!$C:$C,0),'MM01'!AR$2),"")=0,"",IFERROR(INDEX(Consulta!$A:$DF,MATCH('MM01'!$B105,Consulta!$C:$C,0),'MM01'!AR$2),""))</f>
        <v/>
      </c>
      <c r="AS105" s="43" t="str">
        <f>IF(IFERROR(INDEX(Consulta!$A:$DF,MATCH('MM01'!$B105,Consulta!$C:$C,0),'MM01'!AS$2),"")=0,"",IF(AR105="68",5102,IFERROR(INDEX(Consulta!$A:$DF,MATCH('MM01'!$B105,Consulta!$C:$C,0),'MM01'!AS$2),"")))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IF(IFERROR(INDEX(Consulta!$A:$DF,MATCH('MM01'!$B105,Consulta!$C:$C,0),'MM01'!AW$2),"")=0,"",IFERROR(ROUND(INDEX(Consulta!$A:$DF,MATCH('MM01'!$B105,Consulta!$C:$C,0),'MM01'!AW$2),3),""))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IF(IFERROR(INDEX(Consulta!$A:$DF,MATCH('MM01'!$B105,Consulta!$C:$C,0),'MM01'!BA$2),"")=0,"",IFERROR(INDEX(Consulta!$A:$DF,MATCH('MM01'!$B105,Consulta!$C:$C,0),'MM01'!BA$2),""))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IF(IFERROR(INDEX(Consulta!$A:$DF,MATCH('MM01'!$B105,Consulta!$C:$C,0),'MM01'!BL$2),"")=0,"",IFERROR(INDEX(Consulta!$A:$DF,MATCH('MM01'!$B105,Consulta!$C:$C,0),'MM01'!BL$2),""))</f>
        <v/>
      </c>
      <c r="BM105" s="45">
        <v>99</v>
      </c>
      <c r="BN105" s="46" t="str">
        <f ca="1">IF(BM105&lt;&gt;0,TEXT(TODAY(),"DD.MM.AAAA"),"")</f>
        <v>28.04.2022</v>
      </c>
      <c r="BO105" s="49" t="str">
        <f>G105</f>
        <v/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IF(IFERROR(INDEX(Consulta!$A:$DF,MATCH('MM01'!$B105,Consulta!$C:$C,0),'MM01'!BX$2),"")=0,"",IFERROR(INDEX(Consulta!$A:$DF,MATCH('MM01'!$B105,Consulta!$C:$C,0),'MM01'!BX$2),""))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>RIGHT(G105,3)</f>
        <v/>
      </c>
      <c r="CD105" s="45" t="s">
        <v>430</v>
      </c>
      <c r="CE105" s="45">
        <v>1</v>
      </c>
      <c r="CF105" s="45" t="s">
        <v>496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IF(IFERROR(INDEX(Consulta!$A:$DF,MATCH('MM01'!$B105,Consulta!$C:$C,0),'MM01'!CT$2),"")=0,"",IFERROR(INDEX(Consulta!$A:$DF,MATCH('MM01'!$B105,Consulta!$C:$C,0),'MM01'!CT$2),""))</f>
        <v/>
      </c>
      <c r="CU105" s="43" t="str">
        <f>IF(IFERROR(INDEX(Consulta!$A:$DF,MATCH('MM01'!$B105,Consulta!$C:$C,0),'MM01'!CU$2),"")=0,"",IFERROR(INDEX(Consulta!$A:$DF,MATCH('MM01'!$B105,Consulta!$C:$C,0),'MM01'!CU$2),""))</f>
        <v/>
      </c>
      <c r="CV105" s="43" t="str">
        <f>IF(IFERROR(INDEX(Consulta!$A:$DF,MATCH('MM01'!$B105,Consulta!$C:$C,0),'MM01'!CV$2),"")=0,"",IFERROR(INDEX(Consulta!$A:$DF,MATCH('MM01'!$B105,Consulta!$C:$C,0),'MM01'!CV$2),""))</f>
        <v/>
      </c>
      <c r="CW105" s="43" t="str">
        <f>IF(IFERROR(INDEX(Consulta!$A:$DF,MATCH('MM01'!$B105,Consulta!$C:$C,0),'MM01'!CW$2),"")=0,"",IFERROR(INDEX(Consulta!$A:$DF,MATCH('MM01'!$B105,Consulta!$C:$C,0),'MM01'!CW$2),""))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IF(IFERROR(INDEX(Consulta!$A:$DF,MATCH('MM01'!$B105,Consulta!$C:$C,0),'MM01'!DA$2),"")=0,"",IFERROR(INDEX(Consulta!$A:$DF,MATCH('MM01'!$B105,Consulta!$C:$C,0),'MM01'!DA$2),""))</f>
        <v/>
      </c>
      <c r="DB105" s="43" t="str">
        <f>IF(E105=0,"",E105)</f>
        <v/>
      </c>
      <c r="DC105" s="43" t="str">
        <f>IF(IFERROR(INDEX(Consulta!$A:$DF,MATCH('MM01'!$B105,Consulta!$C:$C,0),'MM01'!DC$2),"")=0,"",IFERROR(INDEX(Consulta!$A:$DF,MATCH('MM01'!$B105,Consulta!$C:$C,0),'MM01'!DC$2),""))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5" t="s">
        <v>747</v>
      </c>
      <c r="DI105" s="43" t="str">
        <f ca="1">IF(DH105&lt;&gt;0,TEXT(TODAY(),"dd.mm.aaaa"),"")</f>
        <v>28.04.2022</v>
      </c>
      <c r="DJ105" s="43" t="str">
        <f>IF(DH105&lt;&gt;0,"31.12.9999","")</f>
        <v>31.12.9999</v>
      </c>
      <c r="DK105" s="43" t="str">
        <f>IF(DL105&lt;&gt;0,2,"")</f>
        <v/>
      </c>
      <c r="DL105" s="55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5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5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IF(IFERROR(INDEX(Consulta!$A:$DF,MATCH('MM01'!$B105,Consulta!$C:$C,0),'MM01'!EB$2),"")=0,"7925",IF(IFERROR(INDEX(Consulta!$A:$DF,MATCH('MM01'!$B105,Consulta!$C:$C,0),'MM01'!EB$2),"")="68","7910","7925"))</f>
        <v>7925</v>
      </c>
      <c r="EC105" s="44">
        <v>100</v>
      </c>
      <c r="ED105" s="60">
        <v>1</v>
      </c>
      <c r="EE105" s="43">
        <f>EC105</f>
        <v>100</v>
      </c>
      <c r="EF105" s="44">
        <v>1</v>
      </c>
      <c r="EG105" s="44">
        <v>0</v>
      </c>
      <c r="EH105" s="44" t="s">
        <v>867</v>
      </c>
      <c r="EI105" s="45">
        <v>0</v>
      </c>
      <c r="EJ105" s="43">
        <f>CS105</f>
        <v>5000</v>
      </c>
      <c r="EK105" s="64"/>
    </row>
    <row r="106" spans="1:141" x14ac:dyDescent="0.3">
      <c r="A106" s="7" t="str">
        <f t="shared" ref="A106:A154" si="80">"Execução "&amp;ROW()-4</f>
        <v>Execução 102</v>
      </c>
      <c r="B106" s="42"/>
      <c r="C106" s="43" t="str">
        <f>IF(IFERROR(INDEX(Consulta!$A:$DF,MATCH('MM01'!$B106,Consulta!$C:$C,0),'MM01'!C$2),"")=0,"",IFERROR(INDEX(Consulta!$A:$DF,MATCH('MM01'!$B106,Consulta!$C:$C,0),'MM01'!C$2),""))</f>
        <v/>
      </c>
      <c r="D106" s="43" t="str">
        <f>IF(IFERROR(INDEX(Consulta!$A:$DF,MATCH('MM01'!$B106,Consulta!$C:$C,0),'MM01'!D$2),"")=0,"",IFERROR(INDEX(Consulta!$A:$DF,MATCH('MM01'!$B106,Consulta!$C:$C,0),'MM01'!D$2),""))</f>
        <v/>
      </c>
      <c r="E106" s="43" t="str">
        <f>IF(IFERROR(INDEX(Consulta!$A:$DF,MATCH('MM01'!$B106,Consulta!$C:$C,0),'MM01'!E$2),"")=0,"",IFERROR(INDEX(Consulta!$A:$DF,MATCH('MM01'!$B106,Consulta!$C:$C,0),'MM01'!E$2),""))</f>
        <v/>
      </c>
      <c r="F106" s="44" t="s">
        <v>100</v>
      </c>
      <c r="G106" s="49" t="str">
        <f>IF(IFERROR(INDEX(Consulta!$A:$DF,MATCH('MM01'!$B106,Consulta!$C:$C,0),'MM01'!G$2),"")=0,"",IFERROR(INDEX(Consulta!$A:$DF,MATCH('MM01'!$B106,Consulta!$C:$C,0),'MM01'!G$2),""))</f>
        <v/>
      </c>
      <c r="H106" s="49" t="str">
        <f>IF(IFERROR(INDEX(Consulta!$A:$DF,MATCH('MM01'!$B106,Consulta!$C:$C,0),'MM01'!H$2),"")=0,"",IFERROR(INDEX(Consulta!$A:$DF,MATCH('MM01'!$B106,Consulta!$C:$C,0),'MM01'!H$2),""))</f>
        <v/>
      </c>
      <c r="I106" s="49" t="str">
        <f t="shared" ref="I106:I154" si="81">G106</f>
        <v/>
      </c>
      <c r="J106" s="49" t="str">
        <f>IF(IFERROR(INDEX(Consulta!$A:$DF,MATCH('MM01'!$B106,Consulta!$C:$C,0),'MM01'!J$2),"")=0,"",IFERROR(INDEX(Consulta!$A:$DF,MATCH('MM01'!$B106,Consulta!$C:$C,0),'MM01'!J$2),""))</f>
        <v/>
      </c>
      <c r="K106" s="49" t="str">
        <f t="shared" ref="K106:K154" si="82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IF(IFERROR(INDEX(Consulta!$A:$DF,MATCH('MM01'!$B106,Consulta!$C:$C,0),'MM01'!AP$2),"")=0,"",IFERROR(INDEX(Consulta!$A:$DF,MATCH('MM01'!$B106,Consulta!$C:$C,0),'MM01'!AP$2),""))</f>
        <v/>
      </c>
      <c r="AQ106" s="45"/>
      <c r="AR106" s="43" t="str">
        <f>IF(IFERROR(INDEX(Consulta!$A:$DF,MATCH('MM01'!$B106,Consulta!$C:$C,0),'MM01'!AR$2),"")=0,"",IFERROR(INDEX(Consulta!$A:$DF,MATCH('MM01'!$B106,Consulta!$C:$C,0),'MM01'!AR$2),""))</f>
        <v/>
      </c>
      <c r="AS106" s="43" t="str">
        <f>IF(IFERROR(INDEX(Consulta!$A:$DF,MATCH('MM01'!$B106,Consulta!$C:$C,0),'MM01'!AS$2),"")=0,"",IF(AR106="68",5102,IFERROR(INDEX(Consulta!$A:$DF,MATCH('MM01'!$B106,Consulta!$C:$C,0),'MM01'!AS$2),"")))</f>
        <v/>
      </c>
      <c r="AT106" s="45"/>
      <c r="AU106" s="46" t="str">
        <f t="shared" ref="AU106:AU154" ca="1" si="83">IF(AT106&lt;&gt;0,TEXT(TODAY(),"DD.MM.AAAA"),"")</f>
        <v/>
      </c>
      <c r="AV106" s="47" t="s">
        <v>796</v>
      </c>
      <c r="AW106" s="43" t="str">
        <f>IF(IFERROR(INDEX(Consulta!$A:$DF,MATCH('MM01'!$B106,Consulta!$C:$C,0),'MM01'!AW$2),"")=0,"",IFERROR(ROUND(INDEX(Consulta!$A:$DF,MATCH('MM01'!$B106,Consulta!$C:$C,0),'MM01'!AW$2),3),""))</f>
        <v/>
      </c>
      <c r="AX106" s="43" t="str">
        <f t="shared" ref="AX106:AX154" si="84">IFERROR(IF(AW106&lt;&gt;0,ROUND(AW106,3),""),"")</f>
        <v/>
      </c>
      <c r="AY106" s="48" t="s">
        <v>299</v>
      </c>
      <c r="AZ106" s="48"/>
      <c r="BA106" s="43" t="str">
        <f>IF(IFERROR(INDEX(Consulta!$A:$DF,MATCH('MM01'!$B106,Consulta!$C:$C,0),'MM01'!BA$2),"")=0,"",IFERROR(INDEX(Consulta!$A:$DF,MATCH('MM01'!$B106,Consulta!$C:$C,0),'MM01'!BA$2),""))</f>
        <v/>
      </c>
      <c r="BB106" s="43" t="str">
        <f t="shared" ref="BB106:BB154" si="85">IFERROR(ROUND(AW106,3)*1000,"")</f>
        <v/>
      </c>
      <c r="BC106" s="43" t="str">
        <f t="shared" ref="BC106:BC154" si="86">IF(BB106="","",AY106)</f>
        <v/>
      </c>
      <c r="BD106" s="43" t="str">
        <f t="shared" ref="BD106:BD154" si="87">IF(BB106="","",IF(BB106&lt;100000,1000,100))</f>
        <v/>
      </c>
      <c r="BE106" s="43" t="str">
        <f t="shared" ref="BE106:BE154" si="88">AO106</f>
        <v>M</v>
      </c>
      <c r="BF106" s="43" t="str">
        <f t="shared" ref="BF106:BF154" si="89">IF(BH106="","",IF(D106&lt;&gt;"KMAT",IF(BH106&lt;100000,1000,100),""))</f>
        <v/>
      </c>
      <c r="BG106" s="43" t="str">
        <f t="shared" ref="BG106:BG154" si="90">IF(BF106="","",IF(D106&lt;&gt;"KMAT","PC",""))</f>
        <v/>
      </c>
      <c r="BH106" s="43" t="str">
        <f t="shared" ref="BH106:BH154" si="91">IF(D106&lt;&gt;"KMAT",E106,"")</f>
        <v/>
      </c>
      <c r="BI106" s="43" t="str">
        <f t="shared" ref="BI106:BI154" si="92">AO106</f>
        <v>M</v>
      </c>
      <c r="BK106" s="45" t="s">
        <v>324</v>
      </c>
      <c r="BL106" s="43" t="str">
        <f>IF(IFERROR(INDEX(Consulta!$A:$DF,MATCH('MM01'!$B106,Consulta!$C:$C,0),'MM01'!BL$2),"")=0,"",IFERROR(INDEX(Consulta!$A:$DF,MATCH('MM01'!$B106,Consulta!$C:$C,0),'MM01'!BL$2),""))</f>
        <v/>
      </c>
      <c r="BM106" s="45">
        <v>99</v>
      </c>
      <c r="BN106" s="46" t="str">
        <f t="shared" ref="BN106:BN154" ca="1" si="93">IF(BM106&lt;&gt;0,TEXT(TODAY(),"DD.MM.AAAA"),"")</f>
        <v>28.04.2022</v>
      </c>
      <c r="BO106" s="49" t="str">
        <f t="shared" ref="BO106:BO154" si="94">G106</f>
        <v/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IF(IFERROR(INDEX(Consulta!$A:$DF,MATCH('MM01'!$B106,Consulta!$C:$C,0),'MM01'!BX$2),"")=0,"",IFERROR(INDEX(Consulta!$A:$DF,MATCH('MM01'!$B106,Consulta!$C:$C,0),'MM01'!BX$2),""))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ref="CC106:CC154" si="95">RIGHT(G106,3)</f>
        <v/>
      </c>
      <c r="CD106" s="45" t="s">
        <v>430</v>
      </c>
      <c r="CE106" s="45">
        <v>1</v>
      </c>
      <c r="CF106" s="45" t="s">
        <v>496</v>
      </c>
      <c r="CG106" s="45"/>
      <c r="CH106" s="44">
        <v>2</v>
      </c>
      <c r="CI106" s="49" t="str">
        <f t="shared" ref="CI106:CI154" si="96">H106</f>
        <v/>
      </c>
      <c r="CJ106" s="49" t="str">
        <f t="shared" ref="CJ106:CJ154" si="97">H106</f>
        <v/>
      </c>
      <c r="CK106" s="45"/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ref="CR106:CR154" si="98">"K00_P_"&amp;G106</f>
        <v>K00_P_</v>
      </c>
      <c r="CS106" s="45">
        <v>5000</v>
      </c>
      <c r="CT106" s="43" t="str">
        <f>IF(IFERROR(INDEX(Consulta!$A:$DF,MATCH('MM01'!$B106,Consulta!$C:$C,0),'MM01'!CT$2),"")=0,"",IFERROR(INDEX(Consulta!$A:$DF,MATCH('MM01'!$B106,Consulta!$C:$C,0),'MM01'!CT$2),""))</f>
        <v/>
      </c>
      <c r="CU106" s="43" t="str">
        <f>IF(IFERROR(INDEX(Consulta!$A:$DF,MATCH('MM01'!$B106,Consulta!$C:$C,0),'MM01'!CU$2),"")=0,"",IFERROR(INDEX(Consulta!$A:$DF,MATCH('MM01'!$B106,Consulta!$C:$C,0),'MM01'!CU$2),""))</f>
        <v/>
      </c>
      <c r="CV106" s="43" t="str">
        <f>IF(IFERROR(INDEX(Consulta!$A:$DF,MATCH('MM01'!$B106,Consulta!$C:$C,0),'MM01'!CV$2),"")=0,"",IFERROR(INDEX(Consulta!$A:$DF,MATCH('MM01'!$B106,Consulta!$C:$C,0),'MM01'!CV$2),""))</f>
        <v/>
      </c>
      <c r="CW106" s="43" t="str">
        <f>IF(IFERROR(INDEX(Consulta!$A:$DF,MATCH('MM01'!$B106,Consulta!$C:$C,0),'MM01'!CW$2),"")=0,"",IFERROR(INDEX(Consulta!$A:$DF,MATCH('MM01'!$B106,Consulta!$C:$C,0),'MM01'!CW$2),""))</f>
        <v/>
      </c>
      <c r="CX106" s="43" t="str">
        <f t="shared" ref="CX106:CX154" si="99">IF(OR(CT106="",CU106="",CV106="",CW106=""),"",CT106&amp;" / "&amp;CU106&amp;" / "&amp;CV106&amp;" / "&amp;CW106)</f>
        <v/>
      </c>
      <c r="CY106" s="43" t="str">
        <f t="shared" ref="CY106:CY154" si="100">IF(OR(D106="MFER",D106="KMAT"),"INITIAL",IF(OR(D106="FERT",D106="HAWZ"),"0000999999",""))</f>
        <v/>
      </c>
      <c r="CZ106" s="43" t="str">
        <f t="shared" ref="CZ106:CZ154" si="101">IF(OR(D106="MFER",D106="KMAT"),"INIT",IF(OR(D106="FERT",D106="HAWZ"),"999999",""))</f>
        <v/>
      </c>
      <c r="DA106" s="43" t="str">
        <f>IF(IFERROR(INDEX(Consulta!$A:$DF,MATCH('MM01'!$B106,Consulta!$C:$C,0),'MM01'!DA$2),"")=0,"",IFERROR(INDEX(Consulta!$A:$DF,MATCH('MM01'!$B106,Consulta!$C:$C,0),'MM01'!DA$2),""))</f>
        <v/>
      </c>
      <c r="DB106" s="43" t="str">
        <f t="shared" ref="DB106:DB154" si="102">IF(E106=0,"",E106)</f>
        <v/>
      </c>
      <c r="DC106" s="43" t="str">
        <f>IF(IFERROR(INDEX(Consulta!$A:$DF,MATCH('MM01'!$B106,Consulta!$C:$C,0),'MM01'!DC$2),"")=0,"",IFERROR(INDEX(Consulta!$A:$DF,MATCH('MM01'!$B106,Consulta!$C:$C,0),'MM01'!DC$2),""))</f>
        <v/>
      </c>
      <c r="DD106" s="45">
        <v>0</v>
      </c>
      <c r="DE106" s="45">
        <v>0</v>
      </c>
      <c r="DF106" s="43" t="str">
        <f t="shared" ref="DF106:DF154" si="103">IFERROR(ROUND(AW106,2),"")</f>
        <v/>
      </c>
      <c r="DG106" s="43">
        <f t="shared" ref="DG106:DG154" si="104">IF(DH106&lt;&gt;0,1,"")</f>
        <v>1</v>
      </c>
      <c r="DH106" s="55" t="s">
        <v>747</v>
      </c>
      <c r="DI106" s="43" t="str">
        <f t="shared" ref="DI106:DI154" ca="1" si="105">IF(DH106&lt;&gt;0,TEXT(TODAY(),"dd.mm.aaaa"),"")</f>
        <v>28.04.2022</v>
      </c>
      <c r="DJ106" s="43" t="str">
        <f t="shared" ref="DJ106:DJ154" si="106">IF(DH106&lt;&gt;0,"31.12.9999","")</f>
        <v>31.12.9999</v>
      </c>
      <c r="DK106" s="43" t="str">
        <f t="shared" ref="DK106:DK154" si="107">IF(DL106&lt;&gt;0,2,"")</f>
        <v/>
      </c>
      <c r="DL106" s="55"/>
      <c r="DM106" s="43" t="str">
        <f t="shared" ref="DM106:DM154" ca="1" si="108">IF(DL106&lt;&gt;0,TEXT(TODAY(),"dd.mm.aaaa"),"")</f>
        <v/>
      </c>
      <c r="DN106" s="43" t="str">
        <f t="shared" ref="DN106:DN154" si="109">IF(DL106&lt;&gt;0,"31.12.9999","")</f>
        <v/>
      </c>
      <c r="DO106" s="43" t="str">
        <f t="shared" ref="DO106:DO154" si="110">IF(DP106&lt;&gt;0,3,"")</f>
        <v/>
      </c>
      <c r="DP106" s="55"/>
      <c r="DQ106" s="43" t="str">
        <f t="shared" ref="DQ106:DQ154" ca="1" si="111">IF(DP106&lt;&gt;0,TEXT(TODAY(),"dd.mm.aaaa"),"")</f>
        <v/>
      </c>
      <c r="DR106" s="43" t="str">
        <f t="shared" ref="DR106:DR154" si="112">IF(DP106&lt;&gt;0,"31.12.9999","")</f>
        <v/>
      </c>
      <c r="DS106" s="43" t="str">
        <f t="shared" ref="DS106:DS154" si="113">IF(DT106&lt;&gt;0,4,"")</f>
        <v/>
      </c>
      <c r="DT106" s="55"/>
      <c r="DU106" s="43" t="str">
        <f t="shared" ref="DU106:DU154" ca="1" si="114">IF(DT106&lt;&gt;0,TEXT(TODAY(),"dd.mm.aaaa"),"")</f>
        <v/>
      </c>
      <c r="DV106" s="43" t="str">
        <f t="shared" ref="DV106:DV154" si="115">IF(DT106&lt;&gt;0,"31.12.9999","")</f>
        <v/>
      </c>
      <c r="DX106" s="44">
        <v>1</v>
      </c>
      <c r="DY106" s="44" t="s">
        <v>774</v>
      </c>
      <c r="DZ106" s="43">
        <f t="shared" ref="DZ106:DZ154" si="116">IF(OR(AO106="M",AO106="KG"),0.01,1)</f>
        <v>0.01</v>
      </c>
      <c r="EA106" s="43" t="str">
        <f t="shared" ref="EA106:EA154" si="117">AO106</f>
        <v>M</v>
      </c>
      <c r="EB106" s="43" t="str">
        <f>IF(IFERROR(INDEX(Consulta!$A:$DF,MATCH('MM01'!$B106,Consulta!$C:$C,0),'MM01'!EB$2),"")=0,"7925",IF(IFERROR(INDEX(Consulta!$A:$DF,MATCH('MM01'!$B106,Consulta!$C:$C,0),'MM01'!EB$2),"")="68","7910","7925"))</f>
        <v>7925</v>
      </c>
      <c r="EC106" s="44">
        <v>100</v>
      </c>
      <c r="ED106" s="60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867</v>
      </c>
      <c r="EI106" s="45">
        <v>0</v>
      </c>
      <c r="EJ106" s="43">
        <f t="shared" ref="EJ106:EJ154" si="119">CS106</f>
        <v>5000</v>
      </c>
      <c r="EK106" s="65"/>
    </row>
    <row r="107" spans="1:141" x14ac:dyDescent="0.3">
      <c r="A107" s="7" t="str">
        <f t="shared" si="80"/>
        <v>Execução 103</v>
      </c>
      <c r="B107" s="42"/>
      <c r="C107" s="43" t="str">
        <f>IF(IFERROR(INDEX(Consulta!$A:$DF,MATCH('MM01'!$B107,Consulta!$C:$C,0),'MM01'!C$2),"")=0,"",IFERROR(INDEX(Consulta!$A:$DF,MATCH('MM01'!$B107,Consulta!$C:$C,0),'MM01'!C$2),""))</f>
        <v/>
      </c>
      <c r="D107" s="43" t="str">
        <f>IF(IFERROR(INDEX(Consulta!$A:$DF,MATCH('MM01'!$B107,Consulta!$C:$C,0),'MM01'!D$2),"")=0,"",IFERROR(INDEX(Consulta!$A:$DF,MATCH('MM01'!$B107,Consulta!$C:$C,0),'MM01'!D$2),""))</f>
        <v/>
      </c>
      <c r="E107" s="43" t="str">
        <f>IF(IFERROR(INDEX(Consulta!$A:$DF,MATCH('MM01'!$B107,Consulta!$C:$C,0),'MM01'!E$2),"")=0,"",IFERROR(INDEX(Consulta!$A:$DF,MATCH('MM01'!$B107,Consulta!$C:$C,0),'MM01'!E$2),""))</f>
        <v/>
      </c>
      <c r="F107" s="44" t="s">
        <v>100</v>
      </c>
      <c r="G107" s="49" t="str">
        <f>IF(IFERROR(INDEX(Consulta!$A:$DF,MATCH('MM01'!$B107,Consulta!$C:$C,0),'MM01'!G$2),"")=0,"",IFERROR(INDEX(Consulta!$A:$DF,MATCH('MM01'!$B107,Consulta!$C:$C,0),'MM01'!G$2),""))</f>
        <v/>
      </c>
      <c r="H107" s="49" t="str">
        <f>IF(IFERROR(INDEX(Consulta!$A:$DF,MATCH('MM01'!$B107,Consulta!$C:$C,0),'MM01'!H$2),"")=0,"",IFERROR(INDEX(Consulta!$A:$DF,MATCH('MM01'!$B107,Consulta!$C:$C,0),'MM01'!H$2),""))</f>
        <v/>
      </c>
      <c r="I107" s="49" t="str">
        <f t="shared" si="81"/>
        <v/>
      </c>
      <c r="J107" s="49" t="str">
        <f>IF(IFERROR(INDEX(Consulta!$A:$DF,MATCH('MM01'!$B107,Consulta!$C:$C,0),'MM01'!J$2),"")=0,"",IFERROR(INDEX(Consulta!$A:$DF,MATCH('MM01'!$B107,Consulta!$C:$C,0),'MM01'!J$2),""))</f>
        <v/>
      </c>
      <c r="K107" s="49" t="str">
        <f t="shared" si="82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IF(IFERROR(INDEX(Consulta!$A:$DF,MATCH('MM01'!$B107,Consulta!$C:$C,0),'MM01'!AP$2),"")=0,"",IFERROR(INDEX(Consulta!$A:$DF,MATCH('MM01'!$B107,Consulta!$C:$C,0),'MM01'!AP$2),""))</f>
        <v/>
      </c>
      <c r="AQ107" s="45"/>
      <c r="AR107" s="43" t="str">
        <f>IF(IFERROR(INDEX(Consulta!$A:$DF,MATCH('MM01'!$B107,Consulta!$C:$C,0),'MM01'!AR$2),"")=0,"",IFERROR(INDEX(Consulta!$A:$DF,MATCH('MM01'!$B107,Consulta!$C:$C,0),'MM01'!AR$2),""))</f>
        <v/>
      </c>
      <c r="AS107" s="43" t="str">
        <f>IF(IFERROR(INDEX(Consulta!$A:$DF,MATCH('MM01'!$B107,Consulta!$C:$C,0),'MM01'!AS$2),"")=0,"",IF(AR107="68",5102,IFERROR(INDEX(Consulta!$A:$DF,MATCH('MM01'!$B107,Consulta!$C:$C,0),'MM01'!AS$2),"")))</f>
        <v/>
      </c>
      <c r="AT107" s="45"/>
      <c r="AU107" s="46" t="str">
        <f t="shared" ca="1" si="83"/>
        <v/>
      </c>
      <c r="AV107" s="47" t="s">
        <v>796</v>
      </c>
      <c r="AW107" s="43" t="str">
        <f>IF(IFERROR(INDEX(Consulta!$A:$DF,MATCH('MM01'!$B107,Consulta!$C:$C,0),'MM01'!AW$2),"")=0,"",IFERROR(ROUND(INDEX(Consulta!$A:$DF,MATCH('MM01'!$B107,Consulta!$C:$C,0),'MM01'!AW$2),3),""))</f>
        <v/>
      </c>
      <c r="AX107" s="43" t="str">
        <f t="shared" si="84"/>
        <v/>
      </c>
      <c r="AY107" s="48" t="s">
        <v>299</v>
      </c>
      <c r="AZ107" s="48"/>
      <c r="BA107" s="43" t="str">
        <f>IF(IFERROR(INDEX(Consulta!$A:$DF,MATCH('MM01'!$B107,Consulta!$C:$C,0),'MM01'!BA$2),"")=0,"",IFERROR(INDEX(Consulta!$A:$DF,MATCH('MM01'!$B107,Consulta!$C:$C,0),'MM01'!BA$2),""))</f>
        <v/>
      </c>
      <c r="BB107" s="43" t="str">
        <f t="shared" si="85"/>
        <v/>
      </c>
      <c r="BC107" s="43" t="str">
        <f t="shared" si="86"/>
        <v/>
      </c>
      <c r="BD107" s="43" t="str">
        <f t="shared" si="87"/>
        <v/>
      </c>
      <c r="BE107" s="43" t="str">
        <f t="shared" si="88"/>
        <v>M</v>
      </c>
      <c r="BF107" s="43" t="str">
        <f t="shared" si="89"/>
        <v/>
      </c>
      <c r="BG107" s="43" t="str">
        <f t="shared" si="90"/>
        <v/>
      </c>
      <c r="BH107" s="43" t="str">
        <f t="shared" si="91"/>
        <v/>
      </c>
      <c r="BI107" s="43" t="str">
        <f t="shared" si="92"/>
        <v>M</v>
      </c>
      <c r="BK107" s="45" t="s">
        <v>324</v>
      </c>
      <c r="BL107" s="43" t="str">
        <f>IF(IFERROR(INDEX(Consulta!$A:$DF,MATCH('MM01'!$B107,Consulta!$C:$C,0),'MM01'!BL$2),"")=0,"",IFERROR(INDEX(Consulta!$A:$DF,MATCH('MM01'!$B107,Consulta!$C:$C,0),'MM01'!BL$2),""))</f>
        <v/>
      </c>
      <c r="BM107" s="45">
        <v>99</v>
      </c>
      <c r="BN107" s="46" t="str">
        <f t="shared" ca="1" si="93"/>
        <v>28.04.2022</v>
      </c>
      <c r="BO107" s="49" t="str">
        <f t="shared" si="94"/>
        <v/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IF(IFERROR(INDEX(Consulta!$A:$DF,MATCH('MM01'!$B107,Consulta!$C:$C,0),'MM01'!BX$2),"")=0,"",IFERROR(INDEX(Consulta!$A:$DF,MATCH('MM01'!$B107,Consulta!$C:$C,0),'MM01'!BX$2),""))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95"/>
        <v/>
      </c>
      <c r="CD107" s="45" t="s">
        <v>430</v>
      </c>
      <c r="CE107" s="45">
        <v>1</v>
      </c>
      <c r="CF107" s="45" t="s">
        <v>496</v>
      </c>
      <c r="CG107" s="45"/>
      <c r="CH107" s="44">
        <v>2</v>
      </c>
      <c r="CI107" s="49" t="str">
        <f t="shared" si="96"/>
        <v/>
      </c>
      <c r="CJ107" s="49" t="str">
        <f t="shared" si="97"/>
        <v/>
      </c>
      <c r="CK107" s="45"/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8"/>
        <v>K00_P_</v>
      </c>
      <c r="CS107" s="45">
        <v>5000</v>
      </c>
      <c r="CT107" s="43" t="str">
        <f>IF(IFERROR(INDEX(Consulta!$A:$DF,MATCH('MM01'!$B107,Consulta!$C:$C,0),'MM01'!CT$2),"")=0,"",IFERROR(INDEX(Consulta!$A:$DF,MATCH('MM01'!$B107,Consulta!$C:$C,0),'MM01'!CT$2),""))</f>
        <v/>
      </c>
      <c r="CU107" s="43" t="str">
        <f>IF(IFERROR(INDEX(Consulta!$A:$DF,MATCH('MM01'!$B107,Consulta!$C:$C,0),'MM01'!CU$2),"")=0,"",IFERROR(INDEX(Consulta!$A:$DF,MATCH('MM01'!$B107,Consulta!$C:$C,0),'MM01'!CU$2),""))</f>
        <v/>
      </c>
      <c r="CV107" s="43" t="str">
        <f>IF(IFERROR(INDEX(Consulta!$A:$DF,MATCH('MM01'!$B107,Consulta!$C:$C,0),'MM01'!CV$2),"")=0,"",IFERROR(INDEX(Consulta!$A:$DF,MATCH('MM01'!$B107,Consulta!$C:$C,0),'MM01'!CV$2),""))</f>
        <v/>
      </c>
      <c r="CW107" s="43" t="str">
        <f>IF(IFERROR(INDEX(Consulta!$A:$DF,MATCH('MM01'!$B107,Consulta!$C:$C,0),'MM01'!CW$2),"")=0,"",IFERROR(INDEX(Consulta!$A:$DF,MATCH('MM01'!$B107,Consulta!$C:$C,0),'MM01'!CW$2),""))</f>
        <v/>
      </c>
      <c r="CX107" s="43" t="str">
        <f t="shared" si="99"/>
        <v/>
      </c>
      <c r="CY107" s="43" t="str">
        <f t="shared" si="100"/>
        <v/>
      </c>
      <c r="CZ107" s="43" t="str">
        <f t="shared" si="101"/>
        <v/>
      </c>
      <c r="DA107" s="43" t="str">
        <f>IF(IFERROR(INDEX(Consulta!$A:$DF,MATCH('MM01'!$B107,Consulta!$C:$C,0),'MM01'!DA$2),"")=0,"",IFERROR(INDEX(Consulta!$A:$DF,MATCH('MM01'!$B107,Consulta!$C:$C,0),'MM01'!DA$2),""))</f>
        <v/>
      </c>
      <c r="DB107" s="43" t="str">
        <f t="shared" si="102"/>
        <v/>
      </c>
      <c r="DC107" s="43" t="str">
        <f>IF(IFERROR(INDEX(Consulta!$A:$DF,MATCH('MM01'!$B107,Consulta!$C:$C,0),'MM01'!DC$2),"")=0,"",IFERROR(INDEX(Consulta!$A:$DF,MATCH('MM01'!$B107,Consulta!$C:$C,0),'MM01'!DC$2),""))</f>
        <v/>
      </c>
      <c r="DD107" s="45">
        <v>0</v>
      </c>
      <c r="DE107" s="45">
        <v>0</v>
      </c>
      <c r="DF107" s="43" t="str">
        <f t="shared" si="103"/>
        <v/>
      </c>
      <c r="DG107" s="43" t="str">
        <f t="shared" si="104"/>
        <v/>
      </c>
      <c r="DH107" s="55"/>
      <c r="DI107" s="43" t="str">
        <f t="shared" ca="1" si="105"/>
        <v/>
      </c>
      <c r="DJ107" s="43" t="str">
        <f t="shared" si="106"/>
        <v/>
      </c>
      <c r="DK107" s="43" t="str">
        <f t="shared" si="107"/>
        <v/>
      </c>
      <c r="DL107" s="55"/>
      <c r="DM107" s="43" t="str">
        <f t="shared" ca="1" si="108"/>
        <v/>
      </c>
      <c r="DN107" s="43" t="str">
        <f t="shared" si="109"/>
        <v/>
      </c>
      <c r="DO107" s="43" t="str">
        <f t="shared" si="110"/>
        <v/>
      </c>
      <c r="DP107" s="55"/>
      <c r="DQ107" s="43" t="str">
        <f t="shared" ca="1" si="111"/>
        <v/>
      </c>
      <c r="DR107" s="43" t="str">
        <f t="shared" si="112"/>
        <v/>
      </c>
      <c r="DS107" s="43" t="str">
        <f t="shared" si="113"/>
        <v/>
      </c>
      <c r="DT107" s="55"/>
      <c r="DU107" s="43" t="str">
        <f t="shared" ca="1" si="114"/>
        <v/>
      </c>
      <c r="DV107" s="43" t="str">
        <f t="shared" si="115"/>
        <v/>
      </c>
      <c r="DX107" s="44">
        <v>1</v>
      </c>
      <c r="DY107" s="44" t="s">
        <v>774</v>
      </c>
      <c r="DZ107" s="43">
        <f t="shared" si="116"/>
        <v>0.01</v>
      </c>
      <c r="EA107" s="43" t="str">
        <f t="shared" si="117"/>
        <v>M</v>
      </c>
      <c r="EB107" s="43" t="str">
        <f>IF(IFERROR(INDEX(Consulta!$A:$DF,MATCH('MM01'!$B107,Consulta!$C:$C,0),'MM01'!EB$2),"")=0,"7925",IF(IFERROR(INDEX(Consulta!$A:$DF,MATCH('MM01'!$B107,Consulta!$C:$C,0),'MM01'!EB$2),"")="68","7910","7925"))</f>
        <v>7925</v>
      </c>
      <c r="EC107" s="44">
        <v>100</v>
      </c>
      <c r="ED107" s="60">
        <v>1</v>
      </c>
      <c r="EE107" s="43">
        <f t="shared" si="118"/>
        <v>100</v>
      </c>
      <c r="EF107" s="44">
        <v>1</v>
      </c>
      <c r="EG107" s="44">
        <v>0</v>
      </c>
      <c r="EH107" s="44" t="s">
        <v>867</v>
      </c>
      <c r="EI107" s="45">
        <v>0</v>
      </c>
      <c r="EJ107" s="43">
        <f t="shared" si="119"/>
        <v>5000</v>
      </c>
      <c r="EK107" s="65"/>
    </row>
    <row r="108" spans="1:141" x14ac:dyDescent="0.3">
      <c r="A108" s="7" t="str">
        <f t="shared" si="80"/>
        <v>Execução 104</v>
      </c>
      <c r="B108" s="42"/>
      <c r="C108" s="43" t="str">
        <f>IF(IFERROR(INDEX(Consulta!$A:$DF,MATCH('MM01'!$B108,Consulta!$C:$C,0),'MM01'!C$2),"")=0,"",IFERROR(INDEX(Consulta!$A:$DF,MATCH('MM01'!$B108,Consulta!$C:$C,0),'MM01'!C$2),""))</f>
        <v/>
      </c>
      <c r="D108" s="43" t="str">
        <f>IF(IFERROR(INDEX(Consulta!$A:$DF,MATCH('MM01'!$B108,Consulta!$C:$C,0),'MM01'!D$2),"")=0,"",IFERROR(INDEX(Consulta!$A:$DF,MATCH('MM01'!$B108,Consulta!$C:$C,0),'MM01'!D$2),""))</f>
        <v/>
      </c>
      <c r="E108" s="43" t="str">
        <f>IF(IFERROR(INDEX(Consulta!$A:$DF,MATCH('MM01'!$B108,Consulta!$C:$C,0),'MM01'!E$2),"")=0,"",IFERROR(INDEX(Consulta!$A:$DF,MATCH('MM01'!$B108,Consulta!$C:$C,0),'MM01'!E$2),""))</f>
        <v/>
      </c>
      <c r="F108" s="44" t="s">
        <v>100</v>
      </c>
      <c r="G108" s="49" t="str">
        <f>IF(IFERROR(INDEX(Consulta!$A:$DF,MATCH('MM01'!$B108,Consulta!$C:$C,0),'MM01'!G$2),"")=0,"",IFERROR(INDEX(Consulta!$A:$DF,MATCH('MM01'!$B108,Consulta!$C:$C,0),'MM01'!G$2),""))</f>
        <v/>
      </c>
      <c r="H108" s="49" t="str">
        <f>IF(IFERROR(INDEX(Consulta!$A:$DF,MATCH('MM01'!$B108,Consulta!$C:$C,0),'MM01'!H$2),"")=0,"",IFERROR(INDEX(Consulta!$A:$DF,MATCH('MM01'!$B108,Consulta!$C:$C,0),'MM01'!H$2),""))</f>
        <v/>
      </c>
      <c r="I108" s="49" t="str">
        <f t="shared" si="81"/>
        <v/>
      </c>
      <c r="J108" s="49" t="str">
        <f>IF(IFERROR(INDEX(Consulta!$A:$DF,MATCH('MM01'!$B108,Consulta!$C:$C,0),'MM01'!J$2),"")=0,"",IFERROR(INDEX(Consulta!$A:$DF,MATCH('MM01'!$B108,Consulta!$C:$C,0),'MM01'!J$2),""))</f>
        <v/>
      </c>
      <c r="K108" s="49" t="str">
        <f t="shared" si="82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IF(IFERROR(INDEX(Consulta!$A:$DF,MATCH('MM01'!$B108,Consulta!$C:$C,0),'MM01'!AP$2),"")=0,"",IFERROR(INDEX(Consulta!$A:$DF,MATCH('MM01'!$B108,Consulta!$C:$C,0),'MM01'!AP$2),""))</f>
        <v/>
      </c>
      <c r="AQ108" s="45"/>
      <c r="AR108" s="43" t="str">
        <f>IF(IFERROR(INDEX(Consulta!$A:$DF,MATCH('MM01'!$B108,Consulta!$C:$C,0),'MM01'!AR$2),"")=0,"",IFERROR(INDEX(Consulta!$A:$DF,MATCH('MM01'!$B108,Consulta!$C:$C,0),'MM01'!AR$2),""))</f>
        <v/>
      </c>
      <c r="AS108" s="43" t="str">
        <f>IF(IFERROR(INDEX(Consulta!$A:$DF,MATCH('MM01'!$B108,Consulta!$C:$C,0),'MM01'!AS$2),"")=0,"",IF(AR108="68",5102,IFERROR(INDEX(Consulta!$A:$DF,MATCH('MM01'!$B108,Consulta!$C:$C,0),'MM01'!AS$2),"")))</f>
        <v/>
      </c>
      <c r="AT108" s="45"/>
      <c r="AU108" s="46" t="str">
        <f t="shared" ca="1" si="83"/>
        <v/>
      </c>
      <c r="AV108" s="47" t="s">
        <v>796</v>
      </c>
      <c r="AW108" s="43" t="str">
        <f>IF(IFERROR(INDEX(Consulta!$A:$DF,MATCH('MM01'!$B108,Consulta!$C:$C,0),'MM01'!AW$2),"")=0,"",IFERROR(ROUND(INDEX(Consulta!$A:$DF,MATCH('MM01'!$B108,Consulta!$C:$C,0),'MM01'!AW$2),3),""))</f>
        <v/>
      </c>
      <c r="AX108" s="43" t="str">
        <f t="shared" si="84"/>
        <v/>
      </c>
      <c r="AY108" s="48" t="s">
        <v>299</v>
      </c>
      <c r="AZ108" s="48"/>
      <c r="BA108" s="43" t="str">
        <f>IF(IFERROR(INDEX(Consulta!$A:$DF,MATCH('MM01'!$B108,Consulta!$C:$C,0),'MM01'!BA$2),"")=0,"",IFERROR(INDEX(Consulta!$A:$DF,MATCH('MM01'!$B108,Consulta!$C:$C,0),'MM01'!BA$2),""))</f>
        <v/>
      </c>
      <c r="BB108" s="43" t="str">
        <f t="shared" si="85"/>
        <v/>
      </c>
      <c r="BC108" s="43" t="str">
        <f t="shared" si="86"/>
        <v/>
      </c>
      <c r="BD108" s="43" t="str">
        <f t="shared" si="87"/>
        <v/>
      </c>
      <c r="BE108" s="43" t="str">
        <f t="shared" si="88"/>
        <v>M</v>
      </c>
      <c r="BF108" s="43" t="str">
        <f t="shared" si="89"/>
        <v/>
      </c>
      <c r="BG108" s="43" t="str">
        <f t="shared" si="90"/>
        <v/>
      </c>
      <c r="BH108" s="43" t="str">
        <f t="shared" si="91"/>
        <v/>
      </c>
      <c r="BI108" s="43" t="str">
        <f t="shared" si="92"/>
        <v>M</v>
      </c>
      <c r="BK108" s="45" t="s">
        <v>324</v>
      </c>
      <c r="BL108" s="43" t="str">
        <f>IF(IFERROR(INDEX(Consulta!$A:$DF,MATCH('MM01'!$B108,Consulta!$C:$C,0),'MM01'!BL$2),"")=0,"",IFERROR(INDEX(Consulta!$A:$DF,MATCH('MM01'!$B108,Consulta!$C:$C,0),'MM01'!BL$2),""))</f>
        <v/>
      </c>
      <c r="BM108" s="45">
        <v>99</v>
      </c>
      <c r="BN108" s="46" t="str">
        <f t="shared" ca="1" si="93"/>
        <v>28.04.2022</v>
      </c>
      <c r="BO108" s="49" t="str">
        <f t="shared" si="94"/>
        <v/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IF(IFERROR(INDEX(Consulta!$A:$DF,MATCH('MM01'!$B108,Consulta!$C:$C,0),'MM01'!BX$2),"")=0,"",IFERROR(INDEX(Consulta!$A:$DF,MATCH('MM01'!$B108,Consulta!$C:$C,0),'MM01'!BX$2),""))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95"/>
        <v/>
      </c>
      <c r="CD108" s="45" t="s">
        <v>430</v>
      </c>
      <c r="CE108" s="45">
        <v>1</v>
      </c>
      <c r="CF108" s="45" t="s">
        <v>496</v>
      </c>
      <c r="CG108" s="45"/>
      <c r="CH108" s="44">
        <v>2</v>
      </c>
      <c r="CI108" s="49" t="str">
        <f t="shared" si="96"/>
        <v/>
      </c>
      <c r="CJ108" s="49" t="str">
        <f t="shared" si="97"/>
        <v/>
      </c>
      <c r="CK108" s="45"/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8"/>
        <v>K00_P_</v>
      </c>
      <c r="CS108" s="45">
        <v>5000</v>
      </c>
      <c r="CT108" s="43" t="str">
        <f>IF(IFERROR(INDEX(Consulta!$A:$DF,MATCH('MM01'!$B108,Consulta!$C:$C,0),'MM01'!CT$2),"")=0,"",IFERROR(INDEX(Consulta!$A:$DF,MATCH('MM01'!$B108,Consulta!$C:$C,0),'MM01'!CT$2),""))</f>
        <v/>
      </c>
      <c r="CU108" s="43" t="str">
        <f>IF(IFERROR(INDEX(Consulta!$A:$DF,MATCH('MM01'!$B108,Consulta!$C:$C,0),'MM01'!CU$2),"")=0,"",IFERROR(INDEX(Consulta!$A:$DF,MATCH('MM01'!$B108,Consulta!$C:$C,0),'MM01'!CU$2),""))</f>
        <v/>
      </c>
      <c r="CV108" s="43" t="str">
        <f>IF(IFERROR(INDEX(Consulta!$A:$DF,MATCH('MM01'!$B108,Consulta!$C:$C,0),'MM01'!CV$2),"")=0,"",IFERROR(INDEX(Consulta!$A:$DF,MATCH('MM01'!$B108,Consulta!$C:$C,0),'MM01'!CV$2),""))</f>
        <v/>
      </c>
      <c r="CW108" s="43" t="str">
        <f>IF(IFERROR(INDEX(Consulta!$A:$DF,MATCH('MM01'!$B108,Consulta!$C:$C,0),'MM01'!CW$2),"")=0,"",IFERROR(INDEX(Consulta!$A:$DF,MATCH('MM01'!$B108,Consulta!$C:$C,0),'MM01'!CW$2),""))</f>
        <v/>
      </c>
      <c r="CX108" s="43" t="str">
        <f t="shared" si="99"/>
        <v/>
      </c>
      <c r="CY108" s="43" t="str">
        <f t="shared" si="100"/>
        <v/>
      </c>
      <c r="CZ108" s="43" t="str">
        <f t="shared" si="101"/>
        <v/>
      </c>
      <c r="DA108" s="43" t="str">
        <f>IF(IFERROR(INDEX(Consulta!$A:$DF,MATCH('MM01'!$B108,Consulta!$C:$C,0),'MM01'!DA$2),"")=0,"",IFERROR(INDEX(Consulta!$A:$DF,MATCH('MM01'!$B108,Consulta!$C:$C,0),'MM01'!DA$2),""))</f>
        <v/>
      </c>
      <c r="DB108" s="43" t="str">
        <f t="shared" si="102"/>
        <v/>
      </c>
      <c r="DC108" s="43" t="str">
        <f>IF(IFERROR(INDEX(Consulta!$A:$DF,MATCH('MM01'!$B108,Consulta!$C:$C,0),'MM01'!DC$2),"")=0,"",IFERROR(INDEX(Consulta!$A:$DF,MATCH('MM01'!$B108,Consulta!$C:$C,0),'MM01'!DC$2),""))</f>
        <v/>
      </c>
      <c r="DD108" s="45">
        <v>0</v>
      </c>
      <c r="DE108" s="45">
        <v>0</v>
      </c>
      <c r="DF108" s="43" t="str">
        <f t="shared" si="103"/>
        <v/>
      </c>
      <c r="DG108" s="43" t="str">
        <f t="shared" si="104"/>
        <v/>
      </c>
      <c r="DH108" s="55"/>
      <c r="DI108" s="43" t="str">
        <f t="shared" ca="1" si="105"/>
        <v/>
      </c>
      <c r="DJ108" s="43" t="str">
        <f t="shared" si="106"/>
        <v/>
      </c>
      <c r="DK108" s="43" t="str">
        <f t="shared" si="107"/>
        <v/>
      </c>
      <c r="DL108" s="55"/>
      <c r="DM108" s="43" t="str">
        <f t="shared" ca="1" si="108"/>
        <v/>
      </c>
      <c r="DN108" s="43" t="str">
        <f t="shared" si="109"/>
        <v/>
      </c>
      <c r="DO108" s="43" t="str">
        <f t="shared" si="110"/>
        <v/>
      </c>
      <c r="DP108" s="55"/>
      <c r="DQ108" s="43" t="str">
        <f t="shared" ca="1" si="111"/>
        <v/>
      </c>
      <c r="DR108" s="43" t="str">
        <f t="shared" si="112"/>
        <v/>
      </c>
      <c r="DS108" s="43" t="str">
        <f t="shared" si="113"/>
        <v/>
      </c>
      <c r="DT108" s="55"/>
      <c r="DU108" s="43" t="str">
        <f t="shared" ca="1" si="114"/>
        <v/>
      </c>
      <c r="DV108" s="43" t="str">
        <f t="shared" si="115"/>
        <v/>
      </c>
      <c r="DX108" s="44">
        <v>1</v>
      </c>
      <c r="DY108" s="44" t="s">
        <v>774</v>
      </c>
      <c r="DZ108" s="43">
        <f t="shared" si="116"/>
        <v>0.01</v>
      </c>
      <c r="EA108" s="43" t="str">
        <f t="shared" si="117"/>
        <v>M</v>
      </c>
      <c r="EB108" s="43" t="str">
        <f>IF(IFERROR(INDEX(Consulta!$A:$DF,MATCH('MM01'!$B108,Consulta!$C:$C,0),'MM01'!EB$2),"")=0,"7925",IF(IFERROR(INDEX(Consulta!$A:$DF,MATCH('MM01'!$B108,Consulta!$C:$C,0),'MM01'!EB$2),"")="68","7910","7925"))</f>
        <v>7925</v>
      </c>
      <c r="EC108" s="44">
        <v>100</v>
      </c>
      <c r="ED108" s="60">
        <v>1</v>
      </c>
      <c r="EE108" s="43">
        <f t="shared" si="118"/>
        <v>100</v>
      </c>
      <c r="EF108" s="44">
        <v>1</v>
      </c>
      <c r="EG108" s="44">
        <v>0</v>
      </c>
      <c r="EH108" s="44" t="s">
        <v>867</v>
      </c>
      <c r="EI108" s="45">
        <v>0</v>
      </c>
      <c r="EJ108" s="43">
        <f t="shared" si="119"/>
        <v>5000</v>
      </c>
      <c r="EK108" s="65"/>
    </row>
    <row r="109" spans="1:141" x14ac:dyDescent="0.3">
      <c r="A109" s="7" t="str">
        <f t="shared" si="80"/>
        <v>Execução 105</v>
      </c>
      <c r="B109" s="42"/>
      <c r="C109" s="43" t="str">
        <f>IF(IFERROR(INDEX(Consulta!$A:$DF,MATCH('MM01'!$B109,Consulta!$C:$C,0),'MM01'!C$2),"")=0,"",IFERROR(INDEX(Consulta!$A:$DF,MATCH('MM01'!$B109,Consulta!$C:$C,0),'MM01'!C$2),""))</f>
        <v/>
      </c>
      <c r="D109" s="43" t="str">
        <f>IF(IFERROR(INDEX(Consulta!$A:$DF,MATCH('MM01'!$B109,Consulta!$C:$C,0),'MM01'!D$2),"")=0,"",IFERROR(INDEX(Consulta!$A:$DF,MATCH('MM01'!$B109,Consulta!$C:$C,0),'MM01'!D$2),""))</f>
        <v/>
      </c>
      <c r="E109" s="43" t="str">
        <f>IF(IFERROR(INDEX(Consulta!$A:$DF,MATCH('MM01'!$B109,Consulta!$C:$C,0),'MM01'!E$2),"")=0,"",IFERROR(INDEX(Consulta!$A:$DF,MATCH('MM01'!$B109,Consulta!$C:$C,0),'MM01'!E$2),""))</f>
        <v/>
      </c>
      <c r="F109" s="44" t="s">
        <v>100</v>
      </c>
      <c r="G109" s="49" t="str">
        <f>IF(IFERROR(INDEX(Consulta!$A:$DF,MATCH('MM01'!$B109,Consulta!$C:$C,0),'MM01'!G$2),"")=0,"",IFERROR(INDEX(Consulta!$A:$DF,MATCH('MM01'!$B109,Consulta!$C:$C,0),'MM01'!G$2),""))</f>
        <v/>
      </c>
      <c r="H109" s="49" t="str">
        <f>IF(IFERROR(INDEX(Consulta!$A:$DF,MATCH('MM01'!$B109,Consulta!$C:$C,0),'MM01'!H$2),"")=0,"",IFERROR(INDEX(Consulta!$A:$DF,MATCH('MM01'!$B109,Consulta!$C:$C,0),'MM01'!H$2),""))</f>
        <v/>
      </c>
      <c r="I109" s="49" t="str">
        <f t="shared" si="81"/>
        <v/>
      </c>
      <c r="J109" s="49" t="str">
        <f>IF(IFERROR(INDEX(Consulta!$A:$DF,MATCH('MM01'!$B109,Consulta!$C:$C,0),'MM01'!J$2),"")=0,"",IFERROR(INDEX(Consulta!$A:$DF,MATCH('MM01'!$B109,Consulta!$C:$C,0),'MM01'!J$2),""))</f>
        <v/>
      </c>
      <c r="K109" s="49" t="str">
        <f t="shared" si="82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IF(IFERROR(INDEX(Consulta!$A:$DF,MATCH('MM01'!$B109,Consulta!$C:$C,0),'MM01'!AP$2),"")=0,"",IFERROR(INDEX(Consulta!$A:$DF,MATCH('MM01'!$B109,Consulta!$C:$C,0),'MM01'!AP$2),""))</f>
        <v/>
      </c>
      <c r="AQ109" s="45"/>
      <c r="AR109" s="43" t="str">
        <f>IF(IFERROR(INDEX(Consulta!$A:$DF,MATCH('MM01'!$B109,Consulta!$C:$C,0),'MM01'!AR$2),"")=0,"",IFERROR(INDEX(Consulta!$A:$DF,MATCH('MM01'!$B109,Consulta!$C:$C,0),'MM01'!AR$2),""))</f>
        <v/>
      </c>
      <c r="AS109" s="43" t="str">
        <f>IF(IFERROR(INDEX(Consulta!$A:$DF,MATCH('MM01'!$B109,Consulta!$C:$C,0),'MM01'!AS$2),"")=0,"",IF(AR109="68",5102,IFERROR(INDEX(Consulta!$A:$DF,MATCH('MM01'!$B109,Consulta!$C:$C,0),'MM01'!AS$2),"")))</f>
        <v/>
      </c>
      <c r="AT109" s="45"/>
      <c r="AU109" s="46" t="str">
        <f t="shared" ca="1" si="83"/>
        <v/>
      </c>
      <c r="AV109" s="47" t="s">
        <v>796</v>
      </c>
      <c r="AW109" s="43" t="str">
        <f>IF(IFERROR(INDEX(Consulta!$A:$DF,MATCH('MM01'!$B109,Consulta!$C:$C,0),'MM01'!AW$2),"")=0,"",IFERROR(ROUND(INDEX(Consulta!$A:$DF,MATCH('MM01'!$B109,Consulta!$C:$C,0),'MM01'!AW$2),3),""))</f>
        <v/>
      </c>
      <c r="AX109" s="43" t="str">
        <f t="shared" si="84"/>
        <v/>
      </c>
      <c r="AY109" s="48" t="s">
        <v>299</v>
      </c>
      <c r="AZ109" s="48"/>
      <c r="BA109" s="43" t="str">
        <f>IF(IFERROR(INDEX(Consulta!$A:$DF,MATCH('MM01'!$B109,Consulta!$C:$C,0),'MM01'!BA$2),"")=0,"",IFERROR(INDEX(Consulta!$A:$DF,MATCH('MM01'!$B109,Consulta!$C:$C,0),'MM01'!BA$2),""))</f>
        <v/>
      </c>
      <c r="BB109" s="43" t="str">
        <f t="shared" si="85"/>
        <v/>
      </c>
      <c r="BC109" s="43" t="str">
        <f t="shared" si="86"/>
        <v/>
      </c>
      <c r="BD109" s="43" t="str">
        <f t="shared" si="87"/>
        <v/>
      </c>
      <c r="BE109" s="43" t="str">
        <f t="shared" si="88"/>
        <v>M</v>
      </c>
      <c r="BF109" s="43" t="str">
        <f t="shared" si="89"/>
        <v/>
      </c>
      <c r="BG109" s="43" t="str">
        <f t="shared" si="90"/>
        <v/>
      </c>
      <c r="BH109" s="43" t="str">
        <f t="shared" si="91"/>
        <v/>
      </c>
      <c r="BI109" s="43" t="str">
        <f t="shared" si="92"/>
        <v>M</v>
      </c>
      <c r="BK109" s="45" t="s">
        <v>324</v>
      </c>
      <c r="BL109" s="43" t="str">
        <f>IF(IFERROR(INDEX(Consulta!$A:$DF,MATCH('MM01'!$B109,Consulta!$C:$C,0),'MM01'!BL$2),"")=0,"",IFERROR(INDEX(Consulta!$A:$DF,MATCH('MM01'!$B109,Consulta!$C:$C,0),'MM01'!BL$2),""))</f>
        <v/>
      </c>
      <c r="BM109" s="45">
        <v>99</v>
      </c>
      <c r="BN109" s="46" t="str">
        <f t="shared" ca="1" si="93"/>
        <v>28.04.2022</v>
      </c>
      <c r="BO109" s="49" t="str">
        <f t="shared" si="94"/>
        <v/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IF(IFERROR(INDEX(Consulta!$A:$DF,MATCH('MM01'!$B109,Consulta!$C:$C,0),'MM01'!BX$2),"")=0,"",IFERROR(INDEX(Consulta!$A:$DF,MATCH('MM01'!$B109,Consulta!$C:$C,0),'MM01'!BX$2),""))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95"/>
        <v/>
      </c>
      <c r="CD109" s="45" t="s">
        <v>430</v>
      </c>
      <c r="CE109" s="45">
        <v>1</v>
      </c>
      <c r="CF109" s="45" t="s">
        <v>496</v>
      </c>
      <c r="CG109" s="45"/>
      <c r="CH109" s="44">
        <v>2</v>
      </c>
      <c r="CI109" s="49" t="str">
        <f t="shared" si="96"/>
        <v/>
      </c>
      <c r="CJ109" s="49" t="str">
        <f t="shared" si="97"/>
        <v/>
      </c>
      <c r="CK109" s="45"/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8"/>
        <v>K00_P_</v>
      </c>
      <c r="CS109" s="45">
        <v>5000</v>
      </c>
      <c r="CT109" s="43" t="str">
        <f>IF(IFERROR(INDEX(Consulta!$A:$DF,MATCH('MM01'!$B109,Consulta!$C:$C,0),'MM01'!CT$2),"")=0,"",IFERROR(INDEX(Consulta!$A:$DF,MATCH('MM01'!$B109,Consulta!$C:$C,0),'MM01'!CT$2),""))</f>
        <v/>
      </c>
      <c r="CU109" s="43" t="str">
        <f>IF(IFERROR(INDEX(Consulta!$A:$DF,MATCH('MM01'!$B109,Consulta!$C:$C,0),'MM01'!CU$2),"")=0,"",IFERROR(INDEX(Consulta!$A:$DF,MATCH('MM01'!$B109,Consulta!$C:$C,0),'MM01'!CU$2),""))</f>
        <v/>
      </c>
      <c r="CV109" s="43" t="str">
        <f>IF(IFERROR(INDEX(Consulta!$A:$DF,MATCH('MM01'!$B109,Consulta!$C:$C,0),'MM01'!CV$2),"")=0,"",IFERROR(INDEX(Consulta!$A:$DF,MATCH('MM01'!$B109,Consulta!$C:$C,0),'MM01'!CV$2),""))</f>
        <v/>
      </c>
      <c r="CW109" s="43" t="str">
        <f>IF(IFERROR(INDEX(Consulta!$A:$DF,MATCH('MM01'!$B109,Consulta!$C:$C,0),'MM01'!CW$2),"")=0,"",IFERROR(INDEX(Consulta!$A:$DF,MATCH('MM01'!$B109,Consulta!$C:$C,0),'MM01'!CW$2),""))</f>
        <v/>
      </c>
      <c r="CX109" s="43" t="str">
        <f t="shared" si="99"/>
        <v/>
      </c>
      <c r="CY109" s="43" t="str">
        <f t="shared" si="100"/>
        <v/>
      </c>
      <c r="CZ109" s="43" t="str">
        <f t="shared" si="101"/>
        <v/>
      </c>
      <c r="DA109" s="43" t="str">
        <f>IF(IFERROR(INDEX(Consulta!$A:$DF,MATCH('MM01'!$B109,Consulta!$C:$C,0),'MM01'!DA$2),"")=0,"",IFERROR(INDEX(Consulta!$A:$DF,MATCH('MM01'!$B109,Consulta!$C:$C,0),'MM01'!DA$2),""))</f>
        <v/>
      </c>
      <c r="DB109" s="43" t="str">
        <f t="shared" si="102"/>
        <v/>
      </c>
      <c r="DC109" s="43" t="str">
        <f>IF(IFERROR(INDEX(Consulta!$A:$DF,MATCH('MM01'!$B109,Consulta!$C:$C,0),'MM01'!DC$2),"")=0,"",IFERROR(INDEX(Consulta!$A:$DF,MATCH('MM01'!$B109,Consulta!$C:$C,0),'MM01'!DC$2),""))</f>
        <v/>
      </c>
      <c r="DD109" s="45">
        <v>0</v>
      </c>
      <c r="DE109" s="45">
        <v>0</v>
      </c>
      <c r="DF109" s="43" t="str">
        <f t="shared" si="103"/>
        <v/>
      </c>
      <c r="DG109" s="43" t="str">
        <f t="shared" si="104"/>
        <v/>
      </c>
      <c r="DH109" s="55"/>
      <c r="DI109" s="43" t="str">
        <f t="shared" ca="1" si="105"/>
        <v/>
      </c>
      <c r="DJ109" s="43" t="str">
        <f t="shared" si="106"/>
        <v/>
      </c>
      <c r="DK109" s="43" t="str">
        <f t="shared" si="107"/>
        <v/>
      </c>
      <c r="DL109" s="55"/>
      <c r="DM109" s="43" t="str">
        <f t="shared" ca="1" si="108"/>
        <v/>
      </c>
      <c r="DN109" s="43" t="str">
        <f t="shared" si="109"/>
        <v/>
      </c>
      <c r="DO109" s="43" t="str">
        <f t="shared" si="110"/>
        <v/>
      </c>
      <c r="DP109" s="55"/>
      <c r="DQ109" s="43" t="str">
        <f t="shared" ca="1" si="111"/>
        <v/>
      </c>
      <c r="DR109" s="43" t="str">
        <f t="shared" si="112"/>
        <v/>
      </c>
      <c r="DS109" s="43" t="str">
        <f t="shared" si="113"/>
        <v/>
      </c>
      <c r="DT109" s="55"/>
      <c r="DU109" s="43" t="str">
        <f t="shared" ca="1" si="114"/>
        <v/>
      </c>
      <c r="DV109" s="43" t="str">
        <f t="shared" si="115"/>
        <v/>
      </c>
      <c r="DX109" s="44">
        <v>1</v>
      </c>
      <c r="DY109" s="44" t="s">
        <v>774</v>
      </c>
      <c r="DZ109" s="43">
        <f t="shared" si="116"/>
        <v>0.01</v>
      </c>
      <c r="EA109" s="43" t="str">
        <f t="shared" si="117"/>
        <v>M</v>
      </c>
      <c r="EB109" s="43" t="str">
        <f>IF(IFERROR(INDEX(Consulta!$A:$DF,MATCH('MM01'!$B109,Consulta!$C:$C,0),'MM01'!EB$2),"")=0,"7925",IF(IFERROR(INDEX(Consulta!$A:$DF,MATCH('MM01'!$B109,Consulta!$C:$C,0),'MM01'!EB$2),"")="68","7910","7925"))</f>
        <v>7925</v>
      </c>
      <c r="EC109" s="44">
        <v>100</v>
      </c>
      <c r="ED109" s="60">
        <v>1</v>
      </c>
      <c r="EE109" s="43">
        <f t="shared" si="118"/>
        <v>100</v>
      </c>
      <c r="EF109" s="44">
        <v>1</v>
      </c>
      <c r="EG109" s="44">
        <v>0</v>
      </c>
      <c r="EH109" s="44" t="s">
        <v>867</v>
      </c>
      <c r="EI109" s="45">
        <v>0</v>
      </c>
      <c r="EJ109" s="43">
        <f t="shared" si="119"/>
        <v>5000</v>
      </c>
      <c r="EK109" s="65"/>
    </row>
    <row r="110" spans="1:141" x14ac:dyDescent="0.3">
      <c r="A110" s="7" t="str">
        <f t="shared" si="80"/>
        <v>Execução 106</v>
      </c>
      <c r="B110" s="42"/>
      <c r="C110" s="43" t="str">
        <f>IF(IFERROR(INDEX(Consulta!$A:$DF,MATCH('MM01'!$B110,Consulta!$C:$C,0),'MM01'!C$2),"")=0,"",IFERROR(INDEX(Consulta!$A:$DF,MATCH('MM01'!$B110,Consulta!$C:$C,0),'MM01'!C$2),""))</f>
        <v/>
      </c>
      <c r="D110" s="43" t="str">
        <f>IF(IFERROR(INDEX(Consulta!$A:$DF,MATCH('MM01'!$B110,Consulta!$C:$C,0),'MM01'!D$2),"")=0,"",IFERROR(INDEX(Consulta!$A:$DF,MATCH('MM01'!$B110,Consulta!$C:$C,0),'MM01'!D$2),""))</f>
        <v/>
      </c>
      <c r="E110" s="43" t="str">
        <f>IF(IFERROR(INDEX(Consulta!$A:$DF,MATCH('MM01'!$B110,Consulta!$C:$C,0),'MM01'!E$2),"")=0,"",IFERROR(INDEX(Consulta!$A:$DF,MATCH('MM01'!$B110,Consulta!$C:$C,0),'MM01'!E$2),""))</f>
        <v/>
      </c>
      <c r="F110" s="44" t="s">
        <v>100</v>
      </c>
      <c r="G110" s="49" t="str">
        <f>IF(IFERROR(INDEX(Consulta!$A:$DF,MATCH('MM01'!$B110,Consulta!$C:$C,0),'MM01'!G$2),"")=0,"",IFERROR(INDEX(Consulta!$A:$DF,MATCH('MM01'!$B110,Consulta!$C:$C,0),'MM01'!G$2),""))</f>
        <v/>
      </c>
      <c r="H110" s="49" t="str">
        <f>IF(IFERROR(INDEX(Consulta!$A:$DF,MATCH('MM01'!$B110,Consulta!$C:$C,0),'MM01'!H$2),"")=0,"",IFERROR(INDEX(Consulta!$A:$DF,MATCH('MM01'!$B110,Consulta!$C:$C,0),'MM01'!H$2),""))</f>
        <v/>
      </c>
      <c r="I110" s="49" t="str">
        <f t="shared" si="81"/>
        <v/>
      </c>
      <c r="J110" s="49" t="str">
        <f>IF(IFERROR(INDEX(Consulta!$A:$DF,MATCH('MM01'!$B110,Consulta!$C:$C,0),'MM01'!J$2),"")=0,"",IFERROR(INDEX(Consulta!$A:$DF,MATCH('MM01'!$B110,Consulta!$C:$C,0),'MM01'!J$2),""))</f>
        <v/>
      </c>
      <c r="K110" s="49" t="str">
        <f t="shared" si="82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IF(IFERROR(INDEX(Consulta!$A:$DF,MATCH('MM01'!$B110,Consulta!$C:$C,0),'MM01'!AP$2),"")=0,"",IFERROR(INDEX(Consulta!$A:$DF,MATCH('MM01'!$B110,Consulta!$C:$C,0),'MM01'!AP$2),""))</f>
        <v/>
      </c>
      <c r="AQ110" s="45"/>
      <c r="AR110" s="43" t="str">
        <f>IF(IFERROR(INDEX(Consulta!$A:$DF,MATCH('MM01'!$B110,Consulta!$C:$C,0),'MM01'!AR$2),"")=0,"",IFERROR(INDEX(Consulta!$A:$DF,MATCH('MM01'!$B110,Consulta!$C:$C,0),'MM01'!AR$2),""))</f>
        <v/>
      </c>
      <c r="AS110" s="43" t="str">
        <f>IF(IFERROR(INDEX(Consulta!$A:$DF,MATCH('MM01'!$B110,Consulta!$C:$C,0),'MM01'!AS$2),"")=0,"",IF(AR110="68",5102,IFERROR(INDEX(Consulta!$A:$DF,MATCH('MM01'!$B110,Consulta!$C:$C,0),'MM01'!AS$2),"")))</f>
        <v/>
      </c>
      <c r="AT110" s="45"/>
      <c r="AU110" s="46" t="str">
        <f t="shared" ca="1" si="83"/>
        <v/>
      </c>
      <c r="AV110" s="47" t="s">
        <v>796</v>
      </c>
      <c r="AW110" s="43" t="str">
        <f>IF(IFERROR(INDEX(Consulta!$A:$DF,MATCH('MM01'!$B110,Consulta!$C:$C,0),'MM01'!AW$2),"")=0,"",IFERROR(ROUND(INDEX(Consulta!$A:$DF,MATCH('MM01'!$B110,Consulta!$C:$C,0),'MM01'!AW$2),3),""))</f>
        <v/>
      </c>
      <c r="AX110" s="43" t="str">
        <f t="shared" si="84"/>
        <v/>
      </c>
      <c r="AY110" s="48" t="s">
        <v>299</v>
      </c>
      <c r="AZ110" s="48"/>
      <c r="BA110" s="43" t="str">
        <f>IF(IFERROR(INDEX(Consulta!$A:$DF,MATCH('MM01'!$B110,Consulta!$C:$C,0),'MM01'!BA$2),"")=0,"",IFERROR(INDEX(Consulta!$A:$DF,MATCH('MM01'!$B110,Consulta!$C:$C,0),'MM01'!BA$2),""))</f>
        <v/>
      </c>
      <c r="BB110" s="43" t="str">
        <f t="shared" si="85"/>
        <v/>
      </c>
      <c r="BC110" s="43" t="str">
        <f t="shared" si="86"/>
        <v/>
      </c>
      <c r="BD110" s="43" t="str">
        <f t="shared" si="87"/>
        <v/>
      </c>
      <c r="BE110" s="43" t="str">
        <f t="shared" si="88"/>
        <v>M</v>
      </c>
      <c r="BF110" s="43" t="str">
        <f t="shared" si="89"/>
        <v/>
      </c>
      <c r="BG110" s="43" t="str">
        <f t="shared" si="90"/>
        <v/>
      </c>
      <c r="BH110" s="43" t="str">
        <f t="shared" si="91"/>
        <v/>
      </c>
      <c r="BI110" s="43" t="str">
        <f t="shared" si="92"/>
        <v>M</v>
      </c>
      <c r="BK110" s="45" t="s">
        <v>324</v>
      </c>
      <c r="BL110" s="43" t="str">
        <f>IF(IFERROR(INDEX(Consulta!$A:$DF,MATCH('MM01'!$B110,Consulta!$C:$C,0),'MM01'!BL$2),"")=0,"",IFERROR(INDEX(Consulta!$A:$DF,MATCH('MM01'!$B110,Consulta!$C:$C,0),'MM01'!BL$2),""))</f>
        <v/>
      </c>
      <c r="BM110" s="45">
        <v>99</v>
      </c>
      <c r="BN110" s="46" t="str">
        <f t="shared" ca="1" si="93"/>
        <v>28.04.2022</v>
      </c>
      <c r="BO110" s="49" t="str">
        <f t="shared" si="94"/>
        <v/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IF(IFERROR(INDEX(Consulta!$A:$DF,MATCH('MM01'!$B110,Consulta!$C:$C,0),'MM01'!BX$2),"")=0,"",IFERROR(INDEX(Consulta!$A:$DF,MATCH('MM01'!$B110,Consulta!$C:$C,0),'MM01'!BX$2),""))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95"/>
        <v/>
      </c>
      <c r="CD110" s="45" t="s">
        <v>430</v>
      </c>
      <c r="CE110" s="45">
        <v>1</v>
      </c>
      <c r="CF110" s="45" t="s">
        <v>496</v>
      </c>
      <c r="CG110" s="45"/>
      <c r="CH110" s="44">
        <v>2</v>
      </c>
      <c r="CI110" s="49" t="str">
        <f t="shared" si="96"/>
        <v/>
      </c>
      <c r="CJ110" s="49" t="str">
        <f t="shared" si="97"/>
        <v/>
      </c>
      <c r="CK110" s="45"/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8"/>
        <v>K00_P_</v>
      </c>
      <c r="CS110" s="45">
        <v>5000</v>
      </c>
      <c r="CT110" s="43" t="str">
        <f>IF(IFERROR(INDEX(Consulta!$A:$DF,MATCH('MM01'!$B110,Consulta!$C:$C,0),'MM01'!CT$2),"")=0,"",IFERROR(INDEX(Consulta!$A:$DF,MATCH('MM01'!$B110,Consulta!$C:$C,0),'MM01'!CT$2),""))</f>
        <v/>
      </c>
      <c r="CU110" s="43" t="str">
        <f>IF(IFERROR(INDEX(Consulta!$A:$DF,MATCH('MM01'!$B110,Consulta!$C:$C,0),'MM01'!CU$2),"")=0,"",IFERROR(INDEX(Consulta!$A:$DF,MATCH('MM01'!$B110,Consulta!$C:$C,0),'MM01'!CU$2),""))</f>
        <v/>
      </c>
      <c r="CV110" s="43" t="str">
        <f>IF(IFERROR(INDEX(Consulta!$A:$DF,MATCH('MM01'!$B110,Consulta!$C:$C,0),'MM01'!CV$2),"")=0,"",IFERROR(INDEX(Consulta!$A:$DF,MATCH('MM01'!$B110,Consulta!$C:$C,0),'MM01'!CV$2),""))</f>
        <v/>
      </c>
      <c r="CW110" s="43" t="str">
        <f>IF(IFERROR(INDEX(Consulta!$A:$DF,MATCH('MM01'!$B110,Consulta!$C:$C,0),'MM01'!CW$2),"")=0,"",IFERROR(INDEX(Consulta!$A:$DF,MATCH('MM01'!$B110,Consulta!$C:$C,0),'MM01'!CW$2),""))</f>
        <v/>
      </c>
      <c r="CX110" s="43" t="str">
        <f t="shared" si="99"/>
        <v/>
      </c>
      <c r="CY110" s="43" t="str">
        <f t="shared" si="100"/>
        <v/>
      </c>
      <c r="CZ110" s="43" t="str">
        <f t="shared" si="101"/>
        <v/>
      </c>
      <c r="DA110" s="43" t="str">
        <f>IF(IFERROR(INDEX(Consulta!$A:$DF,MATCH('MM01'!$B110,Consulta!$C:$C,0),'MM01'!DA$2),"")=0,"",IFERROR(INDEX(Consulta!$A:$DF,MATCH('MM01'!$B110,Consulta!$C:$C,0),'MM01'!DA$2),""))</f>
        <v/>
      </c>
      <c r="DB110" s="43" t="str">
        <f t="shared" si="102"/>
        <v/>
      </c>
      <c r="DC110" s="43" t="str">
        <f>IF(IFERROR(INDEX(Consulta!$A:$DF,MATCH('MM01'!$B110,Consulta!$C:$C,0),'MM01'!DC$2),"")=0,"",IFERROR(INDEX(Consulta!$A:$DF,MATCH('MM01'!$B110,Consulta!$C:$C,0),'MM01'!DC$2),""))</f>
        <v/>
      </c>
      <c r="DD110" s="45">
        <v>0</v>
      </c>
      <c r="DE110" s="45">
        <v>0</v>
      </c>
      <c r="DF110" s="43" t="str">
        <f t="shared" si="103"/>
        <v/>
      </c>
      <c r="DG110" s="43" t="str">
        <f t="shared" si="104"/>
        <v/>
      </c>
      <c r="DH110" s="55"/>
      <c r="DI110" s="43" t="str">
        <f t="shared" ca="1" si="105"/>
        <v/>
      </c>
      <c r="DJ110" s="43" t="str">
        <f t="shared" si="106"/>
        <v/>
      </c>
      <c r="DK110" s="43" t="str">
        <f t="shared" si="107"/>
        <v/>
      </c>
      <c r="DL110" s="55"/>
      <c r="DM110" s="43" t="str">
        <f t="shared" ca="1" si="108"/>
        <v/>
      </c>
      <c r="DN110" s="43" t="str">
        <f t="shared" si="109"/>
        <v/>
      </c>
      <c r="DO110" s="43" t="str">
        <f t="shared" si="110"/>
        <v/>
      </c>
      <c r="DP110" s="55"/>
      <c r="DQ110" s="43" t="str">
        <f t="shared" ca="1" si="111"/>
        <v/>
      </c>
      <c r="DR110" s="43" t="str">
        <f t="shared" si="112"/>
        <v/>
      </c>
      <c r="DS110" s="43" t="str">
        <f t="shared" si="113"/>
        <v/>
      </c>
      <c r="DT110" s="55"/>
      <c r="DU110" s="43" t="str">
        <f t="shared" ca="1" si="114"/>
        <v/>
      </c>
      <c r="DV110" s="43" t="str">
        <f t="shared" si="115"/>
        <v/>
      </c>
      <c r="DX110" s="44">
        <v>1</v>
      </c>
      <c r="DY110" s="44" t="s">
        <v>774</v>
      </c>
      <c r="DZ110" s="43">
        <f t="shared" si="116"/>
        <v>0.01</v>
      </c>
      <c r="EA110" s="43" t="str">
        <f t="shared" si="117"/>
        <v>M</v>
      </c>
      <c r="EB110" s="43" t="str">
        <f>IF(IFERROR(INDEX(Consulta!$A:$DF,MATCH('MM01'!$B110,Consulta!$C:$C,0),'MM01'!EB$2),"")=0,"7925",IF(IFERROR(INDEX(Consulta!$A:$DF,MATCH('MM01'!$B110,Consulta!$C:$C,0),'MM01'!EB$2),"")="68","7910","7925"))</f>
        <v>7925</v>
      </c>
      <c r="EC110" s="44">
        <v>100</v>
      </c>
      <c r="ED110" s="60">
        <v>1</v>
      </c>
      <c r="EE110" s="43">
        <f t="shared" si="118"/>
        <v>100</v>
      </c>
      <c r="EF110" s="44">
        <v>1</v>
      </c>
      <c r="EG110" s="44">
        <v>0</v>
      </c>
      <c r="EH110" s="44" t="s">
        <v>867</v>
      </c>
      <c r="EI110" s="45">
        <v>0</v>
      </c>
      <c r="EJ110" s="43">
        <f t="shared" si="119"/>
        <v>5000</v>
      </c>
      <c r="EK110" s="65"/>
    </row>
    <row r="111" spans="1:141" x14ac:dyDescent="0.3">
      <c r="A111" s="7" t="str">
        <f t="shared" si="80"/>
        <v>Execução 107</v>
      </c>
      <c r="B111" s="42"/>
      <c r="C111" s="43" t="str">
        <f>IF(IFERROR(INDEX(Consulta!$A:$DF,MATCH('MM01'!$B111,Consulta!$C:$C,0),'MM01'!C$2),"")=0,"",IFERROR(INDEX(Consulta!$A:$DF,MATCH('MM01'!$B111,Consulta!$C:$C,0),'MM01'!C$2),""))</f>
        <v/>
      </c>
      <c r="D111" s="43" t="str">
        <f>IF(IFERROR(INDEX(Consulta!$A:$DF,MATCH('MM01'!$B111,Consulta!$C:$C,0),'MM01'!D$2),"")=0,"",IFERROR(INDEX(Consulta!$A:$DF,MATCH('MM01'!$B111,Consulta!$C:$C,0),'MM01'!D$2),""))</f>
        <v/>
      </c>
      <c r="E111" s="43" t="str">
        <f>IF(IFERROR(INDEX(Consulta!$A:$DF,MATCH('MM01'!$B111,Consulta!$C:$C,0),'MM01'!E$2),"")=0,"",IFERROR(INDEX(Consulta!$A:$DF,MATCH('MM01'!$B111,Consulta!$C:$C,0),'MM01'!E$2),""))</f>
        <v/>
      </c>
      <c r="F111" s="44" t="s">
        <v>100</v>
      </c>
      <c r="G111" s="49" t="str">
        <f>IF(IFERROR(INDEX(Consulta!$A:$DF,MATCH('MM01'!$B111,Consulta!$C:$C,0),'MM01'!G$2),"")=0,"",IFERROR(INDEX(Consulta!$A:$DF,MATCH('MM01'!$B111,Consulta!$C:$C,0),'MM01'!G$2),""))</f>
        <v/>
      </c>
      <c r="H111" s="49" t="str">
        <f>IF(IFERROR(INDEX(Consulta!$A:$DF,MATCH('MM01'!$B111,Consulta!$C:$C,0),'MM01'!H$2),"")=0,"",IFERROR(INDEX(Consulta!$A:$DF,MATCH('MM01'!$B111,Consulta!$C:$C,0),'MM01'!H$2),""))</f>
        <v/>
      </c>
      <c r="I111" s="49" t="str">
        <f t="shared" si="81"/>
        <v/>
      </c>
      <c r="J111" s="49" t="str">
        <f>IF(IFERROR(INDEX(Consulta!$A:$DF,MATCH('MM01'!$B111,Consulta!$C:$C,0),'MM01'!J$2),"")=0,"",IFERROR(INDEX(Consulta!$A:$DF,MATCH('MM01'!$B111,Consulta!$C:$C,0),'MM01'!J$2),""))</f>
        <v/>
      </c>
      <c r="K111" s="49" t="str">
        <f t="shared" si="82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IF(IFERROR(INDEX(Consulta!$A:$DF,MATCH('MM01'!$B111,Consulta!$C:$C,0),'MM01'!AP$2),"")=0,"",IFERROR(INDEX(Consulta!$A:$DF,MATCH('MM01'!$B111,Consulta!$C:$C,0),'MM01'!AP$2),""))</f>
        <v/>
      </c>
      <c r="AQ111" s="45"/>
      <c r="AR111" s="43" t="str">
        <f>IF(IFERROR(INDEX(Consulta!$A:$DF,MATCH('MM01'!$B111,Consulta!$C:$C,0),'MM01'!AR$2),"")=0,"",IFERROR(INDEX(Consulta!$A:$DF,MATCH('MM01'!$B111,Consulta!$C:$C,0),'MM01'!AR$2),""))</f>
        <v/>
      </c>
      <c r="AS111" s="43" t="str">
        <f>IF(IFERROR(INDEX(Consulta!$A:$DF,MATCH('MM01'!$B111,Consulta!$C:$C,0),'MM01'!AS$2),"")=0,"",IF(AR111="68",5102,IFERROR(INDEX(Consulta!$A:$DF,MATCH('MM01'!$B111,Consulta!$C:$C,0),'MM01'!AS$2),"")))</f>
        <v/>
      </c>
      <c r="AT111" s="45"/>
      <c r="AU111" s="46" t="str">
        <f t="shared" ca="1" si="83"/>
        <v/>
      </c>
      <c r="AV111" s="47" t="s">
        <v>796</v>
      </c>
      <c r="AW111" s="43" t="str">
        <f>IF(IFERROR(INDEX(Consulta!$A:$DF,MATCH('MM01'!$B111,Consulta!$C:$C,0),'MM01'!AW$2),"")=0,"",IFERROR(ROUND(INDEX(Consulta!$A:$DF,MATCH('MM01'!$B111,Consulta!$C:$C,0),'MM01'!AW$2),3),""))</f>
        <v/>
      </c>
      <c r="AX111" s="43" t="str">
        <f t="shared" si="84"/>
        <v/>
      </c>
      <c r="AY111" s="48" t="s">
        <v>299</v>
      </c>
      <c r="AZ111" s="48"/>
      <c r="BA111" s="43" t="str">
        <f>IF(IFERROR(INDEX(Consulta!$A:$DF,MATCH('MM01'!$B111,Consulta!$C:$C,0),'MM01'!BA$2),"")=0,"",IFERROR(INDEX(Consulta!$A:$DF,MATCH('MM01'!$B111,Consulta!$C:$C,0),'MM01'!BA$2),""))</f>
        <v/>
      </c>
      <c r="BB111" s="43" t="str">
        <f t="shared" si="85"/>
        <v/>
      </c>
      <c r="BC111" s="43" t="str">
        <f t="shared" si="86"/>
        <v/>
      </c>
      <c r="BD111" s="43" t="str">
        <f t="shared" si="87"/>
        <v/>
      </c>
      <c r="BE111" s="43" t="str">
        <f t="shared" si="88"/>
        <v>M</v>
      </c>
      <c r="BF111" s="43" t="str">
        <f t="shared" si="89"/>
        <v/>
      </c>
      <c r="BG111" s="43" t="str">
        <f t="shared" si="90"/>
        <v/>
      </c>
      <c r="BH111" s="43" t="str">
        <f t="shared" si="91"/>
        <v/>
      </c>
      <c r="BI111" s="43" t="str">
        <f t="shared" si="92"/>
        <v>M</v>
      </c>
      <c r="BK111" s="45" t="s">
        <v>324</v>
      </c>
      <c r="BL111" s="43" t="str">
        <f>IF(IFERROR(INDEX(Consulta!$A:$DF,MATCH('MM01'!$B111,Consulta!$C:$C,0),'MM01'!BL$2),"")=0,"",IFERROR(INDEX(Consulta!$A:$DF,MATCH('MM01'!$B111,Consulta!$C:$C,0),'MM01'!BL$2),""))</f>
        <v/>
      </c>
      <c r="BM111" s="45">
        <v>99</v>
      </c>
      <c r="BN111" s="46" t="str">
        <f t="shared" ca="1" si="93"/>
        <v>28.04.2022</v>
      </c>
      <c r="BO111" s="49" t="str">
        <f t="shared" si="94"/>
        <v/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IF(IFERROR(INDEX(Consulta!$A:$DF,MATCH('MM01'!$B111,Consulta!$C:$C,0),'MM01'!BX$2),"")=0,"",IFERROR(INDEX(Consulta!$A:$DF,MATCH('MM01'!$B111,Consulta!$C:$C,0),'MM01'!BX$2),""))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95"/>
        <v/>
      </c>
      <c r="CD111" s="45" t="s">
        <v>430</v>
      </c>
      <c r="CE111" s="45">
        <v>1</v>
      </c>
      <c r="CF111" s="45" t="s">
        <v>496</v>
      </c>
      <c r="CG111" s="45"/>
      <c r="CH111" s="44">
        <v>2</v>
      </c>
      <c r="CI111" s="49" t="str">
        <f t="shared" si="96"/>
        <v/>
      </c>
      <c r="CJ111" s="49" t="str">
        <f t="shared" si="97"/>
        <v/>
      </c>
      <c r="CK111" s="45"/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8"/>
        <v>K00_P_</v>
      </c>
      <c r="CS111" s="45">
        <v>5000</v>
      </c>
      <c r="CT111" s="43" t="str">
        <f>IF(IFERROR(INDEX(Consulta!$A:$DF,MATCH('MM01'!$B111,Consulta!$C:$C,0),'MM01'!CT$2),"")=0,"",IFERROR(INDEX(Consulta!$A:$DF,MATCH('MM01'!$B111,Consulta!$C:$C,0),'MM01'!CT$2),""))</f>
        <v/>
      </c>
      <c r="CU111" s="43" t="str">
        <f>IF(IFERROR(INDEX(Consulta!$A:$DF,MATCH('MM01'!$B111,Consulta!$C:$C,0),'MM01'!CU$2),"")=0,"",IFERROR(INDEX(Consulta!$A:$DF,MATCH('MM01'!$B111,Consulta!$C:$C,0),'MM01'!CU$2),""))</f>
        <v/>
      </c>
      <c r="CV111" s="43" t="str">
        <f>IF(IFERROR(INDEX(Consulta!$A:$DF,MATCH('MM01'!$B111,Consulta!$C:$C,0),'MM01'!CV$2),"")=0,"",IFERROR(INDEX(Consulta!$A:$DF,MATCH('MM01'!$B111,Consulta!$C:$C,0),'MM01'!CV$2),""))</f>
        <v/>
      </c>
      <c r="CW111" s="43" t="str">
        <f>IF(IFERROR(INDEX(Consulta!$A:$DF,MATCH('MM01'!$B111,Consulta!$C:$C,0),'MM01'!CW$2),"")=0,"",IFERROR(INDEX(Consulta!$A:$DF,MATCH('MM01'!$B111,Consulta!$C:$C,0),'MM01'!CW$2),""))</f>
        <v/>
      </c>
      <c r="CX111" s="43" t="str">
        <f t="shared" si="99"/>
        <v/>
      </c>
      <c r="CY111" s="43" t="str">
        <f t="shared" si="100"/>
        <v/>
      </c>
      <c r="CZ111" s="43" t="str">
        <f t="shared" si="101"/>
        <v/>
      </c>
      <c r="DA111" s="43" t="str">
        <f>IF(IFERROR(INDEX(Consulta!$A:$DF,MATCH('MM01'!$B111,Consulta!$C:$C,0),'MM01'!DA$2),"")=0,"",IFERROR(INDEX(Consulta!$A:$DF,MATCH('MM01'!$B111,Consulta!$C:$C,0),'MM01'!DA$2),""))</f>
        <v/>
      </c>
      <c r="DB111" s="43" t="str">
        <f t="shared" si="102"/>
        <v/>
      </c>
      <c r="DC111" s="43" t="str">
        <f>IF(IFERROR(INDEX(Consulta!$A:$DF,MATCH('MM01'!$B111,Consulta!$C:$C,0),'MM01'!DC$2),"")=0,"",IFERROR(INDEX(Consulta!$A:$DF,MATCH('MM01'!$B111,Consulta!$C:$C,0),'MM01'!DC$2),""))</f>
        <v/>
      </c>
      <c r="DD111" s="45">
        <v>0</v>
      </c>
      <c r="DE111" s="45">
        <v>0</v>
      </c>
      <c r="DF111" s="43" t="str">
        <f t="shared" si="103"/>
        <v/>
      </c>
      <c r="DG111" s="43" t="str">
        <f t="shared" si="104"/>
        <v/>
      </c>
      <c r="DH111" s="55"/>
      <c r="DI111" s="43" t="str">
        <f t="shared" ca="1" si="105"/>
        <v/>
      </c>
      <c r="DJ111" s="43" t="str">
        <f t="shared" si="106"/>
        <v/>
      </c>
      <c r="DK111" s="43" t="str">
        <f t="shared" si="107"/>
        <v/>
      </c>
      <c r="DL111" s="55"/>
      <c r="DM111" s="43" t="str">
        <f t="shared" ca="1" si="108"/>
        <v/>
      </c>
      <c r="DN111" s="43" t="str">
        <f t="shared" si="109"/>
        <v/>
      </c>
      <c r="DO111" s="43" t="str">
        <f t="shared" si="110"/>
        <v/>
      </c>
      <c r="DP111" s="55"/>
      <c r="DQ111" s="43" t="str">
        <f t="shared" ca="1" si="111"/>
        <v/>
      </c>
      <c r="DR111" s="43" t="str">
        <f t="shared" si="112"/>
        <v/>
      </c>
      <c r="DS111" s="43" t="str">
        <f t="shared" si="113"/>
        <v/>
      </c>
      <c r="DT111" s="55"/>
      <c r="DU111" s="43" t="str">
        <f t="shared" ca="1" si="114"/>
        <v/>
      </c>
      <c r="DV111" s="43" t="str">
        <f t="shared" si="115"/>
        <v/>
      </c>
      <c r="DX111" s="44">
        <v>1</v>
      </c>
      <c r="DY111" s="44" t="s">
        <v>774</v>
      </c>
      <c r="DZ111" s="43">
        <f t="shared" si="116"/>
        <v>0.01</v>
      </c>
      <c r="EA111" s="43" t="str">
        <f t="shared" si="117"/>
        <v>M</v>
      </c>
      <c r="EB111" s="43" t="str">
        <f>IF(IFERROR(INDEX(Consulta!$A:$DF,MATCH('MM01'!$B111,Consulta!$C:$C,0),'MM01'!EB$2),"")=0,"7925",IF(IFERROR(INDEX(Consulta!$A:$DF,MATCH('MM01'!$B111,Consulta!$C:$C,0),'MM01'!EB$2),"")="68","7910","7925"))</f>
        <v>7925</v>
      </c>
      <c r="EC111" s="44">
        <v>100</v>
      </c>
      <c r="ED111" s="60">
        <v>1</v>
      </c>
      <c r="EE111" s="43">
        <f t="shared" si="118"/>
        <v>100</v>
      </c>
      <c r="EF111" s="44">
        <v>1</v>
      </c>
      <c r="EG111" s="44">
        <v>0</v>
      </c>
      <c r="EH111" s="44" t="s">
        <v>867</v>
      </c>
      <c r="EI111" s="45">
        <v>0</v>
      </c>
      <c r="EJ111" s="43">
        <f t="shared" si="119"/>
        <v>5000</v>
      </c>
      <c r="EK111" s="65"/>
    </row>
    <row r="112" spans="1:141" x14ac:dyDescent="0.3">
      <c r="A112" s="7" t="str">
        <f t="shared" si="80"/>
        <v>Execução 108</v>
      </c>
      <c r="B112" s="42"/>
      <c r="C112" s="43" t="str">
        <f>IF(IFERROR(INDEX(Consulta!$A:$DF,MATCH('MM01'!$B112,Consulta!$C:$C,0),'MM01'!C$2),"")=0,"",IFERROR(INDEX(Consulta!$A:$DF,MATCH('MM01'!$B112,Consulta!$C:$C,0),'MM01'!C$2),""))</f>
        <v/>
      </c>
      <c r="D112" s="43" t="str">
        <f>IF(IFERROR(INDEX(Consulta!$A:$DF,MATCH('MM01'!$B112,Consulta!$C:$C,0),'MM01'!D$2),"")=0,"",IFERROR(INDEX(Consulta!$A:$DF,MATCH('MM01'!$B112,Consulta!$C:$C,0),'MM01'!D$2),""))</f>
        <v/>
      </c>
      <c r="E112" s="43" t="str">
        <f>IF(IFERROR(INDEX(Consulta!$A:$DF,MATCH('MM01'!$B112,Consulta!$C:$C,0),'MM01'!E$2),"")=0,"",IFERROR(INDEX(Consulta!$A:$DF,MATCH('MM01'!$B112,Consulta!$C:$C,0),'MM01'!E$2),""))</f>
        <v/>
      </c>
      <c r="F112" s="44" t="s">
        <v>100</v>
      </c>
      <c r="G112" s="49" t="str">
        <f>IF(IFERROR(INDEX(Consulta!$A:$DF,MATCH('MM01'!$B112,Consulta!$C:$C,0),'MM01'!G$2),"")=0,"",IFERROR(INDEX(Consulta!$A:$DF,MATCH('MM01'!$B112,Consulta!$C:$C,0),'MM01'!G$2),""))</f>
        <v/>
      </c>
      <c r="H112" s="49" t="str">
        <f>IF(IFERROR(INDEX(Consulta!$A:$DF,MATCH('MM01'!$B112,Consulta!$C:$C,0),'MM01'!H$2),"")=0,"",IFERROR(INDEX(Consulta!$A:$DF,MATCH('MM01'!$B112,Consulta!$C:$C,0),'MM01'!H$2),""))</f>
        <v/>
      </c>
      <c r="I112" s="49" t="str">
        <f t="shared" si="81"/>
        <v/>
      </c>
      <c r="J112" s="49" t="str">
        <f>IF(IFERROR(INDEX(Consulta!$A:$DF,MATCH('MM01'!$B112,Consulta!$C:$C,0),'MM01'!J$2),"")=0,"",IFERROR(INDEX(Consulta!$A:$DF,MATCH('MM01'!$B112,Consulta!$C:$C,0),'MM01'!J$2),""))</f>
        <v/>
      </c>
      <c r="K112" s="49" t="str">
        <f t="shared" si="82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IF(IFERROR(INDEX(Consulta!$A:$DF,MATCH('MM01'!$B112,Consulta!$C:$C,0),'MM01'!AP$2),"")=0,"",IFERROR(INDEX(Consulta!$A:$DF,MATCH('MM01'!$B112,Consulta!$C:$C,0),'MM01'!AP$2),""))</f>
        <v/>
      </c>
      <c r="AQ112" s="45"/>
      <c r="AR112" s="43" t="str">
        <f>IF(IFERROR(INDEX(Consulta!$A:$DF,MATCH('MM01'!$B112,Consulta!$C:$C,0),'MM01'!AR$2),"")=0,"",IFERROR(INDEX(Consulta!$A:$DF,MATCH('MM01'!$B112,Consulta!$C:$C,0),'MM01'!AR$2),""))</f>
        <v/>
      </c>
      <c r="AS112" s="43" t="str">
        <f>IF(IFERROR(INDEX(Consulta!$A:$DF,MATCH('MM01'!$B112,Consulta!$C:$C,0),'MM01'!AS$2),"")=0,"",IF(AR112="68",5102,IFERROR(INDEX(Consulta!$A:$DF,MATCH('MM01'!$B112,Consulta!$C:$C,0),'MM01'!AS$2),"")))</f>
        <v/>
      </c>
      <c r="AT112" s="45"/>
      <c r="AU112" s="46" t="str">
        <f t="shared" ca="1" si="83"/>
        <v/>
      </c>
      <c r="AV112" s="47" t="s">
        <v>796</v>
      </c>
      <c r="AW112" s="43" t="str">
        <f>IF(IFERROR(INDEX(Consulta!$A:$DF,MATCH('MM01'!$B112,Consulta!$C:$C,0),'MM01'!AW$2),"")=0,"",IFERROR(ROUND(INDEX(Consulta!$A:$DF,MATCH('MM01'!$B112,Consulta!$C:$C,0),'MM01'!AW$2),3),""))</f>
        <v/>
      </c>
      <c r="AX112" s="43" t="str">
        <f t="shared" si="84"/>
        <v/>
      </c>
      <c r="AY112" s="48" t="s">
        <v>299</v>
      </c>
      <c r="AZ112" s="48"/>
      <c r="BA112" s="43" t="str">
        <f>IF(IFERROR(INDEX(Consulta!$A:$DF,MATCH('MM01'!$B112,Consulta!$C:$C,0),'MM01'!BA$2),"")=0,"",IFERROR(INDEX(Consulta!$A:$DF,MATCH('MM01'!$B112,Consulta!$C:$C,0),'MM01'!BA$2),""))</f>
        <v/>
      </c>
      <c r="BB112" s="43" t="str">
        <f t="shared" si="85"/>
        <v/>
      </c>
      <c r="BC112" s="43" t="str">
        <f t="shared" si="86"/>
        <v/>
      </c>
      <c r="BD112" s="43" t="str">
        <f t="shared" si="87"/>
        <v/>
      </c>
      <c r="BE112" s="43" t="str">
        <f t="shared" si="88"/>
        <v>M</v>
      </c>
      <c r="BF112" s="43" t="str">
        <f t="shared" si="89"/>
        <v/>
      </c>
      <c r="BG112" s="43" t="str">
        <f t="shared" si="90"/>
        <v/>
      </c>
      <c r="BH112" s="43" t="str">
        <f t="shared" si="91"/>
        <v/>
      </c>
      <c r="BI112" s="43" t="str">
        <f t="shared" si="92"/>
        <v>M</v>
      </c>
      <c r="BK112" s="45" t="s">
        <v>324</v>
      </c>
      <c r="BL112" s="43" t="str">
        <f>IF(IFERROR(INDEX(Consulta!$A:$DF,MATCH('MM01'!$B112,Consulta!$C:$C,0),'MM01'!BL$2),"")=0,"",IFERROR(INDEX(Consulta!$A:$DF,MATCH('MM01'!$B112,Consulta!$C:$C,0),'MM01'!BL$2),""))</f>
        <v/>
      </c>
      <c r="BM112" s="45">
        <v>99</v>
      </c>
      <c r="BN112" s="46" t="str">
        <f t="shared" ca="1" si="93"/>
        <v>28.04.2022</v>
      </c>
      <c r="BO112" s="49" t="str">
        <f t="shared" si="94"/>
        <v/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IF(IFERROR(INDEX(Consulta!$A:$DF,MATCH('MM01'!$B112,Consulta!$C:$C,0),'MM01'!BX$2),"")=0,"",IFERROR(INDEX(Consulta!$A:$DF,MATCH('MM01'!$B112,Consulta!$C:$C,0),'MM01'!BX$2),""))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95"/>
        <v/>
      </c>
      <c r="CD112" s="45" t="s">
        <v>430</v>
      </c>
      <c r="CE112" s="45">
        <v>1</v>
      </c>
      <c r="CF112" s="45" t="s">
        <v>496</v>
      </c>
      <c r="CG112" s="45"/>
      <c r="CH112" s="44">
        <v>2</v>
      </c>
      <c r="CI112" s="49" t="str">
        <f t="shared" si="96"/>
        <v/>
      </c>
      <c r="CJ112" s="49" t="str">
        <f t="shared" si="97"/>
        <v/>
      </c>
      <c r="CK112" s="45"/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8"/>
        <v>K00_P_</v>
      </c>
      <c r="CS112" s="45">
        <v>5000</v>
      </c>
      <c r="CT112" s="43" t="str">
        <f>IF(IFERROR(INDEX(Consulta!$A:$DF,MATCH('MM01'!$B112,Consulta!$C:$C,0),'MM01'!CT$2),"")=0,"",IFERROR(INDEX(Consulta!$A:$DF,MATCH('MM01'!$B112,Consulta!$C:$C,0),'MM01'!CT$2),""))</f>
        <v/>
      </c>
      <c r="CU112" s="43" t="str">
        <f>IF(IFERROR(INDEX(Consulta!$A:$DF,MATCH('MM01'!$B112,Consulta!$C:$C,0),'MM01'!CU$2),"")=0,"",IFERROR(INDEX(Consulta!$A:$DF,MATCH('MM01'!$B112,Consulta!$C:$C,0),'MM01'!CU$2),""))</f>
        <v/>
      </c>
      <c r="CV112" s="43" t="str">
        <f>IF(IFERROR(INDEX(Consulta!$A:$DF,MATCH('MM01'!$B112,Consulta!$C:$C,0),'MM01'!CV$2),"")=0,"",IFERROR(INDEX(Consulta!$A:$DF,MATCH('MM01'!$B112,Consulta!$C:$C,0),'MM01'!CV$2),""))</f>
        <v/>
      </c>
      <c r="CW112" s="43" t="str">
        <f>IF(IFERROR(INDEX(Consulta!$A:$DF,MATCH('MM01'!$B112,Consulta!$C:$C,0),'MM01'!CW$2),"")=0,"",IFERROR(INDEX(Consulta!$A:$DF,MATCH('MM01'!$B112,Consulta!$C:$C,0),'MM01'!CW$2),""))</f>
        <v/>
      </c>
      <c r="CX112" s="43" t="str">
        <f t="shared" si="99"/>
        <v/>
      </c>
      <c r="CY112" s="43" t="str">
        <f t="shared" si="100"/>
        <v/>
      </c>
      <c r="CZ112" s="43" t="str">
        <f t="shared" si="101"/>
        <v/>
      </c>
      <c r="DA112" s="43" t="str">
        <f>IF(IFERROR(INDEX(Consulta!$A:$DF,MATCH('MM01'!$B112,Consulta!$C:$C,0),'MM01'!DA$2),"")=0,"",IFERROR(INDEX(Consulta!$A:$DF,MATCH('MM01'!$B112,Consulta!$C:$C,0),'MM01'!DA$2),""))</f>
        <v/>
      </c>
      <c r="DB112" s="43" t="str">
        <f t="shared" si="102"/>
        <v/>
      </c>
      <c r="DC112" s="43" t="str">
        <f>IF(IFERROR(INDEX(Consulta!$A:$DF,MATCH('MM01'!$B112,Consulta!$C:$C,0),'MM01'!DC$2),"")=0,"",IFERROR(INDEX(Consulta!$A:$DF,MATCH('MM01'!$B112,Consulta!$C:$C,0),'MM01'!DC$2),""))</f>
        <v/>
      </c>
      <c r="DD112" s="45">
        <v>0</v>
      </c>
      <c r="DE112" s="45">
        <v>0</v>
      </c>
      <c r="DF112" s="43" t="str">
        <f t="shared" si="103"/>
        <v/>
      </c>
      <c r="DG112" s="43" t="str">
        <f t="shared" si="104"/>
        <v/>
      </c>
      <c r="DH112" s="55"/>
      <c r="DI112" s="43" t="str">
        <f t="shared" ca="1" si="105"/>
        <v/>
      </c>
      <c r="DJ112" s="43" t="str">
        <f t="shared" si="106"/>
        <v/>
      </c>
      <c r="DK112" s="43" t="str">
        <f t="shared" si="107"/>
        <v/>
      </c>
      <c r="DL112" s="55"/>
      <c r="DM112" s="43" t="str">
        <f t="shared" ca="1" si="108"/>
        <v/>
      </c>
      <c r="DN112" s="43" t="str">
        <f t="shared" si="109"/>
        <v/>
      </c>
      <c r="DO112" s="43" t="str">
        <f t="shared" si="110"/>
        <v/>
      </c>
      <c r="DP112" s="55"/>
      <c r="DQ112" s="43" t="str">
        <f t="shared" ca="1" si="111"/>
        <v/>
      </c>
      <c r="DR112" s="43" t="str">
        <f t="shared" si="112"/>
        <v/>
      </c>
      <c r="DS112" s="43" t="str">
        <f t="shared" si="113"/>
        <v/>
      </c>
      <c r="DT112" s="55"/>
      <c r="DU112" s="43" t="str">
        <f t="shared" ca="1" si="114"/>
        <v/>
      </c>
      <c r="DV112" s="43" t="str">
        <f t="shared" si="115"/>
        <v/>
      </c>
      <c r="DX112" s="44">
        <v>1</v>
      </c>
      <c r="DY112" s="44" t="s">
        <v>774</v>
      </c>
      <c r="DZ112" s="43">
        <f t="shared" si="116"/>
        <v>0.01</v>
      </c>
      <c r="EA112" s="43" t="str">
        <f t="shared" si="117"/>
        <v>M</v>
      </c>
      <c r="EB112" s="43" t="str">
        <f>IF(IFERROR(INDEX(Consulta!$A:$DF,MATCH('MM01'!$B112,Consulta!$C:$C,0),'MM01'!EB$2),"")=0,"7925",IF(IFERROR(INDEX(Consulta!$A:$DF,MATCH('MM01'!$B112,Consulta!$C:$C,0),'MM01'!EB$2),"")="68","7910","7925"))</f>
        <v>7925</v>
      </c>
      <c r="EC112" s="44">
        <v>100</v>
      </c>
      <c r="ED112" s="60">
        <v>1</v>
      </c>
      <c r="EE112" s="43">
        <f t="shared" si="118"/>
        <v>100</v>
      </c>
      <c r="EF112" s="44">
        <v>1</v>
      </c>
      <c r="EG112" s="44">
        <v>0</v>
      </c>
      <c r="EH112" s="44" t="s">
        <v>867</v>
      </c>
      <c r="EI112" s="45">
        <v>0</v>
      </c>
      <c r="EJ112" s="43">
        <f t="shared" si="119"/>
        <v>5000</v>
      </c>
      <c r="EK112" s="65"/>
    </row>
    <row r="113" spans="1:141" x14ac:dyDescent="0.3">
      <c r="A113" s="7" t="str">
        <f t="shared" si="80"/>
        <v>Execução 109</v>
      </c>
      <c r="B113" s="42"/>
      <c r="C113" s="43" t="str">
        <f>IF(IFERROR(INDEX(Consulta!$A:$DF,MATCH('MM01'!$B113,Consulta!$C:$C,0),'MM01'!C$2),"")=0,"",IFERROR(INDEX(Consulta!$A:$DF,MATCH('MM01'!$B113,Consulta!$C:$C,0),'MM01'!C$2),""))</f>
        <v/>
      </c>
      <c r="D113" s="43" t="str">
        <f>IF(IFERROR(INDEX(Consulta!$A:$DF,MATCH('MM01'!$B113,Consulta!$C:$C,0),'MM01'!D$2),"")=0,"",IFERROR(INDEX(Consulta!$A:$DF,MATCH('MM01'!$B113,Consulta!$C:$C,0),'MM01'!D$2),""))</f>
        <v/>
      </c>
      <c r="E113" s="43" t="str">
        <f>IF(IFERROR(INDEX(Consulta!$A:$DF,MATCH('MM01'!$B113,Consulta!$C:$C,0),'MM01'!E$2),"")=0,"",IFERROR(INDEX(Consulta!$A:$DF,MATCH('MM01'!$B113,Consulta!$C:$C,0),'MM01'!E$2),""))</f>
        <v/>
      </c>
      <c r="F113" s="44" t="s">
        <v>100</v>
      </c>
      <c r="G113" s="49" t="str">
        <f>IF(IFERROR(INDEX(Consulta!$A:$DF,MATCH('MM01'!$B113,Consulta!$C:$C,0),'MM01'!G$2),"")=0,"",IFERROR(INDEX(Consulta!$A:$DF,MATCH('MM01'!$B113,Consulta!$C:$C,0),'MM01'!G$2),""))</f>
        <v/>
      </c>
      <c r="H113" s="49" t="str">
        <f>IF(IFERROR(INDEX(Consulta!$A:$DF,MATCH('MM01'!$B113,Consulta!$C:$C,0),'MM01'!H$2),"")=0,"",IFERROR(INDEX(Consulta!$A:$DF,MATCH('MM01'!$B113,Consulta!$C:$C,0),'MM01'!H$2),""))</f>
        <v/>
      </c>
      <c r="I113" s="49" t="str">
        <f t="shared" si="81"/>
        <v/>
      </c>
      <c r="J113" s="49" t="str">
        <f>IF(IFERROR(INDEX(Consulta!$A:$DF,MATCH('MM01'!$B113,Consulta!$C:$C,0),'MM01'!J$2),"")=0,"",IFERROR(INDEX(Consulta!$A:$DF,MATCH('MM01'!$B113,Consulta!$C:$C,0),'MM01'!J$2),""))</f>
        <v/>
      </c>
      <c r="K113" s="49" t="str">
        <f t="shared" si="82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IF(IFERROR(INDEX(Consulta!$A:$DF,MATCH('MM01'!$B113,Consulta!$C:$C,0),'MM01'!AP$2),"")=0,"",IFERROR(INDEX(Consulta!$A:$DF,MATCH('MM01'!$B113,Consulta!$C:$C,0),'MM01'!AP$2),""))</f>
        <v/>
      </c>
      <c r="AQ113" s="45"/>
      <c r="AR113" s="43" t="str">
        <f>IF(IFERROR(INDEX(Consulta!$A:$DF,MATCH('MM01'!$B113,Consulta!$C:$C,0),'MM01'!AR$2),"")=0,"",IFERROR(INDEX(Consulta!$A:$DF,MATCH('MM01'!$B113,Consulta!$C:$C,0),'MM01'!AR$2),""))</f>
        <v/>
      </c>
      <c r="AS113" s="43" t="str">
        <f>IF(IFERROR(INDEX(Consulta!$A:$DF,MATCH('MM01'!$B113,Consulta!$C:$C,0),'MM01'!AS$2),"")=0,"",IF(AR113="68",5102,IFERROR(INDEX(Consulta!$A:$DF,MATCH('MM01'!$B113,Consulta!$C:$C,0),'MM01'!AS$2),"")))</f>
        <v/>
      </c>
      <c r="AT113" s="45"/>
      <c r="AU113" s="46" t="str">
        <f t="shared" ca="1" si="83"/>
        <v/>
      </c>
      <c r="AV113" s="47" t="s">
        <v>796</v>
      </c>
      <c r="AW113" s="43" t="str">
        <f>IF(IFERROR(INDEX(Consulta!$A:$DF,MATCH('MM01'!$B113,Consulta!$C:$C,0),'MM01'!AW$2),"")=0,"",IFERROR(ROUND(INDEX(Consulta!$A:$DF,MATCH('MM01'!$B113,Consulta!$C:$C,0),'MM01'!AW$2),3),""))</f>
        <v/>
      </c>
      <c r="AX113" s="43" t="str">
        <f t="shared" si="84"/>
        <v/>
      </c>
      <c r="AY113" s="48" t="s">
        <v>299</v>
      </c>
      <c r="AZ113" s="48"/>
      <c r="BA113" s="43" t="str">
        <f>IF(IFERROR(INDEX(Consulta!$A:$DF,MATCH('MM01'!$B113,Consulta!$C:$C,0),'MM01'!BA$2),"")=0,"",IFERROR(INDEX(Consulta!$A:$DF,MATCH('MM01'!$B113,Consulta!$C:$C,0),'MM01'!BA$2),""))</f>
        <v/>
      </c>
      <c r="BB113" s="43" t="str">
        <f t="shared" si="85"/>
        <v/>
      </c>
      <c r="BC113" s="43" t="str">
        <f t="shared" si="86"/>
        <v/>
      </c>
      <c r="BD113" s="43" t="str">
        <f t="shared" si="87"/>
        <v/>
      </c>
      <c r="BE113" s="43" t="str">
        <f t="shared" si="88"/>
        <v>M</v>
      </c>
      <c r="BF113" s="43" t="str">
        <f t="shared" si="89"/>
        <v/>
      </c>
      <c r="BG113" s="43" t="str">
        <f t="shared" si="90"/>
        <v/>
      </c>
      <c r="BH113" s="43" t="str">
        <f t="shared" si="91"/>
        <v/>
      </c>
      <c r="BI113" s="43" t="str">
        <f t="shared" si="92"/>
        <v>M</v>
      </c>
      <c r="BK113" s="45" t="s">
        <v>324</v>
      </c>
      <c r="BL113" s="43" t="str">
        <f>IF(IFERROR(INDEX(Consulta!$A:$DF,MATCH('MM01'!$B113,Consulta!$C:$C,0),'MM01'!BL$2),"")=0,"",IFERROR(INDEX(Consulta!$A:$DF,MATCH('MM01'!$B113,Consulta!$C:$C,0),'MM01'!BL$2),""))</f>
        <v/>
      </c>
      <c r="BM113" s="45">
        <v>99</v>
      </c>
      <c r="BN113" s="46" t="str">
        <f t="shared" ca="1" si="93"/>
        <v>28.04.2022</v>
      </c>
      <c r="BO113" s="49" t="str">
        <f t="shared" si="94"/>
        <v/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IF(IFERROR(INDEX(Consulta!$A:$DF,MATCH('MM01'!$B113,Consulta!$C:$C,0),'MM01'!BX$2),"")=0,"",IFERROR(INDEX(Consulta!$A:$DF,MATCH('MM01'!$B113,Consulta!$C:$C,0),'MM01'!BX$2),""))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95"/>
        <v/>
      </c>
      <c r="CD113" s="45" t="s">
        <v>430</v>
      </c>
      <c r="CE113" s="45">
        <v>1</v>
      </c>
      <c r="CF113" s="45" t="s">
        <v>496</v>
      </c>
      <c r="CG113" s="45"/>
      <c r="CH113" s="44">
        <v>2</v>
      </c>
      <c r="CI113" s="49" t="str">
        <f t="shared" si="96"/>
        <v/>
      </c>
      <c r="CJ113" s="49" t="str">
        <f t="shared" si="97"/>
        <v/>
      </c>
      <c r="CK113" s="45"/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8"/>
        <v>K00_P_</v>
      </c>
      <c r="CS113" s="45">
        <v>5000</v>
      </c>
      <c r="CT113" s="43" t="str">
        <f>IF(IFERROR(INDEX(Consulta!$A:$DF,MATCH('MM01'!$B113,Consulta!$C:$C,0),'MM01'!CT$2),"")=0,"",IFERROR(INDEX(Consulta!$A:$DF,MATCH('MM01'!$B113,Consulta!$C:$C,0),'MM01'!CT$2),""))</f>
        <v/>
      </c>
      <c r="CU113" s="43" t="str">
        <f>IF(IFERROR(INDEX(Consulta!$A:$DF,MATCH('MM01'!$B113,Consulta!$C:$C,0),'MM01'!CU$2),"")=0,"",IFERROR(INDEX(Consulta!$A:$DF,MATCH('MM01'!$B113,Consulta!$C:$C,0),'MM01'!CU$2),""))</f>
        <v/>
      </c>
      <c r="CV113" s="43" t="str">
        <f>IF(IFERROR(INDEX(Consulta!$A:$DF,MATCH('MM01'!$B113,Consulta!$C:$C,0),'MM01'!CV$2),"")=0,"",IFERROR(INDEX(Consulta!$A:$DF,MATCH('MM01'!$B113,Consulta!$C:$C,0),'MM01'!CV$2),""))</f>
        <v/>
      </c>
      <c r="CW113" s="43" t="str">
        <f>IF(IFERROR(INDEX(Consulta!$A:$DF,MATCH('MM01'!$B113,Consulta!$C:$C,0),'MM01'!CW$2),"")=0,"",IFERROR(INDEX(Consulta!$A:$DF,MATCH('MM01'!$B113,Consulta!$C:$C,0),'MM01'!CW$2),""))</f>
        <v/>
      </c>
      <c r="CX113" s="43" t="str">
        <f t="shared" si="99"/>
        <v/>
      </c>
      <c r="CY113" s="43" t="str">
        <f t="shared" si="100"/>
        <v/>
      </c>
      <c r="CZ113" s="43" t="str">
        <f t="shared" si="101"/>
        <v/>
      </c>
      <c r="DA113" s="43" t="str">
        <f>IF(IFERROR(INDEX(Consulta!$A:$DF,MATCH('MM01'!$B113,Consulta!$C:$C,0),'MM01'!DA$2),"")=0,"",IFERROR(INDEX(Consulta!$A:$DF,MATCH('MM01'!$B113,Consulta!$C:$C,0),'MM01'!DA$2),""))</f>
        <v/>
      </c>
      <c r="DB113" s="43" t="str">
        <f t="shared" si="102"/>
        <v/>
      </c>
      <c r="DC113" s="43" t="str">
        <f>IF(IFERROR(INDEX(Consulta!$A:$DF,MATCH('MM01'!$B113,Consulta!$C:$C,0),'MM01'!DC$2),"")=0,"",IFERROR(INDEX(Consulta!$A:$DF,MATCH('MM01'!$B113,Consulta!$C:$C,0),'MM01'!DC$2),""))</f>
        <v/>
      </c>
      <c r="DD113" s="45">
        <v>0</v>
      </c>
      <c r="DE113" s="45">
        <v>0</v>
      </c>
      <c r="DF113" s="43" t="str">
        <f t="shared" si="103"/>
        <v/>
      </c>
      <c r="DG113" s="43" t="str">
        <f t="shared" si="104"/>
        <v/>
      </c>
      <c r="DH113" s="55"/>
      <c r="DI113" s="43" t="str">
        <f t="shared" ca="1" si="105"/>
        <v/>
      </c>
      <c r="DJ113" s="43" t="str">
        <f t="shared" si="106"/>
        <v/>
      </c>
      <c r="DK113" s="43" t="str">
        <f t="shared" si="107"/>
        <v/>
      </c>
      <c r="DL113" s="55"/>
      <c r="DM113" s="43" t="str">
        <f t="shared" ca="1" si="108"/>
        <v/>
      </c>
      <c r="DN113" s="43" t="str">
        <f t="shared" si="109"/>
        <v/>
      </c>
      <c r="DO113" s="43" t="str">
        <f t="shared" si="110"/>
        <v/>
      </c>
      <c r="DP113" s="55"/>
      <c r="DQ113" s="43" t="str">
        <f t="shared" ca="1" si="111"/>
        <v/>
      </c>
      <c r="DR113" s="43" t="str">
        <f t="shared" si="112"/>
        <v/>
      </c>
      <c r="DS113" s="43" t="str">
        <f t="shared" si="113"/>
        <v/>
      </c>
      <c r="DT113" s="55"/>
      <c r="DU113" s="43" t="str">
        <f t="shared" ca="1" si="114"/>
        <v/>
      </c>
      <c r="DV113" s="43" t="str">
        <f t="shared" si="115"/>
        <v/>
      </c>
      <c r="DX113" s="44">
        <v>1</v>
      </c>
      <c r="DY113" s="44" t="s">
        <v>774</v>
      </c>
      <c r="DZ113" s="43">
        <f t="shared" si="116"/>
        <v>0.01</v>
      </c>
      <c r="EA113" s="43" t="str">
        <f t="shared" si="117"/>
        <v>M</v>
      </c>
      <c r="EB113" s="43" t="str">
        <f>IF(IFERROR(INDEX(Consulta!$A:$DF,MATCH('MM01'!$B113,Consulta!$C:$C,0),'MM01'!EB$2),"")=0,"7925",IF(IFERROR(INDEX(Consulta!$A:$DF,MATCH('MM01'!$B113,Consulta!$C:$C,0),'MM01'!EB$2),"")="68","7910","7925"))</f>
        <v>7925</v>
      </c>
      <c r="EC113" s="44">
        <v>100</v>
      </c>
      <c r="ED113" s="60">
        <v>1</v>
      </c>
      <c r="EE113" s="43">
        <f t="shared" si="118"/>
        <v>100</v>
      </c>
      <c r="EF113" s="44">
        <v>1</v>
      </c>
      <c r="EG113" s="44">
        <v>0</v>
      </c>
      <c r="EH113" s="44" t="s">
        <v>867</v>
      </c>
      <c r="EI113" s="45">
        <v>0</v>
      </c>
      <c r="EJ113" s="43">
        <f t="shared" si="119"/>
        <v>5000</v>
      </c>
      <c r="EK113" s="65"/>
    </row>
    <row r="114" spans="1:141" x14ac:dyDescent="0.3">
      <c r="A114" s="7" t="str">
        <f t="shared" si="80"/>
        <v>Execução 110</v>
      </c>
      <c r="B114" s="42"/>
      <c r="C114" s="43" t="str">
        <f>IF(IFERROR(INDEX(Consulta!$A:$DF,MATCH('MM01'!$B114,Consulta!$C:$C,0),'MM01'!C$2),"")=0,"",IFERROR(INDEX(Consulta!$A:$DF,MATCH('MM01'!$B114,Consulta!$C:$C,0),'MM01'!C$2),""))</f>
        <v/>
      </c>
      <c r="D114" s="43" t="str">
        <f>IF(IFERROR(INDEX(Consulta!$A:$DF,MATCH('MM01'!$B114,Consulta!$C:$C,0),'MM01'!D$2),"")=0,"",IFERROR(INDEX(Consulta!$A:$DF,MATCH('MM01'!$B114,Consulta!$C:$C,0),'MM01'!D$2),""))</f>
        <v/>
      </c>
      <c r="E114" s="43" t="str">
        <f>IF(IFERROR(INDEX(Consulta!$A:$DF,MATCH('MM01'!$B114,Consulta!$C:$C,0),'MM01'!E$2),"")=0,"",IFERROR(INDEX(Consulta!$A:$DF,MATCH('MM01'!$B114,Consulta!$C:$C,0),'MM01'!E$2),""))</f>
        <v/>
      </c>
      <c r="F114" s="44" t="s">
        <v>100</v>
      </c>
      <c r="G114" s="49" t="str">
        <f>IF(IFERROR(INDEX(Consulta!$A:$DF,MATCH('MM01'!$B114,Consulta!$C:$C,0),'MM01'!G$2),"")=0,"",IFERROR(INDEX(Consulta!$A:$DF,MATCH('MM01'!$B114,Consulta!$C:$C,0),'MM01'!G$2),""))</f>
        <v/>
      </c>
      <c r="H114" s="49" t="str">
        <f>IF(IFERROR(INDEX(Consulta!$A:$DF,MATCH('MM01'!$B114,Consulta!$C:$C,0),'MM01'!H$2),"")=0,"",IFERROR(INDEX(Consulta!$A:$DF,MATCH('MM01'!$B114,Consulta!$C:$C,0),'MM01'!H$2),""))</f>
        <v/>
      </c>
      <c r="I114" s="49" t="str">
        <f t="shared" si="81"/>
        <v/>
      </c>
      <c r="J114" s="49" t="str">
        <f>IF(IFERROR(INDEX(Consulta!$A:$DF,MATCH('MM01'!$B114,Consulta!$C:$C,0),'MM01'!J$2),"")=0,"",IFERROR(INDEX(Consulta!$A:$DF,MATCH('MM01'!$B114,Consulta!$C:$C,0),'MM01'!J$2),""))</f>
        <v/>
      </c>
      <c r="K114" s="49" t="str">
        <f t="shared" si="82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IF(IFERROR(INDEX(Consulta!$A:$DF,MATCH('MM01'!$B114,Consulta!$C:$C,0),'MM01'!AP$2),"")=0,"",IFERROR(INDEX(Consulta!$A:$DF,MATCH('MM01'!$B114,Consulta!$C:$C,0),'MM01'!AP$2),""))</f>
        <v/>
      </c>
      <c r="AQ114" s="45"/>
      <c r="AR114" s="43" t="str">
        <f>IF(IFERROR(INDEX(Consulta!$A:$DF,MATCH('MM01'!$B114,Consulta!$C:$C,0),'MM01'!AR$2),"")=0,"",IFERROR(INDEX(Consulta!$A:$DF,MATCH('MM01'!$B114,Consulta!$C:$C,0),'MM01'!AR$2),""))</f>
        <v/>
      </c>
      <c r="AS114" s="43" t="str">
        <f>IF(IFERROR(INDEX(Consulta!$A:$DF,MATCH('MM01'!$B114,Consulta!$C:$C,0),'MM01'!AS$2),"")=0,"",IF(AR114="68",5102,IFERROR(INDEX(Consulta!$A:$DF,MATCH('MM01'!$B114,Consulta!$C:$C,0),'MM01'!AS$2),"")))</f>
        <v/>
      </c>
      <c r="AT114" s="45"/>
      <c r="AU114" s="46" t="str">
        <f t="shared" ca="1" si="83"/>
        <v/>
      </c>
      <c r="AV114" s="47" t="s">
        <v>796</v>
      </c>
      <c r="AW114" s="43" t="str">
        <f>IF(IFERROR(INDEX(Consulta!$A:$DF,MATCH('MM01'!$B114,Consulta!$C:$C,0),'MM01'!AW$2),"")=0,"",IFERROR(ROUND(INDEX(Consulta!$A:$DF,MATCH('MM01'!$B114,Consulta!$C:$C,0),'MM01'!AW$2),3),""))</f>
        <v/>
      </c>
      <c r="AX114" s="43" t="str">
        <f t="shared" si="84"/>
        <v/>
      </c>
      <c r="AY114" s="48" t="s">
        <v>299</v>
      </c>
      <c r="AZ114" s="48"/>
      <c r="BA114" s="43" t="str">
        <f>IF(IFERROR(INDEX(Consulta!$A:$DF,MATCH('MM01'!$B114,Consulta!$C:$C,0),'MM01'!BA$2),"")=0,"",IFERROR(INDEX(Consulta!$A:$DF,MATCH('MM01'!$B114,Consulta!$C:$C,0),'MM01'!BA$2),""))</f>
        <v/>
      </c>
      <c r="BB114" s="43" t="str">
        <f t="shared" si="85"/>
        <v/>
      </c>
      <c r="BC114" s="43" t="str">
        <f t="shared" si="86"/>
        <v/>
      </c>
      <c r="BD114" s="43" t="str">
        <f t="shared" si="87"/>
        <v/>
      </c>
      <c r="BE114" s="43" t="str">
        <f t="shared" si="88"/>
        <v>M</v>
      </c>
      <c r="BF114" s="43" t="str">
        <f t="shared" si="89"/>
        <v/>
      </c>
      <c r="BG114" s="43" t="str">
        <f t="shared" si="90"/>
        <v/>
      </c>
      <c r="BH114" s="43" t="str">
        <f t="shared" si="91"/>
        <v/>
      </c>
      <c r="BI114" s="43" t="str">
        <f t="shared" si="92"/>
        <v>M</v>
      </c>
      <c r="BK114" s="45" t="s">
        <v>324</v>
      </c>
      <c r="BL114" s="43" t="str">
        <f>IF(IFERROR(INDEX(Consulta!$A:$DF,MATCH('MM01'!$B114,Consulta!$C:$C,0),'MM01'!BL$2),"")=0,"",IFERROR(INDEX(Consulta!$A:$DF,MATCH('MM01'!$B114,Consulta!$C:$C,0),'MM01'!BL$2),""))</f>
        <v/>
      </c>
      <c r="BM114" s="45">
        <v>99</v>
      </c>
      <c r="BN114" s="46" t="str">
        <f t="shared" ca="1" si="93"/>
        <v>28.04.2022</v>
      </c>
      <c r="BO114" s="49" t="str">
        <f t="shared" si="94"/>
        <v/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IF(IFERROR(INDEX(Consulta!$A:$DF,MATCH('MM01'!$B114,Consulta!$C:$C,0),'MM01'!BX$2),"")=0,"",IFERROR(INDEX(Consulta!$A:$DF,MATCH('MM01'!$B114,Consulta!$C:$C,0),'MM01'!BX$2),""))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95"/>
        <v/>
      </c>
      <c r="CD114" s="45" t="s">
        <v>430</v>
      </c>
      <c r="CE114" s="45">
        <v>1</v>
      </c>
      <c r="CF114" s="45" t="s">
        <v>496</v>
      </c>
      <c r="CG114" s="45"/>
      <c r="CH114" s="44">
        <v>2</v>
      </c>
      <c r="CI114" s="49" t="str">
        <f t="shared" si="96"/>
        <v/>
      </c>
      <c r="CJ114" s="49" t="str">
        <f t="shared" si="97"/>
        <v/>
      </c>
      <c r="CK114" s="45"/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8"/>
        <v>K00_P_</v>
      </c>
      <c r="CS114" s="45">
        <v>5000</v>
      </c>
      <c r="CT114" s="43" t="str">
        <f>IF(IFERROR(INDEX(Consulta!$A:$DF,MATCH('MM01'!$B114,Consulta!$C:$C,0),'MM01'!CT$2),"")=0,"",IFERROR(INDEX(Consulta!$A:$DF,MATCH('MM01'!$B114,Consulta!$C:$C,0),'MM01'!CT$2),""))</f>
        <v/>
      </c>
      <c r="CU114" s="43" t="str">
        <f>IF(IFERROR(INDEX(Consulta!$A:$DF,MATCH('MM01'!$B114,Consulta!$C:$C,0),'MM01'!CU$2),"")=0,"",IFERROR(INDEX(Consulta!$A:$DF,MATCH('MM01'!$B114,Consulta!$C:$C,0),'MM01'!CU$2),""))</f>
        <v/>
      </c>
      <c r="CV114" s="43" t="str">
        <f>IF(IFERROR(INDEX(Consulta!$A:$DF,MATCH('MM01'!$B114,Consulta!$C:$C,0),'MM01'!CV$2),"")=0,"",IFERROR(INDEX(Consulta!$A:$DF,MATCH('MM01'!$B114,Consulta!$C:$C,0),'MM01'!CV$2),""))</f>
        <v/>
      </c>
      <c r="CW114" s="43" t="str">
        <f>IF(IFERROR(INDEX(Consulta!$A:$DF,MATCH('MM01'!$B114,Consulta!$C:$C,0),'MM01'!CW$2),"")=0,"",IFERROR(INDEX(Consulta!$A:$DF,MATCH('MM01'!$B114,Consulta!$C:$C,0),'MM01'!CW$2),""))</f>
        <v/>
      </c>
      <c r="CX114" s="43" t="str">
        <f t="shared" si="99"/>
        <v/>
      </c>
      <c r="CY114" s="43" t="str">
        <f t="shared" si="100"/>
        <v/>
      </c>
      <c r="CZ114" s="43" t="str">
        <f t="shared" si="101"/>
        <v/>
      </c>
      <c r="DA114" s="43" t="str">
        <f>IF(IFERROR(INDEX(Consulta!$A:$DF,MATCH('MM01'!$B114,Consulta!$C:$C,0),'MM01'!DA$2),"")=0,"",IFERROR(INDEX(Consulta!$A:$DF,MATCH('MM01'!$B114,Consulta!$C:$C,0),'MM01'!DA$2),""))</f>
        <v/>
      </c>
      <c r="DB114" s="43" t="str">
        <f t="shared" si="102"/>
        <v/>
      </c>
      <c r="DC114" s="43" t="str">
        <f>IF(IFERROR(INDEX(Consulta!$A:$DF,MATCH('MM01'!$B114,Consulta!$C:$C,0),'MM01'!DC$2),"")=0,"",IFERROR(INDEX(Consulta!$A:$DF,MATCH('MM01'!$B114,Consulta!$C:$C,0),'MM01'!DC$2),""))</f>
        <v/>
      </c>
      <c r="DD114" s="45">
        <v>0</v>
      </c>
      <c r="DE114" s="45">
        <v>0</v>
      </c>
      <c r="DF114" s="43" t="str">
        <f t="shared" si="103"/>
        <v/>
      </c>
      <c r="DG114" s="43" t="str">
        <f t="shared" si="104"/>
        <v/>
      </c>
      <c r="DH114" s="55"/>
      <c r="DI114" s="43" t="str">
        <f t="shared" ca="1" si="105"/>
        <v/>
      </c>
      <c r="DJ114" s="43" t="str">
        <f t="shared" si="106"/>
        <v/>
      </c>
      <c r="DK114" s="43" t="str">
        <f t="shared" si="107"/>
        <v/>
      </c>
      <c r="DL114" s="55"/>
      <c r="DM114" s="43" t="str">
        <f t="shared" ca="1" si="108"/>
        <v/>
      </c>
      <c r="DN114" s="43" t="str">
        <f t="shared" si="109"/>
        <v/>
      </c>
      <c r="DO114" s="43" t="str">
        <f t="shared" si="110"/>
        <v/>
      </c>
      <c r="DP114" s="55"/>
      <c r="DQ114" s="43" t="str">
        <f t="shared" ca="1" si="111"/>
        <v/>
      </c>
      <c r="DR114" s="43" t="str">
        <f t="shared" si="112"/>
        <v/>
      </c>
      <c r="DS114" s="43" t="str">
        <f t="shared" si="113"/>
        <v/>
      </c>
      <c r="DT114" s="55"/>
      <c r="DU114" s="43" t="str">
        <f t="shared" ca="1" si="114"/>
        <v/>
      </c>
      <c r="DV114" s="43" t="str">
        <f t="shared" si="115"/>
        <v/>
      </c>
      <c r="DX114" s="44">
        <v>1</v>
      </c>
      <c r="DY114" s="44" t="s">
        <v>774</v>
      </c>
      <c r="DZ114" s="43">
        <f t="shared" si="116"/>
        <v>0.01</v>
      </c>
      <c r="EA114" s="43" t="str">
        <f t="shared" si="117"/>
        <v>M</v>
      </c>
      <c r="EB114" s="43" t="str">
        <f>IF(IFERROR(INDEX(Consulta!$A:$DF,MATCH('MM01'!$B114,Consulta!$C:$C,0),'MM01'!EB$2),"")=0,"7925",IF(IFERROR(INDEX(Consulta!$A:$DF,MATCH('MM01'!$B114,Consulta!$C:$C,0),'MM01'!EB$2),"")="68","7910","7925"))</f>
        <v>7925</v>
      </c>
      <c r="EC114" s="44">
        <v>100</v>
      </c>
      <c r="ED114" s="60">
        <v>1</v>
      </c>
      <c r="EE114" s="43">
        <f t="shared" si="118"/>
        <v>100</v>
      </c>
      <c r="EF114" s="44">
        <v>1</v>
      </c>
      <c r="EG114" s="44">
        <v>0</v>
      </c>
      <c r="EH114" s="44" t="s">
        <v>867</v>
      </c>
      <c r="EI114" s="45">
        <v>0</v>
      </c>
      <c r="EJ114" s="43">
        <f t="shared" si="119"/>
        <v>5000</v>
      </c>
      <c r="EK114" s="65"/>
    </row>
    <row r="115" spans="1:141" x14ac:dyDescent="0.3">
      <c r="A115" s="7" t="str">
        <f t="shared" si="80"/>
        <v>Execução 111</v>
      </c>
      <c r="B115" s="42"/>
      <c r="C115" s="43" t="str">
        <f>IF(IFERROR(INDEX(Consulta!$A:$DF,MATCH('MM01'!$B115,Consulta!$C:$C,0),'MM01'!C$2),"")=0,"",IFERROR(INDEX(Consulta!$A:$DF,MATCH('MM01'!$B115,Consulta!$C:$C,0),'MM01'!C$2),""))</f>
        <v/>
      </c>
      <c r="D115" s="43" t="str">
        <f>IF(IFERROR(INDEX(Consulta!$A:$DF,MATCH('MM01'!$B115,Consulta!$C:$C,0),'MM01'!D$2),"")=0,"",IFERROR(INDEX(Consulta!$A:$DF,MATCH('MM01'!$B115,Consulta!$C:$C,0),'MM01'!D$2),""))</f>
        <v/>
      </c>
      <c r="E115" s="43" t="str">
        <f>IF(IFERROR(INDEX(Consulta!$A:$DF,MATCH('MM01'!$B115,Consulta!$C:$C,0),'MM01'!E$2),"")=0,"",IFERROR(INDEX(Consulta!$A:$DF,MATCH('MM01'!$B115,Consulta!$C:$C,0),'MM01'!E$2),""))</f>
        <v/>
      </c>
      <c r="F115" s="44" t="s">
        <v>100</v>
      </c>
      <c r="G115" s="49" t="str">
        <f>IF(IFERROR(INDEX(Consulta!$A:$DF,MATCH('MM01'!$B115,Consulta!$C:$C,0),'MM01'!G$2),"")=0,"",IFERROR(INDEX(Consulta!$A:$DF,MATCH('MM01'!$B115,Consulta!$C:$C,0),'MM01'!G$2),""))</f>
        <v/>
      </c>
      <c r="H115" s="49" t="str">
        <f>IF(IFERROR(INDEX(Consulta!$A:$DF,MATCH('MM01'!$B115,Consulta!$C:$C,0),'MM01'!H$2),"")=0,"",IFERROR(INDEX(Consulta!$A:$DF,MATCH('MM01'!$B115,Consulta!$C:$C,0),'MM01'!H$2),""))</f>
        <v/>
      </c>
      <c r="I115" s="49" t="str">
        <f t="shared" si="81"/>
        <v/>
      </c>
      <c r="J115" s="49" t="str">
        <f>IF(IFERROR(INDEX(Consulta!$A:$DF,MATCH('MM01'!$B115,Consulta!$C:$C,0),'MM01'!J$2),"")=0,"",IFERROR(INDEX(Consulta!$A:$DF,MATCH('MM01'!$B115,Consulta!$C:$C,0),'MM01'!J$2),""))</f>
        <v/>
      </c>
      <c r="K115" s="49" t="str">
        <f t="shared" si="82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IF(IFERROR(INDEX(Consulta!$A:$DF,MATCH('MM01'!$B115,Consulta!$C:$C,0),'MM01'!AP$2),"")=0,"",IFERROR(INDEX(Consulta!$A:$DF,MATCH('MM01'!$B115,Consulta!$C:$C,0),'MM01'!AP$2),""))</f>
        <v/>
      </c>
      <c r="AQ115" s="45"/>
      <c r="AR115" s="43" t="str">
        <f>IF(IFERROR(INDEX(Consulta!$A:$DF,MATCH('MM01'!$B115,Consulta!$C:$C,0),'MM01'!AR$2),"")=0,"",IFERROR(INDEX(Consulta!$A:$DF,MATCH('MM01'!$B115,Consulta!$C:$C,0),'MM01'!AR$2),""))</f>
        <v/>
      </c>
      <c r="AS115" s="43" t="str">
        <f>IF(IFERROR(INDEX(Consulta!$A:$DF,MATCH('MM01'!$B115,Consulta!$C:$C,0),'MM01'!AS$2),"")=0,"",IF(AR115="68",5102,IFERROR(INDEX(Consulta!$A:$DF,MATCH('MM01'!$B115,Consulta!$C:$C,0),'MM01'!AS$2),"")))</f>
        <v/>
      </c>
      <c r="AT115" s="45"/>
      <c r="AU115" s="46" t="str">
        <f t="shared" ca="1" si="83"/>
        <v/>
      </c>
      <c r="AV115" s="47" t="s">
        <v>796</v>
      </c>
      <c r="AW115" s="43" t="str">
        <f>IF(IFERROR(INDEX(Consulta!$A:$DF,MATCH('MM01'!$B115,Consulta!$C:$C,0),'MM01'!AW$2),"")=0,"",IFERROR(ROUND(INDEX(Consulta!$A:$DF,MATCH('MM01'!$B115,Consulta!$C:$C,0),'MM01'!AW$2),3),""))</f>
        <v/>
      </c>
      <c r="AX115" s="43" t="str">
        <f t="shared" si="84"/>
        <v/>
      </c>
      <c r="AY115" s="48" t="s">
        <v>299</v>
      </c>
      <c r="AZ115" s="48"/>
      <c r="BA115" s="43" t="str">
        <f>IF(IFERROR(INDEX(Consulta!$A:$DF,MATCH('MM01'!$B115,Consulta!$C:$C,0),'MM01'!BA$2),"")=0,"",IFERROR(INDEX(Consulta!$A:$DF,MATCH('MM01'!$B115,Consulta!$C:$C,0),'MM01'!BA$2),""))</f>
        <v/>
      </c>
      <c r="BB115" s="43" t="str">
        <f t="shared" si="85"/>
        <v/>
      </c>
      <c r="BC115" s="43" t="str">
        <f t="shared" si="86"/>
        <v/>
      </c>
      <c r="BD115" s="43" t="str">
        <f t="shared" si="87"/>
        <v/>
      </c>
      <c r="BE115" s="43" t="str">
        <f t="shared" si="88"/>
        <v>M</v>
      </c>
      <c r="BF115" s="43" t="str">
        <f t="shared" si="89"/>
        <v/>
      </c>
      <c r="BG115" s="43" t="str">
        <f t="shared" si="90"/>
        <v/>
      </c>
      <c r="BH115" s="43" t="str">
        <f t="shared" si="91"/>
        <v/>
      </c>
      <c r="BI115" s="43" t="str">
        <f t="shared" si="92"/>
        <v>M</v>
      </c>
      <c r="BK115" s="45" t="s">
        <v>324</v>
      </c>
      <c r="BL115" s="43" t="str">
        <f>IF(IFERROR(INDEX(Consulta!$A:$DF,MATCH('MM01'!$B115,Consulta!$C:$C,0),'MM01'!BL$2),"")=0,"",IFERROR(INDEX(Consulta!$A:$DF,MATCH('MM01'!$B115,Consulta!$C:$C,0),'MM01'!BL$2),""))</f>
        <v/>
      </c>
      <c r="BM115" s="45">
        <v>99</v>
      </c>
      <c r="BN115" s="46" t="str">
        <f t="shared" ca="1" si="93"/>
        <v>28.04.2022</v>
      </c>
      <c r="BO115" s="49" t="str">
        <f t="shared" si="94"/>
        <v/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IF(IFERROR(INDEX(Consulta!$A:$DF,MATCH('MM01'!$B115,Consulta!$C:$C,0),'MM01'!BX$2),"")=0,"",IFERROR(INDEX(Consulta!$A:$DF,MATCH('MM01'!$B115,Consulta!$C:$C,0),'MM01'!BX$2),""))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95"/>
        <v/>
      </c>
      <c r="CD115" s="45" t="s">
        <v>430</v>
      </c>
      <c r="CE115" s="45">
        <v>1</v>
      </c>
      <c r="CF115" s="45" t="s">
        <v>496</v>
      </c>
      <c r="CG115" s="45"/>
      <c r="CH115" s="44">
        <v>2</v>
      </c>
      <c r="CI115" s="49" t="str">
        <f t="shared" si="96"/>
        <v/>
      </c>
      <c r="CJ115" s="49" t="str">
        <f t="shared" si="97"/>
        <v/>
      </c>
      <c r="CK115" s="45"/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8"/>
        <v>K00_P_</v>
      </c>
      <c r="CS115" s="45">
        <v>5000</v>
      </c>
      <c r="CT115" s="43" t="str">
        <f>IF(IFERROR(INDEX(Consulta!$A:$DF,MATCH('MM01'!$B115,Consulta!$C:$C,0),'MM01'!CT$2),"")=0,"",IFERROR(INDEX(Consulta!$A:$DF,MATCH('MM01'!$B115,Consulta!$C:$C,0),'MM01'!CT$2),""))</f>
        <v/>
      </c>
      <c r="CU115" s="43" t="str">
        <f>IF(IFERROR(INDEX(Consulta!$A:$DF,MATCH('MM01'!$B115,Consulta!$C:$C,0),'MM01'!CU$2),"")=0,"",IFERROR(INDEX(Consulta!$A:$DF,MATCH('MM01'!$B115,Consulta!$C:$C,0),'MM01'!CU$2),""))</f>
        <v/>
      </c>
      <c r="CV115" s="43" t="str">
        <f>IF(IFERROR(INDEX(Consulta!$A:$DF,MATCH('MM01'!$B115,Consulta!$C:$C,0),'MM01'!CV$2),"")=0,"",IFERROR(INDEX(Consulta!$A:$DF,MATCH('MM01'!$B115,Consulta!$C:$C,0),'MM01'!CV$2),""))</f>
        <v/>
      </c>
      <c r="CW115" s="43" t="str">
        <f>IF(IFERROR(INDEX(Consulta!$A:$DF,MATCH('MM01'!$B115,Consulta!$C:$C,0),'MM01'!CW$2),"")=0,"",IFERROR(INDEX(Consulta!$A:$DF,MATCH('MM01'!$B115,Consulta!$C:$C,0),'MM01'!CW$2),""))</f>
        <v/>
      </c>
      <c r="CX115" s="43" t="str">
        <f t="shared" si="99"/>
        <v/>
      </c>
      <c r="CY115" s="43" t="str">
        <f t="shared" si="100"/>
        <v/>
      </c>
      <c r="CZ115" s="43" t="str">
        <f t="shared" si="101"/>
        <v/>
      </c>
      <c r="DA115" s="43" t="str">
        <f>IF(IFERROR(INDEX(Consulta!$A:$DF,MATCH('MM01'!$B115,Consulta!$C:$C,0),'MM01'!DA$2),"")=0,"",IFERROR(INDEX(Consulta!$A:$DF,MATCH('MM01'!$B115,Consulta!$C:$C,0),'MM01'!DA$2),""))</f>
        <v/>
      </c>
      <c r="DB115" s="43" t="str">
        <f t="shared" si="102"/>
        <v/>
      </c>
      <c r="DC115" s="43" t="str">
        <f>IF(IFERROR(INDEX(Consulta!$A:$DF,MATCH('MM01'!$B115,Consulta!$C:$C,0),'MM01'!DC$2),"")=0,"",IFERROR(INDEX(Consulta!$A:$DF,MATCH('MM01'!$B115,Consulta!$C:$C,0),'MM01'!DC$2),""))</f>
        <v/>
      </c>
      <c r="DD115" s="45">
        <v>0</v>
      </c>
      <c r="DE115" s="45">
        <v>0</v>
      </c>
      <c r="DF115" s="43" t="str">
        <f t="shared" si="103"/>
        <v/>
      </c>
      <c r="DG115" s="43" t="str">
        <f t="shared" si="104"/>
        <v/>
      </c>
      <c r="DH115" s="55"/>
      <c r="DI115" s="43" t="str">
        <f t="shared" ca="1" si="105"/>
        <v/>
      </c>
      <c r="DJ115" s="43" t="str">
        <f t="shared" si="106"/>
        <v/>
      </c>
      <c r="DK115" s="43" t="str">
        <f t="shared" si="107"/>
        <v/>
      </c>
      <c r="DL115" s="55"/>
      <c r="DM115" s="43" t="str">
        <f t="shared" ca="1" si="108"/>
        <v/>
      </c>
      <c r="DN115" s="43" t="str">
        <f t="shared" si="109"/>
        <v/>
      </c>
      <c r="DO115" s="43" t="str">
        <f t="shared" si="110"/>
        <v/>
      </c>
      <c r="DP115" s="55"/>
      <c r="DQ115" s="43" t="str">
        <f t="shared" ca="1" si="111"/>
        <v/>
      </c>
      <c r="DR115" s="43" t="str">
        <f t="shared" si="112"/>
        <v/>
      </c>
      <c r="DS115" s="43" t="str">
        <f t="shared" si="113"/>
        <v/>
      </c>
      <c r="DT115" s="55"/>
      <c r="DU115" s="43" t="str">
        <f t="shared" ca="1" si="114"/>
        <v/>
      </c>
      <c r="DV115" s="43" t="str">
        <f t="shared" si="115"/>
        <v/>
      </c>
      <c r="DX115" s="44">
        <v>1</v>
      </c>
      <c r="DY115" s="44" t="s">
        <v>774</v>
      </c>
      <c r="DZ115" s="43">
        <f t="shared" si="116"/>
        <v>0.01</v>
      </c>
      <c r="EA115" s="43" t="str">
        <f t="shared" si="117"/>
        <v>M</v>
      </c>
      <c r="EB115" s="43" t="str">
        <f>IF(IFERROR(INDEX(Consulta!$A:$DF,MATCH('MM01'!$B115,Consulta!$C:$C,0),'MM01'!EB$2),"")=0,"7925",IF(IFERROR(INDEX(Consulta!$A:$DF,MATCH('MM01'!$B115,Consulta!$C:$C,0),'MM01'!EB$2),"")="68","7910","7925"))</f>
        <v>7925</v>
      </c>
      <c r="EC115" s="44">
        <v>100</v>
      </c>
      <c r="ED115" s="60">
        <v>1</v>
      </c>
      <c r="EE115" s="43">
        <f t="shared" si="118"/>
        <v>100</v>
      </c>
      <c r="EF115" s="44">
        <v>1</v>
      </c>
      <c r="EG115" s="44">
        <v>0</v>
      </c>
      <c r="EH115" s="44" t="s">
        <v>867</v>
      </c>
      <c r="EI115" s="45">
        <v>0</v>
      </c>
      <c r="EJ115" s="43">
        <f t="shared" si="119"/>
        <v>5000</v>
      </c>
      <c r="EK115" s="65"/>
    </row>
    <row r="116" spans="1:141" x14ac:dyDescent="0.3">
      <c r="A116" s="7" t="str">
        <f t="shared" si="80"/>
        <v>Execução 112</v>
      </c>
      <c r="B116" s="42"/>
      <c r="C116" s="43" t="str">
        <f>IF(IFERROR(INDEX(Consulta!$A:$DF,MATCH('MM01'!$B116,Consulta!$C:$C,0),'MM01'!C$2),"")=0,"",IFERROR(INDEX(Consulta!$A:$DF,MATCH('MM01'!$B116,Consulta!$C:$C,0),'MM01'!C$2),""))</f>
        <v/>
      </c>
      <c r="D116" s="43" t="str">
        <f>IF(IFERROR(INDEX(Consulta!$A:$DF,MATCH('MM01'!$B116,Consulta!$C:$C,0),'MM01'!D$2),"")=0,"",IFERROR(INDEX(Consulta!$A:$DF,MATCH('MM01'!$B116,Consulta!$C:$C,0),'MM01'!D$2),""))</f>
        <v/>
      </c>
      <c r="E116" s="43" t="str">
        <f>IF(IFERROR(INDEX(Consulta!$A:$DF,MATCH('MM01'!$B116,Consulta!$C:$C,0),'MM01'!E$2),"")=0,"",IFERROR(INDEX(Consulta!$A:$DF,MATCH('MM01'!$B116,Consulta!$C:$C,0),'MM01'!E$2),""))</f>
        <v/>
      </c>
      <c r="F116" s="44" t="s">
        <v>100</v>
      </c>
      <c r="G116" s="49" t="str">
        <f>IF(IFERROR(INDEX(Consulta!$A:$DF,MATCH('MM01'!$B116,Consulta!$C:$C,0),'MM01'!G$2),"")=0,"",IFERROR(INDEX(Consulta!$A:$DF,MATCH('MM01'!$B116,Consulta!$C:$C,0),'MM01'!G$2),""))</f>
        <v/>
      </c>
      <c r="H116" s="49" t="str">
        <f>IF(IFERROR(INDEX(Consulta!$A:$DF,MATCH('MM01'!$B116,Consulta!$C:$C,0),'MM01'!H$2),"")=0,"",IFERROR(INDEX(Consulta!$A:$DF,MATCH('MM01'!$B116,Consulta!$C:$C,0),'MM01'!H$2),""))</f>
        <v/>
      </c>
      <c r="I116" s="49" t="str">
        <f t="shared" si="81"/>
        <v/>
      </c>
      <c r="J116" s="49" t="str">
        <f>IF(IFERROR(INDEX(Consulta!$A:$DF,MATCH('MM01'!$B116,Consulta!$C:$C,0),'MM01'!J$2),"")=0,"",IFERROR(INDEX(Consulta!$A:$DF,MATCH('MM01'!$B116,Consulta!$C:$C,0),'MM01'!J$2),""))</f>
        <v/>
      </c>
      <c r="K116" s="49" t="str">
        <f t="shared" si="82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IF(IFERROR(INDEX(Consulta!$A:$DF,MATCH('MM01'!$B116,Consulta!$C:$C,0),'MM01'!AP$2),"")=0,"",IFERROR(INDEX(Consulta!$A:$DF,MATCH('MM01'!$B116,Consulta!$C:$C,0),'MM01'!AP$2),""))</f>
        <v/>
      </c>
      <c r="AQ116" s="45"/>
      <c r="AR116" s="43" t="str">
        <f>IF(IFERROR(INDEX(Consulta!$A:$DF,MATCH('MM01'!$B116,Consulta!$C:$C,0),'MM01'!AR$2),"")=0,"",IFERROR(INDEX(Consulta!$A:$DF,MATCH('MM01'!$B116,Consulta!$C:$C,0),'MM01'!AR$2),""))</f>
        <v/>
      </c>
      <c r="AS116" s="43" t="str">
        <f>IF(IFERROR(INDEX(Consulta!$A:$DF,MATCH('MM01'!$B116,Consulta!$C:$C,0),'MM01'!AS$2),"")=0,"",IF(AR116="68",5102,IFERROR(INDEX(Consulta!$A:$DF,MATCH('MM01'!$B116,Consulta!$C:$C,0),'MM01'!AS$2),"")))</f>
        <v/>
      </c>
      <c r="AT116" s="45"/>
      <c r="AU116" s="46" t="str">
        <f t="shared" ca="1" si="83"/>
        <v/>
      </c>
      <c r="AV116" s="47" t="s">
        <v>796</v>
      </c>
      <c r="AW116" s="43" t="str">
        <f>IF(IFERROR(INDEX(Consulta!$A:$DF,MATCH('MM01'!$B116,Consulta!$C:$C,0),'MM01'!AW$2),"")=0,"",IFERROR(ROUND(INDEX(Consulta!$A:$DF,MATCH('MM01'!$B116,Consulta!$C:$C,0),'MM01'!AW$2),3),""))</f>
        <v/>
      </c>
      <c r="AX116" s="43" t="str">
        <f t="shared" si="84"/>
        <v/>
      </c>
      <c r="AY116" s="48" t="s">
        <v>299</v>
      </c>
      <c r="AZ116" s="48"/>
      <c r="BA116" s="43" t="str">
        <f>IF(IFERROR(INDEX(Consulta!$A:$DF,MATCH('MM01'!$B116,Consulta!$C:$C,0),'MM01'!BA$2),"")=0,"",IFERROR(INDEX(Consulta!$A:$DF,MATCH('MM01'!$B116,Consulta!$C:$C,0),'MM01'!BA$2),""))</f>
        <v/>
      </c>
      <c r="BB116" s="43" t="str">
        <f t="shared" si="85"/>
        <v/>
      </c>
      <c r="BC116" s="43" t="str">
        <f t="shared" si="86"/>
        <v/>
      </c>
      <c r="BD116" s="43" t="str">
        <f t="shared" si="87"/>
        <v/>
      </c>
      <c r="BE116" s="43" t="str">
        <f t="shared" si="88"/>
        <v>M</v>
      </c>
      <c r="BF116" s="43" t="str">
        <f t="shared" si="89"/>
        <v/>
      </c>
      <c r="BG116" s="43" t="str">
        <f t="shared" si="90"/>
        <v/>
      </c>
      <c r="BH116" s="43" t="str">
        <f t="shared" si="91"/>
        <v/>
      </c>
      <c r="BI116" s="43" t="str">
        <f t="shared" si="92"/>
        <v>M</v>
      </c>
      <c r="BK116" s="45" t="s">
        <v>324</v>
      </c>
      <c r="BL116" s="43" t="str">
        <f>IF(IFERROR(INDEX(Consulta!$A:$DF,MATCH('MM01'!$B116,Consulta!$C:$C,0),'MM01'!BL$2),"")=0,"",IFERROR(INDEX(Consulta!$A:$DF,MATCH('MM01'!$B116,Consulta!$C:$C,0),'MM01'!BL$2),""))</f>
        <v/>
      </c>
      <c r="BM116" s="45">
        <v>99</v>
      </c>
      <c r="BN116" s="46" t="str">
        <f t="shared" ca="1" si="93"/>
        <v>28.04.2022</v>
      </c>
      <c r="BO116" s="49" t="str">
        <f t="shared" si="94"/>
        <v/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IF(IFERROR(INDEX(Consulta!$A:$DF,MATCH('MM01'!$B116,Consulta!$C:$C,0),'MM01'!BX$2),"")=0,"",IFERROR(INDEX(Consulta!$A:$DF,MATCH('MM01'!$B116,Consulta!$C:$C,0),'MM01'!BX$2),""))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95"/>
        <v/>
      </c>
      <c r="CD116" s="45" t="s">
        <v>430</v>
      </c>
      <c r="CE116" s="45">
        <v>1</v>
      </c>
      <c r="CF116" s="45" t="s">
        <v>496</v>
      </c>
      <c r="CG116" s="45"/>
      <c r="CH116" s="44">
        <v>2</v>
      </c>
      <c r="CI116" s="49" t="str">
        <f t="shared" si="96"/>
        <v/>
      </c>
      <c r="CJ116" s="49" t="str">
        <f t="shared" si="97"/>
        <v/>
      </c>
      <c r="CK116" s="45"/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8"/>
        <v>K00_P_</v>
      </c>
      <c r="CS116" s="45">
        <v>5000</v>
      </c>
      <c r="CT116" s="43" t="str">
        <f>IF(IFERROR(INDEX(Consulta!$A:$DF,MATCH('MM01'!$B116,Consulta!$C:$C,0),'MM01'!CT$2),"")=0,"",IFERROR(INDEX(Consulta!$A:$DF,MATCH('MM01'!$B116,Consulta!$C:$C,0),'MM01'!CT$2),""))</f>
        <v/>
      </c>
      <c r="CU116" s="43" t="str">
        <f>IF(IFERROR(INDEX(Consulta!$A:$DF,MATCH('MM01'!$B116,Consulta!$C:$C,0),'MM01'!CU$2),"")=0,"",IFERROR(INDEX(Consulta!$A:$DF,MATCH('MM01'!$B116,Consulta!$C:$C,0),'MM01'!CU$2),""))</f>
        <v/>
      </c>
      <c r="CV116" s="43" t="str">
        <f>IF(IFERROR(INDEX(Consulta!$A:$DF,MATCH('MM01'!$B116,Consulta!$C:$C,0),'MM01'!CV$2),"")=0,"",IFERROR(INDEX(Consulta!$A:$DF,MATCH('MM01'!$B116,Consulta!$C:$C,0),'MM01'!CV$2),""))</f>
        <v/>
      </c>
      <c r="CW116" s="43" t="str">
        <f>IF(IFERROR(INDEX(Consulta!$A:$DF,MATCH('MM01'!$B116,Consulta!$C:$C,0),'MM01'!CW$2),"")=0,"",IFERROR(INDEX(Consulta!$A:$DF,MATCH('MM01'!$B116,Consulta!$C:$C,0),'MM01'!CW$2),""))</f>
        <v/>
      </c>
      <c r="CX116" s="43" t="str">
        <f t="shared" si="99"/>
        <v/>
      </c>
      <c r="CY116" s="43" t="str">
        <f t="shared" si="100"/>
        <v/>
      </c>
      <c r="CZ116" s="43" t="str">
        <f t="shared" si="101"/>
        <v/>
      </c>
      <c r="DA116" s="43" t="str">
        <f>IF(IFERROR(INDEX(Consulta!$A:$DF,MATCH('MM01'!$B116,Consulta!$C:$C,0),'MM01'!DA$2),"")=0,"",IFERROR(INDEX(Consulta!$A:$DF,MATCH('MM01'!$B116,Consulta!$C:$C,0),'MM01'!DA$2),""))</f>
        <v/>
      </c>
      <c r="DB116" s="43" t="str">
        <f t="shared" si="102"/>
        <v/>
      </c>
      <c r="DC116" s="43" t="str">
        <f>IF(IFERROR(INDEX(Consulta!$A:$DF,MATCH('MM01'!$B116,Consulta!$C:$C,0),'MM01'!DC$2),"")=0,"",IFERROR(INDEX(Consulta!$A:$DF,MATCH('MM01'!$B116,Consulta!$C:$C,0),'MM01'!DC$2),""))</f>
        <v/>
      </c>
      <c r="DD116" s="45">
        <v>0</v>
      </c>
      <c r="DE116" s="45">
        <v>0</v>
      </c>
      <c r="DF116" s="43" t="str">
        <f t="shared" si="103"/>
        <v/>
      </c>
      <c r="DG116" s="43" t="str">
        <f t="shared" si="104"/>
        <v/>
      </c>
      <c r="DH116" s="55"/>
      <c r="DI116" s="43" t="str">
        <f t="shared" ca="1" si="105"/>
        <v/>
      </c>
      <c r="DJ116" s="43" t="str">
        <f t="shared" si="106"/>
        <v/>
      </c>
      <c r="DK116" s="43" t="str">
        <f t="shared" si="107"/>
        <v/>
      </c>
      <c r="DL116" s="55"/>
      <c r="DM116" s="43" t="str">
        <f t="shared" ca="1" si="108"/>
        <v/>
      </c>
      <c r="DN116" s="43" t="str">
        <f t="shared" si="109"/>
        <v/>
      </c>
      <c r="DO116" s="43" t="str">
        <f t="shared" si="110"/>
        <v/>
      </c>
      <c r="DP116" s="55"/>
      <c r="DQ116" s="43" t="str">
        <f t="shared" ca="1" si="111"/>
        <v/>
      </c>
      <c r="DR116" s="43" t="str">
        <f t="shared" si="112"/>
        <v/>
      </c>
      <c r="DS116" s="43" t="str">
        <f t="shared" si="113"/>
        <v/>
      </c>
      <c r="DT116" s="55"/>
      <c r="DU116" s="43" t="str">
        <f t="shared" ca="1" si="114"/>
        <v/>
      </c>
      <c r="DV116" s="43" t="str">
        <f t="shared" si="115"/>
        <v/>
      </c>
      <c r="DX116" s="44">
        <v>1</v>
      </c>
      <c r="DY116" s="44" t="s">
        <v>774</v>
      </c>
      <c r="DZ116" s="43">
        <f t="shared" si="116"/>
        <v>0.01</v>
      </c>
      <c r="EA116" s="43" t="str">
        <f t="shared" si="117"/>
        <v>M</v>
      </c>
      <c r="EB116" s="43" t="str">
        <f>IF(IFERROR(INDEX(Consulta!$A:$DF,MATCH('MM01'!$B116,Consulta!$C:$C,0),'MM01'!EB$2),"")=0,"7925",IF(IFERROR(INDEX(Consulta!$A:$DF,MATCH('MM01'!$B116,Consulta!$C:$C,0),'MM01'!EB$2),"")="68","7910","7925"))</f>
        <v>7925</v>
      </c>
      <c r="EC116" s="44">
        <v>100</v>
      </c>
      <c r="ED116" s="60">
        <v>1</v>
      </c>
      <c r="EE116" s="43">
        <f t="shared" si="118"/>
        <v>100</v>
      </c>
      <c r="EF116" s="44">
        <v>1</v>
      </c>
      <c r="EG116" s="44">
        <v>0</v>
      </c>
      <c r="EH116" s="44" t="s">
        <v>867</v>
      </c>
      <c r="EI116" s="45">
        <v>0</v>
      </c>
      <c r="EJ116" s="43">
        <f t="shared" si="119"/>
        <v>5000</v>
      </c>
      <c r="EK116" s="65"/>
    </row>
    <row r="117" spans="1:141" x14ac:dyDescent="0.3">
      <c r="A117" s="7" t="str">
        <f t="shared" si="80"/>
        <v>Execução 113</v>
      </c>
      <c r="B117" s="42"/>
      <c r="C117" s="43" t="str">
        <f>IF(IFERROR(INDEX(Consulta!$A:$DF,MATCH('MM01'!$B117,Consulta!$C:$C,0),'MM01'!C$2),"")=0,"",IFERROR(INDEX(Consulta!$A:$DF,MATCH('MM01'!$B117,Consulta!$C:$C,0),'MM01'!C$2),""))</f>
        <v/>
      </c>
      <c r="D117" s="43" t="str">
        <f>IF(IFERROR(INDEX(Consulta!$A:$DF,MATCH('MM01'!$B117,Consulta!$C:$C,0),'MM01'!D$2),"")=0,"",IFERROR(INDEX(Consulta!$A:$DF,MATCH('MM01'!$B117,Consulta!$C:$C,0),'MM01'!D$2),""))</f>
        <v/>
      </c>
      <c r="E117" s="43" t="str">
        <f>IF(IFERROR(INDEX(Consulta!$A:$DF,MATCH('MM01'!$B117,Consulta!$C:$C,0),'MM01'!E$2),"")=0,"",IFERROR(INDEX(Consulta!$A:$DF,MATCH('MM01'!$B117,Consulta!$C:$C,0),'MM01'!E$2),""))</f>
        <v/>
      </c>
      <c r="F117" s="44" t="s">
        <v>100</v>
      </c>
      <c r="G117" s="49" t="str">
        <f>IF(IFERROR(INDEX(Consulta!$A:$DF,MATCH('MM01'!$B117,Consulta!$C:$C,0),'MM01'!G$2),"")=0,"",IFERROR(INDEX(Consulta!$A:$DF,MATCH('MM01'!$B117,Consulta!$C:$C,0),'MM01'!G$2),""))</f>
        <v/>
      </c>
      <c r="H117" s="49" t="str">
        <f>IF(IFERROR(INDEX(Consulta!$A:$DF,MATCH('MM01'!$B117,Consulta!$C:$C,0),'MM01'!H$2),"")=0,"",IFERROR(INDEX(Consulta!$A:$DF,MATCH('MM01'!$B117,Consulta!$C:$C,0),'MM01'!H$2),""))</f>
        <v/>
      </c>
      <c r="I117" s="49" t="str">
        <f t="shared" si="81"/>
        <v/>
      </c>
      <c r="J117" s="49" t="str">
        <f>IF(IFERROR(INDEX(Consulta!$A:$DF,MATCH('MM01'!$B117,Consulta!$C:$C,0),'MM01'!J$2),"")=0,"",IFERROR(INDEX(Consulta!$A:$DF,MATCH('MM01'!$B117,Consulta!$C:$C,0),'MM01'!J$2),""))</f>
        <v/>
      </c>
      <c r="K117" s="49" t="str">
        <f t="shared" si="82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IF(IFERROR(INDEX(Consulta!$A:$DF,MATCH('MM01'!$B117,Consulta!$C:$C,0),'MM01'!AP$2),"")=0,"",IFERROR(INDEX(Consulta!$A:$DF,MATCH('MM01'!$B117,Consulta!$C:$C,0),'MM01'!AP$2),""))</f>
        <v/>
      </c>
      <c r="AQ117" s="45"/>
      <c r="AR117" s="43" t="str">
        <f>IF(IFERROR(INDEX(Consulta!$A:$DF,MATCH('MM01'!$B117,Consulta!$C:$C,0),'MM01'!AR$2),"")=0,"",IFERROR(INDEX(Consulta!$A:$DF,MATCH('MM01'!$B117,Consulta!$C:$C,0),'MM01'!AR$2),""))</f>
        <v/>
      </c>
      <c r="AS117" s="43" t="str">
        <f>IF(IFERROR(INDEX(Consulta!$A:$DF,MATCH('MM01'!$B117,Consulta!$C:$C,0),'MM01'!AS$2),"")=0,"",IF(AR117="68",5102,IFERROR(INDEX(Consulta!$A:$DF,MATCH('MM01'!$B117,Consulta!$C:$C,0),'MM01'!AS$2),"")))</f>
        <v/>
      </c>
      <c r="AT117" s="45"/>
      <c r="AU117" s="46" t="str">
        <f t="shared" ca="1" si="83"/>
        <v/>
      </c>
      <c r="AV117" s="47" t="s">
        <v>796</v>
      </c>
      <c r="AW117" s="43" t="str">
        <f>IF(IFERROR(INDEX(Consulta!$A:$DF,MATCH('MM01'!$B117,Consulta!$C:$C,0),'MM01'!AW$2),"")=0,"",IFERROR(ROUND(INDEX(Consulta!$A:$DF,MATCH('MM01'!$B117,Consulta!$C:$C,0),'MM01'!AW$2),3),""))</f>
        <v/>
      </c>
      <c r="AX117" s="43" t="str">
        <f t="shared" si="84"/>
        <v/>
      </c>
      <c r="AY117" s="48" t="s">
        <v>299</v>
      </c>
      <c r="AZ117" s="48"/>
      <c r="BA117" s="43" t="str">
        <f>IF(IFERROR(INDEX(Consulta!$A:$DF,MATCH('MM01'!$B117,Consulta!$C:$C,0),'MM01'!BA$2),"")=0,"",IFERROR(INDEX(Consulta!$A:$DF,MATCH('MM01'!$B117,Consulta!$C:$C,0),'MM01'!BA$2),""))</f>
        <v/>
      </c>
      <c r="BB117" s="43" t="str">
        <f t="shared" si="85"/>
        <v/>
      </c>
      <c r="BC117" s="43" t="str">
        <f t="shared" si="86"/>
        <v/>
      </c>
      <c r="BD117" s="43" t="str">
        <f t="shared" si="87"/>
        <v/>
      </c>
      <c r="BE117" s="43" t="str">
        <f t="shared" si="88"/>
        <v>M</v>
      </c>
      <c r="BF117" s="43" t="str">
        <f t="shared" si="89"/>
        <v/>
      </c>
      <c r="BG117" s="43" t="str">
        <f t="shared" si="90"/>
        <v/>
      </c>
      <c r="BH117" s="43" t="str">
        <f t="shared" si="91"/>
        <v/>
      </c>
      <c r="BI117" s="43" t="str">
        <f t="shared" si="92"/>
        <v>M</v>
      </c>
      <c r="BK117" s="45" t="s">
        <v>324</v>
      </c>
      <c r="BL117" s="43" t="str">
        <f>IF(IFERROR(INDEX(Consulta!$A:$DF,MATCH('MM01'!$B117,Consulta!$C:$C,0),'MM01'!BL$2),"")=0,"",IFERROR(INDEX(Consulta!$A:$DF,MATCH('MM01'!$B117,Consulta!$C:$C,0),'MM01'!BL$2),""))</f>
        <v/>
      </c>
      <c r="BM117" s="45">
        <v>99</v>
      </c>
      <c r="BN117" s="46" t="str">
        <f t="shared" ca="1" si="93"/>
        <v>28.04.2022</v>
      </c>
      <c r="BO117" s="49" t="str">
        <f t="shared" si="94"/>
        <v/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IF(IFERROR(INDEX(Consulta!$A:$DF,MATCH('MM01'!$B117,Consulta!$C:$C,0),'MM01'!BX$2),"")=0,"",IFERROR(INDEX(Consulta!$A:$DF,MATCH('MM01'!$B117,Consulta!$C:$C,0),'MM01'!BX$2),""))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95"/>
        <v/>
      </c>
      <c r="CD117" s="45" t="s">
        <v>430</v>
      </c>
      <c r="CE117" s="45">
        <v>1</v>
      </c>
      <c r="CF117" s="45" t="s">
        <v>496</v>
      </c>
      <c r="CG117" s="45"/>
      <c r="CH117" s="44">
        <v>2</v>
      </c>
      <c r="CI117" s="49" t="str">
        <f t="shared" si="96"/>
        <v/>
      </c>
      <c r="CJ117" s="49" t="str">
        <f t="shared" si="97"/>
        <v/>
      </c>
      <c r="CK117" s="45"/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8"/>
        <v>K00_P_</v>
      </c>
      <c r="CS117" s="45">
        <v>5000</v>
      </c>
      <c r="CT117" s="43" t="str">
        <f>IF(IFERROR(INDEX(Consulta!$A:$DF,MATCH('MM01'!$B117,Consulta!$C:$C,0),'MM01'!CT$2),"")=0,"",IFERROR(INDEX(Consulta!$A:$DF,MATCH('MM01'!$B117,Consulta!$C:$C,0),'MM01'!CT$2),""))</f>
        <v/>
      </c>
      <c r="CU117" s="43" t="str">
        <f>IF(IFERROR(INDEX(Consulta!$A:$DF,MATCH('MM01'!$B117,Consulta!$C:$C,0),'MM01'!CU$2),"")=0,"",IFERROR(INDEX(Consulta!$A:$DF,MATCH('MM01'!$B117,Consulta!$C:$C,0),'MM01'!CU$2),""))</f>
        <v/>
      </c>
      <c r="CV117" s="43" t="str">
        <f>IF(IFERROR(INDEX(Consulta!$A:$DF,MATCH('MM01'!$B117,Consulta!$C:$C,0),'MM01'!CV$2),"")=0,"",IFERROR(INDEX(Consulta!$A:$DF,MATCH('MM01'!$B117,Consulta!$C:$C,0),'MM01'!CV$2),""))</f>
        <v/>
      </c>
      <c r="CW117" s="43" t="str">
        <f>IF(IFERROR(INDEX(Consulta!$A:$DF,MATCH('MM01'!$B117,Consulta!$C:$C,0),'MM01'!CW$2),"")=0,"",IFERROR(INDEX(Consulta!$A:$DF,MATCH('MM01'!$B117,Consulta!$C:$C,0),'MM01'!CW$2),""))</f>
        <v/>
      </c>
      <c r="CX117" s="43" t="str">
        <f t="shared" si="99"/>
        <v/>
      </c>
      <c r="CY117" s="43" t="str">
        <f t="shared" si="100"/>
        <v/>
      </c>
      <c r="CZ117" s="43" t="str">
        <f t="shared" si="101"/>
        <v/>
      </c>
      <c r="DA117" s="43" t="str">
        <f>IF(IFERROR(INDEX(Consulta!$A:$DF,MATCH('MM01'!$B117,Consulta!$C:$C,0),'MM01'!DA$2),"")=0,"",IFERROR(INDEX(Consulta!$A:$DF,MATCH('MM01'!$B117,Consulta!$C:$C,0),'MM01'!DA$2),""))</f>
        <v/>
      </c>
      <c r="DB117" s="43" t="str">
        <f t="shared" si="102"/>
        <v/>
      </c>
      <c r="DC117" s="43" t="str">
        <f>IF(IFERROR(INDEX(Consulta!$A:$DF,MATCH('MM01'!$B117,Consulta!$C:$C,0),'MM01'!DC$2),"")=0,"",IFERROR(INDEX(Consulta!$A:$DF,MATCH('MM01'!$B117,Consulta!$C:$C,0),'MM01'!DC$2),""))</f>
        <v/>
      </c>
      <c r="DD117" s="45">
        <v>0</v>
      </c>
      <c r="DE117" s="45">
        <v>0</v>
      </c>
      <c r="DF117" s="43" t="str">
        <f t="shared" si="103"/>
        <v/>
      </c>
      <c r="DG117" s="43" t="str">
        <f t="shared" si="104"/>
        <v/>
      </c>
      <c r="DH117" s="55"/>
      <c r="DI117" s="43" t="str">
        <f t="shared" ca="1" si="105"/>
        <v/>
      </c>
      <c r="DJ117" s="43" t="str">
        <f t="shared" si="106"/>
        <v/>
      </c>
      <c r="DK117" s="43" t="str">
        <f t="shared" si="107"/>
        <v/>
      </c>
      <c r="DL117" s="55"/>
      <c r="DM117" s="43" t="str">
        <f t="shared" ca="1" si="108"/>
        <v/>
      </c>
      <c r="DN117" s="43" t="str">
        <f t="shared" si="109"/>
        <v/>
      </c>
      <c r="DO117" s="43" t="str">
        <f t="shared" si="110"/>
        <v/>
      </c>
      <c r="DP117" s="55"/>
      <c r="DQ117" s="43" t="str">
        <f t="shared" ca="1" si="111"/>
        <v/>
      </c>
      <c r="DR117" s="43" t="str">
        <f t="shared" si="112"/>
        <v/>
      </c>
      <c r="DS117" s="43" t="str">
        <f t="shared" si="113"/>
        <v/>
      </c>
      <c r="DT117" s="55"/>
      <c r="DU117" s="43" t="str">
        <f t="shared" ca="1" si="114"/>
        <v/>
      </c>
      <c r="DV117" s="43" t="str">
        <f t="shared" si="115"/>
        <v/>
      </c>
      <c r="DX117" s="44">
        <v>1</v>
      </c>
      <c r="DY117" s="44" t="s">
        <v>774</v>
      </c>
      <c r="DZ117" s="43">
        <f t="shared" si="116"/>
        <v>0.01</v>
      </c>
      <c r="EA117" s="43" t="str">
        <f t="shared" si="117"/>
        <v>M</v>
      </c>
      <c r="EB117" s="43" t="str">
        <f>IF(IFERROR(INDEX(Consulta!$A:$DF,MATCH('MM01'!$B117,Consulta!$C:$C,0),'MM01'!EB$2),"")=0,"7925",IF(IFERROR(INDEX(Consulta!$A:$DF,MATCH('MM01'!$B117,Consulta!$C:$C,0),'MM01'!EB$2),"")="68","7910","7925"))</f>
        <v>7925</v>
      </c>
      <c r="EC117" s="44">
        <v>100</v>
      </c>
      <c r="ED117" s="60">
        <v>1</v>
      </c>
      <c r="EE117" s="43">
        <f t="shared" si="118"/>
        <v>100</v>
      </c>
      <c r="EF117" s="44">
        <v>1</v>
      </c>
      <c r="EG117" s="44">
        <v>0</v>
      </c>
      <c r="EH117" s="44" t="s">
        <v>867</v>
      </c>
      <c r="EI117" s="45">
        <v>0</v>
      </c>
      <c r="EJ117" s="43">
        <f t="shared" si="119"/>
        <v>5000</v>
      </c>
      <c r="EK117" s="65"/>
    </row>
    <row r="118" spans="1:141" x14ac:dyDescent="0.3">
      <c r="A118" s="7" t="str">
        <f t="shared" si="80"/>
        <v>Execução 114</v>
      </c>
      <c r="B118" s="42"/>
      <c r="C118" s="43" t="str">
        <f>IF(IFERROR(INDEX(Consulta!$A:$DF,MATCH('MM01'!$B118,Consulta!$C:$C,0),'MM01'!C$2),"")=0,"",IFERROR(INDEX(Consulta!$A:$DF,MATCH('MM01'!$B118,Consulta!$C:$C,0),'MM01'!C$2),""))</f>
        <v/>
      </c>
      <c r="D118" s="43" t="str">
        <f>IF(IFERROR(INDEX(Consulta!$A:$DF,MATCH('MM01'!$B118,Consulta!$C:$C,0),'MM01'!D$2),"")=0,"",IFERROR(INDEX(Consulta!$A:$DF,MATCH('MM01'!$B118,Consulta!$C:$C,0),'MM01'!D$2),""))</f>
        <v/>
      </c>
      <c r="E118" s="43" t="str">
        <f>IF(IFERROR(INDEX(Consulta!$A:$DF,MATCH('MM01'!$B118,Consulta!$C:$C,0),'MM01'!E$2),"")=0,"",IFERROR(INDEX(Consulta!$A:$DF,MATCH('MM01'!$B118,Consulta!$C:$C,0),'MM01'!E$2),""))</f>
        <v/>
      </c>
      <c r="F118" s="44" t="s">
        <v>100</v>
      </c>
      <c r="G118" s="49" t="str">
        <f>IF(IFERROR(INDEX(Consulta!$A:$DF,MATCH('MM01'!$B118,Consulta!$C:$C,0),'MM01'!G$2),"")=0,"",IFERROR(INDEX(Consulta!$A:$DF,MATCH('MM01'!$B118,Consulta!$C:$C,0),'MM01'!G$2),""))</f>
        <v/>
      </c>
      <c r="H118" s="49" t="str">
        <f>IF(IFERROR(INDEX(Consulta!$A:$DF,MATCH('MM01'!$B118,Consulta!$C:$C,0),'MM01'!H$2),"")=0,"",IFERROR(INDEX(Consulta!$A:$DF,MATCH('MM01'!$B118,Consulta!$C:$C,0),'MM01'!H$2),""))</f>
        <v/>
      </c>
      <c r="I118" s="49" t="str">
        <f t="shared" si="81"/>
        <v/>
      </c>
      <c r="J118" s="49" t="str">
        <f>IF(IFERROR(INDEX(Consulta!$A:$DF,MATCH('MM01'!$B118,Consulta!$C:$C,0),'MM01'!J$2),"")=0,"",IFERROR(INDEX(Consulta!$A:$DF,MATCH('MM01'!$B118,Consulta!$C:$C,0),'MM01'!J$2),""))</f>
        <v/>
      </c>
      <c r="K118" s="49" t="str">
        <f t="shared" si="82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IF(IFERROR(INDEX(Consulta!$A:$DF,MATCH('MM01'!$B118,Consulta!$C:$C,0),'MM01'!AP$2),"")=0,"",IFERROR(INDEX(Consulta!$A:$DF,MATCH('MM01'!$B118,Consulta!$C:$C,0),'MM01'!AP$2),""))</f>
        <v/>
      </c>
      <c r="AQ118" s="45"/>
      <c r="AR118" s="43" t="str">
        <f>IF(IFERROR(INDEX(Consulta!$A:$DF,MATCH('MM01'!$B118,Consulta!$C:$C,0),'MM01'!AR$2),"")=0,"",IFERROR(INDEX(Consulta!$A:$DF,MATCH('MM01'!$B118,Consulta!$C:$C,0),'MM01'!AR$2),""))</f>
        <v/>
      </c>
      <c r="AS118" s="43" t="str">
        <f>IF(IFERROR(INDEX(Consulta!$A:$DF,MATCH('MM01'!$B118,Consulta!$C:$C,0),'MM01'!AS$2),"")=0,"",IF(AR118="68",5102,IFERROR(INDEX(Consulta!$A:$DF,MATCH('MM01'!$B118,Consulta!$C:$C,0),'MM01'!AS$2),"")))</f>
        <v/>
      </c>
      <c r="AT118" s="45"/>
      <c r="AU118" s="46" t="str">
        <f t="shared" ca="1" si="83"/>
        <v/>
      </c>
      <c r="AV118" s="47" t="s">
        <v>796</v>
      </c>
      <c r="AW118" s="43" t="str">
        <f>IF(IFERROR(INDEX(Consulta!$A:$DF,MATCH('MM01'!$B118,Consulta!$C:$C,0),'MM01'!AW$2),"")=0,"",IFERROR(ROUND(INDEX(Consulta!$A:$DF,MATCH('MM01'!$B118,Consulta!$C:$C,0),'MM01'!AW$2),3),""))</f>
        <v/>
      </c>
      <c r="AX118" s="43" t="str">
        <f t="shared" si="84"/>
        <v/>
      </c>
      <c r="AY118" s="48" t="s">
        <v>299</v>
      </c>
      <c r="AZ118" s="48"/>
      <c r="BA118" s="43" t="str">
        <f>IF(IFERROR(INDEX(Consulta!$A:$DF,MATCH('MM01'!$B118,Consulta!$C:$C,0),'MM01'!BA$2),"")=0,"",IFERROR(INDEX(Consulta!$A:$DF,MATCH('MM01'!$B118,Consulta!$C:$C,0),'MM01'!BA$2),""))</f>
        <v/>
      </c>
      <c r="BB118" s="43" t="str">
        <f t="shared" si="85"/>
        <v/>
      </c>
      <c r="BC118" s="43" t="str">
        <f t="shared" si="86"/>
        <v/>
      </c>
      <c r="BD118" s="43" t="str">
        <f t="shared" si="87"/>
        <v/>
      </c>
      <c r="BE118" s="43" t="str">
        <f t="shared" si="88"/>
        <v>M</v>
      </c>
      <c r="BF118" s="43" t="str">
        <f t="shared" si="89"/>
        <v/>
      </c>
      <c r="BG118" s="43" t="str">
        <f t="shared" si="90"/>
        <v/>
      </c>
      <c r="BH118" s="43" t="str">
        <f t="shared" si="91"/>
        <v/>
      </c>
      <c r="BI118" s="43" t="str">
        <f t="shared" si="92"/>
        <v>M</v>
      </c>
      <c r="BK118" s="45" t="s">
        <v>324</v>
      </c>
      <c r="BL118" s="43" t="str">
        <f>IF(IFERROR(INDEX(Consulta!$A:$DF,MATCH('MM01'!$B118,Consulta!$C:$C,0),'MM01'!BL$2),"")=0,"",IFERROR(INDEX(Consulta!$A:$DF,MATCH('MM01'!$B118,Consulta!$C:$C,0),'MM01'!BL$2),""))</f>
        <v/>
      </c>
      <c r="BM118" s="45">
        <v>99</v>
      </c>
      <c r="BN118" s="46" t="str">
        <f t="shared" ca="1" si="93"/>
        <v>28.04.2022</v>
      </c>
      <c r="BO118" s="49" t="str">
        <f t="shared" si="94"/>
        <v/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IF(IFERROR(INDEX(Consulta!$A:$DF,MATCH('MM01'!$B118,Consulta!$C:$C,0),'MM01'!BX$2),"")=0,"",IFERROR(INDEX(Consulta!$A:$DF,MATCH('MM01'!$B118,Consulta!$C:$C,0),'MM01'!BX$2),""))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95"/>
        <v/>
      </c>
      <c r="CD118" s="45" t="s">
        <v>430</v>
      </c>
      <c r="CE118" s="45">
        <v>1</v>
      </c>
      <c r="CF118" s="45" t="s">
        <v>496</v>
      </c>
      <c r="CG118" s="45"/>
      <c r="CH118" s="44">
        <v>2</v>
      </c>
      <c r="CI118" s="49" t="str">
        <f t="shared" si="96"/>
        <v/>
      </c>
      <c r="CJ118" s="49" t="str">
        <f t="shared" si="97"/>
        <v/>
      </c>
      <c r="CK118" s="45"/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8"/>
        <v>K00_P_</v>
      </c>
      <c r="CS118" s="45">
        <v>5000</v>
      </c>
      <c r="CT118" s="43" t="str">
        <f>IF(IFERROR(INDEX(Consulta!$A:$DF,MATCH('MM01'!$B118,Consulta!$C:$C,0),'MM01'!CT$2),"")=0,"",IFERROR(INDEX(Consulta!$A:$DF,MATCH('MM01'!$B118,Consulta!$C:$C,0),'MM01'!CT$2),""))</f>
        <v/>
      </c>
      <c r="CU118" s="43" t="str">
        <f>IF(IFERROR(INDEX(Consulta!$A:$DF,MATCH('MM01'!$B118,Consulta!$C:$C,0),'MM01'!CU$2),"")=0,"",IFERROR(INDEX(Consulta!$A:$DF,MATCH('MM01'!$B118,Consulta!$C:$C,0),'MM01'!CU$2),""))</f>
        <v/>
      </c>
      <c r="CV118" s="43" t="str">
        <f>IF(IFERROR(INDEX(Consulta!$A:$DF,MATCH('MM01'!$B118,Consulta!$C:$C,0),'MM01'!CV$2),"")=0,"",IFERROR(INDEX(Consulta!$A:$DF,MATCH('MM01'!$B118,Consulta!$C:$C,0),'MM01'!CV$2),""))</f>
        <v/>
      </c>
      <c r="CW118" s="43" t="str">
        <f>IF(IFERROR(INDEX(Consulta!$A:$DF,MATCH('MM01'!$B118,Consulta!$C:$C,0),'MM01'!CW$2),"")=0,"",IFERROR(INDEX(Consulta!$A:$DF,MATCH('MM01'!$B118,Consulta!$C:$C,0),'MM01'!CW$2),""))</f>
        <v/>
      </c>
      <c r="CX118" s="43" t="str">
        <f t="shared" si="99"/>
        <v/>
      </c>
      <c r="CY118" s="43" t="str">
        <f t="shared" si="100"/>
        <v/>
      </c>
      <c r="CZ118" s="43" t="str">
        <f t="shared" si="101"/>
        <v/>
      </c>
      <c r="DA118" s="43" t="str">
        <f>IF(IFERROR(INDEX(Consulta!$A:$DF,MATCH('MM01'!$B118,Consulta!$C:$C,0),'MM01'!DA$2),"")=0,"",IFERROR(INDEX(Consulta!$A:$DF,MATCH('MM01'!$B118,Consulta!$C:$C,0),'MM01'!DA$2),""))</f>
        <v/>
      </c>
      <c r="DB118" s="43" t="str">
        <f t="shared" si="102"/>
        <v/>
      </c>
      <c r="DC118" s="43" t="str">
        <f>IF(IFERROR(INDEX(Consulta!$A:$DF,MATCH('MM01'!$B118,Consulta!$C:$C,0),'MM01'!DC$2),"")=0,"",IFERROR(INDEX(Consulta!$A:$DF,MATCH('MM01'!$B118,Consulta!$C:$C,0),'MM01'!DC$2),""))</f>
        <v/>
      </c>
      <c r="DD118" s="45">
        <v>0</v>
      </c>
      <c r="DE118" s="45">
        <v>0</v>
      </c>
      <c r="DF118" s="43" t="str">
        <f t="shared" si="103"/>
        <v/>
      </c>
      <c r="DG118" s="43" t="str">
        <f t="shared" si="104"/>
        <v/>
      </c>
      <c r="DH118" s="55"/>
      <c r="DI118" s="43" t="str">
        <f t="shared" ca="1" si="105"/>
        <v/>
      </c>
      <c r="DJ118" s="43" t="str">
        <f t="shared" si="106"/>
        <v/>
      </c>
      <c r="DK118" s="43" t="str">
        <f t="shared" si="107"/>
        <v/>
      </c>
      <c r="DL118" s="55"/>
      <c r="DM118" s="43" t="str">
        <f t="shared" ca="1" si="108"/>
        <v/>
      </c>
      <c r="DN118" s="43" t="str">
        <f t="shared" si="109"/>
        <v/>
      </c>
      <c r="DO118" s="43" t="str">
        <f t="shared" si="110"/>
        <v/>
      </c>
      <c r="DP118" s="55"/>
      <c r="DQ118" s="43" t="str">
        <f t="shared" ca="1" si="111"/>
        <v/>
      </c>
      <c r="DR118" s="43" t="str">
        <f t="shared" si="112"/>
        <v/>
      </c>
      <c r="DS118" s="43" t="str">
        <f t="shared" si="113"/>
        <v/>
      </c>
      <c r="DT118" s="55"/>
      <c r="DU118" s="43" t="str">
        <f t="shared" ca="1" si="114"/>
        <v/>
      </c>
      <c r="DV118" s="43" t="str">
        <f t="shared" si="115"/>
        <v/>
      </c>
      <c r="DX118" s="44">
        <v>1</v>
      </c>
      <c r="DY118" s="44" t="s">
        <v>774</v>
      </c>
      <c r="DZ118" s="43">
        <f t="shared" si="116"/>
        <v>0.01</v>
      </c>
      <c r="EA118" s="43" t="str">
        <f t="shared" si="117"/>
        <v>M</v>
      </c>
      <c r="EB118" s="43" t="str">
        <f>IF(IFERROR(INDEX(Consulta!$A:$DF,MATCH('MM01'!$B118,Consulta!$C:$C,0),'MM01'!EB$2),"")=0,"7925",IF(IFERROR(INDEX(Consulta!$A:$DF,MATCH('MM01'!$B118,Consulta!$C:$C,0),'MM01'!EB$2),"")="68","7910","7925"))</f>
        <v>7925</v>
      </c>
      <c r="EC118" s="44">
        <v>100</v>
      </c>
      <c r="ED118" s="60">
        <v>1</v>
      </c>
      <c r="EE118" s="43">
        <f t="shared" si="118"/>
        <v>100</v>
      </c>
      <c r="EF118" s="44">
        <v>1</v>
      </c>
      <c r="EG118" s="44">
        <v>0</v>
      </c>
      <c r="EH118" s="44" t="s">
        <v>867</v>
      </c>
      <c r="EI118" s="45">
        <v>0</v>
      </c>
      <c r="EJ118" s="43">
        <f t="shared" si="119"/>
        <v>5000</v>
      </c>
      <c r="EK118" s="65"/>
    </row>
    <row r="119" spans="1:141" x14ac:dyDescent="0.3">
      <c r="A119" s="7" t="str">
        <f t="shared" si="80"/>
        <v>Execução 115</v>
      </c>
      <c r="B119" s="42"/>
      <c r="C119" s="43" t="str">
        <f>IF(IFERROR(INDEX(Consulta!$A:$DF,MATCH('MM01'!$B119,Consulta!$C:$C,0),'MM01'!C$2),"")=0,"",IFERROR(INDEX(Consulta!$A:$DF,MATCH('MM01'!$B119,Consulta!$C:$C,0),'MM01'!C$2),""))</f>
        <v/>
      </c>
      <c r="D119" s="43" t="str">
        <f>IF(IFERROR(INDEX(Consulta!$A:$DF,MATCH('MM01'!$B119,Consulta!$C:$C,0),'MM01'!D$2),"")=0,"",IFERROR(INDEX(Consulta!$A:$DF,MATCH('MM01'!$B119,Consulta!$C:$C,0),'MM01'!D$2),""))</f>
        <v/>
      </c>
      <c r="E119" s="43" t="str">
        <f>IF(IFERROR(INDEX(Consulta!$A:$DF,MATCH('MM01'!$B119,Consulta!$C:$C,0),'MM01'!E$2),"")=0,"",IFERROR(INDEX(Consulta!$A:$DF,MATCH('MM01'!$B119,Consulta!$C:$C,0),'MM01'!E$2),""))</f>
        <v/>
      </c>
      <c r="F119" s="44" t="s">
        <v>100</v>
      </c>
      <c r="G119" s="49" t="str">
        <f>IF(IFERROR(INDEX(Consulta!$A:$DF,MATCH('MM01'!$B119,Consulta!$C:$C,0),'MM01'!G$2),"")=0,"",IFERROR(INDEX(Consulta!$A:$DF,MATCH('MM01'!$B119,Consulta!$C:$C,0),'MM01'!G$2),""))</f>
        <v/>
      </c>
      <c r="H119" s="49" t="str">
        <f>IF(IFERROR(INDEX(Consulta!$A:$DF,MATCH('MM01'!$B119,Consulta!$C:$C,0),'MM01'!H$2),"")=0,"",IFERROR(INDEX(Consulta!$A:$DF,MATCH('MM01'!$B119,Consulta!$C:$C,0),'MM01'!H$2),""))</f>
        <v/>
      </c>
      <c r="I119" s="49" t="str">
        <f t="shared" si="81"/>
        <v/>
      </c>
      <c r="J119" s="49" t="str">
        <f>IF(IFERROR(INDEX(Consulta!$A:$DF,MATCH('MM01'!$B119,Consulta!$C:$C,0),'MM01'!J$2),"")=0,"",IFERROR(INDEX(Consulta!$A:$DF,MATCH('MM01'!$B119,Consulta!$C:$C,0),'MM01'!J$2),""))</f>
        <v/>
      </c>
      <c r="K119" s="49" t="str">
        <f t="shared" si="82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IF(IFERROR(INDEX(Consulta!$A:$DF,MATCH('MM01'!$B119,Consulta!$C:$C,0),'MM01'!AP$2),"")=0,"",IFERROR(INDEX(Consulta!$A:$DF,MATCH('MM01'!$B119,Consulta!$C:$C,0),'MM01'!AP$2),""))</f>
        <v/>
      </c>
      <c r="AQ119" s="45"/>
      <c r="AR119" s="43" t="str">
        <f>IF(IFERROR(INDEX(Consulta!$A:$DF,MATCH('MM01'!$B119,Consulta!$C:$C,0),'MM01'!AR$2),"")=0,"",IFERROR(INDEX(Consulta!$A:$DF,MATCH('MM01'!$B119,Consulta!$C:$C,0),'MM01'!AR$2),""))</f>
        <v/>
      </c>
      <c r="AS119" s="43" t="str">
        <f>IF(IFERROR(INDEX(Consulta!$A:$DF,MATCH('MM01'!$B119,Consulta!$C:$C,0),'MM01'!AS$2),"")=0,"",IF(AR119="68",5102,IFERROR(INDEX(Consulta!$A:$DF,MATCH('MM01'!$B119,Consulta!$C:$C,0),'MM01'!AS$2),"")))</f>
        <v/>
      </c>
      <c r="AT119" s="45"/>
      <c r="AU119" s="46" t="str">
        <f t="shared" ca="1" si="83"/>
        <v/>
      </c>
      <c r="AV119" s="47" t="s">
        <v>796</v>
      </c>
      <c r="AW119" s="43" t="str">
        <f>IF(IFERROR(INDEX(Consulta!$A:$DF,MATCH('MM01'!$B119,Consulta!$C:$C,0),'MM01'!AW$2),"")=0,"",IFERROR(ROUND(INDEX(Consulta!$A:$DF,MATCH('MM01'!$B119,Consulta!$C:$C,0),'MM01'!AW$2),3),""))</f>
        <v/>
      </c>
      <c r="AX119" s="43" t="str">
        <f t="shared" si="84"/>
        <v/>
      </c>
      <c r="AY119" s="48" t="s">
        <v>299</v>
      </c>
      <c r="AZ119" s="48"/>
      <c r="BA119" s="43" t="str">
        <f>IF(IFERROR(INDEX(Consulta!$A:$DF,MATCH('MM01'!$B119,Consulta!$C:$C,0),'MM01'!BA$2),"")=0,"",IFERROR(INDEX(Consulta!$A:$DF,MATCH('MM01'!$B119,Consulta!$C:$C,0),'MM01'!BA$2),""))</f>
        <v/>
      </c>
      <c r="BB119" s="43" t="str">
        <f t="shared" si="85"/>
        <v/>
      </c>
      <c r="BC119" s="43" t="str">
        <f t="shared" si="86"/>
        <v/>
      </c>
      <c r="BD119" s="43" t="str">
        <f t="shared" si="87"/>
        <v/>
      </c>
      <c r="BE119" s="43" t="str">
        <f t="shared" si="88"/>
        <v>M</v>
      </c>
      <c r="BF119" s="43" t="str">
        <f t="shared" si="89"/>
        <v/>
      </c>
      <c r="BG119" s="43" t="str">
        <f t="shared" si="90"/>
        <v/>
      </c>
      <c r="BH119" s="43" t="str">
        <f t="shared" si="91"/>
        <v/>
      </c>
      <c r="BI119" s="43" t="str">
        <f t="shared" si="92"/>
        <v>M</v>
      </c>
      <c r="BK119" s="45" t="s">
        <v>324</v>
      </c>
      <c r="BL119" s="43" t="str">
        <f>IF(IFERROR(INDEX(Consulta!$A:$DF,MATCH('MM01'!$B119,Consulta!$C:$C,0),'MM01'!BL$2),"")=0,"",IFERROR(INDEX(Consulta!$A:$DF,MATCH('MM01'!$B119,Consulta!$C:$C,0),'MM01'!BL$2),""))</f>
        <v/>
      </c>
      <c r="BM119" s="45">
        <v>99</v>
      </c>
      <c r="BN119" s="46" t="str">
        <f t="shared" ca="1" si="93"/>
        <v>28.04.2022</v>
      </c>
      <c r="BO119" s="49" t="str">
        <f t="shared" si="94"/>
        <v/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IF(IFERROR(INDEX(Consulta!$A:$DF,MATCH('MM01'!$B119,Consulta!$C:$C,0),'MM01'!BX$2),"")=0,"",IFERROR(INDEX(Consulta!$A:$DF,MATCH('MM01'!$B119,Consulta!$C:$C,0),'MM01'!BX$2),""))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95"/>
        <v/>
      </c>
      <c r="CD119" s="45" t="s">
        <v>430</v>
      </c>
      <c r="CE119" s="45">
        <v>1</v>
      </c>
      <c r="CF119" s="45" t="s">
        <v>496</v>
      </c>
      <c r="CG119" s="45"/>
      <c r="CH119" s="44">
        <v>2</v>
      </c>
      <c r="CI119" s="49" t="str">
        <f t="shared" si="96"/>
        <v/>
      </c>
      <c r="CJ119" s="49" t="str">
        <f t="shared" si="97"/>
        <v/>
      </c>
      <c r="CK119" s="45"/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8"/>
        <v>K00_P_</v>
      </c>
      <c r="CS119" s="45">
        <v>5000</v>
      </c>
      <c r="CT119" s="43" t="str">
        <f>IF(IFERROR(INDEX(Consulta!$A:$DF,MATCH('MM01'!$B119,Consulta!$C:$C,0),'MM01'!CT$2),"")=0,"",IFERROR(INDEX(Consulta!$A:$DF,MATCH('MM01'!$B119,Consulta!$C:$C,0),'MM01'!CT$2),""))</f>
        <v/>
      </c>
      <c r="CU119" s="43" t="str">
        <f>IF(IFERROR(INDEX(Consulta!$A:$DF,MATCH('MM01'!$B119,Consulta!$C:$C,0),'MM01'!CU$2),"")=0,"",IFERROR(INDEX(Consulta!$A:$DF,MATCH('MM01'!$B119,Consulta!$C:$C,0),'MM01'!CU$2),""))</f>
        <v/>
      </c>
      <c r="CV119" s="43" t="str">
        <f>IF(IFERROR(INDEX(Consulta!$A:$DF,MATCH('MM01'!$B119,Consulta!$C:$C,0),'MM01'!CV$2),"")=0,"",IFERROR(INDEX(Consulta!$A:$DF,MATCH('MM01'!$B119,Consulta!$C:$C,0),'MM01'!CV$2),""))</f>
        <v/>
      </c>
      <c r="CW119" s="43" t="str">
        <f>IF(IFERROR(INDEX(Consulta!$A:$DF,MATCH('MM01'!$B119,Consulta!$C:$C,0),'MM01'!CW$2),"")=0,"",IFERROR(INDEX(Consulta!$A:$DF,MATCH('MM01'!$B119,Consulta!$C:$C,0),'MM01'!CW$2),""))</f>
        <v/>
      </c>
      <c r="CX119" s="43" t="str">
        <f t="shared" si="99"/>
        <v/>
      </c>
      <c r="CY119" s="43" t="str">
        <f t="shared" si="100"/>
        <v/>
      </c>
      <c r="CZ119" s="43" t="str">
        <f t="shared" si="101"/>
        <v/>
      </c>
      <c r="DA119" s="43" t="str">
        <f>IF(IFERROR(INDEX(Consulta!$A:$DF,MATCH('MM01'!$B119,Consulta!$C:$C,0),'MM01'!DA$2),"")=0,"",IFERROR(INDEX(Consulta!$A:$DF,MATCH('MM01'!$B119,Consulta!$C:$C,0),'MM01'!DA$2),""))</f>
        <v/>
      </c>
      <c r="DB119" s="43" t="str">
        <f t="shared" si="102"/>
        <v/>
      </c>
      <c r="DC119" s="43" t="str">
        <f>IF(IFERROR(INDEX(Consulta!$A:$DF,MATCH('MM01'!$B119,Consulta!$C:$C,0),'MM01'!DC$2),"")=0,"",IFERROR(INDEX(Consulta!$A:$DF,MATCH('MM01'!$B119,Consulta!$C:$C,0),'MM01'!DC$2),""))</f>
        <v/>
      </c>
      <c r="DD119" s="45">
        <v>0</v>
      </c>
      <c r="DE119" s="45">
        <v>0</v>
      </c>
      <c r="DF119" s="43" t="str">
        <f t="shared" si="103"/>
        <v/>
      </c>
      <c r="DG119" s="43" t="str">
        <f t="shared" si="104"/>
        <v/>
      </c>
      <c r="DH119" s="55"/>
      <c r="DI119" s="43" t="str">
        <f t="shared" ca="1" si="105"/>
        <v/>
      </c>
      <c r="DJ119" s="43" t="str">
        <f t="shared" si="106"/>
        <v/>
      </c>
      <c r="DK119" s="43" t="str">
        <f t="shared" si="107"/>
        <v/>
      </c>
      <c r="DL119" s="55"/>
      <c r="DM119" s="43" t="str">
        <f t="shared" ca="1" si="108"/>
        <v/>
      </c>
      <c r="DN119" s="43" t="str">
        <f t="shared" si="109"/>
        <v/>
      </c>
      <c r="DO119" s="43" t="str">
        <f t="shared" si="110"/>
        <v/>
      </c>
      <c r="DP119" s="55"/>
      <c r="DQ119" s="43" t="str">
        <f t="shared" ca="1" si="111"/>
        <v/>
      </c>
      <c r="DR119" s="43" t="str">
        <f t="shared" si="112"/>
        <v/>
      </c>
      <c r="DS119" s="43" t="str">
        <f t="shared" si="113"/>
        <v/>
      </c>
      <c r="DT119" s="55"/>
      <c r="DU119" s="43" t="str">
        <f t="shared" ca="1" si="114"/>
        <v/>
      </c>
      <c r="DV119" s="43" t="str">
        <f t="shared" si="115"/>
        <v/>
      </c>
      <c r="DX119" s="44">
        <v>1</v>
      </c>
      <c r="DY119" s="44" t="s">
        <v>774</v>
      </c>
      <c r="DZ119" s="43">
        <f t="shared" si="116"/>
        <v>0.01</v>
      </c>
      <c r="EA119" s="43" t="str">
        <f t="shared" si="117"/>
        <v>M</v>
      </c>
      <c r="EB119" s="43" t="str">
        <f>IF(IFERROR(INDEX(Consulta!$A:$DF,MATCH('MM01'!$B119,Consulta!$C:$C,0),'MM01'!EB$2),"")=0,"7925",IF(IFERROR(INDEX(Consulta!$A:$DF,MATCH('MM01'!$B119,Consulta!$C:$C,0),'MM01'!EB$2),"")="68","7910","7925"))</f>
        <v>7925</v>
      </c>
      <c r="EC119" s="44">
        <v>100</v>
      </c>
      <c r="ED119" s="60">
        <v>1</v>
      </c>
      <c r="EE119" s="43">
        <f t="shared" si="118"/>
        <v>100</v>
      </c>
      <c r="EF119" s="44">
        <v>1</v>
      </c>
      <c r="EG119" s="44">
        <v>0</v>
      </c>
      <c r="EH119" s="44" t="s">
        <v>867</v>
      </c>
      <c r="EI119" s="45">
        <v>0</v>
      </c>
      <c r="EJ119" s="43">
        <f t="shared" si="119"/>
        <v>5000</v>
      </c>
      <c r="EK119" s="65"/>
    </row>
    <row r="120" spans="1:141" x14ac:dyDescent="0.3">
      <c r="A120" s="7" t="str">
        <f t="shared" si="80"/>
        <v>Execução 116</v>
      </c>
      <c r="B120" s="42"/>
      <c r="C120" s="43" t="str">
        <f>IF(IFERROR(INDEX(Consulta!$A:$DF,MATCH('MM01'!$B120,Consulta!$C:$C,0),'MM01'!C$2),"")=0,"",IFERROR(INDEX(Consulta!$A:$DF,MATCH('MM01'!$B120,Consulta!$C:$C,0),'MM01'!C$2),""))</f>
        <v/>
      </c>
      <c r="D120" s="43" t="str">
        <f>IF(IFERROR(INDEX(Consulta!$A:$DF,MATCH('MM01'!$B120,Consulta!$C:$C,0),'MM01'!D$2),"")=0,"",IFERROR(INDEX(Consulta!$A:$DF,MATCH('MM01'!$B120,Consulta!$C:$C,0),'MM01'!D$2),""))</f>
        <v/>
      </c>
      <c r="E120" s="43" t="str">
        <f>IF(IFERROR(INDEX(Consulta!$A:$DF,MATCH('MM01'!$B120,Consulta!$C:$C,0),'MM01'!E$2),"")=0,"",IFERROR(INDEX(Consulta!$A:$DF,MATCH('MM01'!$B120,Consulta!$C:$C,0),'MM01'!E$2),""))</f>
        <v/>
      </c>
      <c r="F120" s="44" t="s">
        <v>100</v>
      </c>
      <c r="G120" s="49" t="str">
        <f>IF(IFERROR(INDEX(Consulta!$A:$DF,MATCH('MM01'!$B120,Consulta!$C:$C,0),'MM01'!G$2),"")=0,"",IFERROR(INDEX(Consulta!$A:$DF,MATCH('MM01'!$B120,Consulta!$C:$C,0),'MM01'!G$2),""))</f>
        <v/>
      </c>
      <c r="H120" s="49" t="str">
        <f>IF(IFERROR(INDEX(Consulta!$A:$DF,MATCH('MM01'!$B120,Consulta!$C:$C,0),'MM01'!H$2),"")=0,"",IFERROR(INDEX(Consulta!$A:$DF,MATCH('MM01'!$B120,Consulta!$C:$C,0),'MM01'!H$2),""))</f>
        <v/>
      </c>
      <c r="I120" s="49" t="str">
        <f t="shared" si="81"/>
        <v/>
      </c>
      <c r="J120" s="49" t="str">
        <f>IF(IFERROR(INDEX(Consulta!$A:$DF,MATCH('MM01'!$B120,Consulta!$C:$C,0),'MM01'!J$2),"")=0,"",IFERROR(INDEX(Consulta!$A:$DF,MATCH('MM01'!$B120,Consulta!$C:$C,0),'MM01'!J$2),""))</f>
        <v/>
      </c>
      <c r="K120" s="49" t="str">
        <f t="shared" si="82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IF(IFERROR(INDEX(Consulta!$A:$DF,MATCH('MM01'!$B120,Consulta!$C:$C,0),'MM01'!AP$2),"")=0,"",IFERROR(INDEX(Consulta!$A:$DF,MATCH('MM01'!$B120,Consulta!$C:$C,0),'MM01'!AP$2),""))</f>
        <v/>
      </c>
      <c r="AQ120" s="45"/>
      <c r="AR120" s="43" t="str">
        <f>IF(IFERROR(INDEX(Consulta!$A:$DF,MATCH('MM01'!$B120,Consulta!$C:$C,0),'MM01'!AR$2),"")=0,"",IFERROR(INDEX(Consulta!$A:$DF,MATCH('MM01'!$B120,Consulta!$C:$C,0),'MM01'!AR$2),""))</f>
        <v/>
      </c>
      <c r="AS120" s="43" t="str">
        <f>IF(IFERROR(INDEX(Consulta!$A:$DF,MATCH('MM01'!$B120,Consulta!$C:$C,0),'MM01'!AS$2),"")=0,"",IF(AR120="68",5102,IFERROR(INDEX(Consulta!$A:$DF,MATCH('MM01'!$B120,Consulta!$C:$C,0),'MM01'!AS$2),"")))</f>
        <v/>
      </c>
      <c r="AT120" s="45"/>
      <c r="AU120" s="46" t="str">
        <f t="shared" ca="1" si="83"/>
        <v/>
      </c>
      <c r="AV120" s="47" t="s">
        <v>796</v>
      </c>
      <c r="AW120" s="43" t="str">
        <f>IF(IFERROR(INDEX(Consulta!$A:$DF,MATCH('MM01'!$B120,Consulta!$C:$C,0),'MM01'!AW$2),"")=0,"",IFERROR(ROUND(INDEX(Consulta!$A:$DF,MATCH('MM01'!$B120,Consulta!$C:$C,0),'MM01'!AW$2),3),""))</f>
        <v/>
      </c>
      <c r="AX120" s="43" t="str">
        <f t="shared" si="84"/>
        <v/>
      </c>
      <c r="AY120" s="48" t="s">
        <v>299</v>
      </c>
      <c r="AZ120" s="48"/>
      <c r="BA120" s="43" t="str">
        <f>IF(IFERROR(INDEX(Consulta!$A:$DF,MATCH('MM01'!$B120,Consulta!$C:$C,0),'MM01'!BA$2),"")=0,"",IFERROR(INDEX(Consulta!$A:$DF,MATCH('MM01'!$B120,Consulta!$C:$C,0),'MM01'!BA$2),""))</f>
        <v/>
      </c>
      <c r="BB120" s="43" t="str">
        <f t="shared" si="85"/>
        <v/>
      </c>
      <c r="BC120" s="43" t="str">
        <f t="shared" si="86"/>
        <v/>
      </c>
      <c r="BD120" s="43" t="str">
        <f t="shared" si="87"/>
        <v/>
      </c>
      <c r="BE120" s="43" t="str">
        <f t="shared" si="88"/>
        <v>M</v>
      </c>
      <c r="BF120" s="43" t="str">
        <f t="shared" si="89"/>
        <v/>
      </c>
      <c r="BG120" s="43" t="str">
        <f t="shared" si="90"/>
        <v/>
      </c>
      <c r="BH120" s="43" t="str">
        <f t="shared" si="91"/>
        <v/>
      </c>
      <c r="BI120" s="43" t="str">
        <f t="shared" si="92"/>
        <v>M</v>
      </c>
      <c r="BK120" s="45" t="s">
        <v>324</v>
      </c>
      <c r="BL120" s="43" t="str">
        <f>IF(IFERROR(INDEX(Consulta!$A:$DF,MATCH('MM01'!$B120,Consulta!$C:$C,0),'MM01'!BL$2),"")=0,"",IFERROR(INDEX(Consulta!$A:$DF,MATCH('MM01'!$B120,Consulta!$C:$C,0),'MM01'!BL$2),""))</f>
        <v/>
      </c>
      <c r="BM120" s="45">
        <v>99</v>
      </c>
      <c r="BN120" s="46" t="str">
        <f t="shared" ca="1" si="93"/>
        <v>28.04.2022</v>
      </c>
      <c r="BO120" s="49" t="str">
        <f t="shared" si="94"/>
        <v/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IF(IFERROR(INDEX(Consulta!$A:$DF,MATCH('MM01'!$B120,Consulta!$C:$C,0),'MM01'!BX$2),"")=0,"",IFERROR(INDEX(Consulta!$A:$DF,MATCH('MM01'!$B120,Consulta!$C:$C,0),'MM01'!BX$2),""))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95"/>
        <v/>
      </c>
      <c r="CD120" s="45" t="s">
        <v>430</v>
      </c>
      <c r="CE120" s="45">
        <v>1</v>
      </c>
      <c r="CF120" s="45" t="s">
        <v>496</v>
      </c>
      <c r="CG120" s="45"/>
      <c r="CH120" s="44">
        <v>2</v>
      </c>
      <c r="CI120" s="49" t="str">
        <f t="shared" si="96"/>
        <v/>
      </c>
      <c r="CJ120" s="49" t="str">
        <f t="shared" si="97"/>
        <v/>
      </c>
      <c r="CK120" s="45"/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8"/>
        <v>K00_P_</v>
      </c>
      <c r="CS120" s="45">
        <v>5000</v>
      </c>
      <c r="CT120" s="43" t="str">
        <f>IF(IFERROR(INDEX(Consulta!$A:$DF,MATCH('MM01'!$B120,Consulta!$C:$C,0),'MM01'!CT$2),"")=0,"",IFERROR(INDEX(Consulta!$A:$DF,MATCH('MM01'!$B120,Consulta!$C:$C,0),'MM01'!CT$2),""))</f>
        <v/>
      </c>
      <c r="CU120" s="43" t="str">
        <f>IF(IFERROR(INDEX(Consulta!$A:$DF,MATCH('MM01'!$B120,Consulta!$C:$C,0),'MM01'!CU$2),"")=0,"",IFERROR(INDEX(Consulta!$A:$DF,MATCH('MM01'!$B120,Consulta!$C:$C,0),'MM01'!CU$2),""))</f>
        <v/>
      </c>
      <c r="CV120" s="43" t="str">
        <f>IF(IFERROR(INDEX(Consulta!$A:$DF,MATCH('MM01'!$B120,Consulta!$C:$C,0),'MM01'!CV$2),"")=0,"",IFERROR(INDEX(Consulta!$A:$DF,MATCH('MM01'!$B120,Consulta!$C:$C,0),'MM01'!CV$2),""))</f>
        <v/>
      </c>
      <c r="CW120" s="43" t="str">
        <f>IF(IFERROR(INDEX(Consulta!$A:$DF,MATCH('MM01'!$B120,Consulta!$C:$C,0),'MM01'!CW$2),"")=0,"",IFERROR(INDEX(Consulta!$A:$DF,MATCH('MM01'!$B120,Consulta!$C:$C,0),'MM01'!CW$2),""))</f>
        <v/>
      </c>
      <c r="CX120" s="43" t="str">
        <f t="shared" si="99"/>
        <v/>
      </c>
      <c r="CY120" s="43" t="str">
        <f t="shared" si="100"/>
        <v/>
      </c>
      <c r="CZ120" s="43" t="str">
        <f t="shared" si="101"/>
        <v/>
      </c>
      <c r="DA120" s="43" t="str">
        <f>IF(IFERROR(INDEX(Consulta!$A:$DF,MATCH('MM01'!$B120,Consulta!$C:$C,0),'MM01'!DA$2),"")=0,"",IFERROR(INDEX(Consulta!$A:$DF,MATCH('MM01'!$B120,Consulta!$C:$C,0),'MM01'!DA$2),""))</f>
        <v/>
      </c>
      <c r="DB120" s="43" t="str">
        <f t="shared" si="102"/>
        <v/>
      </c>
      <c r="DC120" s="43" t="str">
        <f>IF(IFERROR(INDEX(Consulta!$A:$DF,MATCH('MM01'!$B120,Consulta!$C:$C,0),'MM01'!DC$2),"")=0,"",IFERROR(INDEX(Consulta!$A:$DF,MATCH('MM01'!$B120,Consulta!$C:$C,0),'MM01'!DC$2),""))</f>
        <v/>
      </c>
      <c r="DD120" s="45">
        <v>0</v>
      </c>
      <c r="DE120" s="45">
        <v>0</v>
      </c>
      <c r="DF120" s="43" t="str">
        <f t="shared" si="103"/>
        <v/>
      </c>
      <c r="DG120" s="43" t="str">
        <f t="shared" si="104"/>
        <v/>
      </c>
      <c r="DH120" s="55"/>
      <c r="DI120" s="43" t="str">
        <f t="shared" ca="1" si="105"/>
        <v/>
      </c>
      <c r="DJ120" s="43" t="str">
        <f t="shared" si="106"/>
        <v/>
      </c>
      <c r="DK120" s="43" t="str">
        <f t="shared" si="107"/>
        <v/>
      </c>
      <c r="DL120" s="55"/>
      <c r="DM120" s="43" t="str">
        <f t="shared" ca="1" si="108"/>
        <v/>
      </c>
      <c r="DN120" s="43" t="str">
        <f t="shared" si="109"/>
        <v/>
      </c>
      <c r="DO120" s="43" t="str">
        <f t="shared" si="110"/>
        <v/>
      </c>
      <c r="DP120" s="55"/>
      <c r="DQ120" s="43" t="str">
        <f t="shared" ca="1" si="111"/>
        <v/>
      </c>
      <c r="DR120" s="43" t="str">
        <f t="shared" si="112"/>
        <v/>
      </c>
      <c r="DS120" s="43" t="str">
        <f t="shared" si="113"/>
        <v/>
      </c>
      <c r="DT120" s="55"/>
      <c r="DU120" s="43" t="str">
        <f t="shared" ca="1" si="114"/>
        <v/>
      </c>
      <c r="DV120" s="43" t="str">
        <f t="shared" si="115"/>
        <v/>
      </c>
      <c r="DX120" s="44">
        <v>1</v>
      </c>
      <c r="DY120" s="44" t="s">
        <v>774</v>
      </c>
      <c r="DZ120" s="43">
        <f t="shared" si="116"/>
        <v>0.01</v>
      </c>
      <c r="EA120" s="43" t="str">
        <f t="shared" si="117"/>
        <v>M</v>
      </c>
      <c r="EB120" s="43" t="str">
        <f>IF(IFERROR(INDEX(Consulta!$A:$DF,MATCH('MM01'!$B120,Consulta!$C:$C,0),'MM01'!EB$2),"")=0,"7925",IF(IFERROR(INDEX(Consulta!$A:$DF,MATCH('MM01'!$B120,Consulta!$C:$C,0),'MM01'!EB$2),"")="68","7910","7925"))</f>
        <v>7925</v>
      </c>
      <c r="EC120" s="44">
        <v>100</v>
      </c>
      <c r="ED120" s="60">
        <v>1</v>
      </c>
      <c r="EE120" s="43">
        <f t="shared" si="118"/>
        <v>100</v>
      </c>
      <c r="EF120" s="44">
        <v>1</v>
      </c>
      <c r="EG120" s="44">
        <v>0</v>
      </c>
      <c r="EH120" s="44" t="s">
        <v>867</v>
      </c>
      <c r="EI120" s="45">
        <v>0</v>
      </c>
      <c r="EJ120" s="43">
        <f t="shared" si="119"/>
        <v>5000</v>
      </c>
      <c r="EK120" s="65"/>
    </row>
    <row r="121" spans="1:141" x14ac:dyDescent="0.3">
      <c r="A121" s="7" t="str">
        <f t="shared" si="80"/>
        <v>Execução 117</v>
      </c>
      <c r="B121" s="42"/>
      <c r="C121" s="43" t="str">
        <f>IF(IFERROR(INDEX(Consulta!$A:$DF,MATCH('MM01'!$B121,Consulta!$C:$C,0),'MM01'!C$2),"")=0,"",IFERROR(INDEX(Consulta!$A:$DF,MATCH('MM01'!$B121,Consulta!$C:$C,0),'MM01'!C$2),""))</f>
        <v/>
      </c>
      <c r="D121" s="43" t="str">
        <f>IF(IFERROR(INDEX(Consulta!$A:$DF,MATCH('MM01'!$B121,Consulta!$C:$C,0),'MM01'!D$2),"")=0,"",IFERROR(INDEX(Consulta!$A:$DF,MATCH('MM01'!$B121,Consulta!$C:$C,0),'MM01'!D$2),""))</f>
        <v/>
      </c>
      <c r="E121" s="43" t="str">
        <f>IF(IFERROR(INDEX(Consulta!$A:$DF,MATCH('MM01'!$B121,Consulta!$C:$C,0),'MM01'!E$2),"")=0,"",IFERROR(INDEX(Consulta!$A:$DF,MATCH('MM01'!$B121,Consulta!$C:$C,0),'MM01'!E$2),""))</f>
        <v/>
      </c>
      <c r="F121" s="44" t="s">
        <v>100</v>
      </c>
      <c r="G121" s="49" t="str">
        <f>IF(IFERROR(INDEX(Consulta!$A:$DF,MATCH('MM01'!$B121,Consulta!$C:$C,0),'MM01'!G$2),"")=0,"",IFERROR(INDEX(Consulta!$A:$DF,MATCH('MM01'!$B121,Consulta!$C:$C,0),'MM01'!G$2),""))</f>
        <v/>
      </c>
      <c r="H121" s="49" t="str">
        <f>IF(IFERROR(INDEX(Consulta!$A:$DF,MATCH('MM01'!$B121,Consulta!$C:$C,0),'MM01'!H$2),"")=0,"",IFERROR(INDEX(Consulta!$A:$DF,MATCH('MM01'!$B121,Consulta!$C:$C,0),'MM01'!H$2),""))</f>
        <v/>
      </c>
      <c r="I121" s="49" t="str">
        <f t="shared" si="81"/>
        <v/>
      </c>
      <c r="J121" s="49" t="str">
        <f>IF(IFERROR(INDEX(Consulta!$A:$DF,MATCH('MM01'!$B121,Consulta!$C:$C,0),'MM01'!J$2),"")=0,"",IFERROR(INDEX(Consulta!$A:$DF,MATCH('MM01'!$B121,Consulta!$C:$C,0),'MM01'!J$2),""))</f>
        <v/>
      </c>
      <c r="K121" s="49" t="str">
        <f t="shared" si="82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IF(IFERROR(INDEX(Consulta!$A:$DF,MATCH('MM01'!$B121,Consulta!$C:$C,0),'MM01'!AP$2),"")=0,"",IFERROR(INDEX(Consulta!$A:$DF,MATCH('MM01'!$B121,Consulta!$C:$C,0),'MM01'!AP$2),""))</f>
        <v/>
      </c>
      <c r="AQ121" s="45"/>
      <c r="AR121" s="43" t="str">
        <f>IF(IFERROR(INDEX(Consulta!$A:$DF,MATCH('MM01'!$B121,Consulta!$C:$C,0),'MM01'!AR$2),"")=0,"",IFERROR(INDEX(Consulta!$A:$DF,MATCH('MM01'!$B121,Consulta!$C:$C,0),'MM01'!AR$2),""))</f>
        <v/>
      </c>
      <c r="AS121" s="43" t="str">
        <f>IF(IFERROR(INDEX(Consulta!$A:$DF,MATCH('MM01'!$B121,Consulta!$C:$C,0),'MM01'!AS$2),"")=0,"",IF(AR121="68",5102,IFERROR(INDEX(Consulta!$A:$DF,MATCH('MM01'!$B121,Consulta!$C:$C,0),'MM01'!AS$2),"")))</f>
        <v/>
      </c>
      <c r="AT121" s="45"/>
      <c r="AU121" s="46" t="str">
        <f t="shared" ca="1" si="83"/>
        <v/>
      </c>
      <c r="AV121" s="47" t="s">
        <v>796</v>
      </c>
      <c r="AW121" s="43" t="str">
        <f>IF(IFERROR(INDEX(Consulta!$A:$DF,MATCH('MM01'!$B121,Consulta!$C:$C,0),'MM01'!AW$2),"")=0,"",IFERROR(ROUND(INDEX(Consulta!$A:$DF,MATCH('MM01'!$B121,Consulta!$C:$C,0),'MM01'!AW$2),3),""))</f>
        <v/>
      </c>
      <c r="AX121" s="43" t="str">
        <f t="shared" si="84"/>
        <v/>
      </c>
      <c r="AY121" s="48" t="s">
        <v>299</v>
      </c>
      <c r="AZ121" s="48"/>
      <c r="BA121" s="43" t="str">
        <f>IF(IFERROR(INDEX(Consulta!$A:$DF,MATCH('MM01'!$B121,Consulta!$C:$C,0),'MM01'!BA$2),"")=0,"",IFERROR(INDEX(Consulta!$A:$DF,MATCH('MM01'!$B121,Consulta!$C:$C,0),'MM01'!BA$2),""))</f>
        <v/>
      </c>
      <c r="BB121" s="43" t="str">
        <f t="shared" si="85"/>
        <v/>
      </c>
      <c r="BC121" s="43" t="str">
        <f t="shared" si="86"/>
        <v/>
      </c>
      <c r="BD121" s="43" t="str">
        <f t="shared" si="87"/>
        <v/>
      </c>
      <c r="BE121" s="43" t="str">
        <f t="shared" si="88"/>
        <v>M</v>
      </c>
      <c r="BF121" s="43" t="str">
        <f t="shared" si="89"/>
        <v/>
      </c>
      <c r="BG121" s="43" t="str">
        <f t="shared" si="90"/>
        <v/>
      </c>
      <c r="BH121" s="43" t="str">
        <f t="shared" si="91"/>
        <v/>
      </c>
      <c r="BI121" s="43" t="str">
        <f t="shared" si="92"/>
        <v>M</v>
      </c>
      <c r="BK121" s="45" t="s">
        <v>324</v>
      </c>
      <c r="BL121" s="43" t="str">
        <f>IF(IFERROR(INDEX(Consulta!$A:$DF,MATCH('MM01'!$B121,Consulta!$C:$C,0),'MM01'!BL$2),"")=0,"",IFERROR(INDEX(Consulta!$A:$DF,MATCH('MM01'!$B121,Consulta!$C:$C,0),'MM01'!BL$2),""))</f>
        <v/>
      </c>
      <c r="BM121" s="45">
        <v>99</v>
      </c>
      <c r="BN121" s="46" t="str">
        <f t="shared" ca="1" si="93"/>
        <v>28.04.2022</v>
      </c>
      <c r="BO121" s="49" t="str">
        <f t="shared" si="94"/>
        <v/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IF(IFERROR(INDEX(Consulta!$A:$DF,MATCH('MM01'!$B121,Consulta!$C:$C,0),'MM01'!BX$2),"")=0,"",IFERROR(INDEX(Consulta!$A:$DF,MATCH('MM01'!$B121,Consulta!$C:$C,0),'MM01'!BX$2),""))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95"/>
        <v/>
      </c>
      <c r="CD121" s="45" t="s">
        <v>430</v>
      </c>
      <c r="CE121" s="45">
        <v>1</v>
      </c>
      <c r="CF121" s="45" t="s">
        <v>496</v>
      </c>
      <c r="CG121" s="45"/>
      <c r="CH121" s="44">
        <v>2</v>
      </c>
      <c r="CI121" s="49" t="str">
        <f t="shared" si="96"/>
        <v/>
      </c>
      <c r="CJ121" s="49" t="str">
        <f t="shared" si="97"/>
        <v/>
      </c>
      <c r="CK121" s="45"/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8"/>
        <v>K00_P_</v>
      </c>
      <c r="CS121" s="45">
        <v>5000</v>
      </c>
      <c r="CT121" s="43" t="str">
        <f>IF(IFERROR(INDEX(Consulta!$A:$DF,MATCH('MM01'!$B121,Consulta!$C:$C,0),'MM01'!CT$2),"")=0,"",IFERROR(INDEX(Consulta!$A:$DF,MATCH('MM01'!$B121,Consulta!$C:$C,0),'MM01'!CT$2),""))</f>
        <v/>
      </c>
      <c r="CU121" s="43" t="str">
        <f>IF(IFERROR(INDEX(Consulta!$A:$DF,MATCH('MM01'!$B121,Consulta!$C:$C,0),'MM01'!CU$2),"")=0,"",IFERROR(INDEX(Consulta!$A:$DF,MATCH('MM01'!$B121,Consulta!$C:$C,0),'MM01'!CU$2),""))</f>
        <v/>
      </c>
      <c r="CV121" s="43" t="str">
        <f>IF(IFERROR(INDEX(Consulta!$A:$DF,MATCH('MM01'!$B121,Consulta!$C:$C,0),'MM01'!CV$2),"")=0,"",IFERROR(INDEX(Consulta!$A:$DF,MATCH('MM01'!$B121,Consulta!$C:$C,0),'MM01'!CV$2),""))</f>
        <v/>
      </c>
      <c r="CW121" s="43" t="str">
        <f>IF(IFERROR(INDEX(Consulta!$A:$DF,MATCH('MM01'!$B121,Consulta!$C:$C,0),'MM01'!CW$2),"")=0,"",IFERROR(INDEX(Consulta!$A:$DF,MATCH('MM01'!$B121,Consulta!$C:$C,0),'MM01'!CW$2),""))</f>
        <v/>
      </c>
      <c r="CX121" s="43" t="str">
        <f t="shared" si="99"/>
        <v/>
      </c>
      <c r="CY121" s="43" t="str">
        <f t="shared" si="100"/>
        <v/>
      </c>
      <c r="CZ121" s="43" t="str">
        <f t="shared" si="101"/>
        <v/>
      </c>
      <c r="DA121" s="43" t="str">
        <f>IF(IFERROR(INDEX(Consulta!$A:$DF,MATCH('MM01'!$B121,Consulta!$C:$C,0),'MM01'!DA$2),"")=0,"",IFERROR(INDEX(Consulta!$A:$DF,MATCH('MM01'!$B121,Consulta!$C:$C,0),'MM01'!DA$2),""))</f>
        <v/>
      </c>
      <c r="DB121" s="43" t="str">
        <f t="shared" si="102"/>
        <v/>
      </c>
      <c r="DC121" s="43" t="str">
        <f>IF(IFERROR(INDEX(Consulta!$A:$DF,MATCH('MM01'!$B121,Consulta!$C:$C,0),'MM01'!DC$2),"")=0,"",IFERROR(INDEX(Consulta!$A:$DF,MATCH('MM01'!$B121,Consulta!$C:$C,0),'MM01'!DC$2),""))</f>
        <v/>
      </c>
      <c r="DD121" s="45">
        <v>0</v>
      </c>
      <c r="DE121" s="45">
        <v>0</v>
      </c>
      <c r="DF121" s="43" t="str">
        <f t="shared" si="103"/>
        <v/>
      </c>
      <c r="DG121" s="43" t="str">
        <f t="shared" si="104"/>
        <v/>
      </c>
      <c r="DH121" s="55"/>
      <c r="DI121" s="43" t="str">
        <f t="shared" ca="1" si="105"/>
        <v/>
      </c>
      <c r="DJ121" s="43" t="str">
        <f t="shared" si="106"/>
        <v/>
      </c>
      <c r="DK121" s="43" t="str">
        <f t="shared" si="107"/>
        <v/>
      </c>
      <c r="DL121" s="55"/>
      <c r="DM121" s="43" t="str">
        <f t="shared" ca="1" si="108"/>
        <v/>
      </c>
      <c r="DN121" s="43" t="str">
        <f t="shared" si="109"/>
        <v/>
      </c>
      <c r="DO121" s="43" t="str">
        <f t="shared" si="110"/>
        <v/>
      </c>
      <c r="DP121" s="55"/>
      <c r="DQ121" s="43" t="str">
        <f t="shared" ca="1" si="111"/>
        <v/>
      </c>
      <c r="DR121" s="43" t="str">
        <f t="shared" si="112"/>
        <v/>
      </c>
      <c r="DS121" s="43" t="str">
        <f t="shared" si="113"/>
        <v/>
      </c>
      <c r="DT121" s="55"/>
      <c r="DU121" s="43" t="str">
        <f t="shared" ca="1" si="114"/>
        <v/>
      </c>
      <c r="DV121" s="43" t="str">
        <f t="shared" si="115"/>
        <v/>
      </c>
      <c r="DX121" s="44">
        <v>1</v>
      </c>
      <c r="DY121" s="44" t="s">
        <v>774</v>
      </c>
      <c r="DZ121" s="43">
        <f t="shared" si="116"/>
        <v>0.01</v>
      </c>
      <c r="EA121" s="43" t="str">
        <f t="shared" si="117"/>
        <v>M</v>
      </c>
      <c r="EB121" s="43" t="str">
        <f>IF(IFERROR(INDEX(Consulta!$A:$DF,MATCH('MM01'!$B121,Consulta!$C:$C,0),'MM01'!EB$2),"")=0,"7925",IF(IFERROR(INDEX(Consulta!$A:$DF,MATCH('MM01'!$B121,Consulta!$C:$C,0),'MM01'!EB$2),"")="68","7910","7925"))</f>
        <v>7925</v>
      </c>
      <c r="EC121" s="44">
        <v>100</v>
      </c>
      <c r="ED121" s="60">
        <v>1</v>
      </c>
      <c r="EE121" s="43">
        <f t="shared" si="118"/>
        <v>100</v>
      </c>
      <c r="EF121" s="44">
        <v>1</v>
      </c>
      <c r="EG121" s="44">
        <v>0</v>
      </c>
      <c r="EH121" s="44" t="s">
        <v>867</v>
      </c>
      <c r="EI121" s="45">
        <v>0</v>
      </c>
      <c r="EJ121" s="43">
        <f t="shared" si="119"/>
        <v>5000</v>
      </c>
      <c r="EK121" s="65"/>
    </row>
    <row r="122" spans="1:141" x14ac:dyDescent="0.3">
      <c r="A122" s="7" t="str">
        <f t="shared" si="80"/>
        <v>Execução 118</v>
      </c>
      <c r="B122" s="42"/>
      <c r="C122" s="43" t="str">
        <f>IF(IFERROR(INDEX(Consulta!$A:$DF,MATCH('MM01'!$B122,Consulta!$C:$C,0),'MM01'!C$2),"")=0,"",IFERROR(INDEX(Consulta!$A:$DF,MATCH('MM01'!$B122,Consulta!$C:$C,0),'MM01'!C$2),""))</f>
        <v/>
      </c>
      <c r="D122" s="43" t="str">
        <f>IF(IFERROR(INDEX(Consulta!$A:$DF,MATCH('MM01'!$B122,Consulta!$C:$C,0),'MM01'!D$2),"")=0,"",IFERROR(INDEX(Consulta!$A:$DF,MATCH('MM01'!$B122,Consulta!$C:$C,0),'MM01'!D$2),""))</f>
        <v/>
      </c>
      <c r="E122" s="43" t="str">
        <f>IF(IFERROR(INDEX(Consulta!$A:$DF,MATCH('MM01'!$B122,Consulta!$C:$C,0),'MM01'!E$2),"")=0,"",IFERROR(INDEX(Consulta!$A:$DF,MATCH('MM01'!$B122,Consulta!$C:$C,0),'MM01'!E$2),""))</f>
        <v/>
      </c>
      <c r="F122" s="44" t="s">
        <v>100</v>
      </c>
      <c r="G122" s="49" t="str">
        <f>IF(IFERROR(INDEX(Consulta!$A:$DF,MATCH('MM01'!$B122,Consulta!$C:$C,0),'MM01'!G$2),"")=0,"",IFERROR(INDEX(Consulta!$A:$DF,MATCH('MM01'!$B122,Consulta!$C:$C,0),'MM01'!G$2),""))</f>
        <v/>
      </c>
      <c r="H122" s="49" t="str">
        <f>IF(IFERROR(INDEX(Consulta!$A:$DF,MATCH('MM01'!$B122,Consulta!$C:$C,0),'MM01'!H$2),"")=0,"",IFERROR(INDEX(Consulta!$A:$DF,MATCH('MM01'!$B122,Consulta!$C:$C,0),'MM01'!H$2),""))</f>
        <v/>
      </c>
      <c r="I122" s="49" t="str">
        <f t="shared" si="81"/>
        <v/>
      </c>
      <c r="J122" s="49" t="str">
        <f>IF(IFERROR(INDEX(Consulta!$A:$DF,MATCH('MM01'!$B122,Consulta!$C:$C,0),'MM01'!J$2),"")=0,"",IFERROR(INDEX(Consulta!$A:$DF,MATCH('MM01'!$B122,Consulta!$C:$C,0),'MM01'!J$2),""))</f>
        <v/>
      </c>
      <c r="K122" s="49" t="str">
        <f t="shared" si="82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IF(IFERROR(INDEX(Consulta!$A:$DF,MATCH('MM01'!$B122,Consulta!$C:$C,0),'MM01'!AP$2),"")=0,"",IFERROR(INDEX(Consulta!$A:$DF,MATCH('MM01'!$B122,Consulta!$C:$C,0),'MM01'!AP$2),""))</f>
        <v/>
      </c>
      <c r="AQ122" s="45"/>
      <c r="AR122" s="43" t="str">
        <f>IF(IFERROR(INDEX(Consulta!$A:$DF,MATCH('MM01'!$B122,Consulta!$C:$C,0),'MM01'!AR$2),"")=0,"",IFERROR(INDEX(Consulta!$A:$DF,MATCH('MM01'!$B122,Consulta!$C:$C,0),'MM01'!AR$2),""))</f>
        <v/>
      </c>
      <c r="AS122" s="43" t="str">
        <f>IF(IFERROR(INDEX(Consulta!$A:$DF,MATCH('MM01'!$B122,Consulta!$C:$C,0),'MM01'!AS$2),"")=0,"",IF(AR122="68",5102,IFERROR(INDEX(Consulta!$A:$DF,MATCH('MM01'!$B122,Consulta!$C:$C,0),'MM01'!AS$2),"")))</f>
        <v/>
      </c>
      <c r="AT122" s="45"/>
      <c r="AU122" s="46" t="str">
        <f t="shared" ca="1" si="83"/>
        <v/>
      </c>
      <c r="AV122" s="47" t="s">
        <v>796</v>
      </c>
      <c r="AW122" s="43" t="str">
        <f>IF(IFERROR(INDEX(Consulta!$A:$DF,MATCH('MM01'!$B122,Consulta!$C:$C,0),'MM01'!AW$2),"")=0,"",IFERROR(ROUND(INDEX(Consulta!$A:$DF,MATCH('MM01'!$B122,Consulta!$C:$C,0),'MM01'!AW$2),3),""))</f>
        <v/>
      </c>
      <c r="AX122" s="43" t="str">
        <f t="shared" si="84"/>
        <v/>
      </c>
      <c r="AY122" s="48" t="s">
        <v>299</v>
      </c>
      <c r="AZ122" s="48"/>
      <c r="BA122" s="43" t="str">
        <f>IF(IFERROR(INDEX(Consulta!$A:$DF,MATCH('MM01'!$B122,Consulta!$C:$C,0),'MM01'!BA$2),"")=0,"",IFERROR(INDEX(Consulta!$A:$DF,MATCH('MM01'!$B122,Consulta!$C:$C,0),'MM01'!BA$2),""))</f>
        <v/>
      </c>
      <c r="BB122" s="43" t="str">
        <f t="shared" si="85"/>
        <v/>
      </c>
      <c r="BC122" s="43" t="str">
        <f t="shared" si="86"/>
        <v/>
      </c>
      <c r="BD122" s="43" t="str">
        <f t="shared" si="87"/>
        <v/>
      </c>
      <c r="BE122" s="43" t="str">
        <f t="shared" si="88"/>
        <v>M</v>
      </c>
      <c r="BF122" s="43" t="str">
        <f t="shared" si="89"/>
        <v/>
      </c>
      <c r="BG122" s="43" t="str">
        <f t="shared" si="90"/>
        <v/>
      </c>
      <c r="BH122" s="43" t="str">
        <f t="shared" si="91"/>
        <v/>
      </c>
      <c r="BI122" s="43" t="str">
        <f t="shared" si="92"/>
        <v>M</v>
      </c>
      <c r="BK122" s="45" t="s">
        <v>324</v>
      </c>
      <c r="BL122" s="43" t="str">
        <f>IF(IFERROR(INDEX(Consulta!$A:$DF,MATCH('MM01'!$B122,Consulta!$C:$C,0),'MM01'!BL$2),"")=0,"",IFERROR(INDEX(Consulta!$A:$DF,MATCH('MM01'!$B122,Consulta!$C:$C,0),'MM01'!BL$2),""))</f>
        <v/>
      </c>
      <c r="BM122" s="45">
        <v>99</v>
      </c>
      <c r="BN122" s="46" t="str">
        <f t="shared" ca="1" si="93"/>
        <v>28.04.2022</v>
      </c>
      <c r="BO122" s="49" t="str">
        <f t="shared" si="94"/>
        <v/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IF(IFERROR(INDEX(Consulta!$A:$DF,MATCH('MM01'!$B122,Consulta!$C:$C,0),'MM01'!BX$2),"")=0,"",IFERROR(INDEX(Consulta!$A:$DF,MATCH('MM01'!$B122,Consulta!$C:$C,0),'MM01'!BX$2),""))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95"/>
        <v/>
      </c>
      <c r="CD122" s="45" t="s">
        <v>430</v>
      </c>
      <c r="CE122" s="45">
        <v>1</v>
      </c>
      <c r="CF122" s="45" t="s">
        <v>496</v>
      </c>
      <c r="CG122" s="45"/>
      <c r="CH122" s="44">
        <v>2</v>
      </c>
      <c r="CI122" s="49" t="str">
        <f t="shared" si="96"/>
        <v/>
      </c>
      <c r="CJ122" s="49" t="str">
        <f t="shared" si="97"/>
        <v/>
      </c>
      <c r="CK122" s="45"/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8"/>
        <v>K00_P_</v>
      </c>
      <c r="CS122" s="45">
        <v>5000</v>
      </c>
      <c r="CT122" s="43" t="str">
        <f>IF(IFERROR(INDEX(Consulta!$A:$DF,MATCH('MM01'!$B122,Consulta!$C:$C,0),'MM01'!CT$2),"")=0,"",IFERROR(INDEX(Consulta!$A:$DF,MATCH('MM01'!$B122,Consulta!$C:$C,0),'MM01'!CT$2),""))</f>
        <v/>
      </c>
      <c r="CU122" s="43" t="str">
        <f>IF(IFERROR(INDEX(Consulta!$A:$DF,MATCH('MM01'!$B122,Consulta!$C:$C,0),'MM01'!CU$2),"")=0,"",IFERROR(INDEX(Consulta!$A:$DF,MATCH('MM01'!$B122,Consulta!$C:$C,0),'MM01'!CU$2),""))</f>
        <v/>
      </c>
      <c r="CV122" s="43" t="str">
        <f>IF(IFERROR(INDEX(Consulta!$A:$DF,MATCH('MM01'!$B122,Consulta!$C:$C,0),'MM01'!CV$2),"")=0,"",IFERROR(INDEX(Consulta!$A:$DF,MATCH('MM01'!$B122,Consulta!$C:$C,0),'MM01'!CV$2),""))</f>
        <v/>
      </c>
      <c r="CW122" s="43" t="str">
        <f>IF(IFERROR(INDEX(Consulta!$A:$DF,MATCH('MM01'!$B122,Consulta!$C:$C,0),'MM01'!CW$2),"")=0,"",IFERROR(INDEX(Consulta!$A:$DF,MATCH('MM01'!$B122,Consulta!$C:$C,0),'MM01'!CW$2),""))</f>
        <v/>
      </c>
      <c r="CX122" s="43" t="str">
        <f t="shared" si="99"/>
        <v/>
      </c>
      <c r="CY122" s="43" t="str">
        <f t="shared" si="100"/>
        <v/>
      </c>
      <c r="CZ122" s="43" t="str">
        <f t="shared" si="101"/>
        <v/>
      </c>
      <c r="DA122" s="43" t="str">
        <f>IF(IFERROR(INDEX(Consulta!$A:$DF,MATCH('MM01'!$B122,Consulta!$C:$C,0),'MM01'!DA$2),"")=0,"",IFERROR(INDEX(Consulta!$A:$DF,MATCH('MM01'!$B122,Consulta!$C:$C,0),'MM01'!DA$2),""))</f>
        <v/>
      </c>
      <c r="DB122" s="43" t="str">
        <f t="shared" si="102"/>
        <v/>
      </c>
      <c r="DC122" s="43" t="str">
        <f>IF(IFERROR(INDEX(Consulta!$A:$DF,MATCH('MM01'!$B122,Consulta!$C:$C,0),'MM01'!DC$2),"")=0,"",IFERROR(INDEX(Consulta!$A:$DF,MATCH('MM01'!$B122,Consulta!$C:$C,0),'MM01'!DC$2),""))</f>
        <v/>
      </c>
      <c r="DD122" s="45">
        <v>0</v>
      </c>
      <c r="DE122" s="45">
        <v>0</v>
      </c>
      <c r="DF122" s="43" t="str">
        <f t="shared" si="103"/>
        <v/>
      </c>
      <c r="DG122" s="43" t="str">
        <f t="shared" si="104"/>
        <v/>
      </c>
      <c r="DH122" s="55"/>
      <c r="DI122" s="43" t="str">
        <f t="shared" ca="1" si="105"/>
        <v/>
      </c>
      <c r="DJ122" s="43" t="str">
        <f t="shared" si="106"/>
        <v/>
      </c>
      <c r="DK122" s="43" t="str">
        <f t="shared" si="107"/>
        <v/>
      </c>
      <c r="DL122" s="55"/>
      <c r="DM122" s="43" t="str">
        <f t="shared" ca="1" si="108"/>
        <v/>
      </c>
      <c r="DN122" s="43" t="str">
        <f t="shared" si="109"/>
        <v/>
      </c>
      <c r="DO122" s="43" t="str">
        <f t="shared" si="110"/>
        <v/>
      </c>
      <c r="DP122" s="55"/>
      <c r="DQ122" s="43" t="str">
        <f t="shared" ca="1" si="111"/>
        <v/>
      </c>
      <c r="DR122" s="43" t="str">
        <f t="shared" si="112"/>
        <v/>
      </c>
      <c r="DS122" s="43" t="str">
        <f t="shared" si="113"/>
        <v/>
      </c>
      <c r="DT122" s="55"/>
      <c r="DU122" s="43" t="str">
        <f t="shared" ca="1" si="114"/>
        <v/>
      </c>
      <c r="DV122" s="43" t="str">
        <f t="shared" si="115"/>
        <v/>
      </c>
      <c r="DX122" s="44">
        <v>1</v>
      </c>
      <c r="DY122" s="44" t="s">
        <v>774</v>
      </c>
      <c r="DZ122" s="43">
        <f t="shared" si="116"/>
        <v>0.01</v>
      </c>
      <c r="EA122" s="43" t="str">
        <f t="shared" si="117"/>
        <v>M</v>
      </c>
      <c r="EB122" s="43" t="str">
        <f>IF(IFERROR(INDEX(Consulta!$A:$DF,MATCH('MM01'!$B122,Consulta!$C:$C,0),'MM01'!EB$2),"")=0,"7925",IF(IFERROR(INDEX(Consulta!$A:$DF,MATCH('MM01'!$B122,Consulta!$C:$C,0),'MM01'!EB$2),"")="68","7910","7925"))</f>
        <v>7925</v>
      </c>
      <c r="EC122" s="44">
        <v>100</v>
      </c>
      <c r="ED122" s="60">
        <v>1</v>
      </c>
      <c r="EE122" s="43">
        <f t="shared" si="118"/>
        <v>100</v>
      </c>
      <c r="EF122" s="44">
        <v>1</v>
      </c>
      <c r="EG122" s="44">
        <v>0</v>
      </c>
      <c r="EH122" s="44" t="s">
        <v>867</v>
      </c>
      <c r="EI122" s="45">
        <v>0</v>
      </c>
      <c r="EJ122" s="43">
        <f t="shared" si="119"/>
        <v>5000</v>
      </c>
      <c r="EK122" s="65"/>
    </row>
    <row r="123" spans="1:141" x14ac:dyDescent="0.3">
      <c r="A123" s="7" t="str">
        <f t="shared" si="80"/>
        <v>Execução 119</v>
      </c>
      <c r="B123" s="42"/>
      <c r="C123" s="43" t="str">
        <f>IF(IFERROR(INDEX(Consulta!$A:$DF,MATCH('MM01'!$B123,Consulta!$C:$C,0),'MM01'!C$2),"")=0,"",IFERROR(INDEX(Consulta!$A:$DF,MATCH('MM01'!$B123,Consulta!$C:$C,0),'MM01'!C$2),""))</f>
        <v/>
      </c>
      <c r="D123" s="43" t="str">
        <f>IF(IFERROR(INDEX(Consulta!$A:$DF,MATCH('MM01'!$B123,Consulta!$C:$C,0),'MM01'!D$2),"")=0,"",IFERROR(INDEX(Consulta!$A:$DF,MATCH('MM01'!$B123,Consulta!$C:$C,0),'MM01'!D$2),""))</f>
        <v/>
      </c>
      <c r="E123" s="43" t="str">
        <f>IF(IFERROR(INDEX(Consulta!$A:$DF,MATCH('MM01'!$B123,Consulta!$C:$C,0),'MM01'!E$2),"")=0,"",IFERROR(INDEX(Consulta!$A:$DF,MATCH('MM01'!$B123,Consulta!$C:$C,0),'MM01'!E$2),""))</f>
        <v/>
      </c>
      <c r="F123" s="44" t="s">
        <v>100</v>
      </c>
      <c r="G123" s="49" t="str">
        <f>IF(IFERROR(INDEX(Consulta!$A:$DF,MATCH('MM01'!$B123,Consulta!$C:$C,0),'MM01'!G$2),"")=0,"",IFERROR(INDEX(Consulta!$A:$DF,MATCH('MM01'!$B123,Consulta!$C:$C,0),'MM01'!G$2),""))</f>
        <v/>
      </c>
      <c r="H123" s="49" t="str">
        <f>IF(IFERROR(INDEX(Consulta!$A:$DF,MATCH('MM01'!$B123,Consulta!$C:$C,0),'MM01'!H$2),"")=0,"",IFERROR(INDEX(Consulta!$A:$DF,MATCH('MM01'!$B123,Consulta!$C:$C,0),'MM01'!H$2),""))</f>
        <v/>
      </c>
      <c r="I123" s="49" t="str">
        <f t="shared" si="81"/>
        <v/>
      </c>
      <c r="J123" s="49" t="str">
        <f>IF(IFERROR(INDEX(Consulta!$A:$DF,MATCH('MM01'!$B123,Consulta!$C:$C,0),'MM01'!J$2),"")=0,"",IFERROR(INDEX(Consulta!$A:$DF,MATCH('MM01'!$B123,Consulta!$C:$C,0),'MM01'!J$2),""))</f>
        <v/>
      </c>
      <c r="K123" s="49" t="str">
        <f t="shared" si="82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IF(IFERROR(INDEX(Consulta!$A:$DF,MATCH('MM01'!$B123,Consulta!$C:$C,0),'MM01'!AP$2),"")=0,"",IFERROR(INDEX(Consulta!$A:$DF,MATCH('MM01'!$B123,Consulta!$C:$C,0),'MM01'!AP$2),""))</f>
        <v/>
      </c>
      <c r="AQ123" s="45"/>
      <c r="AR123" s="43" t="str">
        <f>IF(IFERROR(INDEX(Consulta!$A:$DF,MATCH('MM01'!$B123,Consulta!$C:$C,0),'MM01'!AR$2),"")=0,"",IFERROR(INDEX(Consulta!$A:$DF,MATCH('MM01'!$B123,Consulta!$C:$C,0),'MM01'!AR$2),""))</f>
        <v/>
      </c>
      <c r="AS123" s="43" t="str">
        <f>IF(IFERROR(INDEX(Consulta!$A:$DF,MATCH('MM01'!$B123,Consulta!$C:$C,0),'MM01'!AS$2),"")=0,"",IF(AR123="68",5102,IFERROR(INDEX(Consulta!$A:$DF,MATCH('MM01'!$B123,Consulta!$C:$C,0),'MM01'!AS$2),"")))</f>
        <v/>
      </c>
      <c r="AT123" s="45"/>
      <c r="AU123" s="46" t="str">
        <f t="shared" ca="1" si="83"/>
        <v/>
      </c>
      <c r="AV123" s="47" t="s">
        <v>796</v>
      </c>
      <c r="AW123" s="43" t="str">
        <f>IF(IFERROR(INDEX(Consulta!$A:$DF,MATCH('MM01'!$B123,Consulta!$C:$C,0),'MM01'!AW$2),"")=0,"",IFERROR(ROUND(INDEX(Consulta!$A:$DF,MATCH('MM01'!$B123,Consulta!$C:$C,0),'MM01'!AW$2),3),""))</f>
        <v/>
      </c>
      <c r="AX123" s="43" t="str">
        <f t="shared" si="84"/>
        <v/>
      </c>
      <c r="AY123" s="48" t="s">
        <v>299</v>
      </c>
      <c r="AZ123" s="48"/>
      <c r="BA123" s="43" t="str">
        <f>IF(IFERROR(INDEX(Consulta!$A:$DF,MATCH('MM01'!$B123,Consulta!$C:$C,0),'MM01'!BA$2),"")=0,"",IFERROR(INDEX(Consulta!$A:$DF,MATCH('MM01'!$B123,Consulta!$C:$C,0),'MM01'!BA$2),""))</f>
        <v/>
      </c>
      <c r="BB123" s="43" t="str">
        <f t="shared" si="85"/>
        <v/>
      </c>
      <c r="BC123" s="43" t="str">
        <f t="shared" si="86"/>
        <v/>
      </c>
      <c r="BD123" s="43" t="str">
        <f t="shared" si="87"/>
        <v/>
      </c>
      <c r="BE123" s="43" t="str">
        <f t="shared" si="88"/>
        <v>M</v>
      </c>
      <c r="BF123" s="43" t="str">
        <f t="shared" si="89"/>
        <v/>
      </c>
      <c r="BG123" s="43" t="str">
        <f t="shared" si="90"/>
        <v/>
      </c>
      <c r="BH123" s="43" t="str">
        <f t="shared" si="91"/>
        <v/>
      </c>
      <c r="BI123" s="43" t="str">
        <f t="shared" si="92"/>
        <v>M</v>
      </c>
      <c r="BK123" s="45" t="s">
        <v>324</v>
      </c>
      <c r="BL123" s="43" t="str">
        <f>IF(IFERROR(INDEX(Consulta!$A:$DF,MATCH('MM01'!$B123,Consulta!$C:$C,0),'MM01'!BL$2),"")=0,"",IFERROR(INDEX(Consulta!$A:$DF,MATCH('MM01'!$B123,Consulta!$C:$C,0),'MM01'!BL$2),""))</f>
        <v/>
      </c>
      <c r="BM123" s="45">
        <v>99</v>
      </c>
      <c r="BN123" s="46" t="str">
        <f t="shared" ca="1" si="93"/>
        <v>28.04.2022</v>
      </c>
      <c r="BO123" s="49" t="str">
        <f t="shared" si="94"/>
        <v/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IF(IFERROR(INDEX(Consulta!$A:$DF,MATCH('MM01'!$B123,Consulta!$C:$C,0),'MM01'!BX$2),"")=0,"",IFERROR(INDEX(Consulta!$A:$DF,MATCH('MM01'!$B123,Consulta!$C:$C,0),'MM01'!BX$2),""))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95"/>
        <v/>
      </c>
      <c r="CD123" s="45" t="s">
        <v>430</v>
      </c>
      <c r="CE123" s="45">
        <v>1</v>
      </c>
      <c r="CF123" s="45" t="s">
        <v>496</v>
      </c>
      <c r="CG123" s="45"/>
      <c r="CH123" s="44">
        <v>2</v>
      </c>
      <c r="CI123" s="49" t="str">
        <f t="shared" si="96"/>
        <v/>
      </c>
      <c r="CJ123" s="49" t="str">
        <f t="shared" si="97"/>
        <v/>
      </c>
      <c r="CK123" s="45"/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8"/>
        <v>K00_P_</v>
      </c>
      <c r="CS123" s="45">
        <v>5000</v>
      </c>
      <c r="CT123" s="43" t="str">
        <f>IF(IFERROR(INDEX(Consulta!$A:$DF,MATCH('MM01'!$B123,Consulta!$C:$C,0),'MM01'!CT$2),"")=0,"",IFERROR(INDEX(Consulta!$A:$DF,MATCH('MM01'!$B123,Consulta!$C:$C,0),'MM01'!CT$2),""))</f>
        <v/>
      </c>
      <c r="CU123" s="43" t="str">
        <f>IF(IFERROR(INDEX(Consulta!$A:$DF,MATCH('MM01'!$B123,Consulta!$C:$C,0),'MM01'!CU$2),"")=0,"",IFERROR(INDEX(Consulta!$A:$DF,MATCH('MM01'!$B123,Consulta!$C:$C,0),'MM01'!CU$2),""))</f>
        <v/>
      </c>
      <c r="CV123" s="43" t="str">
        <f>IF(IFERROR(INDEX(Consulta!$A:$DF,MATCH('MM01'!$B123,Consulta!$C:$C,0),'MM01'!CV$2),"")=0,"",IFERROR(INDEX(Consulta!$A:$DF,MATCH('MM01'!$B123,Consulta!$C:$C,0),'MM01'!CV$2),""))</f>
        <v/>
      </c>
      <c r="CW123" s="43" t="str">
        <f>IF(IFERROR(INDEX(Consulta!$A:$DF,MATCH('MM01'!$B123,Consulta!$C:$C,0),'MM01'!CW$2),"")=0,"",IFERROR(INDEX(Consulta!$A:$DF,MATCH('MM01'!$B123,Consulta!$C:$C,0),'MM01'!CW$2),""))</f>
        <v/>
      </c>
      <c r="CX123" s="43" t="str">
        <f t="shared" si="99"/>
        <v/>
      </c>
      <c r="CY123" s="43" t="str">
        <f t="shared" si="100"/>
        <v/>
      </c>
      <c r="CZ123" s="43" t="str">
        <f t="shared" si="101"/>
        <v/>
      </c>
      <c r="DA123" s="43" t="str">
        <f>IF(IFERROR(INDEX(Consulta!$A:$DF,MATCH('MM01'!$B123,Consulta!$C:$C,0),'MM01'!DA$2),"")=0,"",IFERROR(INDEX(Consulta!$A:$DF,MATCH('MM01'!$B123,Consulta!$C:$C,0),'MM01'!DA$2),""))</f>
        <v/>
      </c>
      <c r="DB123" s="43" t="str">
        <f t="shared" si="102"/>
        <v/>
      </c>
      <c r="DC123" s="43" t="str">
        <f>IF(IFERROR(INDEX(Consulta!$A:$DF,MATCH('MM01'!$B123,Consulta!$C:$C,0),'MM01'!DC$2),"")=0,"",IFERROR(INDEX(Consulta!$A:$DF,MATCH('MM01'!$B123,Consulta!$C:$C,0),'MM01'!DC$2),""))</f>
        <v/>
      </c>
      <c r="DD123" s="45">
        <v>0</v>
      </c>
      <c r="DE123" s="45">
        <v>0</v>
      </c>
      <c r="DF123" s="43" t="str">
        <f t="shared" si="103"/>
        <v/>
      </c>
      <c r="DG123" s="43" t="str">
        <f t="shared" si="104"/>
        <v/>
      </c>
      <c r="DH123" s="55"/>
      <c r="DI123" s="43" t="str">
        <f t="shared" ca="1" si="105"/>
        <v/>
      </c>
      <c r="DJ123" s="43" t="str">
        <f t="shared" si="106"/>
        <v/>
      </c>
      <c r="DK123" s="43" t="str">
        <f t="shared" si="107"/>
        <v/>
      </c>
      <c r="DL123" s="55"/>
      <c r="DM123" s="43" t="str">
        <f t="shared" ca="1" si="108"/>
        <v/>
      </c>
      <c r="DN123" s="43" t="str">
        <f t="shared" si="109"/>
        <v/>
      </c>
      <c r="DO123" s="43" t="str">
        <f t="shared" si="110"/>
        <v/>
      </c>
      <c r="DP123" s="55"/>
      <c r="DQ123" s="43" t="str">
        <f t="shared" ca="1" si="111"/>
        <v/>
      </c>
      <c r="DR123" s="43" t="str">
        <f t="shared" si="112"/>
        <v/>
      </c>
      <c r="DS123" s="43" t="str">
        <f t="shared" si="113"/>
        <v/>
      </c>
      <c r="DT123" s="55"/>
      <c r="DU123" s="43" t="str">
        <f t="shared" ca="1" si="114"/>
        <v/>
      </c>
      <c r="DV123" s="43" t="str">
        <f t="shared" si="115"/>
        <v/>
      </c>
      <c r="DX123" s="44">
        <v>1</v>
      </c>
      <c r="DY123" s="44" t="s">
        <v>774</v>
      </c>
      <c r="DZ123" s="43">
        <f t="shared" si="116"/>
        <v>0.01</v>
      </c>
      <c r="EA123" s="43" t="str">
        <f t="shared" si="117"/>
        <v>M</v>
      </c>
      <c r="EB123" s="43" t="str">
        <f>IF(IFERROR(INDEX(Consulta!$A:$DF,MATCH('MM01'!$B123,Consulta!$C:$C,0),'MM01'!EB$2),"")=0,"7925",IF(IFERROR(INDEX(Consulta!$A:$DF,MATCH('MM01'!$B123,Consulta!$C:$C,0),'MM01'!EB$2),"")="68","7910","7925"))</f>
        <v>7925</v>
      </c>
      <c r="EC123" s="44">
        <v>100</v>
      </c>
      <c r="ED123" s="60">
        <v>1</v>
      </c>
      <c r="EE123" s="43">
        <f t="shared" si="118"/>
        <v>100</v>
      </c>
      <c r="EF123" s="44">
        <v>1</v>
      </c>
      <c r="EG123" s="44">
        <v>0</v>
      </c>
      <c r="EH123" s="44" t="s">
        <v>867</v>
      </c>
      <c r="EI123" s="45">
        <v>0</v>
      </c>
      <c r="EJ123" s="43">
        <f t="shared" si="119"/>
        <v>5000</v>
      </c>
      <c r="EK123" s="65"/>
    </row>
    <row r="124" spans="1:141" x14ac:dyDescent="0.3">
      <c r="A124" s="7" t="str">
        <f t="shared" si="80"/>
        <v>Execução 120</v>
      </c>
      <c r="B124" s="42"/>
      <c r="C124" s="43" t="str">
        <f>IF(IFERROR(INDEX(Consulta!$A:$DF,MATCH('MM01'!$B124,Consulta!$C:$C,0),'MM01'!C$2),"")=0,"",IFERROR(INDEX(Consulta!$A:$DF,MATCH('MM01'!$B124,Consulta!$C:$C,0),'MM01'!C$2),""))</f>
        <v/>
      </c>
      <c r="D124" s="43" t="str">
        <f>IF(IFERROR(INDEX(Consulta!$A:$DF,MATCH('MM01'!$B124,Consulta!$C:$C,0),'MM01'!D$2),"")=0,"",IFERROR(INDEX(Consulta!$A:$DF,MATCH('MM01'!$B124,Consulta!$C:$C,0),'MM01'!D$2),""))</f>
        <v/>
      </c>
      <c r="E124" s="43" t="str">
        <f>IF(IFERROR(INDEX(Consulta!$A:$DF,MATCH('MM01'!$B124,Consulta!$C:$C,0),'MM01'!E$2),"")=0,"",IFERROR(INDEX(Consulta!$A:$DF,MATCH('MM01'!$B124,Consulta!$C:$C,0),'MM01'!E$2),""))</f>
        <v/>
      </c>
      <c r="F124" s="44" t="s">
        <v>100</v>
      </c>
      <c r="G124" s="49" t="str">
        <f>IF(IFERROR(INDEX(Consulta!$A:$DF,MATCH('MM01'!$B124,Consulta!$C:$C,0),'MM01'!G$2),"")=0,"",IFERROR(INDEX(Consulta!$A:$DF,MATCH('MM01'!$B124,Consulta!$C:$C,0),'MM01'!G$2),""))</f>
        <v/>
      </c>
      <c r="H124" s="49" t="str">
        <f>IF(IFERROR(INDEX(Consulta!$A:$DF,MATCH('MM01'!$B124,Consulta!$C:$C,0),'MM01'!H$2),"")=0,"",IFERROR(INDEX(Consulta!$A:$DF,MATCH('MM01'!$B124,Consulta!$C:$C,0),'MM01'!H$2),""))</f>
        <v/>
      </c>
      <c r="I124" s="49" t="str">
        <f t="shared" si="81"/>
        <v/>
      </c>
      <c r="J124" s="49" t="str">
        <f>IF(IFERROR(INDEX(Consulta!$A:$DF,MATCH('MM01'!$B124,Consulta!$C:$C,0),'MM01'!J$2),"")=0,"",IFERROR(INDEX(Consulta!$A:$DF,MATCH('MM01'!$B124,Consulta!$C:$C,0),'MM01'!J$2),""))</f>
        <v/>
      </c>
      <c r="K124" s="49" t="str">
        <f t="shared" si="82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IF(IFERROR(INDEX(Consulta!$A:$DF,MATCH('MM01'!$B124,Consulta!$C:$C,0),'MM01'!AP$2),"")=0,"",IFERROR(INDEX(Consulta!$A:$DF,MATCH('MM01'!$B124,Consulta!$C:$C,0),'MM01'!AP$2),""))</f>
        <v/>
      </c>
      <c r="AQ124" s="45"/>
      <c r="AR124" s="43" t="str">
        <f>IF(IFERROR(INDEX(Consulta!$A:$DF,MATCH('MM01'!$B124,Consulta!$C:$C,0),'MM01'!AR$2),"")=0,"",IFERROR(INDEX(Consulta!$A:$DF,MATCH('MM01'!$B124,Consulta!$C:$C,0),'MM01'!AR$2),""))</f>
        <v/>
      </c>
      <c r="AS124" s="43" t="str">
        <f>IF(IFERROR(INDEX(Consulta!$A:$DF,MATCH('MM01'!$B124,Consulta!$C:$C,0),'MM01'!AS$2),"")=0,"",IF(AR124="68",5102,IFERROR(INDEX(Consulta!$A:$DF,MATCH('MM01'!$B124,Consulta!$C:$C,0),'MM01'!AS$2),"")))</f>
        <v/>
      </c>
      <c r="AT124" s="45"/>
      <c r="AU124" s="46" t="str">
        <f t="shared" ca="1" si="83"/>
        <v/>
      </c>
      <c r="AV124" s="47" t="s">
        <v>796</v>
      </c>
      <c r="AW124" s="43" t="str">
        <f>IF(IFERROR(INDEX(Consulta!$A:$DF,MATCH('MM01'!$B124,Consulta!$C:$C,0),'MM01'!AW$2),"")=0,"",IFERROR(ROUND(INDEX(Consulta!$A:$DF,MATCH('MM01'!$B124,Consulta!$C:$C,0),'MM01'!AW$2),3),""))</f>
        <v/>
      </c>
      <c r="AX124" s="43" t="str">
        <f t="shared" si="84"/>
        <v/>
      </c>
      <c r="AY124" s="48" t="s">
        <v>299</v>
      </c>
      <c r="AZ124" s="48"/>
      <c r="BA124" s="43" t="str">
        <f>IF(IFERROR(INDEX(Consulta!$A:$DF,MATCH('MM01'!$B124,Consulta!$C:$C,0),'MM01'!BA$2),"")=0,"",IFERROR(INDEX(Consulta!$A:$DF,MATCH('MM01'!$B124,Consulta!$C:$C,0),'MM01'!BA$2),""))</f>
        <v/>
      </c>
      <c r="BB124" s="43" t="str">
        <f t="shared" si="85"/>
        <v/>
      </c>
      <c r="BC124" s="43" t="str">
        <f t="shared" si="86"/>
        <v/>
      </c>
      <c r="BD124" s="43" t="str">
        <f t="shared" si="87"/>
        <v/>
      </c>
      <c r="BE124" s="43" t="str">
        <f t="shared" si="88"/>
        <v>M</v>
      </c>
      <c r="BF124" s="43" t="str">
        <f t="shared" si="89"/>
        <v/>
      </c>
      <c r="BG124" s="43" t="str">
        <f t="shared" si="90"/>
        <v/>
      </c>
      <c r="BH124" s="43" t="str">
        <f t="shared" si="91"/>
        <v/>
      </c>
      <c r="BI124" s="43" t="str">
        <f t="shared" si="92"/>
        <v>M</v>
      </c>
      <c r="BK124" s="45" t="s">
        <v>324</v>
      </c>
      <c r="BL124" s="43" t="str">
        <f>IF(IFERROR(INDEX(Consulta!$A:$DF,MATCH('MM01'!$B124,Consulta!$C:$C,0),'MM01'!BL$2),"")=0,"",IFERROR(INDEX(Consulta!$A:$DF,MATCH('MM01'!$B124,Consulta!$C:$C,0),'MM01'!BL$2),""))</f>
        <v/>
      </c>
      <c r="BM124" s="45">
        <v>99</v>
      </c>
      <c r="BN124" s="46" t="str">
        <f t="shared" ca="1" si="93"/>
        <v>28.04.2022</v>
      </c>
      <c r="BO124" s="49" t="str">
        <f t="shared" si="94"/>
        <v/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IF(IFERROR(INDEX(Consulta!$A:$DF,MATCH('MM01'!$B124,Consulta!$C:$C,0),'MM01'!BX$2),"")=0,"",IFERROR(INDEX(Consulta!$A:$DF,MATCH('MM01'!$B124,Consulta!$C:$C,0),'MM01'!BX$2),""))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95"/>
        <v/>
      </c>
      <c r="CD124" s="45" t="s">
        <v>430</v>
      </c>
      <c r="CE124" s="45">
        <v>1</v>
      </c>
      <c r="CF124" s="45" t="s">
        <v>496</v>
      </c>
      <c r="CG124" s="45"/>
      <c r="CH124" s="44">
        <v>2</v>
      </c>
      <c r="CI124" s="49" t="str">
        <f t="shared" si="96"/>
        <v/>
      </c>
      <c r="CJ124" s="49" t="str">
        <f t="shared" si="97"/>
        <v/>
      </c>
      <c r="CK124" s="45"/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8"/>
        <v>K00_P_</v>
      </c>
      <c r="CS124" s="45">
        <v>5000</v>
      </c>
      <c r="CT124" s="43" t="str">
        <f>IF(IFERROR(INDEX(Consulta!$A:$DF,MATCH('MM01'!$B124,Consulta!$C:$C,0),'MM01'!CT$2),"")=0,"",IFERROR(INDEX(Consulta!$A:$DF,MATCH('MM01'!$B124,Consulta!$C:$C,0),'MM01'!CT$2),""))</f>
        <v/>
      </c>
      <c r="CU124" s="43" t="str">
        <f>IF(IFERROR(INDEX(Consulta!$A:$DF,MATCH('MM01'!$B124,Consulta!$C:$C,0),'MM01'!CU$2),"")=0,"",IFERROR(INDEX(Consulta!$A:$DF,MATCH('MM01'!$B124,Consulta!$C:$C,0),'MM01'!CU$2),""))</f>
        <v/>
      </c>
      <c r="CV124" s="43" t="str">
        <f>IF(IFERROR(INDEX(Consulta!$A:$DF,MATCH('MM01'!$B124,Consulta!$C:$C,0),'MM01'!CV$2),"")=0,"",IFERROR(INDEX(Consulta!$A:$DF,MATCH('MM01'!$B124,Consulta!$C:$C,0),'MM01'!CV$2),""))</f>
        <v/>
      </c>
      <c r="CW124" s="43" t="str">
        <f>IF(IFERROR(INDEX(Consulta!$A:$DF,MATCH('MM01'!$B124,Consulta!$C:$C,0),'MM01'!CW$2),"")=0,"",IFERROR(INDEX(Consulta!$A:$DF,MATCH('MM01'!$B124,Consulta!$C:$C,0),'MM01'!CW$2),""))</f>
        <v/>
      </c>
      <c r="CX124" s="43" t="str">
        <f t="shared" si="99"/>
        <v/>
      </c>
      <c r="CY124" s="43" t="str">
        <f t="shared" si="100"/>
        <v/>
      </c>
      <c r="CZ124" s="43" t="str">
        <f t="shared" si="101"/>
        <v/>
      </c>
      <c r="DA124" s="43" t="str">
        <f>IF(IFERROR(INDEX(Consulta!$A:$DF,MATCH('MM01'!$B124,Consulta!$C:$C,0),'MM01'!DA$2),"")=0,"",IFERROR(INDEX(Consulta!$A:$DF,MATCH('MM01'!$B124,Consulta!$C:$C,0),'MM01'!DA$2),""))</f>
        <v/>
      </c>
      <c r="DB124" s="43" t="str">
        <f t="shared" si="102"/>
        <v/>
      </c>
      <c r="DC124" s="43" t="str">
        <f>IF(IFERROR(INDEX(Consulta!$A:$DF,MATCH('MM01'!$B124,Consulta!$C:$C,0),'MM01'!DC$2),"")=0,"",IFERROR(INDEX(Consulta!$A:$DF,MATCH('MM01'!$B124,Consulta!$C:$C,0),'MM01'!DC$2),""))</f>
        <v/>
      </c>
      <c r="DD124" s="45">
        <v>0</v>
      </c>
      <c r="DE124" s="45">
        <v>0</v>
      </c>
      <c r="DF124" s="43" t="str">
        <f t="shared" si="103"/>
        <v/>
      </c>
      <c r="DG124" s="43" t="str">
        <f t="shared" si="104"/>
        <v/>
      </c>
      <c r="DH124" s="55"/>
      <c r="DI124" s="43" t="str">
        <f t="shared" ca="1" si="105"/>
        <v/>
      </c>
      <c r="DJ124" s="43" t="str">
        <f t="shared" si="106"/>
        <v/>
      </c>
      <c r="DK124" s="43" t="str">
        <f t="shared" si="107"/>
        <v/>
      </c>
      <c r="DL124" s="55"/>
      <c r="DM124" s="43" t="str">
        <f t="shared" ca="1" si="108"/>
        <v/>
      </c>
      <c r="DN124" s="43" t="str">
        <f t="shared" si="109"/>
        <v/>
      </c>
      <c r="DO124" s="43" t="str">
        <f t="shared" si="110"/>
        <v/>
      </c>
      <c r="DP124" s="55"/>
      <c r="DQ124" s="43" t="str">
        <f t="shared" ca="1" si="111"/>
        <v/>
      </c>
      <c r="DR124" s="43" t="str">
        <f t="shared" si="112"/>
        <v/>
      </c>
      <c r="DS124" s="43" t="str">
        <f t="shared" si="113"/>
        <v/>
      </c>
      <c r="DT124" s="55"/>
      <c r="DU124" s="43" t="str">
        <f t="shared" ca="1" si="114"/>
        <v/>
      </c>
      <c r="DV124" s="43" t="str">
        <f t="shared" si="115"/>
        <v/>
      </c>
      <c r="DX124" s="44">
        <v>1</v>
      </c>
      <c r="DY124" s="44" t="s">
        <v>774</v>
      </c>
      <c r="DZ124" s="43">
        <f t="shared" si="116"/>
        <v>0.01</v>
      </c>
      <c r="EA124" s="43" t="str">
        <f t="shared" si="117"/>
        <v>M</v>
      </c>
      <c r="EB124" s="43" t="str">
        <f>IF(IFERROR(INDEX(Consulta!$A:$DF,MATCH('MM01'!$B124,Consulta!$C:$C,0),'MM01'!EB$2),"")=0,"7925",IF(IFERROR(INDEX(Consulta!$A:$DF,MATCH('MM01'!$B124,Consulta!$C:$C,0),'MM01'!EB$2),"")="68","7910","7925"))</f>
        <v>7925</v>
      </c>
      <c r="EC124" s="44">
        <v>100</v>
      </c>
      <c r="ED124" s="60">
        <v>1</v>
      </c>
      <c r="EE124" s="43">
        <f t="shared" si="118"/>
        <v>100</v>
      </c>
      <c r="EF124" s="44">
        <v>1</v>
      </c>
      <c r="EG124" s="44">
        <v>0</v>
      </c>
      <c r="EH124" s="44" t="s">
        <v>867</v>
      </c>
      <c r="EI124" s="45">
        <v>0</v>
      </c>
      <c r="EJ124" s="43">
        <f t="shared" si="119"/>
        <v>5000</v>
      </c>
      <c r="EK124" s="65"/>
    </row>
    <row r="125" spans="1:141" x14ac:dyDescent="0.3">
      <c r="A125" s="7" t="str">
        <f t="shared" si="80"/>
        <v>Execução 121</v>
      </c>
      <c r="B125" s="42"/>
      <c r="C125" s="43" t="str">
        <f>IF(IFERROR(INDEX(Consulta!$A:$DF,MATCH('MM01'!$B125,Consulta!$C:$C,0),'MM01'!C$2),"")=0,"",IFERROR(INDEX(Consulta!$A:$DF,MATCH('MM01'!$B125,Consulta!$C:$C,0),'MM01'!C$2),""))</f>
        <v/>
      </c>
      <c r="D125" s="43" t="str">
        <f>IF(IFERROR(INDEX(Consulta!$A:$DF,MATCH('MM01'!$B125,Consulta!$C:$C,0),'MM01'!D$2),"")=0,"",IFERROR(INDEX(Consulta!$A:$DF,MATCH('MM01'!$B125,Consulta!$C:$C,0),'MM01'!D$2),""))</f>
        <v/>
      </c>
      <c r="E125" s="43" t="str">
        <f>IF(IFERROR(INDEX(Consulta!$A:$DF,MATCH('MM01'!$B125,Consulta!$C:$C,0),'MM01'!E$2),"")=0,"",IFERROR(INDEX(Consulta!$A:$DF,MATCH('MM01'!$B125,Consulta!$C:$C,0),'MM01'!E$2),""))</f>
        <v/>
      </c>
      <c r="F125" s="44" t="s">
        <v>100</v>
      </c>
      <c r="G125" s="49" t="str">
        <f>IF(IFERROR(INDEX(Consulta!$A:$DF,MATCH('MM01'!$B125,Consulta!$C:$C,0),'MM01'!G$2),"")=0,"",IFERROR(INDEX(Consulta!$A:$DF,MATCH('MM01'!$B125,Consulta!$C:$C,0),'MM01'!G$2),""))</f>
        <v/>
      </c>
      <c r="H125" s="49" t="str">
        <f>IF(IFERROR(INDEX(Consulta!$A:$DF,MATCH('MM01'!$B125,Consulta!$C:$C,0),'MM01'!H$2),"")=0,"",IFERROR(INDEX(Consulta!$A:$DF,MATCH('MM01'!$B125,Consulta!$C:$C,0),'MM01'!H$2),""))</f>
        <v/>
      </c>
      <c r="I125" s="49" t="str">
        <f t="shared" si="81"/>
        <v/>
      </c>
      <c r="J125" s="49" t="str">
        <f>IF(IFERROR(INDEX(Consulta!$A:$DF,MATCH('MM01'!$B125,Consulta!$C:$C,0),'MM01'!J$2),"")=0,"",IFERROR(INDEX(Consulta!$A:$DF,MATCH('MM01'!$B125,Consulta!$C:$C,0),'MM01'!J$2),""))</f>
        <v/>
      </c>
      <c r="K125" s="49" t="str">
        <f t="shared" si="82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IF(IFERROR(INDEX(Consulta!$A:$DF,MATCH('MM01'!$B125,Consulta!$C:$C,0),'MM01'!AP$2),"")=0,"",IFERROR(INDEX(Consulta!$A:$DF,MATCH('MM01'!$B125,Consulta!$C:$C,0),'MM01'!AP$2),""))</f>
        <v/>
      </c>
      <c r="AQ125" s="45"/>
      <c r="AR125" s="43" t="str">
        <f>IF(IFERROR(INDEX(Consulta!$A:$DF,MATCH('MM01'!$B125,Consulta!$C:$C,0),'MM01'!AR$2),"")=0,"",IFERROR(INDEX(Consulta!$A:$DF,MATCH('MM01'!$B125,Consulta!$C:$C,0),'MM01'!AR$2),""))</f>
        <v/>
      </c>
      <c r="AS125" s="43" t="str">
        <f>IF(IFERROR(INDEX(Consulta!$A:$DF,MATCH('MM01'!$B125,Consulta!$C:$C,0),'MM01'!AS$2),"")=0,"",IF(AR125="68",5102,IFERROR(INDEX(Consulta!$A:$DF,MATCH('MM01'!$B125,Consulta!$C:$C,0),'MM01'!AS$2),"")))</f>
        <v/>
      </c>
      <c r="AT125" s="45"/>
      <c r="AU125" s="46" t="str">
        <f t="shared" ca="1" si="83"/>
        <v/>
      </c>
      <c r="AV125" s="47" t="s">
        <v>796</v>
      </c>
      <c r="AW125" s="43" t="str">
        <f>IF(IFERROR(INDEX(Consulta!$A:$DF,MATCH('MM01'!$B125,Consulta!$C:$C,0),'MM01'!AW$2),"")=0,"",IFERROR(ROUND(INDEX(Consulta!$A:$DF,MATCH('MM01'!$B125,Consulta!$C:$C,0),'MM01'!AW$2),3),""))</f>
        <v/>
      </c>
      <c r="AX125" s="43" t="str">
        <f t="shared" si="84"/>
        <v/>
      </c>
      <c r="AY125" s="48" t="s">
        <v>299</v>
      </c>
      <c r="AZ125" s="48"/>
      <c r="BA125" s="43" t="str">
        <f>IF(IFERROR(INDEX(Consulta!$A:$DF,MATCH('MM01'!$B125,Consulta!$C:$C,0),'MM01'!BA$2),"")=0,"",IFERROR(INDEX(Consulta!$A:$DF,MATCH('MM01'!$B125,Consulta!$C:$C,0),'MM01'!BA$2),""))</f>
        <v/>
      </c>
      <c r="BB125" s="43" t="str">
        <f t="shared" si="85"/>
        <v/>
      </c>
      <c r="BC125" s="43" t="str">
        <f t="shared" si="86"/>
        <v/>
      </c>
      <c r="BD125" s="43" t="str">
        <f t="shared" si="87"/>
        <v/>
      </c>
      <c r="BE125" s="43" t="str">
        <f t="shared" si="88"/>
        <v>M</v>
      </c>
      <c r="BF125" s="43" t="str">
        <f t="shared" si="89"/>
        <v/>
      </c>
      <c r="BG125" s="43" t="str">
        <f t="shared" si="90"/>
        <v/>
      </c>
      <c r="BH125" s="43" t="str">
        <f t="shared" si="91"/>
        <v/>
      </c>
      <c r="BI125" s="43" t="str">
        <f t="shared" si="92"/>
        <v>M</v>
      </c>
      <c r="BK125" s="45" t="s">
        <v>324</v>
      </c>
      <c r="BL125" s="43" t="str">
        <f>IF(IFERROR(INDEX(Consulta!$A:$DF,MATCH('MM01'!$B125,Consulta!$C:$C,0),'MM01'!BL$2),"")=0,"",IFERROR(INDEX(Consulta!$A:$DF,MATCH('MM01'!$B125,Consulta!$C:$C,0),'MM01'!BL$2),""))</f>
        <v/>
      </c>
      <c r="BM125" s="45">
        <v>99</v>
      </c>
      <c r="BN125" s="46" t="str">
        <f t="shared" ca="1" si="93"/>
        <v>28.04.2022</v>
      </c>
      <c r="BO125" s="49" t="str">
        <f t="shared" si="94"/>
        <v/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IF(IFERROR(INDEX(Consulta!$A:$DF,MATCH('MM01'!$B125,Consulta!$C:$C,0),'MM01'!BX$2),"")=0,"",IFERROR(INDEX(Consulta!$A:$DF,MATCH('MM01'!$B125,Consulta!$C:$C,0),'MM01'!BX$2),""))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95"/>
        <v/>
      </c>
      <c r="CD125" s="45" t="s">
        <v>430</v>
      </c>
      <c r="CE125" s="45">
        <v>1</v>
      </c>
      <c r="CF125" s="45" t="s">
        <v>496</v>
      </c>
      <c r="CG125" s="45"/>
      <c r="CH125" s="44">
        <v>2</v>
      </c>
      <c r="CI125" s="49" t="str">
        <f t="shared" si="96"/>
        <v/>
      </c>
      <c r="CJ125" s="49" t="str">
        <f t="shared" si="97"/>
        <v/>
      </c>
      <c r="CK125" s="45"/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8"/>
        <v>K00_P_</v>
      </c>
      <c r="CS125" s="45">
        <v>5000</v>
      </c>
      <c r="CT125" s="43" t="str">
        <f>IF(IFERROR(INDEX(Consulta!$A:$DF,MATCH('MM01'!$B125,Consulta!$C:$C,0),'MM01'!CT$2),"")=0,"",IFERROR(INDEX(Consulta!$A:$DF,MATCH('MM01'!$B125,Consulta!$C:$C,0),'MM01'!CT$2),""))</f>
        <v/>
      </c>
      <c r="CU125" s="43" t="str">
        <f>IF(IFERROR(INDEX(Consulta!$A:$DF,MATCH('MM01'!$B125,Consulta!$C:$C,0),'MM01'!CU$2),"")=0,"",IFERROR(INDEX(Consulta!$A:$DF,MATCH('MM01'!$B125,Consulta!$C:$C,0),'MM01'!CU$2),""))</f>
        <v/>
      </c>
      <c r="CV125" s="43" t="str">
        <f>IF(IFERROR(INDEX(Consulta!$A:$DF,MATCH('MM01'!$B125,Consulta!$C:$C,0),'MM01'!CV$2),"")=0,"",IFERROR(INDEX(Consulta!$A:$DF,MATCH('MM01'!$B125,Consulta!$C:$C,0),'MM01'!CV$2),""))</f>
        <v/>
      </c>
      <c r="CW125" s="43" t="str">
        <f>IF(IFERROR(INDEX(Consulta!$A:$DF,MATCH('MM01'!$B125,Consulta!$C:$C,0),'MM01'!CW$2),"")=0,"",IFERROR(INDEX(Consulta!$A:$DF,MATCH('MM01'!$B125,Consulta!$C:$C,0),'MM01'!CW$2),""))</f>
        <v/>
      </c>
      <c r="CX125" s="43" t="str">
        <f t="shared" si="99"/>
        <v/>
      </c>
      <c r="CY125" s="43" t="str">
        <f t="shared" si="100"/>
        <v/>
      </c>
      <c r="CZ125" s="43" t="str">
        <f t="shared" si="101"/>
        <v/>
      </c>
      <c r="DA125" s="43" t="str">
        <f>IF(IFERROR(INDEX(Consulta!$A:$DF,MATCH('MM01'!$B125,Consulta!$C:$C,0),'MM01'!DA$2),"")=0,"",IFERROR(INDEX(Consulta!$A:$DF,MATCH('MM01'!$B125,Consulta!$C:$C,0),'MM01'!DA$2),""))</f>
        <v/>
      </c>
      <c r="DB125" s="43" t="str">
        <f t="shared" si="102"/>
        <v/>
      </c>
      <c r="DC125" s="43" t="str">
        <f>IF(IFERROR(INDEX(Consulta!$A:$DF,MATCH('MM01'!$B125,Consulta!$C:$C,0),'MM01'!DC$2),"")=0,"",IFERROR(INDEX(Consulta!$A:$DF,MATCH('MM01'!$B125,Consulta!$C:$C,0),'MM01'!DC$2),""))</f>
        <v/>
      </c>
      <c r="DD125" s="45">
        <v>0</v>
      </c>
      <c r="DE125" s="45">
        <v>0</v>
      </c>
      <c r="DF125" s="43" t="str">
        <f t="shared" si="103"/>
        <v/>
      </c>
      <c r="DG125" s="43" t="str">
        <f t="shared" si="104"/>
        <v/>
      </c>
      <c r="DH125" s="55"/>
      <c r="DI125" s="43" t="str">
        <f t="shared" ca="1" si="105"/>
        <v/>
      </c>
      <c r="DJ125" s="43" t="str">
        <f t="shared" si="106"/>
        <v/>
      </c>
      <c r="DK125" s="43" t="str">
        <f t="shared" si="107"/>
        <v/>
      </c>
      <c r="DL125" s="55"/>
      <c r="DM125" s="43" t="str">
        <f t="shared" ca="1" si="108"/>
        <v/>
      </c>
      <c r="DN125" s="43" t="str">
        <f t="shared" si="109"/>
        <v/>
      </c>
      <c r="DO125" s="43" t="str">
        <f t="shared" si="110"/>
        <v/>
      </c>
      <c r="DP125" s="55"/>
      <c r="DQ125" s="43" t="str">
        <f t="shared" ca="1" si="111"/>
        <v/>
      </c>
      <c r="DR125" s="43" t="str">
        <f t="shared" si="112"/>
        <v/>
      </c>
      <c r="DS125" s="43" t="str">
        <f t="shared" si="113"/>
        <v/>
      </c>
      <c r="DT125" s="55"/>
      <c r="DU125" s="43" t="str">
        <f t="shared" ca="1" si="114"/>
        <v/>
      </c>
      <c r="DV125" s="43" t="str">
        <f t="shared" si="115"/>
        <v/>
      </c>
      <c r="DX125" s="44">
        <v>1</v>
      </c>
      <c r="DY125" s="44" t="s">
        <v>774</v>
      </c>
      <c r="DZ125" s="43">
        <f t="shared" si="116"/>
        <v>0.01</v>
      </c>
      <c r="EA125" s="43" t="str">
        <f t="shared" si="117"/>
        <v>M</v>
      </c>
      <c r="EB125" s="43" t="str">
        <f>IF(IFERROR(INDEX(Consulta!$A:$DF,MATCH('MM01'!$B125,Consulta!$C:$C,0),'MM01'!EB$2),"")=0,"7925",IF(IFERROR(INDEX(Consulta!$A:$DF,MATCH('MM01'!$B125,Consulta!$C:$C,0),'MM01'!EB$2),"")="68","7910","7925"))</f>
        <v>7925</v>
      </c>
      <c r="EC125" s="44">
        <v>100</v>
      </c>
      <c r="ED125" s="60">
        <v>1</v>
      </c>
      <c r="EE125" s="43">
        <f t="shared" si="118"/>
        <v>100</v>
      </c>
      <c r="EF125" s="44">
        <v>1</v>
      </c>
      <c r="EG125" s="44">
        <v>0</v>
      </c>
      <c r="EH125" s="44" t="s">
        <v>867</v>
      </c>
      <c r="EI125" s="45">
        <v>0</v>
      </c>
      <c r="EJ125" s="43">
        <f t="shared" si="119"/>
        <v>5000</v>
      </c>
      <c r="EK125" s="65"/>
    </row>
    <row r="126" spans="1:141" x14ac:dyDescent="0.3">
      <c r="A126" s="7" t="str">
        <f t="shared" si="80"/>
        <v>Execução 122</v>
      </c>
      <c r="B126" s="42"/>
      <c r="C126" s="43" t="str">
        <f>IF(IFERROR(INDEX(Consulta!$A:$DF,MATCH('MM01'!$B126,Consulta!$C:$C,0),'MM01'!C$2),"")=0,"",IFERROR(INDEX(Consulta!$A:$DF,MATCH('MM01'!$B126,Consulta!$C:$C,0),'MM01'!C$2),""))</f>
        <v/>
      </c>
      <c r="D126" s="43" t="str">
        <f>IF(IFERROR(INDEX(Consulta!$A:$DF,MATCH('MM01'!$B126,Consulta!$C:$C,0),'MM01'!D$2),"")=0,"",IFERROR(INDEX(Consulta!$A:$DF,MATCH('MM01'!$B126,Consulta!$C:$C,0),'MM01'!D$2),""))</f>
        <v/>
      </c>
      <c r="E126" s="43" t="str">
        <f>IF(IFERROR(INDEX(Consulta!$A:$DF,MATCH('MM01'!$B126,Consulta!$C:$C,0),'MM01'!E$2),"")=0,"",IFERROR(INDEX(Consulta!$A:$DF,MATCH('MM01'!$B126,Consulta!$C:$C,0),'MM01'!E$2),""))</f>
        <v/>
      </c>
      <c r="F126" s="44" t="s">
        <v>100</v>
      </c>
      <c r="G126" s="49" t="str">
        <f>IF(IFERROR(INDEX(Consulta!$A:$DF,MATCH('MM01'!$B126,Consulta!$C:$C,0),'MM01'!G$2),"")=0,"",IFERROR(INDEX(Consulta!$A:$DF,MATCH('MM01'!$B126,Consulta!$C:$C,0),'MM01'!G$2),""))</f>
        <v/>
      </c>
      <c r="H126" s="49" t="str">
        <f>IF(IFERROR(INDEX(Consulta!$A:$DF,MATCH('MM01'!$B126,Consulta!$C:$C,0),'MM01'!H$2),"")=0,"",IFERROR(INDEX(Consulta!$A:$DF,MATCH('MM01'!$B126,Consulta!$C:$C,0),'MM01'!H$2),""))</f>
        <v/>
      </c>
      <c r="I126" s="49" t="str">
        <f t="shared" si="81"/>
        <v/>
      </c>
      <c r="J126" s="49" t="str">
        <f>IF(IFERROR(INDEX(Consulta!$A:$DF,MATCH('MM01'!$B126,Consulta!$C:$C,0),'MM01'!J$2),"")=0,"",IFERROR(INDEX(Consulta!$A:$DF,MATCH('MM01'!$B126,Consulta!$C:$C,0),'MM01'!J$2),""))</f>
        <v/>
      </c>
      <c r="K126" s="49" t="str">
        <f t="shared" si="82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IF(IFERROR(INDEX(Consulta!$A:$DF,MATCH('MM01'!$B126,Consulta!$C:$C,0),'MM01'!AP$2),"")=0,"",IFERROR(INDEX(Consulta!$A:$DF,MATCH('MM01'!$B126,Consulta!$C:$C,0),'MM01'!AP$2),""))</f>
        <v/>
      </c>
      <c r="AQ126" s="45"/>
      <c r="AR126" s="43" t="str">
        <f>IF(IFERROR(INDEX(Consulta!$A:$DF,MATCH('MM01'!$B126,Consulta!$C:$C,0),'MM01'!AR$2),"")=0,"",IFERROR(INDEX(Consulta!$A:$DF,MATCH('MM01'!$B126,Consulta!$C:$C,0),'MM01'!AR$2),""))</f>
        <v/>
      </c>
      <c r="AS126" s="43" t="str">
        <f>IF(IFERROR(INDEX(Consulta!$A:$DF,MATCH('MM01'!$B126,Consulta!$C:$C,0),'MM01'!AS$2),"")=0,"",IF(AR126="68",5102,IFERROR(INDEX(Consulta!$A:$DF,MATCH('MM01'!$B126,Consulta!$C:$C,0),'MM01'!AS$2),"")))</f>
        <v/>
      </c>
      <c r="AT126" s="45"/>
      <c r="AU126" s="46" t="str">
        <f t="shared" ca="1" si="83"/>
        <v/>
      </c>
      <c r="AV126" s="47" t="s">
        <v>796</v>
      </c>
      <c r="AW126" s="43" t="str">
        <f>IF(IFERROR(INDEX(Consulta!$A:$DF,MATCH('MM01'!$B126,Consulta!$C:$C,0),'MM01'!AW$2),"")=0,"",IFERROR(ROUND(INDEX(Consulta!$A:$DF,MATCH('MM01'!$B126,Consulta!$C:$C,0),'MM01'!AW$2),3),""))</f>
        <v/>
      </c>
      <c r="AX126" s="43" t="str">
        <f t="shared" si="84"/>
        <v/>
      </c>
      <c r="AY126" s="48" t="s">
        <v>299</v>
      </c>
      <c r="AZ126" s="48"/>
      <c r="BA126" s="43" t="str">
        <f>IF(IFERROR(INDEX(Consulta!$A:$DF,MATCH('MM01'!$B126,Consulta!$C:$C,0),'MM01'!BA$2),"")=0,"",IFERROR(INDEX(Consulta!$A:$DF,MATCH('MM01'!$B126,Consulta!$C:$C,0),'MM01'!BA$2),""))</f>
        <v/>
      </c>
      <c r="BB126" s="43" t="str">
        <f t="shared" si="85"/>
        <v/>
      </c>
      <c r="BC126" s="43" t="str">
        <f t="shared" si="86"/>
        <v/>
      </c>
      <c r="BD126" s="43" t="str">
        <f t="shared" si="87"/>
        <v/>
      </c>
      <c r="BE126" s="43" t="str">
        <f t="shared" si="88"/>
        <v>M</v>
      </c>
      <c r="BF126" s="43" t="str">
        <f t="shared" si="89"/>
        <v/>
      </c>
      <c r="BG126" s="43" t="str">
        <f t="shared" si="90"/>
        <v/>
      </c>
      <c r="BH126" s="43" t="str">
        <f t="shared" si="91"/>
        <v/>
      </c>
      <c r="BI126" s="43" t="str">
        <f t="shared" si="92"/>
        <v>M</v>
      </c>
      <c r="BK126" s="45" t="s">
        <v>324</v>
      </c>
      <c r="BL126" s="43" t="str">
        <f>IF(IFERROR(INDEX(Consulta!$A:$DF,MATCH('MM01'!$B126,Consulta!$C:$C,0),'MM01'!BL$2),"")=0,"",IFERROR(INDEX(Consulta!$A:$DF,MATCH('MM01'!$B126,Consulta!$C:$C,0),'MM01'!BL$2),""))</f>
        <v/>
      </c>
      <c r="BM126" s="45">
        <v>99</v>
      </c>
      <c r="BN126" s="46" t="str">
        <f t="shared" ca="1" si="93"/>
        <v>28.04.2022</v>
      </c>
      <c r="BO126" s="49" t="str">
        <f t="shared" si="94"/>
        <v/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IF(IFERROR(INDEX(Consulta!$A:$DF,MATCH('MM01'!$B126,Consulta!$C:$C,0),'MM01'!BX$2),"")=0,"",IFERROR(INDEX(Consulta!$A:$DF,MATCH('MM01'!$B126,Consulta!$C:$C,0),'MM01'!BX$2),""))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95"/>
        <v/>
      </c>
      <c r="CD126" s="45" t="s">
        <v>430</v>
      </c>
      <c r="CE126" s="45">
        <v>1</v>
      </c>
      <c r="CF126" s="45" t="s">
        <v>496</v>
      </c>
      <c r="CG126" s="45"/>
      <c r="CH126" s="44">
        <v>2</v>
      </c>
      <c r="CI126" s="49" t="str">
        <f t="shared" si="96"/>
        <v/>
      </c>
      <c r="CJ126" s="49" t="str">
        <f t="shared" si="97"/>
        <v/>
      </c>
      <c r="CK126" s="45"/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8"/>
        <v>K00_P_</v>
      </c>
      <c r="CS126" s="45">
        <v>5000</v>
      </c>
      <c r="CT126" s="43" t="str">
        <f>IF(IFERROR(INDEX(Consulta!$A:$DF,MATCH('MM01'!$B126,Consulta!$C:$C,0),'MM01'!CT$2),"")=0,"",IFERROR(INDEX(Consulta!$A:$DF,MATCH('MM01'!$B126,Consulta!$C:$C,0),'MM01'!CT$2),""))</f>
        <v/>
      </c>
      <c r="CU126" s="43" t="str">
        <f>IF(IFERROR(INDEX(Consulta!$A:$DF,MATCH('MM01'!$B126,Consulta!$C:$C,0),'MM01'!CU$2),"")=0,"",IFERROR(INDEX(Consulta!$A:$DF,MATCH('MM01'!$B126,Consulta!$C:$C,0),'MM01'!CU$2),""))</f>
        <v/>
      </c>
      <c r="CV126" s="43" t="str">
        <f>IF(IFERROR(INDEX(Consulta!$A:$DF,MATCH('MM01'!$B126,Consulta!$C:$C,0),'MM01'!CV$2),"")=0,"",IFERROR(INDEX(Consulta!$A:$DF,MATCH('MM01'!$B126,Consulta!$C:$C,0),'MM01'!CV$2),""))</f>
        <v/>
      </c>
      <c r="CW126" s="43" t="str">
        <f>IF(IFERROR(INDEX(Consulta!$A:$DF,MATCH('MM01'!$B126,Consulta!$C:$C,0),'MM01'!CW$2),"")=0,"",IFERROR(INDEX(Consulta!$A:$DF,MATCH('MM01'!$B126,Consulta!$C:$C,0),'MM01'!CW$2),""))</f>
        <v/>
      </c>
      <c r="CX126" s="43" t="str">
        <f t="shared" si="99"/>
        <v/>
      </c>
      <c r="CY126" s="43" t="str">
        <f t="shared" si="100"/>
        <v/>
      </c>
      <c r="CZ126" s="43" t="str">
        <f t="shared" si="101"/>
        <v/>
      </c>
      <c r="DA126" s="43" t="str">
        <f>IF(IFERROR(INDEX(Consulta!$A:$DF,MATCH('MM01'!$B126,Consulta!$C:$C,0),'MM01'!DA$2),"")=0,"",IFERROR(INDEX(Consulta!$A:$DF,MATCH('MM01'!$B126,Consulta!$C:$C,0),'MM01'!DA$2),""))</f>
        <v/>
      </c>
      <c r="DB126" s="43" t="str">
        <f t="shared" si="102"/>
        <v/>
      </c>
      <c r="DC126" s="43" t="str">
        <f>IF(IFERROR(INDEX(Consulta!$A:$DF,MATCH('MM01'!$B126,Consulta!$C:$C,0),'MM01'!DC$2),"")=0,"",IFERROR(INDEX(Consulta!$A:$DF,MATCH('MM01'!$B126,Consulta!$C:$C,0),'MM01'!DC$2),""))</f>
        <v/>
      </c>
      <c r="DD126" s="45">
        <v>0</v>
      </c>
      <c r="DE126" s="45">
        <v>0</v>
      </c>
      <c r="DF126" s="43" t="str">
        <f t="shared" si="103"/>
        <v/>
      </c>
      <c r="DG126" s="43" t="str">
        <f t="shared" si="104"/>
        <v/>
      </c>
      <c r="DH126" s="55"/>
      <c r="DI126" s="43" t="str">
        <f t="shared" ca="1" si="105"/>
        <v/>
      </c>
      <c r="DJ126" s="43" t="str">
        <f t="shared" si="106"/>
        <v/>
      </c>
      <c r="DK126" s="43" t="str">
        <f t="shared" si="107"/>
        <v/>
      </c>
      <c r="DL126" s="55"/>
      <c r="DM126" s="43" t="str">
        <f t="shared" ca="1" si="108"/>
        <v/>
      </c>
      <c r="DN126" s="43" t="str">
        <f t="shared" si="109"/>
        <v/>
      </c>
      <c r="DO126" s="43" t="str">
        <f t="shared" si="110"/>
        <v/>
      </c>
      <c r="DP126" s="55"/>
      <c r="DQ126" s="43" t="str">
        <f t="shared" ca="1" si="111"/>
        <v/>
      </c>
      <c r="DR126" s="43" t="str">
        <f t="shared" si="112"/>
        <v/>
      </c>
      <c r="DS126" s="43" t="str">
        <f t="shared" si="113"/>
        <v/>
      </c>
      <c r="DT126" s="55"/>
      <c r="DU126" s="43" t="str">
        <f t="shared" ca="1" si="114"/>
        <v/>
      </c>
      <c r="DV126" s="43" t="str">
        <f t="shared" si="115"/>
        <v/>
      </c>
      <c r="DX126" s="44">
        <v>1</v>
      </c>
      <c r="DY126" s="44" t="s">
        <v>774</v>
      </c>
      <c r="DZ126" s="43">
        <f t="shared" si="116"/>
        <v>0.01</v>
      </c>
      <c r="EA126" s="43" t="str">
        <f t="shared" si="117"/>
        <v>M</v>
      </c>
      <c r="EB126" s="43" t="str">
        <f>IF(IFERROR(INDEX(Consulta!$A:$DF,MATCH('MM01'!$B126,Consulta!$C:$C,0),'MM01'!EB$2),"")=0,"7925",IF(IFERROR(INDEX(Consulta!$A:$DF,MATCH('MM01'!$B126,Consulta!$C:$C,0),'MM01'!EB$2),"")="68","7910","7925"))</f>
        <v>7925</v>
      </c>
      <c r="EC126" s="44">
        <v>100</v>
      </c>
      <c r="ED126" s="60">
        <v>1</v>
      </c>
      <c r="EE126" s="43">
        <f t="shared" si="118"/>
        <v>100</v>
      </c>
      <c r="EF126" s="44">
        <v>1</v>
      </c>
      <c r="EG126" s="44">
        <v>0</v>
      </c>
      <c r="EH126" s="44" t="s">
        <v>867</v>
      </c>
      <c r="EI126" s="45">
        <v>0</v>
      </c>
      <c r="EJ126" s="43">
        <f t="shared" si="119"/>
        <v>5000</v>
      </c>
      <c r="EK126" s="65"/>
    </row>
    <row r="127" spans="1:141" x14ac:dyDescent="0.3">
      <c r="A127" s="7" t="str">
        <f t="shared" si="80"/>
        <v>Execução 123</v>
      </c>
      <c r="B127" s="42"/>
      <c r="C127" s="43" t="str">
        <f>IF(IFERROR(INDEX(Consulta!$A:$DF,MATCH('MM01'!$B127,Consulta!$C:$C,0),'MM01'!C$2),"")=0,"",IFERROR(INDEX(Consulta!$A:$DF,MATCH('MM01'!$B127,Consulta!$C:$C,0),'MM01'!C$2),""))</f>
        <v/>
      </c>
      <c r="D127" s="43" t="str">
        <f>IF(IFERROR(INDEX(Consulta!$A:$DF,MATCH('MM01'!$B127,Consulta!$C:$C,0),'MM01'!D$2),"")=0,"",IFERROR(INDEX(Consulta!$A:$DF,MATCH('MM01'!$B127,Consulta!$C:$C,0),'MM01'!D$2),""))</f>
        <v/>
      </c>
      <c r="E127" s="43" t="str">
        <f>IF(IFERROR(INDEX(Consulta!$A:$DF,MATCH('MM01'!$B127,Consulta!$C:$C,0),'MM01'!E$2),"")=0,"",IFERROR(INDEX(Consulta!$A:$DF,MATCH('MM01'!$B127,Consulta!$C:$C,0),'MM01'!E$2),""))</f>
        <v/>
      </c>
      <c r="F127" s="44" t="s">
        <v>100</v>
      </c>
      <c r="G127" s="49" t="str">
        <f>IF(IFERROR(INDEX(Consulta!$A:$DF,MATCH('MM01'!$B127,Consulta!$C:$C,0),'MM01'!G$2),"")=0,"",IFERROR(INDEX(Consulta!$A:$DF,MATCH('MM01'!$B127,Consulta!$C:$C,0),'MM01'!G$2),""))</f>
        <v/>
      </c>
      <c r="H127" s="49" t="str">
        <f>IF(IFERROR(INDEX(Consulta!$A:$DF,MATCH('MM01'!$B127,Consulta!$C:$C,0),'MM01'!H$2),"")=0,"",IFERROR(INDEX(Consulta!$A:$DF,MATCH('MM01'!$B127,Consulta!$C:$C,0),'MM01'!H$2),""))</f>
        <v/>
      </c>
      <c r="I127" s="49" t="str">
        <f t="shared" si="81"/>
        <v/>
      </c>
      <c r="J127" s="49" t="str">
        <f>IF(IFERROR(INDEX(Consulta!$A:$DF,MATCH('MM01'!$B127,Consulta!$C:$C,0),'MM01'!J$2),"")=0,"",IFERROR(INDEX(Consulta!$A:$DF,MATCH('MM01'!$B127,Consulta!$C:$C,0),'MM01'!J$2),""))</f>
        <v/>
      </c>
      <c r="K127" s="49" t="str">
        <f t="shared" si="82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IF(IFERROR(INDEX(Consulta!$A:$DF,MATCH('MM01'!$B127,Consulta!$C:$C,0),'MM01'!AP$2),"")=0,"",IFERROR(INDEX(Consulta!$A:$DF,MATCH('MM01'!$B127,Consulta!$C:$C,0),'MM01'!AP$2),""))</f>
        <v/>
      </c>
      <c r="AQ127" s="45"/>
      <c r="AR127" s="43" t="str">
        <f>IF(IFERROR(INDEX(Consulta!$A:$DF,MATCH('MM01'!$B127,Consulta!$C:$C,0),'MM01'!AR$2),"")=0,"",IFERROR(INDEX(Consulta!$A:$DF,MATCH('MM01'!$B127,Consulta!$C:$C,0),'MM01'!AR$2),""))</f>
        <v/>
      </c>
      <c r="AS127" s="43" t="str">
        <f>IF(IFERROR(INDEX(Consulta!$A:$DF,MATCH('MM01'!$B127,Consulta!$C:$C,0),'MM01'!AS$2),"")=0,"",IF(AR127="68",5102,IFERROR(INDEX(Consulta!$A:$DF,MATCH('MM01'!$B127,Consulta!$C:$C,0),'MM01'!AS$2),"")))</f>
        <v/>
      </c>
      <c r="AT127" s="45"/>
      <c r="AU127" s="46" t="str">
        <f t="shared" ca="1" si="83"/>
        <v/>
      </c>
      <c r="AV127" s="47" t="s">
        <v>796</v>
      </c>
      <c r="AW127" s="43" t="str">
        <f>IF(IFERROR(INDEX(Consulta!$A:$DF,MATCH('MM01'!$B127,Consulta!$C:$C,0),'MM01'!AW$2),"")=0,"",IFERROR(ROUND(INDEX(Consulta!$A:$DF,MATCH('MM01'!$B127,Consulta!$C:$C,0),'MM01'!AW$2),3),""))</f>
        <v/>
      </c>
      <c r="AX127" s="43" t="str">
        <f t="shared" si="84"/>
        <v/>
      </c>
      <c r="AY127" s="48" t="s">
        <v>299</v>
      </c>
      <c r="AZ127" s="48"/>
      <c r="BA127" s="43" t="str">
        <f>IF(IFERROR(INDEX(Consulta!$A:$DF,MATCH('MM01'!$B127,Consulta!$C:$C,0),'MM01'!BA$2),"")=0,"",IFERROR(INDEX(Consulta!$A:$DF,MATCH('MM01'!$B127,Consulta!$C:$C,0),'MM01'!BA$2),""))</f>
        <v/>
      </c>
      <c r="BB127" s="43" t="str">
        <f t="shared" si="85"/>
        <v/>
      </c>
      <c r="BC127" s="43" t="str">
        <f t="shared" si="86"/>
        <v/>
      </c>
      <c r="BD127" s="43" t="str">
        <f t="shared" si="87"/>
        <v/>
      </c>
      <c r="BE127" s="43" t="str">
        <f t="shared" si="88"/>
        <v>M</v>
      </c>
      <c r="BF127" s="43" t="str">
        <f t="shared" si="89"/>
        <v/>
      </c>
      <c r="BG127" s="43" t="str">
        <f t="shared" si="90"/>
        <v/>
      </c>
      <c r="BH127" s="43" t="str">
        <f t="shared" si="91"/>
        <v/>
      </c>
      <c r="BI127" s="43" t="str">
        <f t="shared" si="92"/>
        <v>M</v>
      </c>
      <c r="BK127" s="45" t="s">
        <v>324</v>
      </c>
      <c r="BL127" s="43" t="str">
        <f>IF(IFERROR(INDEX(Consulta!$A:$DF,MATCH('MM01'!$B127,Consulta!$C:$C,0),'MM01'!BL$2),"")=0,"",IFERROR(INDEX(Consulta!$A:$DF,MATCH('MM01'!$B127,Consulta!$C:$C,0),'MM01'!BL$2),""))</f>
        <v/>
      </c>
      <c r="BM127" s="45">
        <v>99</v>
      </c>
      <c r="BN127" s="46" t="str">
        <f t="shared" ca="1" si="93"/>
        <v>28.04.2022</v>
      </c>
      <c r="BO127" s="49" t="str">
        <f t="shared" si="94"/>
        <v/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IF(IFERROR(INDEX(Consulta!$A:$DF,MATCH('MM01'!$B127,Consulta!$C:$C,0),'MM01'!BX$2),"")=0,"",IFERROR(INDEX(Consulta!$A:$DF,MATCH('MM01'!$B127,Consulta!$C:$C,0),'MM01'!BX$2),""))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95"/>
        <v/>
      </c>
      <c r="CD127" s="45" t="s">
        <v>430</v>
      </c>
      <c r="CE127" s="45">
        <v>1</v>
      </c>
      <c r="CF127" s="45" t="s">
        <v>496</v>
      </c>
      <c r="CG127" s="45"/>
      <c r="CH127" s="44">
        <v>2</v>
      </c>
      <c r="CI127" s="49" t="str">
        <f t="shared" si="96"/>
        <v/>
      </c>
      <c r="CJ127" s="49" t="str">
        <f t="shared" si="97"/>
        <v/>
      </c>
      <c r="CK127" s="45"/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8"/>
        <v>K00_P_</v>
      </c>
      <c r="CS127" s="45">
        <v>5000</v>
      </c>
      <c r="CT127" s="43" t="str">
        <f>IF(IFERROR(INDEX(Consulta!$A:$DF,MATCH('MM01'!$B127,Consulta!$C:$C,0),'MM01'!CT$2),"")=0,"",IFERROR(INDEX(Consulta!$A:$DF,MATCH('MM01'!$B127,Consulta!$C:$C,0),'MM01'!CT$2),""))</f>
        <v/>
      </c>
      <c r="CU127" s="43" t="str">
        <f>IF(IFERROR(INDEX(Consulta!$A:$DF,MATCH('MM01'!$B127,Consulta!$C:$C,0),'MM01'!CU$2),"")=0,"",IFERROR(INDEX(Consulta!$A:$DF,MATCH('MM01'!$B127,Consulta!$C:$C,0),'MM01'!CU$2),""))</f>
        <v/>
      </c>
      <c r="CV127" s="43" t="str">
        <f>IF(IFERROR(INDEX(Consulta!$A:$DF,MATCH('MM01'!$B127,Consulta!$C:$C,0),'MM01'!CV$2),"")=0,"",IFERROR(INDEX(Consulta!$A:$DF,MATCH('MM01'!$B127,Consulta!$C:$C,0),'MM01'!CV$2),""))</f>
        <v/>
      </c>
      <c r="CW127" s="43" t="str">
        <f>IF(IFERROR(INDEX(Consulta!$A:$DF,MATCH('MM01'!$B127,Consulta!$C:$C,0),'MM01'!CW$2),"")=0,"",IFERROR(INDEX(Consulta!$A:$DF,MATCH('MM01'!$B127,Consulta!$C:$C,0),'MM01'!CW$2),""))</f>
        <v/>
      </c>
      <c r="CX127" s="43" t="str">
        <f t="shared" si="99"/>
        <v/>
      </c>
      <c r="CY127" s="43" t="str">
        <f t="shared" si="100"/>
        <v/>
      </c>
      <c r="CZ127" s="43" t="str">
        <f t="shared" si="101"/>
        <v/>
      </c>
      <c r="DA127" s="43" t="str">
        <f>IF(IFERROR(INDEX(Consulta!$A:$DF,MATCH('MM01'!$B127,Consulta!$C:$C,0),'MM01'!DA$2),"")=0,"",IFERROR(INDEX(Consulta!$A:$DF,MATCH('MM01'!$B127,Consulta!$C:$C,0),'MM01'!DA$2),""))</f>
        <v/>
      </c>
      <c r="DB127" s="43" t="str">
        <f t="shared" si="102"/>
        <v/>
      </c>
      <c r="DC127" s="43" t="str">
        <f>IF(IFERROR(INDEX(Consulta!$A:$DF,MATCH('MM01'!$B127,Consulta!$C:$C,0),'MM01'!DC$2),"")=0,"",IFERROR(INDEX(Consulta!$A:$DF,MATCH('MM01'!$B127,Consulta!$C:$C,0),'MM01'!DC$2),""))</f>
        <v/>
      </c>
      <c r="DD127" s="45">
        <v>0</v>
      </c>
      <c r="DE127" s="45">
        <v>0</v>
      </c>
      <c r="DF127" s="43" t="str">
        <f t="shared" si="103"/>
        <v/>
      </c>
      <c r="DG127" s="43" t="str">
        <f t="shared" si="104"/>
        <v/>
      </c>
      <c r="DH127" s="55"/>
      <c r="DI127" s="43" t="str">
        <f t="shared" ca="1" si="105"/>
        <v/>
      </c>
      <c r="DJ127" s="43" t="str">
        <f t="shared" si="106"/>
        <v/>
      </c>
      <c r="DK127" s="43" t="str">
        <f t="shared" si="107"/>
        <v/>
      </c>
      <c r="DL127" s="55"/>
      <c r="DM127" s="43" t="str">
        <f t="shared" ca="1" si="108"/>
        <v/>
      </c>
      <c r="DN127" s="43" t="str">
        <f t="shared" si="109"/>
        <v/>
      </c>
      <c r="DO127" s="43" t="str">
        <f t="shared" si="110"/>
        <v/>
      </c>
      <c r="DP127" s="55"/>
      <c r="DQ127" s="43" t="str">
        <f t="shared" ca="1" si="111"/>
        <v/>
      </c>
      <c r="DR127" s="43" t="str">
        <f t="shared" si="112"/>
        <v/>
      </c>
      <c r="DS127" s="43" t="str">
        <f t="shared" si="113"/>
        <v/>
      </c>
      <c r="DT127" s="55"/>
      <c r="DU127" s="43" t="str">
        <f t="shared" ca="1" si="114"/>
        <v/>
      </c>
      <c r="DV127" s="43" t="str">
        <f t="shared" si="115"/>
        <v/>
      </c>
      <c r="DX127" s="44">
        <v>1</v>
      </c>
      <c r="DY127" s="44" t="s">
        <v>774</v>
      </c>
      <c r="DZ127" s="43">
        <f t="shared" si="116"/>
        <v>0.01</v>
      </c>
      <c r="EA127" s="43" t="str">
        <f t="shared" si="117"/>
        <v>M</v>
      </c>
      <c r="EB127" s="43" t="str">
        <f>IF(IFERROR(INDEX(Consulta!$A:$DF,MATCH('MM01'!$B127,Consulta!$C:$C,0),'MM01'!EB$2),"")=0,"7925",IF(IFERROR(INDEX(Consulta!$A:$DF,MATCH('MM01'!$B127,Consulta!$C:$C,0),'MM01'!EB$2),"")="68","7910","7925"))</f>
        <v>7925</v>
      </c>
      <c r="EC127" s="44">
        <v>100</v>
      </c>
      <c r="ED127" s="60">
        <v>1</v>
      </c>
      <c r="EE127" s="43">
        <f t="shared" si="118"/>
        <v>100</v>
      </c>
      <c r="EF127" s="44">
        <v>1</v>
      </c>
      <c r="EG127" s="44">
        <v>0</v>
      </c>
      <c r="EH127" s="44" t="s">
        <v>867</v>
      </c>
      <c r="EI127" s="45">
        <v>0</v>
      </c>
      <c r="EJ127" s="43">
        <f t="shared" si="119"/>
        <v>5000</v>
      </c>
      <c r="EK127" s="65"/>
    </row>
    <row r="128" spans="1:141" x14ac:dyDescent="0.3">
      <c r="A128" s="7" t="str">
        <f t="shared" si="80"/>
        <v>Execução 124</v>
      </c>
      <c r="B128" s="42"/>
      <c r="C128" s="43" t="str">
        <f>IF(IFERROR(INDEX(Consulta!$A:$DF,MATCH('MM01'!$B128,Consulta!$C:$C,0),'MM01'!C$2),"")=0,"",IFERROR(INDEX(Consulta!$A:$DF,MATCH('MM01'!$B128,Consulta!$C:$C,0),'MM01'!C$2),""))</f>
        <v/>
      </c>
      <c r="D128" s="43" t="str">
        <f>IF(IFERROR(INDEX(Consulta!$A:$DF,MATCH('MM01'!$B128,Consulta!$C:$C,0),'MM01'!D$2),"")=0,"",IFERROR(INDEX(Consulta!$A:$DF,MATCH('MM01'!$B128,Consulta!$C:$C,0),'MM01'!D$2),""))</f>
        <v/>
      </c>
      <c r="E128" s="43" t="str">
        <f>IF(IFERROR(INDEX(Consulta!$A:$DF,MATCH('MM01'!$B128,Consulta!$C:$C,0),'MM01'!E$2),"")=0,"",IFERROR(INDEX(Consulta!$A:$DF,MATCH('MM01'!$B128,Consulta!$C:$C,0),'MM01'!E$2),""))</f>
        <v/>
      </c>
      <c r="F128" s="44" t="s">
        <v>100</v>
      </c>
      <c r="G128" s="49" t="str">
        <f>IF(IFERROR(INDEX(Consulta!$A:$DF,MATCH('MM01'!$B128,Consulta!$C:$C,0),'MM01'!G$2),"")=0,"",IFERROR(INDEX(Consulta!$A:$DF,MATCH('MM01'!$B128,Consulta!$C:$C,0),'MM01'!G$2),""))</f>
        <v/>
      </c>
      <c r="H128" s="49" t="str">
        <f>IF(IFERROR(INDEX(Consulta!$A:$DF,MATCH('MM01'!$B128,Consulta!$C:$C,0),'MM01'!H$2),"")=0,"",IFERROR(INDEX(Consulta!$A:$DF,MATCH('MM01'!$B128,Consulta!$C:$C,0),'MM01'!H$2),""))</f>
        <v/>
      </c>
      <c r="I128" s="49" t="str">
        <f t="shared" si="81"/>
        <v/>
      </c>
      <c r="J128" s="49" t="str">
        <f>IF(IFERROR(INDEX(Consulta!$A:$DF,MATCH('MM01'!$B128,Consulta!$C:$C,0),'MM01'!J$2),"")=0,"",IFERROR(INDEX(Consulta!$A:$DF,MATCH('MM01'!$B128,Consulta!$C:$C,0),'MM01'!J$2),""))</f>
        <v/>
      </c>
      <c r="K128" s="49" t="str">
        <f t="shared" si="82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IF(IFERROR(INDEX(Consulta!$A:$DF,MATCH('MM01'!$B128,Consulta!$C:$C,0),'MM01'!AP$2),"")=0,"",IFERROR(INDEX(Consulta!$A:$DF,MATCH('MM01'!$B128,Consulta!$C:$C,0),'MM01'!AP$2),""))</f>
        <v/>
      </c>
      <c r="AQ128" s="45"/>
      <c r="AR128" s="43" t="str">
        <f>IF(IFERROR(INDEX(Consulta!$A:$DF,MATCH('MM01'!$B128,Consulta!$C:$C,0),'MM01'!AR$2),"")=0,"",IFERROR(INDEX(Consulta!$A:$DF,MATCH('MM01'!$B128,Consulta!$C:$C,0),'MM01'!AR$2),""))</f>
        <v/>
      </c>
      <c r="AS128" s="43" t="str">
        <f>IF(IFERROR(INDEX(Consulta!$A:$DF,MATCH('MM01'!$B128,Consulta!$C:$C,0),'MM01'!AS$2),"")=0,"",IF(AR128="68",5102,IFERROR(INDEX(Consulta!$A:$DF,MATCH('MM01'!$B128,Consulta!$C:$C,0),'MM01'!AS$2),"")))</f>
        <v/>
      </c>
      <c r="AT128" s="45"/>
      <c r="AU128" s="46" t="str">
        <f t="shared" ca="1" si="83"/>
        <v/>
      </c>
      <c r="AV128" s="47" t="s">
        <v>796</v>
      </c>
      <c r="AW128" s="43" t="str">
        <f>IF(IFERROR(INDEX(Consulta!$A:$DF,MATCH('MM01'!$B128,Consulta!$C:$C,0),'MM01'!AW$2),"")=0,"",IFERROR(ROUND(INDEX(Consulta!$A:$DF,MATCH('MM01'!$B128,Consulta!$C:$C,0),'MM01'!AW$2),3),""))</f>
        <v/>
      </c>
      <c r="AX128" s="43" t="str">
        <f t="shared" si="84"/>
        <v/>
      </c>
      <c r="AY128" s="48" t="s">
        <v>299</v>
      </c>
      <c r="AZ128" s="48"/>
      <c r="BA128" s="43" t="str">
        <f>IF(IFERROR(INDEX(Consulta!$A:$DF,MATCH('MM01'!$B128,Consulta!$C:$C,0),'MM01'!BA$2),"")=0,"",IFERROR(INDEX(Consulta!$A:$DF,MATCH('MM01'!$B128,Consulta!$C:$C,0),'MM01'!BA$2),""))</f>
        <v/>
      </c>
      <c r="BB128" s="43" t="str">
        <f t="shared" si="85"/>
        <v/>
      </c>
      <c r="BC128" s="43" t="str">
        <f t="shared" si="86"/>
        <v/>
      </c>
      <c r="BD128" s="43" t="str">
        <f t="shared" si="87"/>
        <v/>
      </c>
      <c r="BE128" s="43" t="str">
        <f t="shared" si="88"/>
        <v>M</v>
      </c>
      <c r="BF128" s="43" t="str">
        <f t="shared" si="89"/>
        <v/>
      </c>
      <c r="BG128" s="43" t="str">
        <f t="shared" si="90"/>
        <v/>
      </c>
      <c r="BH128" s="43" t="str">
        <f t="shared" si="91"/>
        <v/>
      </c>
      <c r="BI128" s="43" t="str">
        <f t="shared" si="92"/>
        <v>M</v>
      </c>
      <c r="BK128" s="45" t="s">
        <v>324</v>
      </c>
      <c r="BL128" s="43" t="str">
        <f>IF(IFERROR(INDEX(Consulta!$A:$DF,MATCH('MM01'!$B128,Consulta!$C:$C,0),'MM01'!BL$2),"")=0,"",IFERROR(INDEX(Consulta!$A:$DF,MATCH('MM01'!$B128,Consulta!$C:$C,0),'MM01'!BL$2),""))</f>
        <v/>
      </c>
      <c r="BM128" s="45">
        <v>99</v>
      </c>
      <c r="BN128" s="46" t="str">
        <f t="shared" ca="1" si="93"/>
        <v>28.04.2022</v>
      </c>
      <c r="BO128" s="49" t="str">
        <f t="shared" si="94"/>
        <v/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IF(IFERROR(INDEX(Consulta!$A:$DF,MATCH('MM01'!$B128,Consulta!$C:$C,0),'MM01'!BX$2),"")=0,"",IFERROR(INDEX(Consulta!$A:$DF,MATCH('MM01'!$B128,Consulta!$C:$C,0),'MM01'!BX$2),""))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95"/>
        <v/>
      </c>
      <c r="CD128" s="45" t="s">
        <v>430</v>
      </c>
      <c r="CE128" s="45">
        <v>1</v>
      </c>
      <c r="CF128" s="45" t="s">
        <v>496</v>
      </c>
      <c r="CG128" s="45"/>
      <c r="CH128" s="44">
        <v>2</v>
      </c>
      <c r="CI128" s="49" t="str">
        <f t="shared" si="96"/>
        <v/>
      </c>
      <c r="CJ128" s="49" t="str">
        <f t="shared" si="97"/>
        <v/>
      </c>
      <c r="CK128" s="45"/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8"/>
        <v>K00_P_</v>
      </c>
      <c r="CS128" s="45">
        <v>5000</v>
      </c>
      <c r="CT128" s="43" t="str">
        <f>IF(IFERROR(INDEX(Consulta!$A:$DF,MATCH('MM01'!$B128,Consulta!$C:$C,0),'MM01'!CT$2),"")=0,"",IFERROR(INDEX(Consulta!$A:$DF,MATCH('MM01'!$B128,Consulta!$C:$C,0),'MM01'!CT$2),""))</f>
        <v/>
      </c>
      <c r="CU128" s="43" t="str">
        <f>IF(IFERROR(INDEX(Consulta!$A:$DF,MATCH('MM01'!$B128,Consulta!$C:$C,0),'MM01'!CU$2),"")=0,"",IFERROR(INDEX(Consulta!$A:$DF,MATCH('MM01'!$B128,Consulta!$C:$C,0),'MM01'!CU$2),""))</f>
        <v/>
      </c>
      <c r="CV128" s="43" t="str">
        <f>IF(IFERROR(INDEX(Consulta!$A:$DF,MATCH('MM01'!$B128,Consulta!$C:$C,0),'MM01'!CV$2),"")=0,"",IFERROR(INDEX(Consulta!$A:$DF,MATCH('MM01'!$B128,Consulta!$C:$C,0),'MM01'!CV$2),""))</f>
        <v/>
      </c>
      <c r="CW128" s="43" t="str">
        <f>IF(IFERROR(INDEX(Consulta!$A:$DF,MATCH('MM01'!$B128,Consulta!$C:$C,0),'MM01'!CW$2),"")=0,"",IFERROR(INDEX(Consulta!$A:$DF,MATCH('MM01'!$B128,Consulta!$C:$C,0),'MM01'!CW$2),""))</f>
        <v/>
      </c>
      <c r="CX128" s="43" t="str">
        <f t="shared" si="99"/>
        <v/>
      </c>
      <c r="CY128" s="43" t="str">
        <f t="shared" si="100"/>
        <v/>
      </c>
      <c r="CZ128" s="43" t="str">
        <f t="shared" si="101"/>
        <v/>
      </c>
      <c r="DA128" s="43" t="str">
        <f>IF(IFERROR(INDEX(Consulta!$A:$DF,MATCH('MM01'!$B128,Consulta!$C:$C,0),'MM01'!DA$2),"")=0,"",IFERROR(INDEX(Consulta!$A:$DF,MATCH('MM01'!$B128,Consulta!$C:$C,0),'MM01'!DA$2),""))</f>
        <v/>
      </c>
      <c r="DB128" s="43" t="str">
        <f t="shared" si="102"/>
        <v/>
      </c>
      <c r="DC128" s="43" t="str">
        <f>IF(IFERROR(INDEX(Consulta!$A:$DF,MATCH('MM01'!$B128,Consulta!$C:$C,0),'MM01'!DC$2),"")=0,"",IFERROR(INDEX(Consulta!$A:$DF,MATCH('MM01'!$B128,Consulta!$C:$C,0),'MM01'!DC$2),""))</f>
        <v/>
      </c>
      <c r="DD128" s="45">
        <v>0</v>
      </c>
      <c r="DE128" s="45">
        <v>0</v>
      </c>
      <c r="DF128" s="43" t="str">
        <f t="shared" si="103"/>
        <v/>
      </c>
      <c r="DG128" s="43" t="str">
        <f t="shared" si="104"/>
        <v/>
      </c>
      <c r="DH128" s="55"/>
      <c r="DI128" s="43" t="str">
        <f t="shared" ca="1" si="105"/>
        <v/>
      </c>
      <c r="DJ128" s="43" t="str">
        <f t="shared" si="106"/>
        <v/>
      </c>
      <c r="DK128" s="43" t="str">
        <f t="shared" si="107"/>
        <v/>
      </c>
      <c r="DL128" s="55"/>
      <c r="DM128" s="43" t="str">
        <f t="shared" ca="1" si="108"/>
        <v/>
      </c>
      <c r="DN128" s="43" t="str">
        <f t="shared" si="109"/>
        <v/>
      </c>
      <c r="DO128" s="43" t="str">
        <f t="shared" si="110"/>
        <v/>
      </c>
      <c r="DP128" s="55"/>
      <c r="DQ128" s="43" t="str">
        <f t="shared" ca="1" si="111"/>
        <v/>
      </c>
      <c r="DR128" s="43" t="str">
        <f t="shared" si="112"/>
        <v/>
      </c>
      <c r="DS128" s="43" t="str">
        <f t="shared" si="113"/>
        <v/>
      </c>
      <c r="DT128" s="55"/>
      <c r="DU128" s="43" t="str">
        <f t="shared" ca="1" si="114"/>
        <v/>
      </c>
      <c r="DV128" s="43" t="str">
        <f t="shared" si="115"/>
        <v/>
      </c>
      <c r="DX128" s="44">
        <v>1</v>
      </c>
      <c r="DY128" s="44" t="s">
        <v>774</v>
      </c>
      <c r="DZ128" s="43">
        <f t="shared" si="116"/>
        <v>0.01</v>
      </c>
      <c r="EA128" s="43" t="str">
        <f t="shared" si="117"/>
        <v>M</v>
      </c>
      <c r="EB128" s="43" t="str">
        <f>IF(IFERROR(INDEX(Consulta!$A:$DF,MATCH('MM01'!$B128,Consulta!$C:$C,0),'MM01'!EB$2),"")=0,"7925",IF(IFERROR(INDEX(Consulta!$A:$DF,MATCH('MM01'!$B128,Consulta!$C:$C,0),'MM01'!EB$2),"")="68","7910","7925"))</f>
        <v>7925</v>
      </c>
      <c r="EC128" s="44">
        <v>100</v>
      </c>
      <c r="ED128" s="60">
        <v>1</v>
      </c>
      <c r="EE128" s="43">
        <f t="shared" si="118"/>
        <v>100</v>
      </c>
      <c r="EF128" s="44">
        <v>1</v>
      </c>
      <c r="EG128" s="44">
        <v>0</v>
      </c>
      <c r="EH128" s="44" t="s">
        <v>867</v>
      </c>
      <c r="EI128" s="45">
        <v>0</v>
      </c>
      <c r="EJ128" s="43">
        <f t="shared" si="119"/>
        <v>5000</v>
      </c>
      <c r="EK128" s="65"/>
    </row>
    <row r="129" spans="1:141" x14ac:dyDescent="0.3">
      <c r="A129" s="7" t="str">
        <f t="shared" si="80"/>
        <v>Execução 125</v>
      </c>
      <c r="B129" s="42"/>
      <c r="C129" s="43" t="str">
        <f>IF(IFERROR(INDEX(Consulta!$A:$DF,MATCH('MM01'!$B129,Consulta!$C:$C,0),'MM01'!C$2),"")=0,"",IFERROR(INDEX(Consulta!$A:$DF,MATCH('MM01'!$B129,Consulta!$C:$C,0),'MM01'!C$2),""))</f>
        <v/>
      </c>
      <c r="D129" s="43" t="str">
        <f>IF(IFERROR(INDEX(Consulta!$A:$DF,MATCH('MM01'!$B129,Consulta!$C:$C,0),'MM01'!D$2),"")=0,"",IFERROR(INDEX(Consulta!$A:$DF,MATCH('MM01'!$B129,Consulta!$C:$C,0),'MM01'!D$2),""))</f>
        <v/>
      </c>
      <c r="E129" s="43" t="str">
        <f>IF(IFERROR(INDEX(Consulta!$A:$DF,MATCH('MM01'!$B129,Consulta!$C:$C,0),'MM01'!E$2),"")=0,"",IFERROR(INDEX(Consulta!$A:$DF,MATCH('MM01'!$B129,Consulta!$C:$C,0),'MM01'!E$2),""))</f>
        <v/>
      </c>
      <c r="F129" s="44" t="s">
        <v>100</v>
      </c>
      <c r="G129" s="49" t="str">
        <f>IF(IFERROR(INDEX(Consulta!$A:$DF,MATCH('MM01'!$B129,Consulta!$C:$C,0),'MM01'!G$2),"")=0,"",IFERROR(INDEX(Consulta!$A:$DF,MATCH('MM01'!$B129,Consulta!$C:$C,0),'MM01'!G$2),""))</f>
        <v/>
      </c>
      <c r="H129" s="49" t="str">
        <f>IF(IFERROR(INDEX(Consulta!$A:$DF,MATCH('MM01'!$B129,Consulta!$C:$C,0),'MM01'!H$2),"")=0,"",IFERROR(INDEX(Consulta!$A:$DF,MATCH('MM01'!$B129,Consulta!$C:$C,0),'MM01'!H$2),""))</f>
        <v/>
      </c>
      <c r="I129" s="49" t="str">
        <f t="shared" si="81"/>
        <v/>
      </c>
      <c r="J129" s="49" t="str">
        <f>IF(IFERROR(INDEX(Consulta!$A:$DF,MATCH('MM01'!$B129,Consulta!$C:$C,0),'MM01'!J$2),"")=0,"",IFERROR(INDEX(Consulta!$A:$DF,MATCH('MM01'!$B129,Consulta!$C:$C,0),'MM01'!J$2),""))</f>
        <v/>
      </c>
      <c r="K129" s="49" t="str">
        <f t="shared" si="82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IF(IFERROR(INDEX(Consulta!$A:$DF,MATCH('MM01'!$B129,Consulta!$C:$C,0),'MM01'!AP$2),"")=0,"",IFERROR(INDEX(Consulta!$A:$DF,MATCH('MM01'!$B129,Consulta!$C:$C,0),'MM01'!AP$2),""))</f>
        <v/>
      </c>
      <c r="AQ129" s="45"/>
      <c r="AR129" s="43" t="str">
        <f>IF(IFERROR(INDEX(Consulta!$A:$DF,MATCH('MM01'!$B129,Consulta!$C:$C,0),'MM01'!AR$2),"")=0,"",IFERROR(INDEX(Consulta!$A:$DF,MATCH('MM01'!$B129,Consulta!$C:$C,0),'MM01'!AR$2),""))</f>
        <v/>
      </c>
      <c r="AS129" s="43" t="str">
        <f>IF(IFERROR(INDEX(Consulta!$A:$DF,MATCH('MM01'!$B129,Consulta!$C:$C,0),'MM01'!AS$2),"")=0,"",IF(AR129="68",5102,IFERROR(INDEX(Consulta!$A:$DF,MATCH('MM01'!$B129,Consulta!$C:$C,0),'MM01'!AS$2),"")))</f>
        <v/>
      </c>
      <c r="AT129" s="45"/>
      <c r="AU129" s="46" t="str">
        <f t="shared" ca="1" si="83"/>
        <v/>
      </c>
      <c r="AV129" s="47" t="s">
        <v>796</v>
      </c>
      <c r="AW129" s="43" t="str">
        <f>IF(IFERROR(INDEX(Consulta!$A:$DF,MATCH('MM01'!$B129,Consulta!$C:$C,0),'MM01'!AW$2),"")=0,"",IFERROR(ROUND(INDEX(Consulta!$A:$DF,MATCH('MM01'!$B129,Consulta!$C:$C,0),'MM01'!AW$2),3),""))</f>
        <v/>
      </c>
      <c r="AX129" s="43" t="str">
        <f t="shared" si="84"/>
        <v/>
      </c>
      <c r="AY129" s="48" t="s">
        <v>299</v>
      </c>
      <c r="AZ129" s="48"/>
      <c r="BA129" s="43" t="str">
        <f>IF(IFERROR(INDEX(Consulta!$A:$DF,MATCH('MM01'!$B129,Consulta!$C:$C,0),'MM01'!BA$2),"")=0,"",IFERROR(INDEX(Consulta!$A:$DF,MATCH('MM01'!$B129,Consulta!$C:$C,0),'MM01'!BA$2),""))</f>
        <v/>
      </c>
      <c r="BB129" s="43" t="str">
        <f t="shared" si="85"/>
        <v/>
      </c>
      <c r="BC129" s="43" t="str">
        <f t="shared" si="86"/>
        <v/>
      </c>
      <c r="BD129" s="43" t="str">
        <f t="shared" si="87"/>
        <v/>
      </c>
      <c r="BE129" s="43" t="str">
        <f t="shared" si="88"/>
        <v>M</v>
      </c>
      <c r="BF129" s="43" t="str">
        <f t="shared" si="89"/>
        <v/>
      </c>
      <c r="BG129" s="43" t="str">
        <f t="shared" si="90"/>
        <v/>
      </c>
      <c r="BH129" s="43" t="str">
        <f t="shared" si="91"/>
        <v/>
      </c>
      <c r="BI129" s="43" t="str">
        <f t="shared" si="92"/>
        <v>M</v>
      </c>
      <c r="BK129" s="45" t="s">
        <v>324</v>
      </c>
      <c r="BL129" s="43" t="str">
        <f>IF(IFERROR(INDEX(Consulta!$A:$DF,MATCH('MM01'!$B129,Consulta!$C:$C,0),'MM01'!BL$2),"")=0,"",IFERROR(INDEX(Consulta!$A:$DF,MATCH('MM01'!$B129,Consulta!$C:$C,0),'MM01'!BL$2),""))</f>
        <v/>
      </c>
      <c r="BM129" s="45">
        <v>99</v>
      </c>
      <c r="BN129" s="46" t="str">
        <f t="shared" ca="1" si="93"/>
        <v>28.04.2022</v>
      </c>
      <c r="BO129" s="49" t="str">
        <f t="shared" si="94"/>
        <v/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IF(IFERROR(INDEX(Consulta!$A:$DF,MATCH('MM01'!$B129,Consulta!$C:$C,0),'MM01'!BX$2),"")=0,"",IFERROR(INDEX(Consulta!$A:$DF,MATCH('MM01'!$B129,Consulta!$C:$C,0),'MM01'!BX$2),""))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95"/>
        <v/>
      </c>
      <c r="CD129" s="45" t="s">
        <v>430</v>
      </c>
      <c r="CE129" s="45">
        <v>1</v>
      </c>
      <c r="CF129" s="45" t="s">
        <v>496</v>
      </c>
      <c r="CG129" s="45"/>
      <c r="CH129" s="44">
        <v>2</v>
      </c>
      <c r="CI129" s="49" t="str">
        <f t="shared" si="96"/>
        <v/>
      </c>
      <c r="CJ129" s="49" t="str">
        <f t="shared" si="97"/>
        <v/>
      </c>
      <c r="CK129" s="45"/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8"/>
        <v>K00_P_</v>
      </c>
      <c r="CS129" s="45">
        <v>5000</v>
      </c>
      <c r="CT129" s="43" t="str">
        <f>IF(IFERROR(INDEX(Consulta!$A:$DF,MATCH('MM01'!$B129,Consulta!$C:$C,0),'MM01'!CT$2),"")=0,"",IFERROR(INDEX(Consulta!$A:$DF,MATCH('MM01'!$B129,Consulta!$C:$C,0),'MM01'!CT$2),""))</f>
        <v/>
      </c>
      <c r="CU129" s="43" t="str">
        <f>IF(IFERROR(INDEX(Consulta!$A:$DF,MATCH('MM01'!$B129,Consulta!$C:$C,0),'MM01'!CU$2),"")=0,"",IFERROR(INDEX(Consulta!$A:$DF,MATCH('MM01'!$B129,Consulta!$C:$C,0),'MM01'!CU$2),""))</f>
        <v/>
      </c>
      <c r="CV129" s="43" t="str">
        <f>IF(IFERROR(INDEX(Consulta!$A:$DF,MATCH('MM01'!$B129,Consulta!$C:$C,0),'MM01'!CV$2),"")=0,"",IFERROR(INDEX(Consulta!$A:$DF,MATCH('MM01'!$B129,Consulta!$C:$C,0),'MM01'!CV$2),""))</f>
        <v/>
      </c>
      <c r="CW129" s="43" t="str">
        <f>IF(IFERROR(INDEX(Consulta!$A:$DF,MATCH('MM01'!$B129,Consulta!$C:$C,0),'MM01'!CW$2),"")=0,"",IFERROR(INDEX(Consulta!$A:$DF,MATCH('MM01'!$B129,Consulta!$C:$C,0),'MM01'!CW$2),""))</f>
        <v/>
      </c>
      <c r="CX129" s="43" t="str">
        <f t="shared" si="99"/>
        <v/>
      </c>
      <c r="CY129" s="43" t="str">
        <f t="shared" si="100"/>
        <v/>
      </c>
      <c r="CZ129" s="43" t="str">
        <f t="shared" si="101"/>
        <v/>
      </c>
      <c r="DA129" s="43" t="str">
        <f>IF(IFERROR(INDEX(Consulta!$A:$DF,MATCH('MM01'!$B129,Consulta!$C:$C,0),'MM01'!DA$2),"")=0,"",IFERROR(INDEX(Consulta!$A:$DF,MATCH('MM01'!$B129,Consulta!$C:$C,0),'MM01'!DA$2),""))</f>
        <v/>
      </c>
      <c r="DB129" s="43" t="str">
        <f t="shared" si="102"/>
        <v/>
      </c>
      <c r="DC129" s="43" t="str">
        <f>IF(IFERROR(INDEX(Consulta!$A:$DF,MATCH('MM01'!$B129,Consulta!$C:$C,0),'MM01'!DC$2),"")=0,"",IFERROR(INDEX(Consulta!$A:$DF,MATCH('MM01'!$B129,Consulta!$C:$C,0),'MM01'!DC$2),""))</f>
        <v/>
      </c>
      <c r="DD129" s="45">
        <v>0</v>
      </c>
      <c r="DE129" s="45">
        <v>0</v>
      </c>
      <c r="DF129" s="43" t="str">
        <f t="shared" si="103"/>
        <v/>
      </c>
      <c r="DG129" s="43" t="str">
        <f t="shared" si="104"/>
        <v/>
      </c>
      <c r="DH129" s="55"/>
      <c r="DI129" s="43" t="str">
        <f t="shared" ca="1" si="105"/>
        <v/>
      </c>
      <c r="DJ129" s="43" t="str">
        <f t="shared" si="106"/>
        <v/>
      </c>
      <c r="DK129" s="43" t="str">
        <f t="shared" si="107"/>
        <v/>
      </c>
      <c r="DL129" s="55"/>
      <c r="DM129" s="43" t="str">
        <f t="shared" ca="1" si="108"/>
        <v/>
      </c>
      <c r="DN129" s="43" t="str">
        <f t="shared" si="109"/>
        <v/>
      </c>
      <c r="DO129" s="43" t="str">
        <f t="shared" si="110"/>
        <v/>
      </c>
      <c r="DP129" s="55"/>
      <c r="DQ129" s="43" t="str">
        <f t="shared" ca="1" si="111"/>
        <v/>
      </c>
      <c r="DR129" s="43" t="str">
        <f t="shared" si="112"/>
        <v/>
      </c>
      <c r="DS129" s="43" t="str">
        <f t="shared" si="113"/>
        <v/>
      </c>
      <c r="DT129" s="55"/>
      <c r="DU129" s="43" t="str">
        <f t="shared" ca="1" si="114"/>
        <v/>
      </c>
      <c r="DV129" s="43" t="str">
        <f t="shared" si="115"/>
        <v/>
      </c>
      <c r="DX129" s="44">
        <v>1</v>
      </c>
      <c r="DY129" s="44" t="s">
        <v>774</v>
      </c>
      <c r="DZ129" s="43">
        <f t="shared" si="116"/>
        <v>0.01</v>
      </c>
      <c r="EA129" s="43" t="str">
        <f t="shared" si="117"/>
        <v>M</v>
      </c>
      <c r="EB129" s="43" t="str">
        <f>IF(IFERROR(INDEX(Consulta!$A:$DF,MATCH('MM01'!$B129,Consulta!$C:$C,0),'MM01'!EB$2),"")=0,"7925",IF(IFERROR(INDEX(Consulta!$A:$DF,MATCH('MM01'!$B129,Consulta!$C:$C,0),'MM01'!EB$2),"")="68","7910","7925"))</f>
        <v>7925</v>
      </c>
      <c r="EC129" s="44">
        <v>100</v>
      </c>
      <c r="ED129" s="60">
        <v>1</v>
      </c>
      <c r="EE129" s="43">
        <f t="shared" si="118"/>
        <v>100</v>
      </c>
      <c r="EF129" s="44">
        <v>1</v>
      </c>
      <c r="EG129" s="44">
        <v>0</v>
      </c>
      <c r="EH129" s="44" t="s">
        <v>867</v>
      </c>
      <c r="EI129" s="45">
        <v>0</v>
      </c>
      <c r="EJ129" s="43">
        <f t="shared" si="119"/>
        <v>5000</v>
      </c>
      <c r="EK129" s="65"/>
    </row>
    <row r="130" spans="1:141" x14ac:dyDescent="0.3">
      <c r="A130" s="7" t="str">
        <f t="shared" si="80"/>
        <v>Execução 126</v>
      </c>
      <c r="B130" s="42"/>
      <c r="C130" s="43" t="str">
        <f>IF(IFERROR(INDEX(Consulta!$A:$DF,MATCH('MM01'!$B130,Consulta!$C:$C,0),'MM01'!C$2),"")=0,"",IFERROR(INDEX(Consulta!$A:$DF,MATCH('MM01'!$B130,Consulta!$C:$C,0),'MM01'!C$2),""))</f>
        <v/>
      </c>
      <c r="D130" s="43" t="str">
        <f>IF(IFERROR(INDEX(Consulta!$A:$DF,MATCH('MM01'!$B130,Consulta!$C:$C,0),'MM01'!D$2),"")=0,"",IFERROR(INDEX(Consulta!$A:$DF,MATCH('MM01'!$B130,Consulta!$C:$C,0),'MM01'!D$2),""))</f>
        <v/>
      </c>
      <c r="E130" s="43" t="str">
        <f>IF(IFERROR(INDEX(Consulta!$A:$DF,MATCH('MM01'!$B130,Consulta!$C:$C,0),'MM01'!E$2),"")=0,"",IFERROR(INDEX(Consulta!$A:$DF,MATCH('MM01'!$B130,Consulta!$C:$C,0),'MM01'!E$2),""))</f>
        <v/>
      </c>
      <c r="F130" s="44" t="s">
        <v>100</v>
      </c>
      <c r="G130" s="49" t="str">
        <f>IF(IFERROR(INDEX(Consulta!$A:$DF,MATCH('MM01'!$B130,Consulta!$C:$C,0),'MM01'!G$2),"")=0,"",IFERROR(INDEX(Consulta!$A:$DF,MATCH('MM01'!$B130,Consulta!$C:$C,0),'MM01'!G$2),""))</f>
        <v/>
      </c>
      <c r="H130" s="49" t="str">
        <f>IF(IFERROR(INDEX(Consulta!$A:$DF,MATCH('MM01'!$B130,Consulta!$C:$C,0),'MM01'!H$2),"")=0,"",IFERROR(INDEX(Consulta!$A:$DF,MATCH('MM01'!$B130,Consulta!$C:$C,0),'MM01'!H$2),""))</f>
        <v/>
      </c>
      <c r="I130" s="49" t="str">
        <f t="shared" si="81"/>
        <v/>
      </c>
      <c r="J130" s="49" t="str">
        <f>IF(IFERROR(INDEX(Consulta!$A:$DF,MATCH('MM01'!$B130,Consulta!$C:$C,0),'MM01'!J$2),"")=0,"",IFERROR(INDEX(Consulta!$A:$DF,MATCH('MM01'!$B130,Consulta!$C:$C,0),'MM01'!J$2),""))</f>
        <v/>
      </c>
      <c r="K130" s="49" t="str">
        <f t="shared" si="82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IF(IFERROR(INDEX(Consulta!$A:$DF,MATCH('MM01'!$B130,Consulta!$C:$C,0),'MM01'!AP$2),"")=0,"",IFERROR(INDEX(Consulta!$A:$DF,MATCH('MM01'!$B130,Consulta!$C:$C,0),'MM01'!AP$2),""))</f>
        <v/>
      </c>
      <c r="AQ130" s="45"/>
      <c r="AR130" s="43" t="str">
        <f>IF(IFERROR(INDEX(Consulta!$A:$DF,MATCH('MM01'!$B130,Consulta!$C:$C,0),'MM01'!AR$2),"")=0,"",IFERROR(INDEX(Consulta!$A:$DF,MATCH('MM01'!$B130,Consulta!$C:$C,0),'MM01'!AR$2),""))</f>
        <v/>
      </c>
      <c r="AS130" s="43" t="str">
        <f>IF(IFERROR(INDEX(Consulta!$A:$DF,MATCH('MM01'!$B130,Consulta!$C:$C,0),'MM01'!AS$2),"")=0,"",IF(AR130="68",5102,IFERROR(INDEX(Consulta!$A:$DF,MATCH('MM01'!$B130,Consulta!$C:$C,0),'MM01'!AS$2),"")))</f>
        <v/>
      </c>
      <c r="AT130" s="45"/>
      <c r="AU130" s="46" t="str">
        <f t="shared" ca="1" si="83"/>
        <v/>
      </c>
      <c r="AV130" s="47" t="s">
        <v>796</v>
      </c>
      <c r="AW130" s="43" t="str">
        <f>IF(IFERROR(INDEX(Consulta!$A:$DF,MATCH('MM01'!$B130,Consulta!$C:$C,0),'MM01'!AW$2),"")=0,"",IFERROR(ROUND(INDEX(Consulta!$A:$DF,MATCH('MM01'!$B130,Consulta!$C:$C,0),'MM01'!AW$2),3),""))</f>
        <v/>
      </c>
      <c r="AX130" s="43" t="str">
        <f t="shared" si="84"/>
        <v/>
      </c>
      <c r="AY130" s="48" t="s">
        <v>299</v>
      </c>
      <c r="AZ130" s="48"/>
      <c r="BA130" s="43" t="str">
        <f>IF(IFERROR(INDEX(Consulta!$A:$DF,MATCH('MM01'!$B130,Consulta!$C:$C,0),'MM01'!BA$2),"")=0,"",IFERROR(INDEX(Consulta!$A:$DF,MATCH('MM01'!$B130,Consulta!$C:$C,0),'MM01'!BA$2),""))</f>
        <v/>
      </c>
      <c r="BB130" s="43" t="str">
        <f t="shared" si="85"/>
        <v/>
      </c>
      <c r="BC130" s="43" t="str">
        <f t="shared" si="86"/>
        <v/>
      </c>
      <c r="BD130" s="43" t="str">
        <f t="shared" si="87"/>
        <v/>
      </c>
      <c r="BE130" s="43" t="str">
        <f t="shared" si="88"/>
        <v>M</v>
      </c>
      <c r="BF130" s="43" t="str">
        <f t="shared" si="89"/>
        <v/>
      </c>
      <c r="BG130" s="43" t="str">
        <f t="shared" si="90"/>
        <v/>
      </c>
      <c r="BH130" s="43" t="str">
        <f t="shared" si="91"/>
        <v/>
      </c>
      <c r="BI130" s="43" t="str">
        <f t="shared" si="92"/>
        <v>M</v>
      </c>
      <c r="BK130" s="45" t="s">
        <v>324</v>
      </c>
      <c r="BL130" s="43" t="str">
        <f>IF(IFERROR(INDEX(Consulta!$A:$DF,MATCH('MM01'!$B130,Consulta!$C:$C,0),'MM01'!BL$2),"")=0,"",IFERROR(INDEX(Consulta!$A:$DF,MATCH('MM01'!$B130,Consulta!$C:$C,0),'MM01'!BL$2),""))</f>
        <v/>
      </c>
      <c r="BM130" s="45">
        <v>99</v>
      </c>
      <c r="BN130" s="46" t="str">
        <f t="shared" ca="1" si="93"/>
        <v>28.04.2022</v>
      </c>
      <c r="BO130" s="49" t="str">
        <f t="shared" si="94"/>
        <v/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IF(IFERROR(INDEX(Consulta!$A:$DF,MATCH('MM01'!$B130,Consulta!$C:$C,0),'MM01'!BX$2),"")=0,"",IFERROR(INDEX(Consulta!$A:$DF,MATCH('MM01'!$B130,Consulta!$C:$C,0),'MM01'!BX$2),""))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95"/>
        <v/>
      </c>
      <c r="CD130" s="45" t="s">
        <v>430</v>
      </c>
      <c r="CE130" s="45">
        <v>1</v>
      </c>
      <c r="CF130" s="45" t="s">
        <v>496</v>
      </c>
      <c r="CG130" s="45"/>
      <c r="CH130" s="44">
        <v>2</v>
      </c>
      <c r="CI130" s="49" t="str">
        <f t="shared" si="96"/>
        <v/>
      </c>
      <c r="CJ130" s="49" t="str">
        <f t="shared" si="97"/>
        <v/>
      </c>
      <c r="CK130" s="45"/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8"/>
        <v>K00_P_</v>
      </c>
      <c r="CS130" s="45">
        <v>5000</v>
      </c>
      <c r="CT130" s="43" t="str">
        <f>IF(IFERROR(INDEX(Consulta!$A:$DF,MATCH('MM01'!$B130,Consulta!$C:$C,0),'MM01'!CT$2),"")=0,"",IFERROR(INDEX(Consulta!$A:$DF,MATCH('MM01'!$B130,Consulta!$C:$C,0),'MM01'!CT$2),""))</f>
        <v/>
      </c>
      <c r="CU130" s="43" t="str">
        <f>IF(IFERROR(INDEX(Consulta!$A:$DF,MATCH('MM01'!$B130,Consulta!$C:$C,0),'MM01'!CU$2),"")=0,"",IFERROR(INDEX(Consulta!$A:$DF,MATCH('MM01'!$B130,Consulta!$C:$C,0),'MM01'!CU$2),""))</f>
        <v/>
      </c>
      <c r="CV130" s="43" t="str">
        <f>IF(IFERROR(INDEX(Consulta!$A:$DF,MATCH('MM01'!$B130,Consulta!$C:$C,0),'MM01'!CV$2),"")=0,"",IFERROR(INDEX(Consulta!$A:$DF,MATCH('MM01'!$B130,Consulta!$C:$C,0),'MM01'!CV$2),""))</f>
        <v/>
      </c>
      <c r="CW130" s="43" t="str">
        <f>IF(IFERROR(INDEX(Consulta!$A:$DF,MATCH('MM01'!$B130,Consulta!$C:$C,0),'MM01'!CW$2),"")=0,"",IFERROR(INDEX(Consulta!$A:$DF,MATCH('MM01'!$B130,Consulta!$C:$C,0),'MM01'!CW$2),""))</f>
        <v/>
      </c>
      <c r="CX130" s="43" t="str">
        <f t="shared" si="99"/>
        <v/>
      </c>
      <c r="CY130" s="43" t="str">
        <f t="shared" si="100"/>
        <v/>
      </c>
      <c r="CZ130" s="43" t="str">
        <f t="shared" si="101"/>
        <v/>
      </c>
      <c r="DA130" s="43" t="str">
        <f>IF(IFERROR(INDEX(Consulta!$A:$DF,MATCH('MM01'!$B130,Consulta!$C:$C,0),'MM01'!DA$2),"")=0,"",IFERROR(INDEX(Consulta!$A:$DF,MATCH('MM01'!$B130,Consulta!$C:$C,0),'MM01'!DA$2),""))</f>
        <v/>
      </c>
      <c r="DB130" s="43" t="str">
        <f t="shared" si="102"/>
        <v/>
      </c>
      <c r="DC130" s="43" t="str">
        <f>IF(IFERROR(INDEX(Consulta!$A:$DF,MATCH('MM01'!$B130,Consulta!$C:$C,0),'MM01'!DC$2),"")=0,"",IFERROR(INDEX(Consulta!$A:$DF,MATCH('MM01'!$B130,Consulta!$C:$C,0),'MM01'!DC$2),""))</f>
        <v/>
      </c>
      <c r="DD130" s="45">
        <v>0</v>
      </c>
      <c r="DE130" s="45">
        <v>0</v>
      </c>
      <c r="DF130" s="43" t="str">
        <f t="shared" si="103"/>
        <v/>
      </c>
      <c r="DG130" s="43" t="str">
        <f t="shared" si="104"/>
        <v/>
      </c>
      <c r="DH130" s="55"/>
      <c r="DI130" s="43" t="str">
        <f t="shared" ca="1" si="105"/>
        <v/>
      </c>
      <c r="DJ130" s="43" t="str">
        <f t="shared" si="106"/>
        <v/>
      </c>
      <c r="DK130" s="43" t="str">
        <f t="shared" si="107"/>
        <v/>
      </c>
      <c r="DL130" s="55"/>
      <c r="DM130" s="43" t="str">
        <f t="shared" ca="1" si="108"/>
        <v/>
      </c>
      <c r="DN130" s="43" t="str">
        <f t="shared" si="109"/>
        <v/>
      </c>
      <c r="DO130" s="43" t="str">
        <f t="shared" si="110"/>
        <v/>
      </c>
      <c r="DP130" s="55"/>
      <c r="DQ130" s="43" t="str">
        <f t="shared" ca="1" si="111"/>
        <v/>
      </c>
      <c r="DR130" s="43" t="str">
        <f t="shared" si="112"/>
        <v/>
      </c>
      <c r="DS130" s="43" t="str">
        <f t="shared" si="113"/>
        <v/>
      </c>
      <c r="DT130" s="55"/>
      <c r="DU130" s="43" t="str">
        <f t="shared" ca="1" si="114"/>
        <v/>
      </c>
      <c r="DV130" s="43" t="str">
        <f t="shared" si="115"/>
        <v/>
      </c>
      <c r="DX130" s="44">
        <v>1</v>
      </c>
      <c r="DY130" s="44" t="s">
        <v>774</v>
      </c>
      <c r="DZ130" s="43">
        <f t="shared" si="116"/>
        <v>0.01</v>
      </c>
      <c r="EA130" s="43" t="str">
        <f t="shared" si="117"/>
        <v>M</v>
      </c>
      <c r="EB130" s="43" t="str">
        <f>IF(IFERROR(INDEX(Consulta!$A:$DF,MATCH('MM01'!$B130,Consulta!$C:$C,0),'MM01'!EB$2),"")=0,"7925",IF(IFERROR(INDEX(Consulta!$A:$DF,MATCH('MM01'!$B130,Consulta!$C:$C,0),'MM01'!EB$2),"")="68","7910","7925"))</f>
        <v>7925</v>
      </c>
      <c r="EC130" s="44">
        <v>100</v>
      </c>
      <c r="ED130" s="60">
        <v>1</v>
      </c>
      <c r="EE130" s="43">
        <f t="shared" si="118"/>
        <v>100</v>
      </c>
      <c r="EF130" s="44">
        <v>1</v>
      </c>
      <c r="EG130" s="44">
        <v>0</v>
      </c>
      <c r="EH130" s="44" t="s">
        <v>867</v>
      </c>
      <c r="EI130" s="45">
        <v>0</v>
      </c>
      <c r="EJ130" s="43">
        <f t="shared" si="119"/>
        <v>5000</v>
      </c>
      <c r="EK130" s="65"/>
    </row>
    <row r="131" spans="1:141" x14ac:dyDescent="0.3">
      <c r="A131" s="7" t="str">
        <f t="shared" si="80"/>
        <v>Execução 127</v>
      </c>
      <c r="B131" s="42"/>
      <c r="C131" s="43" t="str">
        <f>IF(IFERROR(INDEX(Consulta!$A:$DF,MATCH('MM01'!$B131,Consulta!$C:$C,0),'MM01'!C$2),"")=0,"",IFERROR(INDEX(Consulta!$A:$DF,MATCH('MM01'!$B131,Consulta!$C:$C,0),'MM01'!C$2),""))</f>
        <v/>
      </c>
      <c r="D131" s="43" t="str">
        <f>IF(IFERROR(INDEX(Consulta!$A:$DF,MATCH('MM01'!$B131,Consulta!$C:$C,0),'MM01'!D$2),"")=0,"",IFERROR(INDEX(Consulta!$A:$DF,MATCH('MM01'!$B131,Consulta!$C:$C,0),'MM01'!D$2),""))</f>
        <v/>
      </c>
      <c r="E131" s="43" t="str">
        <f>IF(IFERROR(INDEX(Consulta!$A:$DF,MATCH('MM01'!$B131,Consulta!$C:$C,0),'MM01'!E$2),"")=0,"",IFERROR(INDEX(Consulta!$A:$DF,MATCH('MM01'!$B131,Consulta!$C:$C,0),'MM01'!E$2),""))</f>
        <v/>
      </c>
      <c r="F131" s="44" t="s">
        <v>100</v>
      </c>
      <c r="G131" s="49" t="str">
        <f>IF(IFERROR(INDEX(Consulta!$A:$DF,MATCH('MM01'!$B131,Consulta!$C:$C,0),'MM01'!G$2),"")=0,"",IFERROR(INDEX(Consulta!$A:$DF,MATCH('MM01'!$B131,Consulta!$C:$C,0),'MM01'!G$2),""))</f>
        <v/>
      </c>
      <c r="H131" s="49" t="str">
        <f>IF(IFERROR(INDEX(Consulta!$A:$DF,MATCH('MM01'!$B131,Consulta!$C:$C,0),'MM01'!H$2),"")=0,"",IFERROR(INDEX(Consulta!$A:$DF,MATCH('MM01'!$B131,Consulta!$C:$C,0),'MM01'!H$2),""))</f>
        <v/>
      </c>
      <c r="I131" s="49" t="str">
        <f t="shared" si="81"/>
        <v/>
      </c>
      <c r="J131" s="49" t="str">
        <f>IF(IFERROR(INDEX(Consulta!$A:$DF,MATCH('MM01'!$B131,Consulta!$C:$C,0),'MM01'!J$2),"")=0,"",IFERROR(INDEX(Consulta!$A:$DF,MATCH('MM01'!$B131,Consulta!$C:$C,0),'MM01'!J$2),""))</f>
        <v/>
      </c>
      <c r="K131" s="49" t="str">
        <f t="shared" si="82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IF(IFERROR(INDEX(Consulta!$A:$DF,MATCH('MM01'!$B131,Consulta!$C:$C,0),'MM01'!AP$2),"")=0,"",IFERROR(INDEX(Consulta!$A:$DF,MATCH('MM01'!$B131,Consulta!$C:$C,0),'MM01'!AP$2),""))</f>
        <v/>
      </c>
      <c r="AQ131" s="45"/>
      <c r="AR131" s="43" t="str">
        <f>IF(IFERROR(INDEX(Consulta!$A:$DF,MATCH('MM01'!$B131,Consulta!$C:$C,0),'MM01'!AR$2),"")=0,"",IFERROR(INDEX(Consulta!$A:$DF,MATCH('MM01'!$B131,Consulta!$C:$C,0),'MM01'!AR$2),""))</f>
        <v/>
      </c>
      <c r="AS131" s="43" t="str">
        <f>IF(IFERROR(INDEX(Consulta!$A:$DF,MATCH('MM01'!$B131,Consulta!$C:$C,0),'MM01'!AS$2),"")=0,"",IF(AR131="68",5102,IFERROR(INDEX(Consulta!$A:$DF,MATCH('MM01'!$B131,Consulta!$C:$C,0),'MM01'!AS$2),"")))</f>
        <v/>
      </c>
      <c r="AT131" s="45"/>
      <c r="AU131" s="46" t="str">
        <f t="shared" ca="1" si="83"/>
        <v/>
      </c>
      <c r="AV131" s="47" t="s">
        <v>796</v>
      </c>
      <c r="AW131" s="43" t="str">
        <f>IF(IFERROR(INDEX(Consulta!$A:$DF,MATCH('MM01'!$B131,Consulta!$C:$C,0),'MM01'!AW$2),"")=0,"",IFERROR(ROUND(INDEX(Consulta!$A:$DF,MATCH('MM01'!$B131,Consulta!$C:$C,0),'MM01'!AW$2),3),""))</f>
        <v/>
      </c>
      <c r="AX131" s="43" t="str">
        <f t="shared" si="84"/>
        <v/>
      </c>
      <c r="AY131" s="48" t="s">
        <v>299</v>
      </c>
      <c r="AZ131" s="48"/>
      <c r="BA131" s="43" t="str">
        <f>IF(IFERROR(INDEX(Consulta!$A:$DF,MATCH('MM01'!$B131,Consulta!$C:$C,0),'MM01'!BA$2),"")=0,"",IFERROR(INDEX(Consulta!$A:$DF,MATCH('MM01'!$B131,Consulta!$C:$C,0),'MM01'!BA$2),""))</f>
        <v/>
      </c>
      <c r="BB131" s="43" t="str">
        <f t="shared" si="85"/>
        <v/>
      </c>
      <c r="BC131" s="43" t="str">
        <f t="shared" si="86"/>
        <v/>
      </c>
      <c r="BD131" s="43" t="str">
        <f t="shared" si="87"/>
        <v/>
      </c>
      <c r="BE131" s="43" t="str">
        <f t="shared" si="88"/>
        <v>M</v>
      </c>
      <c r="BF131" s="43" t="str">
        <f t="shared" si="89"/>
        <v/>
      </c>
      <c r="BG131" s="43" t="str">
        <f t="shared" si="90"/>
        <v/>
      </c>
      <c r="BH131" s="43" t="str">
        <f t="shared" si="91"/>
        <v/>
      </c>
      <c r="BI131" s="43" t="str">
        <f t="shared" si="92"/>
        <v>M</v>
      </c>
      <c r="BK131" s="45" t="s">
        <v>324</v>
      </c>
      <c r="BL131" s="43" t="str">
        <f>IF(IFERROR(INDEX(Consulta!$A:$DF,MATCH('MM01'!$B131,Consulta!$C:$C,0),'MM01'!BL$2),"")=0,"",IFERROR(INDEX(Consulta!$A:$DF,MATCH('MM01'!$B131,Consulta!$C:$C,0),'MM01'!BL$2),""))</f>
        <v/>
      </c>
      <c r="BM131" s="45">
        <v>99</v>
      </c>
      <c r="BN131" s="46" t="str">
        <f t="shared" ca="1" si="93"/>
        <v>28.04.2022</v>
      </c>
      <c r="BO131" s="49" t="str">
        <f t="shared" si="94"/>
        <v/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IF(IFERROR(INDEX(Consulta!$A:$DF,MATCH('MM01'!$B131,Consulta!$C:$C,0),'MM01'!BX$2),"")=0,"",IFERROR(INDEX(Consulta!$A:$DF,MATCH('MM01'!$B131,Consulta!$C:$C,0),'MM01'!BX$2),""))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95"/>
        <v/>
      </c>
      <c r="CD131" s="45" t="s">
        <v>430</v>
      </c>
      <c r="CE131" s="45">
        <v>1</v>
      </c>
      <c r="CF131" s="45" t="s">
        <v>496</v>
      </c>
      <c r="CG131" s="45"/>
      <c r="CH131" s="44">
        <v>2</v>
      </c>
      <c r="CI131" s="49" t="str">
        <f t="shared" si="96"/>
        <v/>
      </c>
      <c r="CJ131" s="49" t="str">
        <f t="shared" si="97"/>
        <v/>
      </c>
      <c r="CK131" s="45"/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8"/>
        <v>K00_P_</v>
      </c>
      <c r="CS131" s="45">
        <v>5000</v>
      </c>
      <c r="CT131" s="43" t="str">
        <f>IF(IFERROR(INDEX(Consulta!$A:$DF,MATCH('MM01'!$B131,Consulta!$C:$C,0),'MM01'!CT$2),"")=0,"",IFERROR(INDEX(Consulta!$A:$DF,MATCH('MM01'!$B131,Consulta!$C:$C,0),'MM01'!CT$2),""))</f>
        <v/>
      </c>
      <c r="CU131" s="43" t="str">
        <f>IF(IFERROR(INDEX(Consulta!$A:$DF,MATCH('MM01'!$B131,Consulta!$C:$C,0),'MM01'!CU$2),"")=0,"",IFERROR(INDEX(Consulta!$A:$DF,MATCH('MM01'!$B131,Consulta!$C:$C,0),'MM01'!CU$2),""))</f>
        <v/>
      </c>
      <c r="CV131" s="43" t="str">
        <f>IF(IFERROR(INDEX(Consulta!$A:$DF,MATCH('MM01'!$B131,Consulta!$C:$C,0),'MM01'!CV$2),"")=0,"",IFERROR(INDEX(Consulta!$A:$DF,MATCH('MM01'!$B131,Consulta!$C:$C,0),'MM01'!CV$2),""))</f>
        <v/>
      </c>
      <c r="CW131" s="43" t="str">
        <f>IF(IFERROR(INDEX(Consulta!$A:$DF,MATCH('MM01'!$B131,Consulta!$C:$C,0),'MM01'!CW$2),"")=0,"",IFERROR(INDEX(Consulta!$A:$DF,MATCH('MM01'!$B131,Consulta!$C:$C,0),'MM01'!CW$2),""))</f>
        <v/>
      </c>
      <c r="CX131" s="43" t="str">
        <f t="shared" si="99"/>
        <v/>
      </c>
      <c r="CY131" s="43" t="str">
        <f t="shared" si="100"/>
        <v/>
      </c>
      <c r="CZ131" s="43" t="str">
        <f t="shared" si="101"/>
        <v/>
      </c>
      <c r="DA131" s="43" t="str">
        <f>IF(IFERROR(INDEX(Consulta!$A:$DF,MATCH('MM01'!$B131,Consulta!$C:$C,0),'MM01'!DA$2),"")=0,"",IFERROR(INDEX(Consulta!$A:$DF,MATCH('MM01'!$B131,Consulta!$C:$C,0),'MM01'!DA$2),""))</f>
        <v/>
      </c>
      <c r="DB131" s="43" t="str">
        <f t="shared" si="102"/>
        <v/>
      </c>
      <c r="DC131" s="43" t="str">
        <f>IF(IFERROR(INDEX(Consulta!$A:$DF,MATCH('MM01'!$B131,Consulta!$C:$C,0),'MM01'!DC$2),"")=0,"",IFERROR(INDEX(Consulta!$A:$DF,MATCH('MM01'!$B131,Consulta!$C:$C,0),'MM01'!DC$2),""))</f>
        <v/>
      </c>
      <c r="DD131" s="45">
        <v>0</v>
      </c>
      <c r="DE131" s="45">
        <v>0</v>
      </c>
      <c r="DF131" s="43" t="str">
        <f t="shared" si="103"/>
        <v/>
      </c>
      <c r="DG131" s="43" t="str">
        <f t="shared" si="104"/>
        <v/>
      </c>
      <c r="DH131" s="55"/>
      <c r="DI131" s="43" t="str">
        <f t="shared" ca="1" si="105"/>
        <v/>
      </c>
      <c r="DJ131" s="43" t="str">
        <f t="shared" si="106"/>
        <v/>
      </c>
      <c r="DK131" s="43" t="str">
        <f t="shared" si="107"/>
        <v/>
      </c>
      <c r="DL131" s="55"/>
      <c r="DM131" s="43" t="str">
        <f t="shared" ca="1" si="108"/>
        <v/>
      </c>
      <c r="DN131" s="43" t="str">
        <f t="shared" si="109"/>
        <v/>
      </c>
      <c r="DO131" s="43" t="str">
        <f t="shared" si="110"/>
        <v/>
      </c>
      <c r="DP131" s="55"/>
      <c r="DQ131" s="43" t="str">
        <f t="shared" ca="1" si="111"/>
        <v/>
      </c>
      <c r="DR131" s="43" t="str">
        <f t="shared" si="112"/>
        <v/>
      </c>
      <c r="DS131" s="43" t="str">
        <f t="shared" si="113"/>
        <v/>
      </c>
      <c r="DT131" s="55"/>
      <c r="DU131" s="43" t="str">
        <f t="shared" ca="1" si="114"/>
        <v/>
      </c>
      <c r="DV131" s="43" t="str">
        <f t="shared" si="115"/>
        <v/>
      </c>
      <c r="DX131" s="44">
        <v>1</v>
      </c>
      <c r="DY131" s="44" t="s">
        <v>774</v>
      </c>
      <c r="DZ131" s="43">
        <f t="shared" si="116"/>
        <v>0.01</v>
      </c>
      <c r="EA131" s="43" t="str">
        <f t="shared" si="117"/>
        <v>M</v>
      </c>
      <c r="EB131" s="43" t="str">
        <f>IF(IFERROR(INDEX(Consulta!$A:$DF,MATCH('MM01'!$B131,Consulta!$C:$C,0),'MM01'!EB$2),"")=0,"7925",IF(IFERROR(INDEX(Consulta!$A:$DF,MATCH('MM01'!$B131,Consulta!$C:$C,0),'MM01'!EB$2),"")="68","7910","7925"))</f>
        <v>7925</v>
      </c>
      <c r="EC131" s="44">
        <v>100</v>
      </c>
      <c r="ED131" s="60">
        <v>1</v>
      </c>
      <c r="EE131" s="43">
        <f t="shared" si="118"/>
        <v>100</v>
      </c>
      <c r="EF131" s="44">
        <v>1</v>
      </c>
      <c r="EG131" s="44">
        <v>0</v>
      </c>
      <c r="EH131" s="44" t="s">
        <v>867</v>
      </c>
      <c r="EI131" s="45">
        <v>0</v>
      </c>
      <c r="EJ131" s="43">
        <f t="shared" si="119"/>
        <v>5000</v>
      </c>
      <c r="EK131" s="65"/>
    </row>
    <row r="132" spans="1:141" x14ac:dyDescent="0.3">
      <c r="A132" s="7" t="str">
        <f t="shared" si="80"/>
        <v>Execução 128</v>
      </c>
      <c r="B132" s="42"/>
      <c r="C132" s="43" t="str">
        <f>IF(IFERROR(INDEX(Consulta!$A:$DF,MATCH('MM01'!$B132,Consulta!$C:$C,0),'MM01'!C$2),"")=0,"",IFERROR(INDEX(Consulta!$A:$DF,MATCH('MM01'!$B132,Consulta!$C:$C,0),'MM01'!C$2),""))</f>
        <v/>
      </c>
      <c r="D132" s="43" t="str">
        <f>IF(IFERROR(INDEX(Consulta!$A:$DF,MATCH('MM01'!$B132,Consulta!$C:$C,0),'MM01'!D$2),"")=0,"",IFERROR(INDEX(Consulta!$A:$DF,MATCH('MM01'!$B132,Consulta!$C:$C,0),'MM01'!D$2),""))</f>
        <v/>
      </c>
      <c r="E132" s="43" t="str">
        <f>IF(IFERROR(INDEX(Consulta!$A:$DF,MATCH('MM01'!$B132,Consulta!$C:$C,0),'MM01'!E$2),"")=0,"",IFERROR(INDEX(Consulta!$A:$DF,MATCH('MM01'!$B132,Consulta!$C:$C,0),'MM01'!E$2),""))</f>
        <v/>
      </c>
      <c r="F132" s="44" t="s">
        <v>100</v>
      </c>
      <c r="G132" s="49" t="str">
        <f>IF(IFERROR(INDEX(Consulta!$A:$DF,MATCH('MM01'!$B132,Consulta!$C:$C,0),'MM01'!G$2),"")=0,"",IFERROR(INDEX(Consulta!$A:$DF,MATCH('MM01'!$B132,Consulta!$C:$C,0),'MM01'!G$2),""))</f>
        <v/>
      </c>
      <c r="H132" s="49" t="str">
        <f>IF(IFERROR(INDEX(Consulta!$A:$DF,MATCH('MM01'!$B132,Consulta!$C:$C,0),'MM01'!H$2),"")=0,"",IFERROR(INDEX(Consulta!$A:$DF,MATCH('MM01'!$B132,Consulta!$C:$C,0),'MM01'!H$2),""))</f>
        <v/>
      </c>
      <c r="I132" s="49" t="str">
        <f t="shared" si="81"/>
        <v/>
      </c>
      <c r="J132" s="49" t="str">
        <f>IF(IFERROR(INDEX(Consulta!$A:$DF,MATCH('MM01'!$B132,Consulta!$C:$C,0),'MM01'!J$2),"")=0,"",IFERROR(INDEX(Consulta!$A:$DF,MATCH('MM01'!$B132,Consulta!$C:$C,0),'MM01'!J$2),""))</f>
        <v/>
      </c>
      <c r="K132" s="49" t="str">
        <f t="shared" si="82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IF(IFERROR(INDEX(Consulta!$A:$DF,MATCH('MM01'!$B132,Consulta!$C:$C,0),'MM01'!AP$2),"")=0,"",IFERROR(INDEX(Consulta!$A:$DF,MATCH('MM01'!$B132,Consulta!$C:$C,0),'MM01'!AP$2),""))</f>
        <v/>
      </c>
      <c r="AQ132" s="45"/>
      <c r="AR132" s="43" t="str">
        <f>IF(IFERROR(INDEX(Consulta!$A:$DF,MATCH('MM01'!$B132,Consulta!$C:$C,0),'MM01'!AR$2),"")=0,"",IFERROR(INDEX(Consulta!$A:$DF,MATCH('MM01'!$B132,Consulta!$C:$C,0),'MM01'!AR$2),""))</f>
        <v/>
      </c>
      <c r="AS132" s="43" t="str">
        <f>IF(IFERROR(INDEX(Consulta!$A:$DF,MATCH('MM01'!$B132,Consulta!$C:$C,0),'MM01'!AS$2),"")=0,"",IF(AR132="68",5102,IFERROR(INDEX(Consulta!$A:$DF,MATCH('MM01'!$B132,Consulta!$C:$C,0),'MM01'!AS$2),"")))</f>
        <v/>
      </c>
      <c r="AT132" s="45"/>
      <c r="AU132" s="46" t="str">
        <f t="shared" ca="1" si="83"/>
        <v/>
      </c>
      <c r="AV132" s="47" t="s">
        <v>796</v>
      </c>
      <c r="AW132" s="43" t="str">
        <f>IF(IFERROR(INDEX(Consulta!$A:$DF,MATCH('MM01'!$B132,Consulta!$C:$C,0),'MM01'!AW$2),"")=0,"",IFERROR(ROUND(INDEX(Consulta!$A:$DF,MATCH('MM01'!$B132,Consulta!$C:$C,0),'MM01'!AW$2),3),""))</f>
        <v/>
      </c>
      <c r="AX132" s="43" t="str">
        <f t="shared" si="84"/>
        <v/>
      </c>
      <c r="AY132" s="48" t="s">
        <v>299</v>
      </c>
      <c r="AZ132" s="48"/>
      <c r="BA132" s="43" t="str">
        <f>IF(IFERROR(INDEX(Consulta!$A:$DF,MATCH('MM01'!$B132,Consulta!$C:$C,0),'MM01'!BA$2),"")=0,"",IFERROR(INDEX(Consulta!$A:$DF,MATCH('MM01'!$B132,Consulta!$C:$C,0),'MM01'!BA$2),""))</f>
        <v/>
      </c>
      <c r="BB132" s="43" t="str">
        <f t="shared" si="85"/>
        <v/>
      </c>
      <c r="BC132" s="43" t="str">
        <f t="shared" si="86"/>
        <v/>
      </c>
      <c r="BD132" s="43" t="str">
        <f t="shared" si="87"/>
        <v/>
      </c>
      <c r="BE132" s="43" t="str">
        <f t="shared" si="88"/>
        <v>M</v>
      </c>
      <c r="BF132" s="43" t="str">
        <f t="shared" si="89"/>
        <v/>
      </c>
      <c r="BG132" s="43" t="str">
        <f t="shared" si="90"/>
        <v/>
      </c>
      <c r="BH132" s="43" t="str">
        <f t="shared" si="91"/>
        <v/>
      </c>
      <c r="BI132" s="43" t="str">
        <f t="shared" si="92"/>
        <v>M</v>
      </c>
      <c r="BK132" s="45" t="s">
        <v>324</v>
      </c>
      <c r="BL132" s="43" t="str">
        <f>IF(IFERROR(INDEX(Consulta!$A:$DF,MATCH('MM01'!$B132,Consulta!$C:$C,0),'MM01'!BL$2),"")=0,"",IFERROR(INDEX(Consulta!$A:$DF,MATCH('MM01'!$B132,Consulta!$C:$C,0),'MM01'!BL$2),""))</f>
        <v/>
      </c>
      <c r="BM132" s="45">
        <v>99</v>
      </c>
      <c r="BN132" s="46" t="str">
        <f t="shared" ca="1" si="93"/>
        <v>28.04.2022</v>
      </c>
      <c r="BO132" s="49" t="str">
        <f t="shared" si="94"/>
        <v/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IF(IFERROR(INDEX(Consulta!$A:$DF,MATCH('MM01'!$B132,Consulta!$C:$C,0),'MM01'!BX$2),"")=0,"",IFERROR(INDEX(Consulta!$A:$DF,MATCH('MM01'!$B132,Consulta!$C:$C,0),'MM01'!BX$2),""))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95"/>
        <v/>
      </c>
      <c r="CD132" s="45" t="s">
        <v>430</v>
      </c>
      <c r="CE132" s="45">
        <v>1</v>
      </c>
      <c r="CF132" s="45" t="s">
        <v>496</v>
      </c>
      <c r="CG132" s="45"/>
      <c r="CH132" s="44">
        <v>2</v>
      </c>
      <c r="CI132" s="49" t="str">
        <f t="shared" si="96"/>
        <v/>
      </c>
      <c r="CJ132" s="49" t="str">
        <f t="shared" si="97"/>
        <v/>
      </c>
      <c r="CK132" s="45"/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8"/>
        <v>K00_P_</v>
      </c>
      <c r="CS132" s="45">
        <v>5000</v>
      </c>
      <c r="CT132" s="43" t="str">
        <f>IF(IFERROR(INDEX(Consulta!$A:$DF,MATCH('MM01'!$B132,Consulta!$C:$C,0),'MM01'!CT$2),"")=0,"",IFERROR(INDEX(Consulta!$A:$DF,MATCH('MM01'!$B132,Consulta!$C:$C,0),'MM01'!CT$2),""))</f>
        <v/>
      </c>
      <c r="CU132" s="43" t="str">
        <f>IF(IFERROR(INDEX(Consulta!$A:$DF,MATCH('MM01'!$B132,Consulta!$C:$C,0),'MM01'!CU$2),"")=0,"",IFERROR(INDEX(Consulta!$A:$DF,MATCH('MM01'!$B132,Consulta!$C:$C,0),'MM01'!CU$2),""))</f>
        <v/>
      </c>
      <c r="CV132" s="43" t="str">
        <f>IF(IFERROR(INDEX(Consulta!$A:$DF,MATCH('MM01'!$B132,Consulta!$C:$C,0),'MM01'!CV$2),"")=0,"",IFERROR(INDEX(Consulta!$A:$DF,MATCH('MM01'!$B132,Consulta!$C:$C,0),'MM01'!CV$2),""))</f>
        <v/>
      </c>
      <c r="CW132" s="43" t="str">
        <f>IF(IFERROR(INDEX(Consulta!$A:$DF,MATCH('MM01'!$B132,Consulta!$C:$C,0),'MM01'!CW$2),"")=0,"",IFERROR(INDEX(Consulta!$A:$DF,MATCH('MM01'!$B132,Consulta!$C:$C,0),'MM01'!CW$2),""))</f>
        <v/>
      </c>
      <c r="CX132" s="43" t="str">
        <f t="shared" si="99"/>
        <v/>
      </c>
      <c r="CY132" s="43" t="str">
        <f t="shared" si="100"/>
        <v/>
      </c>
      <c r="CZ132" s="43" t="str">
        <f t="shared" si="101"/>
        <v/>
      </c>
      <c r="DA132" s="43" t="str">
        <f>IF(IFERROR(INDEX(Consulta!$A:$DF,MATCH('MM01'!$B132,Consulta!$C:$C,0),'MM01'!DA$2),"")=0,"",IFERROR(INDEX(Consulta!$A:$DF,MATCH('MM01'!$B132,Consulta!$C:$C,0),'MM01'!DA$2),""))</f>
        <v/>
      </c>
      <c r="DB132" s="43" t="str">
        <f t="shared" si="102"/>
        <v/>
      </c>
      <c r="DC132" s="43" t="str">
        <f>IF(IFERROR(INDEX(Consulta!$A:$DF,MATCH('MM01'!$B132,Consulta!$C:$C,0),'MM01'!DC$2),"")=0,"",IFERROR(INDEX(Consulta!$A:$DF,MATCH('MM01'!$B132,Consulta!$C:$C,0),'MM01'!DC$2),""))</f>
        <v/>
      </c>
      <c r="DD132" s="45">
        <v>0</v>
      </c>
      <c r="DE132" s="45">
        <v>0</v>
      </c>
      <c r="DF132" s="43" t="str">
        <f t="shared" si="103"/>
        <v/>
      </c>
      <c r="DG132" s="43" t="str">
        <f t="shared" si="104"/>
        <v/>
      </c>
      <c r="DH132" s="55"/>
      <c r="DI132" s="43" t="str">
        <f t="shared" ca="1" si="105"/>
        <v/>
      </c>
      <c r="DJ132" s="43" t="str">
        <f t="shared" si="106"/>
        <v/>
      </c>
      <c r="DK132" s="43" t="str">
        <f t="shared" si="107"/>
        <v/>
      </c>
      <c r="DL132" s="55"/>
      <c r="DM132" s="43" t="str">
        <f t="shared" ca="1" si="108"/>
        <v/>
      </c>
      <c r="DN132" s="43" t="str">
        <f t="shared" si="109"/>
        <v/>
      </c>
      <c r="DO132" s="43" t="str">
        <f t="shared" si="110"/>
        <v/>
      </c>
      <c r="DP132" s="55"/>
      <c r="DQ132" s="43" t="str">
        <f t="shared" ca="1" si="111"/>
        <v/>
      </c>
      <c r="DR132" s="43" t="str">
        <f t="shared" si="112"/>
        <v/>
      </c>
      <c r="DS132" s="43" t="str">
        <f t="shared" si="113"/>
        <v/>
      </c>
      <c r="DT132" s="55"/>
      <c r="DU132" s="43" t="str">
        <f t="shared" ca="1" si="114"/>
        <v/>
      </c>
      <c r="DV132" s="43" t="str">
        <f t="shared" si="115"/>
        <v/>
      </c>
      <c r="DX132" s="44">
        <v>1</v>
      </c>
      <c r="DY132" s="44" t="s">
        <v>774</v>
      </c>
      <c r="DZ132" s="43">
        <f t="shared" si="116"/>
        <v>0.01</v>
      </c>
      <c r="EA132" s="43" t="str">
        <f t="shared" si="117"/>
        <v>M</v>
      </c>
      <c r="EB132" s="43" t="str">
        <f>IF(IFERROR(INDEX(Consulta!$A:$DF,MATCH('MM01'!$B132,Consulta!$C:$C,0),'MM01'!EB$2),"")=0,"7925",IF(IFERROR(INDEX(Consulta!$A:$DF,MATCH('MM01'!$B132,Consulta!$C:$C,0),'MM01'!EB$2),"")="68","7910","7925"))</f>
        <v>7925</v>
      </c>
      <c r="EC132" s="44">
        <v>100</v>
      </c>
      <c r="ED132" s="60">
        <v>1</v>
      </c>
      <c r="EE132" s="43">
        <f t="shared" si="118"/>
        <v>100</v>
      </c>
      <c r="EF132" s="44">
        <v>1</v>
      </c>
      <c r="EG132" s="44">
        <v>0</v>
      </c>
      <c r="EH132" s="44" t="s">
        <v>867</v>
      </c>
      <c r="EI132" s="45">
        <v>0</v>
      </c>
      <c r="EJ132" s="43">
        <f t="shared" si="119"/>
        <v>5000</v>
      </c>
      <c r="EK132" s="65"/>
    </row>
    <row r="133" spans="1:141" x14ac:dyDescent="0.3">
      <c r="A133" s="7" t="str">
        <f t="shared" si="80"/>
        <v>Execução 129</v>
      </c>
      <c r="B133" s="42"/>
      <c r="C133" s="43" t="str">
        <f>IF(IFERROR(INDEX(Consulta!$A:$DF,MATCH('MM01'!$B133,Consulta!$C:$C,0),'MM01'!C$2),"")=0,"",IFERROR(INDEX(Consulta!$A:$DF,MATCH('MM01'!$B133,Consulta!$C:$C,0),'MM01'!C$2),""))</f>
        <v/>
      </c>
      <c r="D133" s="43" t="str">
        <f>IF(IFERROR(INDEX(Consulta!$A:$DF,MATCH('MM01'!$B133,Consulta!$C:$C,0),'MM01'!D$2),"")=0,"",IFERROR(INDEX(Consulta!$A:$DF,MATCH('MM01'!$B133,Consulta!$C:$C,0),'MM01'!D$2),""))</f>
        <v/>
      </c>
      <c r="E133" s="43" t="str">
        <f>IF(IFERROR(INDEX(Consulta!$A:$DF,MATCH('MM01'!$B133,Consulta!$C:$C,0),'MM01'!E$2),"")=0,"",IFERROR(INDEX(Consulta!$A:$DF,MATCH('MM01'!$B133,Consulta!$C:$C,0),'MM01'!E$2),""))</f>
        <v/>
      </c>
      <c r="F133" s="44" t="s">
        <v>100</v>
      </c>
      <c r="G133" s="49" t="str">
        <f>IF(IFERROR(INDEX(Consulta!$A:$DF,MATCH('MM01'!$B133,Consulta!$C:$C,0),'MM01'!G$2),"")=0,"",IFERROR(INDEX(Consulta!$A:$DF,MATCH('MM01'!$B133,Consulta!$C:$C,0),'MM01'!G$2),""))</f>
        <v/>
      </c>
      <c r="H133" s="49" t="str">
        <f>IF(IFERROR(INDEX(Consulta!$A:$DF,MATCH('MM01'!$B133,Consulta!$C:$C,0),'MM01'!H$2),"")=0,"",IFERROR(INDEX(Consulta!$A:$DF,MATCH('MM01'!$B133,Consulta!$C:$C,0),'MM01'!H$2),""))</f>
        <v/>
      </c>
      <c r="I133" s="49" t="str">
        <f t="shared" si="81"/>
        <v/>
      </c>
      <c r="J133" s="49" t="str">
        <f>IF(IFERROR(INDEX(Consulta!$A:$DF,MATCH('MM01'!$B133,Consulta!$C:$C,0),'MM01'!J$2),"")=0,"",IFERROR(INDEX(Consulta!$A:$DF,MATCH('MM01'!$B133,Consulta!$C:$C,0),'MM01'!J$2),""))</f>
        <v/>
      </c>
      <c r="K133" s="49" t="str">
        <f t="shared" si="82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IF(IFERROR(INDEX(Consulta!$A:$DF,MATCH('MM01'!$B133,Consulta!$C:$C,0),'MM01'!AP$2),"")=0,"",IFERROR(INDEX(Consulta!$A:$DF,MATCH('MM01'!$B133,Consulta!$C:$C,0),'MM01'!AP$2),""))</f>
        <v/>
      </c>
      <c r="AQ133" s="45"/>
      <c r="AR133" s="43" t="str">
        <f>IF(IFERROR(INDEX(Consulta!$A:$DF,MATCH('MM01'!$B133,Consulta!$C:$C,0),'MM01'!AR$2),"")=0,"",IFERROR(INDEX(Consulta!$A:$DF,MATCH('MM01'!$B133,Consulta!$C:$C,0),'MM01'!AR$2),""))</f>
        <v/>
      </c>
      <c r="AS133" s="43" t="str">
        <f>IF(IFERROR(INDEX(Consulta!$A:$DF,MATCH('MM01'!$B133,Consulta!$C:$C,0),'MM01'!AS$2),"")=0,"",IF(AR133="68",5102,IFERROR(INDEX(Consulta!$A:$DF,MATCH('MM01'!$B133,Consulta!$C:$C,0),'MM01'!AS$2),"")))</f>
        <v/>
      </c>
      <c r="AT133" s="45"/>
      <c r="AU133" s="46" t="str">
        <f t="shared" ca="1" si="83"/>
        <v/>
      </c>
      <c r="AV133" s="47" t="s">
        <v>796</v>
      </c>
      <c r="AW133" s="43" t="str">
        <f>IF(IFERROR(INDEX(Consulta!$A:$DF,MATCH('MM01'!$B133,Consulta!$C:$C,0),'MM01'!AW$2),"")=0,"",IFERROR(ROUND(INDEX(Consulta!$A:$DF,MATCH('MM01'!$B133,Consulta!$C:$C,0),'MM01'!AW$2),3),""))</f>
        <v/>
      </c>
      <c r="AX133" s="43" t="str">
        <f t="shared" si="84"/>
        <v/>
      </c>
      <c r="AY133" s="48" t="s">
        <v>299</v>
      </c>
      <c r="AZ133" s="48"/>
      <c r="BA133" s="43" t="str">
        <f>IF(IFERROR(INDEX(Consulta!$A:$DF,MATCH('MM01'!$B133,Consulta!$C:$C,0),'MM01'!BA$2),"")=0,"",IFERROR(INDEX(Consulta!$A:$DF,MATCH('MM01'!$B133,Consulta!$C:$C,0),'MM01'!BA$2),""))</f>
        <v/>
      </c>
      <c r="BB133" s="43" t="str">
        <f t="shared" si="85"/>
        <v/>
      </c>
      <c r="BC133" s="43" t="str">
        <f t="shared" si="86"/>
        <v/>
      </c>
      <c r="BD133" s="43" t="str">
        <f t="shared" si="87"/>
        <v/>
      </c>
      <c r="BE133" s="43" t="str">
        <f t="shared" si="88"/>
        <v>M</v>
      </c>
      <c r="BF133" s="43" t="str">
        <f t="shared" si="89"/>
        <v/>
      </c>
      <c r="BG133" s="43" t="str">
        <f t="shared" si="90"/>
        <v/>
      </c>
      <c r="BH133" s="43" t="str">
        <f t="shared" si="91"/>
        <v/>
      </c>
      <c r="BI133" s="43" t="str">
        <f t="shared" si="92"/>
        <v>M</v>
      </c>
      <c r="BK133" s="45" t="s">
        <v>324</v>
      </c>
      <c r="BL133" s="43" t="str">
        <f>IF(IFERROR(INDEX(Consulta!$A:$DF,MATCH('MM01'!$B133,Consulta!$C:$C,0),'MM01'!BL$2),"")=0,"",IFERROR(INDEX(Consulta!$A:$DF,MATCH('MM01'!$B133,Consulta!$C:$C,0),'MM01'!BL$2),""))</f>
        <v/>
      </c>
      <c r="BM133" s="45">
        <v>99</v>
      </c>
      <c r="BN133" s="46" t="str">
        <f t="shared" ca="1" si="93"/>
        <v>28.04.2022</v>
      </c>
      <c r="BO133" s="49" t="str">
        <f t="shared" si="94"/>
        <v/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IF(IFERROR(INDEX(Consulta!$A:$DF,MATCH('MM01'!$B133,Consulta!$C:$C,0),'MM01'!BX$2),"")=0,"",IFERROR(INDEX(Consulta!$A:$DF,MATCH('MM01'!$B133,Consulta!$C:$C,0),'MM01'!BX$2),""))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95"/>
        <v/>
      </c>
      <c r="CD133" s="45" t="s">
        <v>430</v>
      </c>
      <c r="CE133" s="45">
        <v>1</v>
      </c>
      <c r="CF133" s="45" t="s">
        <v>496</v>
      </c>
      <c r="CG133" s="45"/>
      <c r="CH133" s="44">
        <v>2</v>
      </c>
      <c r="CI133" s="49" t="str">
        <f t="shared" si="96"/>
        <v/>
      </c>
      <c r="CJ133" s="49" t="str">
        <f t="shared" si="97"/>
        <v/>
      </c>
      <c r="CK133" s="45"/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8"/>
        <v>K00_P_</v>
      </c>
      <c r="CS133" s="45">
        <v>5000</v>
      </c>
      <c r="CT133" s="43" t="str">
        <f>IF(IFERROR(INDEX(Consulta!$A:$DF,MATCH('MM01'!$B133,Consulta!$C:$C,0),'MM01'!CT$2),"")=0,"",IFERROR(INDEX(Consulta!$A:$DF,MATCH('MM01'!$B133,Consulta!$C:$C,0),'MM01'!CT$2),""))</f>
        <v/>
      </c>
      <c r="CU133" s="43" t="str">
        <f>IF(IFERROR(INDEX(Consulta!$A:$DF,MATCH('MM01'!$B133,Consulta!$C:$C,0),'MM01'!CU$2),"")=0,"",IFERROR(INDEX(Consulta!$A:$DF,MATCH('MM01'!$B133,Consulta!$C:$C,0),'MM01'!CU$2),""))</f>
        <v/>
      </c>
      <c r="CV133" s="43" t="str">
        <f>IF(IFERROR(INDEX(Consulta!$A:$DF,MATCH('MM01'!$B133,Consulta!$C:$C,0),'MM01'!CV$2),"")=0,"",IFERROR(INDEX(Consulta!$A:$DF,MATCH('MM01'!$B133,Consulta!$C:$C,0),'MM01'!CV$2),""))</f>
        <v/>
      </c>
      <c r="CW133" s="43" t="str">
        <f>IF(IFERROR(INDEX(Consulta!$A:$DF,MATCH('MM01'!$B133,Consulta!$C:$C,0),'MM01'!CW$2),"")=0,"",IFERROR(INDEX(Consulta!$A:$DF,MATCH('MM01'!$B133,Consulta!$C:$C,0),'MM01'!CW$2),""))</f>
        <v/>
      </c>
      <c r="CX133" s="43" t="str">
        <f t="shared" si="99"/>
        <v/>
      </c>
      <c r="CY133" s="43" t="str">
        <f t="shared" si="100"/>
        <v/>
      </c>
      <c r="CZ133" s="43" t="str">
        <f t="shared" si="101"/>
        <v/>
      </c>
      <c r="DA133" s="43" t="str">
        <f>IF(IFERROR(INDEX(Consulta!$A:$DF,MATCH('MM01'!$B133,Consulta!$C:$C,0),'MM01'!DA$2),"")=0,"",IFERROR(INDEX(Consulta!$A:$DF,MATCH('MM01'!$B133,Consulta!$C:$C,0),'MM01'!DA$2),""))</f>
        <v/>
      </c>
      <c r="DB133" s="43" t="str">
        <f t="shared" si="102"/>
        <v/>
      </c>
      <c r="DC133" s="43" t="str">
        <f>IF(IFERROR(INDEX(Consulta!$A:$DF,MATCH('MM01'!$B133,Consulta!$C:$C,0),'MM01'!DC$2),"")=0,"",IFERROR(INDEX(Consulta!$A:$DF,MATCH('MM01'!$B133,Consulta!$C:$C,0),'MM01'!DC$2),""))</f>
        <v/>
      </c>
      <c r="DD133" s="45">
        <v>0</v>
      </c>
      <c r="DE133" s="45">
        <v>0</v>
      </c>
      <c r="DF133" s="43" t="str">
        <f t="shared" si="103"/>
        <v/>
      </c>
      <c r="DG133" s="43" t="str">
        <f t="shared" si="104"/>
        <v/>
      </c>
      <c r="DH133" s="55"/>
      <c r="DI133" s="43" t="str">
        <f t="shared" ca="1" si="105"/>
        <v/>
      </c>
      <c r="DJ133" s="43" t="str">
        <f t="shared" si="106"/>
        <v/>
      </c>
      <c r="DK133" s="43" t="str">
        <f t="shared" si="107"/>
        <v/>
      </c>
      <c r="DL133" s="55"/>
      <c r="DM133" s="43" t="str">
        <f t="shared" ca="1" si="108"/>
        <v/>
      </c>
      <c r="DN133" s="43" t="str">
        <f t="shared" si="109"/>
        <v/>
      </c>
      <c r="DO133" s="43" t="str">
        <f t="shared" si="110"/>
        <v/>
      </c>
      <c r="DP133" s="55"/>
      <c r="DQ133" s="43" t="str">
        <f t="shared" ca="1" si="111"/>
        <v/>
      </c>
      <c r="DR133" s="43" t="str">
        <f t="shared" si="112"/>
        <v/>
      </c>
      <c r="DS133" s="43" t="str">
        <f t="shared" si="113"/>
        <v/>
      </c>
      <c r="DT133" s="55"/>
      <c r="DU133" s="43" t="str">
        <f t="shared" ca="1" si="114"/>
        <v/>
      </c>
      <c r="DV133" s="43" t="str">
        <f t="shared" si="115"/>
        <v/>
      </c>
      <c r="DX133" s="44">
        <v>1</v>
      </c>
      <c r="DY133" s="44" t="s">
        <v>774</v>
      </c>
      <c r="DZ133" s="43">
        <f t="shared" si="116"/>
        <v>0.01</v>
      </c>
      <c r="EA133" s="43" t="str">
        <f t="shared" si="117"/>
        <v>M</v>
      </c>
      <c r="EB133" s="43" t="str">
        <f>IF(IFERROR(INDEX(Consulta!$A:$DF,MATCH('MM01'!$B133,Consulta!$C:$C,0),'MM01'!EB$2),"")=0,"7925",IF(IFERROR(INDEX(Consulta!$A:$DF,MATCH('MM01'!$B133,Consulta!$C:$C,0),'MM01'!EB$2),"")="68","7910","7925"))</f>
        <v>7925</v>
      </c>
      <c r="EC133" s="44">
        <v>100</v>
      </c>
      <c r="ED133" s="60">
        <v>1</v>
      </c>
      <c r="EE133" s="43">
        <f t="shared" si="118"/>
        <v>100</v>
      </c>
      <c r="EF133" s="44">
        <v>1</v>
      </c>
      <c r="EG133" s="44">
        <v>0</v>
      </c>
      <c r="EH133" s="44" t="s">
        <v>867</v>
      </c>
      <c r="EI133" s="45">
        <v>0</v>
      </c>
      <c r="EJ133" s="43">
        <f t="shared" si="119"/>
        <v>5000</v>
      </c>
      <c r="EK133" s="65"/>
    </row>
    <row r="134" spans="1:141" x14ac:dyDescent="0.3">
      <c r="A134" s="7" t="str">
        <f t="shared" si="80"/>
        <v>Execução 130</v>
      </c>
      <c r="B134" s="42"/>
      <c r="C134" s="43" t="str">
        <f>IF(IFERROR(INDEX(Consulta!$A:$DF,MATCH('MM01'!$B134,Consulta!$C:$C,0),'MM01'!C$2),"")=0,"",IFERROR(INDEX(Consulta!$A:$DF,MATCH('MM01'!$B134,Consulta!$C:$C,0),'MM01'!C$2),""))</f>
        <v/>
      </c>
      <c r="D134" s="43" t="str">
        <f>IF(IFERROR(INDEX(Consulta!$A:$DF,MATCH('MM01'!$B134,Consulta!$C:$C,0),'MM01'!D$2),"")=0,"",IFERROR(INDEX(Consulta!$A:$DF,MATCH('MM01'!$B134,Consulta!$C:$C,0),'MM01'!D$2),""))</f>
        <v/>
      </c>
      <c r="E134" s="43" t="str">
        <f>IF(IFERROR(INDEX(Consulta!$A:$DF,MATCH('MM01'!$B134,Consulta!$C:$C,0),'MM01'!E$2),"")=0,"",IFERROR(INDEX(Consulta!$A:$DF,MATCH('MM01'!$B134,Consulta!$C:$C,0),'MM01'!E$2),""))</f>
        <v/>
      </c>
      <c r="F134" s="44" t="s">
        <v>100</v>
      </c>
      <c r="G134" s="49" t="str">
        <f>IF(IFERROR(INDEX(Consulta!$A:$DF,MATCH('MM01'!$B134,Consulta!$C:$C,0),'MM01'!G$2),"")=0,"",IFERROR(INDEX(Consulta!$A:$DF,MATCH('MM01'!$B134,Consulta!$C:$C,0),'MM01'!G$2),""))</f>
        <v/>
      </c>
      <c r="H134" s="49" t="str">
        <f>IF(IFERROR(INDEX(Consulta!$A:$DF,MATCH('MM01'!$B134,Consulta!$C:$C,0),'MM01'!H$2),"")=0,"",IFERROR(INDEX(Consulta!$A:$DF,MATCH('MM01'!$B134,Consulta!$C:$C,0),'MM01'!H$2),""))</f>
        <v/>
      </c>
      <c r="I134" s="49" t="str">
        <f t="shared" si="81"/>
        <v/>
      </c>
      <c r="J134" s="49" t="str">
        <f>IF(IFERROR(INDEX(Consulta!$A:$DF,MATCH('MM01'!$B134,Consulta!$C:$C,0),'MM01'!J$2),"")=0,"",IFERROR(INDEX(Consulta!$A:$DF,MATCH('MM01'!$B134,Consulta!$C:$C,0),'MM01'!J$2),""))</f>
        <v/>
      </c>
      <c r="K134" s="49" t="str">
        <f t="shared" si="82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IF(IFERROR(INDEX(Consulta!$A:$DF,MATCH('MM01'!$B134,Consulta!$C:$C,0),'MM01'!AP$2),"")=0,"",IFERROR(INDEX(Consulta!$A:$DF,MATCH('MM01'!$B134,Consulta!$C:$C,0),'MM01'!AP$2),""))</f>
        <v/>
      </c>
      <c r="AQ134" s="45"/>
      <c r="AR134" s="43" t="str">
        <f>IF(IFERROR(INDEX(Consulta!$A:$DF,MATCH('MM01'!$B134,Consulta!$C:$C,0),'MM01'!AR$2),"")=0,"",IFERROR(INDEX(Consulta!$A:$DF,MATCH('MM01'!$B134,Consulta!$C:$C,0),'MM01'!AR$2),""))</f>
        <v/>
      </c>
      <c r="AS134" s="43" t="str">
        <f>IF(IFERROR(INDEX(Consulta!$A:$DF,MATCH('MM01'!$B134,Consulta!$C:$C,0),'MM01'!AS$2),"")=0,"",IF(AR134="68",5102,IFERROR(INDEX(Consulta!$A:$DF,MATCH('MM01'!$B134,Consulta!$C:$C,0),'MM01'!AS$2),"")))</f>
        <v/>
      </c>
      <c r="AT134" s="45"/>
      <c r="AU134" s="46" t="str">
        <f t="shared" ca="1" si="83"/>
        <v/>
      </c>
      <c r="AV134" s="47" t="s">
        <v>796</v>
      </c>
      <c r="AW134" s="43" t="str">
        <f>IF(IFERROR(INDEX(Consulta!$A:$DF,MATCH('MM01'!$B134,Consulta!$C:$C,0),'MM01'!AW$2),"")=0,"",IFERROR(ROUND(INDEX(Consulta!$A:$DF,MATCH('MM01'!$B134,Consulta!$C:$C,0),'MM01'!AW$2),3),""))</f>
        <v/>
      </c>
      <c r="AX134" s="43" t="str">
        <f t="shared" si="84"/>
        <v/>
      </c>
      <c r="AY134" s="48" t="s">
        <v>299</v>
      </c>
      <c r="AZ134" s="48"/>
      <c r="BA134" s="43" t="str">
        <f>IF(IFERROR(INDEX(Consulta!$A:$DF,MATCH('MM01'!$B134,Consulta!$C:$C,0),'MM01'!BA$2),"")=0,"",IFERROR(INDEX(Consulta!$A:$DF,MATCH('MM01'!$B134,Consulta!$C:$C,0),'MM01'!BA$2),""))</f>
        <v/>
      </c>
      <c r="BB134" s="43" t="str">
        <f t="shared" si="85"/>
        <v/>
      </c>
      <c r="BC134" s="43" t="str">
        <f t="shared" si="86"/>
        <v/>
      </c>
      <c r="BD134" s="43" t="str">
        <f t="shared" si="87"/>
        <v/>
      </c>
      <c r="BE134" s="43" t="str">
        <f t="shared" si="88"/>
        <v>M</v>
      </c>
      <c r="BF134" s="43" t="str">
        <f t="shared" si="89"/>
        <v/>
      </c>
      <c r="BG134" s="43" t="str">
        <f t="shared" si="90"/>
        <v/>
      </c>
      <c r="BH134" s="43" t="str">
        <f t="shared" si="91"/>
        <v/>
      </c>
      <c r="BI134" s="43" t="str">
        <f t="shared" si="92"/>
        <v>M</v>
      </c>
      <c r="BK134" s="45" t="s">
        <v>324</v>
      </c>
      <c r="BL134" s="43" t="str">
        <f>IF(IFERROR(INDEX(Consulta!$A:$DF,MATCH('MM01'!$B134,Consulta!$C:$C,0),'MM01'!BL$2),"")=0,"",IFERROR(INDEX(Consulta!$A:$DF,MATCH('MM01'!$B134,Consulta!$C:$C,0),'MM01'!BL$2),""))</f>
        <v/>
      </c>
      <c r="BM134" s="45">
        <v>99</v>
      </c>
      <c r="BN134" s="46" t="str">
        <f t="shared" ca="1" si="93"/>
        <v>28.04.2022</v>
      </c>
      <c r="BO134" s="49" t="str">
        <f t="shared" si="94"/>
        <v/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IF(IFERROR(INDEX(Consulta!$A:$DF,MATCH('MM01'!$B134,Consulta!$C:$C,0),'MM01'!BX$2),"")=0,"",IFERROR(INDEX(Consulta!$A:$DF,MATCH('MM01'!$B134,Consulta!$C:$C,0),'MM01'!BX$2),""))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95"/>
        <v/>
      </c>
      <c r="CD134" s="45" t="s">
        <v>430</v>
      </c>
      <c r="CE134" s="45">
        <v>1</v>
      </c>
      <c r="CF134" s="45" t="s">
        <v>496</v>
      </c>
      <c r="CG134" s="45"/>
      <c r="CH134" s="44">
        <v>2</v>
      </c>
      <c r="CI134" s="49" t="str">
        <f t="shared" si="96"/>
        <v/>
      </c>
      <c r="CJ134" s="49" t="str">
        <f t="shared" si="97"/>
        <v/>
      </c>
      <c r="CK134" s="45"/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8"/>
        <v>K00_P_</v>
      </c>
      <c r="CS134" s="45">
        <v>5000</v>
      </c>
      <c r="CT134" s="43" t="str">
        <f>IF(IFERROR(INDEX(Consulta!$A:$DF,MATCH('MM01'!$B134,Consulta!$C:$C,0),'MM01'!CT$2),"")=0,"",IFERROR(INDEX(Consulta!$A:$DF,MATCH('MM01'!$B134,Consulta!$C:$C,0),'MM01'!CT$2),""))</f>
        <v/>
      </c>
      <c r="CU134" s="43" t="str">
        <f>IF(IFERROR(INDEX(Consulta!$A:$DF,MATCH('MM01'!$B134,Consulta!$C:$C,0),'MM01'!CU$2),"")=0,"",IFERROR(INDEX(Consulta!$A:$DF,MATCH('MM01'!$B134,Consulta!$C:$C,0),'MM01'!CU$2),""))</f>
        <v/>
      </c>
      <c r="CV134" s="43" t="str">
        <f>IF(IFERROR(INDEX(Consulta!$A:$DF,MATCH('MM01'!$B134,Consulta!$C:$C,0),'MM01'!CV$2),"")=0,"",IFERROR(INDEX(Consulta!$A:$DF,MATCH('MM01'!$B134,Consulta!$C:$C,0),'MM01'!CV$2),""))</f>
        <v/>
      </c>
      <c r="CW134" s="43" t="str">
        <f>IF(IFERROR(INDEX(Consulta!$A:$DF,MATCH('MM01'!$B134,Consulta!$C:$C,0),'MM01'!CW$2),"")=0,"",IFERROR(INDEX(Consulta!$A:$DF,MATCH('MM01'!$B134,Consulta!$C:$C,0),'MM01'!CW$2),""))</f>
        <v/>
      </c>
      <c r="CX134" s="43" t="str">
        <f t="shared" si="99"/>
        <v/>
      </c>
      <c r="CY134" s="43" t="str">
        <f t="shared" si="100"/>
        <v/>
      </c>
      <c r="CZ134" s="43" t="str">
        <f t="shared" si="101"/>
        <v/>
      </c>
      <c r="DA134" s="43" t="str">
        <f>IF(IFERROR(INDEX(Consulta!$A:$DF,MATCH('MM01'!$B134,Consulta!$C:$C,0),'MM01'!DA$2),"")=0,"",IFERROR(INDEX(Consulta!$A:$DF,MATCH('MM01'!$B134,Consulta!$C:$C,0),'MM01'!DA$2),""))</f>
        <v/>
      </c>
      <c r="DB134" s="43" t="str">
        <f t="shared" si="102"/>
        <v/>
      </c>
      <c r="DC134" s="43" t="str">
        <f>IF(IFERROR(INDEX(Consulta!$A:$DF,MATCH('MM01'!$B134,Consulta!$C:$C,0),'MM01'!DC$2),"")=0,"",IFERROR(INDEX(Consulta!$A:$DF,MATCH('MM01'!$B134,Consulta!$C:$C,0),'MM01'!DC$2),""))</f>
        <v/>
      </c>
      <c r="DD134" s="45">
        <v>0</v>
      </c>
      <c r="DE134" s="45">
        <v>0</v>
      </c>
      <c r="DF134" s="43" t="str">
        <f t="shared" si="103"/>
        <v/>
      </c>
      <c r="DG134" s="43" t="str">
        <f t="shared" si="104"/>
        <v/>
      </c>
      <c r="DH134" s="55"/>
      <c r="DI134" s="43" t="str">
        <f t="shared" ca="1" si="105"/>
        <v/>
      </c>
      <c r="DJ134" s="43" t="str">
        <f t="shared" si="106"/>
        <v/>
      </c>
      <c r="DK134" s="43" t="str">
        <f t="shared" si="107"/>
        <v/>
      </c>
      <c r="DL134" s="55"/>
      <c r="DM134" s="43" t="str">
        <f t="shared" ca="1" si="108"/>
        <v/>
      </c>
      <c r="DN134" s="43" t="str">
        <f t="shared" si="109"/>
        <v/>
      </c>
      <c r="DO134" s="43" t="str">
        <f t="shared" si="110"/>
        <v/>
      </c>
      <c r="DP134" s="55"/>
      <c r="DQ134" s="43" t="str">
        <f t="shared" ca="1" si="111"/>
        <v/>
      </c>
      <c r="DR134" s="43" t="str">
        <f t="shared" si="112"/>
        <v/>
      </c>
      <c r="DS134" s="43" t="str">
        <f t="shared" si="113"/>
        <v/>
      </c>
      <c r="DT134" s="55"/>
      <c r="DU134" s="43" t="str">
        <f t="shared" ca="1" si="114"/>
        <v/>
      </c>
      <c r="DV134" s="43" t="str">
        <f t="shared" si="115"/>
        <v/>
      </c>
      <c r="DX134" s="44">
        <v>1</v>
      </c>
      <c r="DY134" s="44" t="s">
        <v>774</v>
      </c>
      <c r="DZ134" s="43">
        <f t="shared" si="116"/>
        <v>0.01</v>
      </c>
      <c r="EA134" s="43" t="str">
        <f t="shared" si="117"/>
        <v>M</v>
      </c>
      <c r="EB134" s="43" t="str">
        <f>IF(IFERROR(INDEX(Consulta!$A:$DF,MATCH('MM01'!$B134,Consulta!$C:$C,0),'MM01'!EB$2),"")=0,"7925",IF(IFERROR(INDEX(Consulta!$A:$DF,MATCH('MM01'!$B134,Consulta!$C:$C,0),'MM01'!EB$2),"")="68","7910","7925"))</f>
        <v>7925</v>
      </c>
      <c r="EC134" s="44">
        <v>100</v>
      </c>
      <c r="ED134" s="60">
        <v>1</v>
      </c>
      <c r="EE134" s="43">
        <f t="shared" si="118"/>
        <v>100</v>
      </c>
      <c r="EF134" s="44">
        <v>1</v>
      </c>
      <c r="EG134" s="44">
        <v>0</v>
      </c>
      <c r="EH134" s="44" t="s">
        <v>867</v>
      </c>
      <c r="EI134" s="45">
        <v>0</v>
      </c>
      <c r="EJ134" s="43">
        <f t="shared" si="119"/>
        <v>5000</v>
      </c>
      <c r="EK134" s="65"/>
    </row>
    <row r="135" spans="1:141" x14ac:dyDescent="0.3">
      <c r="A135" s="7" t="str">
        <f t="shared" si="80"/>
        <v>Execução 131</v>
      </c>
      <c r="B135" s="42"/>
      <c r="C135" s="43" t="str">
        <f>IF(IFERROR(INDEX(Consulta!$A:$DF,MATCH('MM01'!$B135,Consulta!$C:$C,0),'MM01'!C$2),"")=0,"",IFERROR(INDEX(Consulta!$A:$DF,MATCH('MM01'!$B135,Consulta!$C:$C,0),'MM01'!C$2),""))</f>
        <v/>
      </c>
      <c r="D135" s="43" t="str">
        <f>IF(IFERROR(INDEX(Consulta!$A:$DF,MATCH('MM01'!$B135,Consulta!$C:$C,0),'MM01'!D$2),"")=0,"",IFERROR(INDEX(Consulta!$A:$DF,MATCH('MM01'!$B135,Consulta!$C:$C,0),'MM01'!D$2),""))</f>
        <v/>
      </c>
      <c r="E135" s="43" t="str">
        <f>IF(IFERROR(INDEX(Consulta!$A:$DF,MATCH('MM01'!$B135,Consulta!$C:$C,0),'MM01'!E$2),"")=0,"",IFERROR(INDEX(Consulta!$A:$DF,MATCH('MM01'!$B135,Consulta!$C:$C,0),'MM01'!E$2),""))</f>
        <v/>
      </c>
      <c r="F135" s="44" t="s">
        <v>100</v>
      </c>
      <c r="G135" s="49" t="str">
        <f>IF(IFERROR(INDEX(Consulta!$A:$DF,MATCH('MM01'!$B135,Consulta!$C:$C,0),'MM01'!G$2),"")=0,"",IFERROR(INDEX(Consulta!$A:$DF,MATCH('MM01'!$B135,Consulta!$C:$C,0),'MM01'!G$2),""))</f>
        <v/>
      </c>
      <c r="H135" s="49" t="str">
        <f>IF(IFERROR(INDEX(Consulta!$A:$DF,MATCH('MM01'!$B135,Consulta!$C:$C,0),'MM01'!H$2),"")=0,"",IFERROR(INDEX(Consulta!$A:$DF,MATCH('MM01'!$B135,Consulta!$C:$C,0),'MM01'!H$2),""))</f>
        <v/>
      </c>
      <c r="I135" s="49" t="str">
        <f t="shared" si="81"/>
        <v/>
      </c>
      <c r="J135" s="49" t="str">
        <f>IF(IFERROR(INDEX(Consulta!$A:$DF,MATCH('MM01'!$B135,Consulta!$C:$C,0),'MM01'!J$2),"")=0,"",IFERROR(INDEX(Consulta!$A:$DF,MATCH('MM01'!$B135,Consulta!$C:$C,0),'MM01'!J$2),""))</f>
        <v/>
      </c>
      <c r="K135" s="49" t="str">
        <f t="shared" si="82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IF(IFERROR(INDEX(Consulta!$A:$DF,MATCH('MM01'!$B135,Consulta!$C:$C,0),'MM01'!AP$2),"")=0,"",IFERROR(INDEX(Consulta!$A:$DF,MATCH('MM01'!$B135,Consulta!$C:$C,0),'MM01'!AP$2),""))</f>
        <v/>
      </c>
      <c r="AQ135" s="45"/>
      <c r="AR135" s="43" t="str">
        <f>IF(IFERROR(INDEX(Consulta!$A:$DF,MATCH('MM01'!$B135,Consulta!$C:$C,0),'MM01'!AR$2),"")=0,"",IFERROR(INDEX(Consulta!$A:$DF,MATCH('MM01'!$B135,Consulta!$C:$C,0),'MM01'!AR$2),""))</f>
        <v/>
      </c>
      <c r="AS135" s="43" t="str">
        <f>IF(IFERROR(INDEX(Consulta!$A:$DF,MATCH('MM01'!$B135,Consulta!$C:$C,0),'MM01'!AS$2),"")=0,"",IF(AR135="68",5102,IFERROR(INDEX(Consulta!$A:$DF,MATCH('MM01'!$B135,Consulta!$C:$C,0),'MM01'!AS$2),"")))</f>
        <v/>
      </c>
      <c r="AT135" s="45"/>
      <c r="AU135" s="46" t="str">
        <f t="shared" ca="1" si="83"/>
        <v/>
      </c>
      <c r="AV135" s="47" t="s">
        <v>796</v>
      </c>
      <c r="AW135" s="43" t="str">
        <f>IF(IFERROR(INDEX(Consulta!$A:$DF,MATCH('MM01'!$B135,Consulta!$C:$C,0),'MM01'!AW$2),"")=0,"",IFERROR(ROUND(INDEX(Consulta!$A:$DF,MATCH('MM01'!$B135,Consulta!$C:$C,0),'MM01'!AW$2),3),""))</f>
        <v/>
      </c>
      <c r="AX135" s="43" t="str">
        <f t="shared" si="84"/>
        <v/>
      </c>
      <c r="AY135" s="48" t="s">
        <v>299</v>
      </c>
      <c r="AZ135" s="48"/>
      <c r="BA135" s="43" t="str">
        <f>IF(IFERROR(INDEX(Consulta!$A:$DF,MATCH('MM01'!$B135,Consulta!$C:$C,0),'MM01'!BA$2),"")=0,"",IFERROR(INDEX(Consulta!$A:$DF,MATCH('MM01'!$B135,Consulta!$C:$C,0),'MM01'!BA$2),""))</f>
        <v/>
      </c>
      <c r="BB135" s="43" t="str">
        <f t="shared" si="85"/>
        <v/>
      </c>
      <c r="BC135" s="43" t="str">
        <f t="shared" si="86"/>
        <v/>
      </c>
      <c r="BD135" s="43" t="str">
        <f t="shared" si="87"/>
        <v/>
      </c>
      <c r="BE135" s="43" t="str">
        <f t="shared" si="88"/>
        <v>M</v>
      </c>
      <c r="BF135" s="43" t="str">
        <f t="shared" si="89"/>
        <v/>
      </c>
      <c r="BG135" s="43" t="str">
        <f t="shared" si="90"/>
        <v/>
      </c>
      <c r="BH135" s="43" t="str">
        <f t="shared" si="91"/>
        <v/>
      </c>
      <c r="BI135" s="43" t="str">
        <f t="shared" si="92"/>
        <v>M</v>
      </c>
      <c r="BK135" s="45" t="s">
        <v>324</v>
      </c>
      <c r="BL135" s="43" t="str">
        <f>IF(IFERROR(INDEX(Consulta!$A:$DF,MATCH('MM01'!$B135,Consulta!$C:$C,0),'MM01'!BL$2),"")=0,"",IFERROR(INDEX(Consulta!$A:$DF,MATCH('MM01'!$B135,Consulta!$C:$C,0),'MM01'!BL$2),""))</f>
        <v/>
      </c>
      <c r="BM135" s="45">
        <v>99</v>
      </c>
      <c r="BN135" s="46" t="str">
        <f t="shared" ca="1" si="93"/>
        <v>28.04.2022</v>
      </c>
      <c r="BO135" s="49" t="str">
        <f t="shared" si="94"/>
        <v/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IF(IFERROR(INDEX(Consulta!$A:$DF,MATCH('MM01'!$B135,Consulta!$C:$C,0),'MM01'!BX$2),"")=0,"",IFERROR(INDEX(Consulta!$A:$DF,MATCH('MM01'!$B135,Consulta!$C:$C,0),'MM01'!BX$2),""))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95"/>
        <v/>
      </c>
      <c r="CD135" s="45" t="s">
        <v>430</v>
      </c>
      <c r="CE135" s="45">
        <v>1</v>
      </c>
      <c r="CF135" s="45" t="s">
        <v>496</v>
      </c>
      <c r="CG135" s="45"/>
      <c r="CH135" s="44">
        <v>2</v>
      </c>
      <c r="CI135" s="49" t="str">
        <f t="shared" si="96"/>
        <v/>
      </c>
      <c r="CJ135" s="49" t="str">
        <f t="shared" si="97"/>
        <v/>
      </c>
      <c r="CK135" s="45"/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8"/>
        <v>K00_P_</v>
      </c>
      <c r="CS135" s="45">
        <v>5000</v>
      </c>
      <c r="CT135" s="43" t="str">
        <f>IF(IFERROR(INDEX(Consulta!$A:$DF,MATCH('MM01'!$B135,Consulta!$C:$C,0),'MM01'!CT$2),"")=0,"",IFERROR(INDEX(Consulta!$A:$DF,MATCH('MM01'!$B135,Consulta!$C:$C,0),'MM01'!CT$2),""))</f>
        <v/>
      </c>
      <c r="CU135" s="43" t="str">
        <f>IF(IFERROR(INDEX(Consulta!$A:$DF,MATCH('MM01'!$B135,Consulta!$C:$C,0),'MM01'!CU$2),"")=0,"",IFERROR(INDEX(Consulta!$A:$DF,MATCH('MM01'!$B135,Consulta!$C:$C,0),'MM01'!CU$2),""))</f>
        <v/>
      </c>
      <c r="CV135" s="43" t="str">
        <f>IF(IFERROR(INDEX(Consulta!$A:$DF,MATCH('MM01'!$B135,Consulta!$C:$C,0),'MM01'!CV$2),"")=0,"",IFERROR(INDEX(Consulta!$A:$DF,MATCH('MM01'!$B135,Consulta!$C:$C,0),'MM01'!CV$2),""))</f>
        <v/>
      </c>
      <c r="CW135" s="43" t="str">
        <f>IF(IFERROR(INDEX(Consulta!$A:$DF,MATCH('MM01'!$B135,Consulta!$C:$C,0),'MM01'!CW$2),"")=0,"",IFERROR(INDEX(Consulta!$A:$DF,MATCH('MM01'!$B135,Consulta!$C:$C,0),'MM01'!CW$2),""))</f>
        <v/>
      </c>
      <c r="CX135" s="43" t="str">
        <f t="shared" si="99"/>
        <v/>
      </c>
      <c r="CY135" s="43" t="str">
        <f t="shared" si="100"/>
        <v/>
      </c>
      <c r="CZ135" s="43" t="str">
        <f t="shared" si="101"/>
        <v/>
      </c>
      <c r="DA135" s="43" t="str">
        <f>IF(IFERROR(INDEX(Consulta!$A:$DF,MATCH('MM01'!$B135,Consulta!$C:$C,0),'MM01'!DA$2),"")=0,"",IFERROR(INDEX(Consulta!$A:$DF,MATCH('MM01'!$B135,Consulta!$C:$C,0),'MM01'!DA$2),""))</f>
        <v/>
      </c>
      <c r="DB135" s="43" t="str">
        <f t="shared" si="102"/>
        <v/>
      </c>
      <c r="DC135" s="43" t="str">
        <f>IF(IFERROR(INDEX(Consulta!$A:$DF,MATCH('MM01'!$B135,Consulta!$C:$C,0),'MM01'!DC$2),"")=0,"",IFERROR(INDEX(Consulta!$A:$DF,MATCH('MM01'!$B135,Consulta!$C:$C,0),'MM01'!DC$2),""))</f>
        <v/>
      </c>
      <c r="DD135" s="45">
        <v>0</v>
      </c>
      <c r="DE135" s="45">
        <v>0</v>
      </c>
      <c r="DF135" s="43" t="str">
        <f t="shared" si="103"/>
        <v/>
      </c>
      <c r="DG135" s="43" t="str">
        <f t="shared" si="104"/>
        <v/>
      </c>
      <c r="DH135" s="55"/>
      <c r="DI135" s="43" t="str">
        <f t="shared" ca="1" si="105"/>
        <v/>
      </c>
      <c r="DJ135" s="43" t="str">
        <f t="shared" si="106"/>
        <v/>
      </c>
      <c r="DK135" s="43" t="str">
        <f t="shared" si="107"/>
        <v/>
      </c>
      <c r="DL135" s="55"/>
      <c r="DM135" s="43" t="str">
        <f t="shared" ca="1" si="108"/>
        <v/>
      </c>
      <c r="DN135" s="43" t="str">
        <f t="shared" si="109"/>
        <v/>
      </c>
      <c r="DO135" s="43" t="str">
        <f t="shared" si="110"/>
        <v/>
      </c>
      <c r="DP135" s="55"/>
      <c r="DQ135" s="43" t="str">
        <f t="shared" ca="1" si="111"/>
        <v/>
      </c>
      <c r="DR135" s="43" t="str">
        <f t="shared" si="112"/>
        <v/>
      </c>
      <c r="DS135" s="43" t="str">
        <f t="shared" si="113"/>
        <v/>
      </c>
      <c r="DT135" s="55"/>
      <c r="DU135" s="43" t="str">
        <f t="shared" ca="1" si="114"/>
        <v/>
      </c>
      <c r="DV135" s="43" t="str">
        <f t="shared" si="115"/>
        <v/>
      </c>
      <c r="DX135" s="44">
        <v>1</v>
      </c>
      <c r="DY135" s="44" t="s">
        <v>774</v>
      </c>
      <c r="DZ135" s="43">
        <f t="shared" si="116"/>
        <v>0.01</v>
      </c>
      <c r="EA135" s="43" t="str">
        <f t="shared" si="117"/>
        <v>M</v>
      </c>
      <c r="EB135" s="43" t="str">
        <f>IF(IFERROR(INDEX(Consulta!$A:$DF,MATCH('MM01'!$B135,Consulta!$C:$C,0),'MM01'!EB$2),"")=0,"7925",IF(IFERROR(INDEX(Consulta!$A:$DF,MATCH('MM01'!$B135,Consulta!$C:$C,0),'MM01'!EB$2),"")="68","7910","7925"))</f>
        <v>7925</v>
      </c>
      <c r="EC135" s="44">
        <v>100</v>
      </c>
      <c r="ED135" s="60">
        <v>1</v>
      </c>
      <c r="EE135" s="43">
        <f t="shared" si="118"/>
        <v>100</v>
      </c>
      <c r="EF135" s="44">
        <v>1</v>
      </c>
      <c r="EG135" s="44">
        <v>0</v>
      </c>
      <c r="EH135" s="44" t="s">
        <v>867</v>
      </c>
      <c r="EI135" s="45">
        <v>0</v>
      </c>
      <c r="EJ135" s="43">
        <f t="shared" si="119"/>
        <v>5000</v>
      </c>
      <c r="EK135" s="65"/>
    </row>
    <row r="136" spans="1:141" x14ac:dyDescent="0.3">
      <c r="A136" s="7" t="str">
        <f t="shared" si="80"/>
        <v>Execução 132</v>
      </c>
      <c r="B136" s="42"/>
      <c r="C136" s="43" t="str">
        <f>IF(IFERROR(INDEX(Consulta!$A:$DF,MATCH('MM01'!$B136,Consulta!$C:$C,0),'MM01'!C$2),"")=0,"",IFERROR(INDEX(Consulta!$A:$DF,MATCH('MM01'!$B136,Consulta!$C:$C,0),'MM01'!C$2),""))</f>
        <v/>
      </c>
      <c r="D136" s="43" t="str">
        <f>IF(IFERROR(INDEX(Consulta!$A:$DF,MATCH('MM01'!$B136,Consulta!$C:$C,0),'MM01'!D$2),"")=0,"",IFERROR(INDEX(Consulta!$A:$DF,MATCH('MM01'!$B136,Consulta!$C:$C,0),'MM01'!D$2),""))</f>
        <v/>
      </c>
      <c r="E136" s="43" t="str">
        <f>IF(IFERROR(INDEX(Consulta!$A:$DF,MATCH('MM01'!$B136,Consulta!$C:$C,0),'MM01'!E$2),"")=0,"",IFERROR(INDEX(Consulta!$A:$DF,MATCH('MM01'!$B136,Consulta!$C:$C,0),'MM01'!E$2),""))</f>
        <v/>
      </c>
      <c r="F136" s="44" t="s">
        <v>100</v>
      </c>
      <c r="G136" s="49" t="str">
        <f>IF(IFERROR(INDEX(Consulta!$A:$DF,MATCH('MM01'!$B136,Consulta!$C:$C,0),'MM01'!G$2),"")=0,"",IFERROR(INDEX(Consulta!$A:$DF,MATCH('MM01'!$B136,Consulta!$C:$C,0),'MM01'!G$2),""))</f>
        <v/>
      </c>
      <c r="H136" s="49" t="str">
        <f>IF(IFERROR(INDEX(Consulta!$A:$DF,MATCH('MM01'!$B136,Consulta!$C:$C,0),'MM01'!H$2),"")=0,"",IFERROR(INDEX(Consulta!$A:$DF,MATCH('MM01'!$B136,Consulta!$C:$C,0),'MM01'!H$2),""))</f>
        <v/>
      </c>
      <c r="I136" s="49" t="str">
        <f t="shared" si="81"/>
        <v/>
      </c>
      <c r="J136" s="49" t="str">
        <f>IF(IFERROR(INDEX(Consulta!$A:$DF,MATCH('MM01'!$B136,Consulta!$C:$C,0),'MM01'!J$2),"")=0,"",IFERROR(INDEX(Consulta!$A:$DF,MATCH('MM01'!$B136,Consulta!$C:$C,0),'MM01'!J$2),""))</f>
        <v/>
      </c>
      <c r="K136" s="49" t="str">
        <f t="shared" si="82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IF(IFERROR(INDEX(Consulta!$A:$DF,MATCH('MM01'!$B136,Consulta!$C:$C,0),'MM01'!AP$2),"")=0,"",IFERROR(INDEX(Consulta!$A:$DF,MATCH('MM01'!$B136,Consulta!$C:$C,0),'MM01'!AP$2),""))</f>
        <v/>
      </c>
      <c r="AQ136" s="45"/>
      <c r="AR136" s="43" t="str">
        <f>IF(IFERROR(INDEX(Consulta!$A:$DF,MATCH('MM01'!$B136,Consulta!$C:$C,0),'MM01'!AR$2),"")=0,"",IFERROR(INDEX(Consulta!$A:$DF,MATCH('MM01'!$B136,Consulta!$C:$C,0),'MM01'!AR$2),""))</f>
        <v/>
      </c>
      <c r="AS136" s="43" t="str">
        <f>IF(IFERROR(INDEX(Consulta!$A:$DF,MATCH('MM01'!$B136,Consulta!$C:$C,0),'MM01'!AS$2),"")=0,"",IF(AR136="68",5102,IFERROR(INDEX(Consulta!$A:$DF,MATCH('MM01'!$B136,Consulta!$C:$C,0),'MM01'!AS$2),"")))</f>
        <v/>
      </c>
      <c r="AT136" s="45"/>
      <c r="AU136" s="46" t="str">
        <f t="shared" ca="1" si="83"/>
        <v/>
      </c>
      <c r="AV136" s="47" t="s">
        <v>796</v>
      </c>
      <c r="AW136" s="43" t="str">
        <f>IF(IFERROR(INDEX(Consulta!$A:$DF,MATCH('MM01'!$B136,Consulta!$C:$C,0),'MM01'!AW$2),"")=0,"",IFERROR(ROUND(INDEX(Consulta!$A:$DF,MATCH('MM01'!$B136,Consulta!$C:$C,0),'MM01'!AW$2),3),""))</f>
        <v/>
      </c>
      <c r="AX136" s="43" t="str">
        <f t="shared" si="84"/>
        <v/>
      </c>
      <c r="AY136" s="48" t="s">
        <v>299</v>
      </c>
      <c r="AZ136" s="48"/>
      <c r="BA136" s="43" t="str">
        <f>IF(IFERROR(INDEX(Consulta!$A:$DF,MATCH('MM01'!$B136,Consulta!$C:$C,0),'MM01'!BA$2),"")=0,"",IFERROR(INDEX(Consulta!$A:$DF,MATCH('MM01'!$B136,Consulta!$C:$C,0),'MM01'!BA$2),""))</f>
        <v/>
      </c>
      <c r="BB136" s="43" t="str">
        <f t="shared" si="85"/>
        <v/>
      </c>
      <c r="BC136" s="43" t="str">
        <f t="shared" si="86"/>
        <v/>
      </c>
      <c r="BD136" s="43" t="str">
        <f t="shared" si="87"/>
        <v/>
      </c>
      <c r="BE136" s="43" t="str">
        <f t="shared" si="88"/>
        <v>M</v>
      </c>
      <c r="BF136" s="43" t="str">
        <f t="shared" si="89"/>
        <v/>
      </c>
      <c r="BG136" s="43" t="str">
        <f t="shared" si="90"/>
        <v/>
      </c>
      <c r="BH136" s="43" t="str">
        <f t="shared" si="91"/>
        <v/>
      </c>
      <c r="BI136" s="43" t="str">
        <f t="shared" si="92"/>
        <v>M</v>
      </c>
      <c r="BK136" s="45" t="s">
        <v>324</v>
      </c>
      <c r="BL136" s="43" t="str">
        <f>IF(IFERROR(INDEX(Consulta!$A:$DF,MATCH('MM01'!$B136,Consulta!$C:$C,0),'MM01'!BL$2),"")=0,"",IFERROR(INDEX(Consulta!$A:$DF,MATCH('MM01'!$B136,Consulta!$C:$C,0),'MM01'!BL$2),""))</f>
        <v/>
      </c>
      <c r="BM136" s="45">
        <v>99</v>
      </c>
      <c r="BN136" s="46" t="str">
        <f t="shared" ca="1" si="93"/>
        <v>28.04.2022</v>
      </c>
      <c r="BO136" s="49" t="str">
        <f t="shared" si="94"/>
        <v/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IF(IFERROR(INDEX(Consulta!$A:$DF,MATCH('MM01'!$B136,Consulta!$C:$C,0),'MM01'!BX$2),"")=0,"",IFERROR(INDEX(Consulta!$A:$DF,MATCH('MM01'!$B136,Consulta!$C:$C,0),'MM01'!BX$2),""))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95"/>
        <v/>
      </c>
      <c r="CD136" s="45" t="s">
        <v>430</v>
      </c>
      <c r="CE136" s="45">
        <v>1</v>
      </c>
      <c r="CF136" s="45" t="s">
        <v>496</v>
      </c>
      <c r="CG136" s="45"/>
      <c r="CH136" s="44">
        <v>2</v>
      </c>
      <c r="CI136" s="49" t="str">
        <f t="shared" si="96"/>
        <v/>
      </c>
      <c r="CJ136" s="49" t="str">
        <f t="shared" si="97"/>
        <v/>
      </c>
      <c r="CK136" s="45"/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8"/>
        <v>K00_P_</v>
      </c>
      <c r="CS136" s="45">
        <v>5000</v>
      </c>
      <c r="CT136" s="43" t="str">
        <f>IF(IFERROR(INDEX(Consulta!$A:$DF,MATCH('MM01'!$B136,Consulta!$C:$C,0),'MM01'!CT$2),"")=0,"",IFERROR(INDEX(Consulta!$A:$DF,MATCH('MM01'!$B136,Consulta!$C:$C,0),'MM01'!CT$2),""))</f>
        <v/>
      </c>
      <c r="CU136" s="43" t="str">
        <f>IF(IFERROR(INDEX(Consulta!$A:$DF,MATCH('MM01'!$B136,Consulta!$C:$C,0),'MM01'!CU$2),"")=0,"",IFERROR(INDEX(Consulta!$A:$DF,MATCH('MM01'!$B136,Consulta!$C:$C,0),'MM01'!CU$2),""))</f>
        <v/>
      </c>
      <c r="CV136" s="43" t="str">
        <f>IF(IFERROR(INDEX(Consulta!$A:$DF,MATCH('MM01'!$B136,Consulta!$C:$C,0),'MM01'!CV$2),"")=0,"",IFERROR(INDEX(Consulta!$A:$DF,MATCH('MM01'!$B136,Consulta!$C:$C,0),'MM01'!CV$2),""))</f>
        <v/>
      </c>
      <c r="CW136" s="43" t="str">
        <f>IF(IFERROR(INDEX(Consulta!$A:$DF,MATCH('MM01'!$B136,Consulta!$C:$C,0),'MM01'!CW$2),"")=0,"",IFERROR(INDEX(Consulta!$A:$DF,MATCH('MM01'!$B136,Consulta!$C:$C,0),'MM01'!CW$2),""))</f>
        <v/>
      </c>
      <c r="CX136" s="43" t="str">
        <f t="shared" si="99"/>
        <v/>
      </c>
      <c r="CY136" s="43" t="str">
        <f t="shared" si="100"/>
        <v/>
      </c>
      <c r="CZ136" s="43" t="str">
        <f t="shared" si="101"/>
        <v/>
      </c>
      <c r="DA136" s="43" t="str">
        <f>IF(IFERROR(INDEX(Consulta!$A:$DF,MATCH('MM01'!$B136,Consulta!$C:$C,0),'MM01'!DA$2),"")=0,"",IFERROR(INDEX(Consulta!$A:$DF,MATCH('MM01'!$B136,Consulta!$C:$C,0),'MM01'!DA$2),""))</f>
        <v/>
      </c>
      <c r="DB136" s="43" t="str">
        <f t="shared" si="102"/>
        <v/>
      </c>
      <c r="DC136" s="43" t="str">
        <f>IF(IFERROR(INDEX(Consulta!$A:$DF,MATCH('MM01'!$B136,Consulta!$C:$C,0),'MM01'!DC$2),"")=0,"",IFERROR(INDEX(Consulta!$A:$DF,MATCH('MM01'!$B136,Consulta!$C:$C,0),'MM01'!DC$2),""))</f>
        <v/>
      </c>
      <c r="DD136" s="45">
        <v>0</v>
      </c>
      <c r="DE136" s="45">
        <v>0</v>
      </c>
      <c r="DF136" s="43" t="str">
        <f t="shared" si="103"/>
        <v/>
      </c>
      <c r="DG136" s="43" t="str">
        <f t="shared" si="104"/>
        <v/>
      </c>
      <c r="DH136" s="55"/>
      <c r="DI136" s="43" t="str">
        <f t="shared" ca="1" si="105"/>
        <v/>
      </c>
      <c r="DJ136" s="43" t="str">
        <f t="shared" si="106"/>
        <v/>
      </c>
      <c r="DK136" s="43" t="str">
        <f t="shared" si="107"/>
        <v/>
      </c>
      <c r="DL136" s="55"/>
      <c r="DM136" s="43" t="str">
        <f t="shared" ca="1" si="108"/>
        <v/>
      </c>
      <c r="DN136" s="43" t="str">
        <f t="shared" si="109"/>
        <v/>
      </c>
      <c r="DO136" s="43" t="str">
        <f t="shared" si="110"/>
        <v/>
      </c>
      <c r="DP136" s="55"/>
      <c r="DQ136" s="43" t="str">
        <f t="shared" ca="1" si="111"/>
        <v/>
      </c>
      <c r="DR136" s="43" t="str">
        <f t="shared" si="112"/>
        <v/>
      </c>
      <c r="DS136" s="43" t="str">
        <f t="shared" si="113"/>
        <v/>
      </c>
      <c r="DT136" s="55"/>
      <c r="DU136" s="43" t="str">
        <f t="shared" ca="1" si="114"/>
        <v/>
      </c>
      <c r="DV136" s="43" t="str">
        <f t="shared" si="115"/>
        <v/>
      </c>
      <c r="DX136" s="44">
        <v>1</v>
      </c>
      <c r="DY136" s="44" t="s">
        <v>774</v>
      </c>
      <c r="DZ136" s="43">
        <f t="shared" si="116"/>
        <v>0.01</v>
      </c>
      <c r="EA136" s="43" t="str">
        <f t="shared" si="117"/>
        <v>M</v>
      </c>
      <c r="EB136" s="43" t="str">
        <f>IF(IFERROR(INDEX(Consulta!$A:$DF,MATCH('MM01'!$B136,Consulta!$C:$C,0),'MM01'!EB$2),"")=0,"7925",IF(IFERROR(INDEX(Consulta!$A:$DF,MATCH('MM01'!$B136,Consulta!$C:$C,0),'MM01'!EB$2),"")="68","7910","7925"))</f>
        <v>7925</v>
      </c>
      <c r="EC136" s="44">
        <v>100</v>
      </c>
      <c r="ED136" s="60">
        <v>1</v>
      </c>
      <c r="EE136" s="43">
        <f t="shared" si="118"/>
        <v>100</v>
      </c>
      <c r="EF136" s="44">
        <v>1</v>
      </c>
      <c r="EG136" s="44">
        <v>0</v>
      </c>
      <c r="EH136" s="44" t="s">
        <v>867</v>
      </c>
      <c r="EI136" s="45">
        <v>0</v>
      </c>
      <c r="EJ136" s="43">
        <f t="shared" si="119"/>
        <v>5000</v>
      </c>
      <c r="EK136" s="65"/>
    </row>
    <row r="137" spans="1:141" x14ac:dyDescent="0.3">
      <c r="A137" s="7" t="str">
        <f t="shared" si="80"/>
        <v>Execução 133</v>
      </c>
      <c r="B137" s="42"/>
      <c r="C137" s="43" t="str">
        <f>IF(IFERROR(INDEX(Consulta!$A:$DF,MATCH('MM01'!$B137,Consulta!$C:$C,0),'MM01'!C$2),"")=0,"",IFERROR(INDEX(Consulta!$A:$DF,MATCH('MM01'!$B137,Consulta!$C:$C,0),'MM01'!C$2),""))</f>
        <v/>
      </c>
      <c r="D137" s="43" t="str">
        <f>IF(IFERROR(INDEX(Consulta!$A:$DF,MATCH('MM01'!$B137,Consulta!$C:$C,0),'MM01'!D$2),"")=0,"",IFERROR(INDEX(Consulta!$A:$DF,MATCH('MM01'!$B137,Consulta!$C:$C,0),'MM01'!D$2),""))</f>
        <v/>
      </c>
      <c r="E137" s="43" t="str">
        <f>IF(IFERROR(INDEX(Consulta!$A:$DF,MATCH('MM01'!$B137,Consulta!$C:$C,0),'MM01'!E$2),"")=0,"",IFERROR(INDEX(Consulta!$A:$DF,MATCH('MM01'!$B137,Consulta!$C:$C,0),'MM01'!E$2),""))</f>
        <v/>
      </c>
      <c r="F137" s="44" t="s">
        <v>100</v>
      </c>
      <c r="G137" s="49" t="str">
        <f>IF(IFERROR(INDEX(Consulta!$A:$DF,MATCH('MM01'!$B137,Consulta!$C:$C,0),'MM01'!G$2),"")=0,"",IFERROR(INDEX(Consulta!$A:$DF,MATCH('MM01'!$B137,Consulta!$C:$C,0),'MM01'!G$2),""))</f>
        <v/>
      </c>
      <c r="H137" s="49" t="str">
        <f>IF(IFERROR(INDEX(Consulta!$A:$DF,MATCH('MM01'!$B137,Consulta!$C:$C,0),'MM01'!H$2),"")=0,"",IFERROR(INDEX(Consulta!$A:$DF,MATCH('MM01'!$B137,Consulta!$C:$C,0),'MM01'!H$2),""))</f>
        <v/>
      </c>
      <c r="I137" s="49" t="str">
        <f t="shared" si="81"/>
        <v/>
      </c>
      <c r="J137" s="49" t="str">
        <f>IF(IFERROR(INDEX(Consulta!$A:$DF,MATCH('MM01'!$B137,Consulta!$C:$C,0),'MM01'!J$2),"")=0,"",IFERROR(INDEX(Consulta!$A:$DF,MATCH('MM01'!$B137,Consulta!$C:$C,0),'MM01'!J$2),""))</f>
        <v/>
      </c>
      <c r="K137" s="49" t="str">
        <f t="shared" si="82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IF(IFERROR(INDEX(Consulta!$A:$DF,MATCH('MM01'!$B137,Consulta!$C:$C,0),'MM01'!AP$2),"")=0,"",IFERROR(INDEX(Consulta!$A:$DF,MATCH('MM01'!$B137,Consulta!$C:$C,0),'MM01'!AP$2),""))</f>
        <v/>
      </c>
      <c r="AQ137" s="45"/>
      <c r="AR137" s="43" t="str">
        <f>IF(IFERROR(INDEX(Consulta!$A:$DF,MATCH('MM01'!$B137,Consulta!$C:$C,0),'MM01'!AR$2),"")=0,"",IFERROR(INDEX(Consulta!$A:$DF,MATCH('MM01'!$B137,Consulta!$C:$C,0),'MM01'!AR$2),""))</f>
        <v/>
      </c>
      <c r="AS137" s="43" t="str">
        <f>IF(IFERROR(INDEX(Consulta!$A:$DF,MATCH('MM01'!$B137,Consulta!$C:$C,0),'MM01'!AS$2),"")=0,"",IF(AR137="68",5102,IFERROR(INDEX(Consulta!$A:$DF,MATCH('MM01'!$B137,Consulta!$C:$C,0),'MM01'!AS$2),"")))</f>
        <v/>
      </c>
      <c r="AT137" s="45"/>
      <c r="AU137" s="46" t="str">
        <f t="shared" ca="1" si="83"/>
        <v/>
      </c>
      <c r="AV137" s="47" t="s">
        <v>796</v>
      </c>
      <c r="AW137" s="43" t="str">
        <f>IF(IFERROR(INDEX(Consulta!$A:$DF,MATCH('MM01'!$B137,Consulta!$C:$C,0),'MM01'!AW$2),"")=0,"",IFERROR(ROUND(INDEX(Consulta!$A:$DF,MATCH('MM01'!$B137,Consulta!$C:$C,0),'MM01'!AW$2),3),""))</f>
        <v/>
      </c>
      <c r="AX137" s="43" t="str">
        <f t="shared" si="84"/>
        <v/>
      </c>
      <c r="AY137" s="48" t="s">
        <v>299</v>
      </c>
      <c r="AZ137" s="48"/>
      <c r="BA137" s="43" t="str">
        <f>IF(IFERROR(INDEX(Consulta!$A:$DF,MATCH('MM01'!$B137,Consulta!$C:$C,0),'MM01'!BA$2),"")=0,"",IFERROR(INDEX(Consulta!$A:$DF,MATCH('MM01'!$B137,Consulta!$C:$C,0),'MM01'!BA$2),""))</f>
        <v/>
      </c>
      <c r="BB137" s="43" t="str">
        <f t="shared" si="85"/>
        <v/>
      </c>
      <c r="BC137" s="43" t="str">
        <f t="shared" si="86"/>
        <v/>
      </c>
      <c r="BD137" s="43" t="str">
        <f t="shared" si="87"/>
        <v/>
      </c>
      <c r="BE137" s="43" t="str">
        <f t="shared" si="88"/>
        <v>M</v>
      </c>
      <c r="BF137" s="43" t="str">
        <f t="shared" si="89"/>
        <v/>
      </c>
      <c r="BG137" s="43" t="str">
        <f t="shared" si="90"/>
        <v/>
      </c>
      <c r="BH137" s="43" t="str">
        <f t="shared" si="91"/>
        <v/>
      </c>
      <c r="BI137" s="43" t="str">
        <f t="shared" si="92"/>
        <v>M</v>
      </c>
      <c r="BK137" s="45" t="s">
        <v>324</v>
      </c>
      <c r="BL137" s="43" t="str">
        <f>IF(IFERROR(INDEX(Consulta!$A:$DF,MATCH('MM01'!$B137,Consulta!$C:$C,0),'MM01'!BL$2),"")=0,"",IFERROR(INDEX(Consulta!$A:$DF,MATCH('MM01'!$B137,Consulta!$C:$C,0),'MM01'!BL$2),""))</f>
        <v/>
      </c>
      <c r="BM137" s="45">
        <v>99</v>
      </c>
      <c r="BN137" s="46" t="str">
        <f t="shared" ca="1" si="93"/>
        <v>28.04.2022</v>
      </c>
      <c r="BO137" s="49" t="str">
        <f t="shared" si="94"/>
        <v/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IF(IFERROR(INDEX(Consulta!$A:$DF,MATCH('MM01'!$B137,Consulta!$C:$C,0),'MM01'!BX$2),"")=0,"",IFERROR(INDEX(Consulta!$A:$DF,MATCH('MM01'!$B137,Consulta!$C:$C,0),'MM01'!BX$2),""))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95"/>
        <v/>
      </c>
      <c r="CD137" s="45" t="s">
        <v>430</v>
      </c>
      <c r="CE137" s="45">
        <v>1</v>
      </c>
      <c r="CF137" s="45" t="s">
        <v>496</v>
      </c>
      <c r="CG137" s="45"/>
      <c r="CH137" s="44">
        <v>2</v>
      </c>
      <c r="CI137" s="49" t="str">
        <f t="shared" si="96"/>
        <v/>
      </c>
      <c r="CJ137" s="49" t="str">
        <f t="shared" si="97"/>
        <v/>
      </c>
      <c r="CK137" s="45"/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8"/>
        <v>K00_P_</v>
      </c>
      <c r="CS137" s="45">
        <v>5000</v>
      </c>
      <c r="CT137" s="43" t="str">
        <f>IF(IFERROR(INDEX(Consulta!$A:$DF,MATCH('MM01'!$B137,Consulta!$C:$C,0),'MM01'!CT$2),"")=0,"",IFERROR(INDEX(Consulta!$A:$DF,MATCH('MM01'!$B137,Consulta!$C:$C,0),'MM01'!CT$2),""))</f>
        <v/>
      </c>
      <c r="CU137" s="43" t="str">
        <f>IF(IFERROR(INDEX(Consulta!$A:$DF,MATCH('MM01'!$B137,Consulta!$C:$C,0),'MM01'!CU$2),"")=0,"",IFERROR(INDEX(Consulta!$A:$DF,MATCH('MM01'!$B137,Consulta!$C:$C,0),'MM01'!CU$2),""))</f>
        <v/>
      </c>
      <c r="CV137" s="43" t="str">
        <f>IF(IFERROR(INDEX(Consulta!$A:$DF,MATCH('MM01'!$B137,Consulta!$C:$C,0),'MM01'!CV$2),"")=0,"",IFERROR(INDEX(Consulta!$A:$DF,MATCH('MM01'!$B137,Consulta!$C:$C,0),'MM01'!CV$2),""))</f>
        <v/>
      </c>
      <c r="CW137" s="43" t="str">
        <f>IF(IFERROR(INDEX(Consulta!$A:$DF,MATCH('MM01'!$B137,Consulta!$C:$C,0),'MM01'!CW$2),"")=0,"",IFERROR(INDEX(Consulta!$A:$DF,MATCH('MM01'!$B137,Consulta!$C:$C,0),'MM01'!CW$2),""))</f>
        <v/>
      </c>
      <c r="CX137" s="43" t="str">
        <f t="shared" si="99"/>
        <v/>
      </c>
      <c r="CY137" s="43" t="str">
        <f t="shared" si="100"/>
        <v/>
      </c>
      <c r="CZ137" s="43" t="str">
        <f t="shared" si="101"/>
        <v/>
      </c>
      <c r="DA137" s="43" t="str">
        <f>IF(IFERROR(INDEX(Consulta!$A:$DF,MATCH('MM01'!$B137,Consulta!$C:$C,0),'MM01'!DA$2),"")=0,"",IFERROR(INDEX(Consulta!$A:$DF,MATCH('MM01'!$B137,Consulta!$C:$C,0),'MM01'!DA$2),""))</f>
        <v/>
      </c>
      <c r="DB137" s="43" t="str">
        <f t="shared" si="102"/>
        <v/>
      </c>
      <c r="DC137" s="43" t="str">
        <f>IF(IFERROR(INDEX(Consulta!$A:$DF,MATCH('MM01'!$B137,Consulta!$C:$C,0),'MM01'!DC$2),"")=0,"",IFERROR(INDEX(Consulta!$A:$DF,MATCH('MM01'!$B137,Consulta!$C:$C,0),'MM01'!DC$2),""))</f>
        <v/>
      </c>
      <c r="DD137" s="45">
        <v>0</v>
      </c>
      <c r="DE137" s="45">
        <v>0</v>
      </c>
      <c r="DF137" s="43" t="str">
        <f t="shared" si="103"/>
        <v/>
      </c>
      <c r="DG137" s="43" t="str">
        <f t="shared" si="104"/>
        <v/>
      </c>
      <c r="DH137" s="55"/>
      <c r="DI137" s="43" t="str">
        <f t="shared" ca="1" si="105"/>
        <v/>
      </c>
      <c r="DJ137" s="43" t="str">
        <f t="shared" si="106"/>
        <v/>
      </c>
      <c r="DK137" s="43" t="str">
        <f t="shared" si="107"/>
        <v/>
      </c>
      <c r="DL137" s="55"/>
      <c r="DM137" s="43" t="str">
        <f t="shared" ca="1" si="108"/>
        <v/>
      </c>
      <c r="DN137" s="43" t="str">
        <f t="shared" si="109"/>
        <v/>
      </c>
      <c r="DO137" s="43" t="str">
        <f t="shared" si="110"/>
        <v/>
      </c>
      <c r="DP137" s="55"/>
      <c r="DQ137" s="43" t="str">
        <f t="shared" ca="1" si="111"/>
        <v/>
      </c>
      <c r="DR137" s="43" t="str">
        <f t="shared" si="112"/>
        <v/>
      </c>
      <c r="DS137" s="43" t="str">
        <f t="shared" si="113"/>
        <v/>
      </c>
      <c r="DT137" s="55"/>
      <c r="DU137" s="43" t="str">
        <f t="shared" ca="1" si="114"/>
        <v/>
      </c>
      <c r="DV137" s="43" t="str">
        <f t="shared" si="115"/>
        <v/>
      </c>
      <c r="DX137" s="44">
        <v>1</v>
      </c>
      <c r="DY137" s="44" t="s">
        <v>774</v>
      </c>
      <c r="DZ137" s="43">
        <f t="shared" si="116"/>
        <v>0.01</v>
      </c>
      <c r="EA137" s="43" t="str">
        <f t="shared" si="117"/>
        <v>M</v>
      </c>
      <c r="EB137" s="43" t="str">
        <f>IF(IFERROR(INDEX(Consulta!$A:$DF,MATCH('MM01'!$B137,Consulta!$C:$C,0),'MM01'!EB$2),"")=0,"7925",IF(IFERROR(INDEX(Consulta!$A:$DF,MATCH('MM01'!$B137,Consulta!$C:$C,0),'MM01'!EB$2),"")="68","7910","7925"))</f>
        <v>7925</v>
      </c>
      <c r="EC137" s="44">
        <v>100</v>
      </c>
      <c r="ED137" s="60">
        <v>1</v>
      </c>
      <c r="EE137" s="43">
        <f t="shared" si="118"/>
        <v>100</v>
      </c>
      <c r="EF137" s="44">
        <v>1</v>
      </c>
      <c r="EG137" s="44">
        <v>0</v>
      </c>
      <c r="EH137" s="44" t="s">
        <v>867</v>
      </c>
      <c r="EI137" s="45">
        <v>0</v>
      </c>
      <c r="EJ137" s="43">
        <f t="shared" si="119"/>
        <v>5000</v>
      </c>
      <c r="EK137" s="65"/>
    </row>
    <row r="138" spans="1:141" x14ac:dyDescent="0.3">
      <c r="A138" s="7" t="str">
        <f t="shared" si="80"/>
        <v>Execução 134</v>
      </c>
      <c r="B138" s="42"/>
      <c r="C138" s="43" t="str">
        <f>IF(IFERROR(INDEX(Consulta!$A:$DF,MATCH('MM01'!$B138,Consulta!$C:$C,0),'MM01'!C$2),"")=0,"",IFERROR(INDEX(Consulta!$A:$DF,MATCH('MM01'!$B138,Consulta!$C:$C,0),'MM01'!C$2),""))</f>
        <v/>
      </c>
      <c r="D138" s="43" t="str">
        <f>IF(IFERROR(INDEX(Consulta!$A:$DF,MATCH('MM01'!$B138,Consulta!$C:$C,0),'MM01'!D$2),"")=0,"",IFERROR(INDEX(Consulta!$A:$DF,MATCH('MM01'!$B138,Consulta!$C:$C,0),'MM01'!D$2),""))</f>
        <v/>
      </c>
      <c r="E138" s="43" t="str">
        <f>IF(IFERROR(INDEX(Consulta!$A:$DF,MATCH('MM01'!$B138,Consulta!$C:$C,0),'MM01'!E$2),"")=0,"",IFERROR(INDEX(Consulta!$A:$DF,MATCH('MM01'!$B138,Consulta!$C:$C,0),'MM01'!E$2),""))</f>
        <v/>
      </c>
      <c r="F138" s="44" t="s">
        <v>100</v>
      </c>
      <c r="G138" s="49" t="str">
        <f>IF(IFERROR(INDEX(Consulta!$A:$DF,MATCH('MM01'!$B138,Consulta!$C:$C,0),'MM01'!G$2),"")=0,"",IFERROR(INDEX(Consulta!$A:$DF,MATCH('MM01'!$B138,Consulta!$C:$C,0),'MM01'!G$2),""))</f>
        <v/>
      </c>
      <c r="H138" s="49" t="str">
        <f>IF(IFERROR(INDEX(Consulta!$A:$DF,MATCH('MM01'!$B138,Consulta!$C:$C,0),'MM01'!H$2),"")=0,"",IFERROR(INDEX(Consulta!$A:$DF,MATCH('MM01'!$B138,Consulta!$C:$C,0),'MM01'!H$2),""))</f>
        <v/>
      </c>
      <c r="I138" s="49" t="str">
        <f t="shared" si="81"/>
        <v/>
      </c>
      <c r="J138" s="49" t="str">
        <f>IF(IFERROR(INDEX(Consulta!$A:$DF,MATCH('MM01'!$B138,Consulta!$C:$C,0),'MM01'!J$2),"")=0,"",IFERROR(INDEX(Consulta!$A:$DF,MATCH('MM01'!$B138,Consulta!$C:$C,0),'MM01'!J$2),""))</f>
        <v/>
      </c>
      <c r="K138" s="49" t="str">
        <f t="shared" si="82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IF(IFERROR(INDEX(Consulta!$A:$DF,MATCH('MM01'!$B138,Consulta!$C:$C,0),'MM01'!AP$2),"")=0,"",IFERROR(INDEX(Consulta!$A:$DF,MATCH('MM01'!$B138,Consulta!$C:$C,0),'MM01'!AP$2),""))</f>
        <v/>
      </c>
      <c r="AQ138" s="45"/>
      <c r="AR138" s="43" t="str">
        <f>IF(IFERROR(INDEX(Consulta!$A:$DF,MATCH('MM01'!$B138,Consulta!$C:$C,0),'MM01'!AR$2),"")=0,"",IFERROR(INDEX(Consulta!$A:$DF,MATCH('MM01'!$B138,Consulta!$C:$C,0),'MM01'!AR$2),""))</f>
        <v/>
      </c>
      <c r="AS138" s="43" t="str">
        <f>IF(IFERROR(INDEX(Consulta!$A:$DF,MATCH('MM01'!$B138,Consulta!$C:$C,0),'MM01'!AS$2),"")=0,"",IF(AR138="68",5102,IFERROR(INDEX(Consulta!$A:$DF,MATCH('MM01'!$B138,Consulta!$C:$C,0),'MM01'!AS$2),"")))</f>
        <v/>
      </c>
      <c r="AT138" s="45"/>
      <c r="AU138" s="46" t="str">
        <f t="shared" ca="1" si="83"/>
        <v/>
      </c>
      <c r="AV138" s="47" t="s">
        <v>796</v>
      </c>
      <c r="AW138" s="43" t="str">
        <f>IF(IFERROR(INDEX(Consulta!$A:$DF,MATCH('MM01'!$B138,Consulta!$C:$C,0),'MM01'!AW$2),"")=0,"",IFERROR(ROUND(INDEX(Consulta!$A:$DF,MATCH('MM01'!$B138,Consulta!$C:$C,0),'MM01'!AW$2),3),""))</f>
        <v/>
      </c>
      <c r="AX138" s="43" t="str">
        <f t="shared" si="84"/>
        <v/>
      </c>
      <c r="AY138" s="48" t="s">
        <v>299</v>
      </c>
      <c r="AZ138" s="48"/>
      <c r="BA138" s="43" t="str">
        <f>IF(IFERROR(INDEX(Consulta!$A:$DF,MATCH('MM01'!$B138,Consulta!$C:$C,0),'MM01'!BA$2),"")=0,"",IFERROR(INDEX(Consulta!$A:$DF,MATCH('MM01'!$B138,Consulta!$C:$C,0),'MM01'!BA$2),""))</f>
        <v/>
      </c>
      <c r="BB138" s="43" t="str">
        <f t="shared" si="85"/>
        <v/>
      </c>
      <c r="BC138" s="43" t="str">
        <f t="shared" si="86"/>
        <v/>
      </c>
      <c r="BD138" s="43" t="str">
        <f t="shared" si="87"/>
        <v/>
      </c>
      <c r="BE138" s="43" t="str">
        <f t="shared" si="88"/>
        <v>M</v>
      </c>
      <c r="BF138" s="43" t="str">
        <f t="shared" si="89"/>
        <v/>
      </c>
      <c r="BG138" s="43" t="str">
        <f t="shared" si="90"/>
        <v/>
      </c>
      <c r="BH138" s="43" t="str">
        <f t="shared" si="91"/>
        <v/>
      </c>
      <c r="BI138" s="43" t="str">
        <f t="shared" si="92"/>
        <v>M</v>
      </c>
      <c r="BK138" s="45" t="s">
        <v>324</v>
      </c>
      <c r="BL138" s="43" t="str">
        <f>IF(IFERROR(INDEX(Consulta!$A:$DF,MATCH('MM01'!$B138,Consulta!$C:$C,0),'MM01'!BL$2),"")=0,"",IFERROR(INDEX(Consulta!$A:$DF,MATCH('MM01'!$B138,Consulta!$C:$C,0),'MM01'!BL$2),""))</f>
        <v/>
      </c>
      <c r="BM138" s="45">
        <v>99</v>
      </c>
      <c r="BN138" s="46" t="str">
        <f t="shared" ca="1" si="93"/>
        <v>28.04.2022</v>
      </c>
      <c r="BO138" s="49" t="str">
        <f t="shared" si="94"/>
        <v/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IF(IFERROR(INDEX(Consulta!$A:$DF,MATCH('MM01'!$B138,Consulta!$C:$C,0),'MM01'!BX$2),"")=0,"",IFERROR(INDEX(Consulta!$A:$DF,MATCH('MM01'!$B138,Consulta!$C:$C,0),'MM01'!BX$2),""))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95"/>
        <v/>
      </c>
      <c r="CD138" s="45" t="s">
        <v>430</v>
      </c>
      <c r="CE138" s="45">
        <v>1</v>
      </c>
      <c r="CF138" s="45" t="s">
        <v>496</v>
      </c>
      <c r="CG138" s="45"/>
      <c r="CH138" s="44">
        <v>2</v>
      </c>
      <c r="CI138" s="49" t="str">
        <f t="shared" si="96"/>
        <v/>
      </c>
      <c r="CJ138" s="49" t="str">
        <f t="shared" si="97"/>
        <v/>
      </c>
      <c r="CK138" s="45"/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8"/>
        <v>K00_P_</v>
      </c>
      <c r="CS138" s="45">
        <v>5000</v>
      </c>
      <c r="CT138" s="43" t="str">
        <f>IF(IFERROR(INDEX(Consulta!$A:$DF,MATCH('MM01'!$B138,Consulta!$C:$C,0),'MM01'!CT$2),"")=0,"",IFERROR(INDEX(Consulta!$A:$DF,MATCH('MM01'!$B138,Consulta!$C:$C,0),'MM01'!CT$2),""))</f>
        <v/>
      </c>
      <c r="CU138" s="43" t="str">
        <f>IF(IFERROR(INDEX(Consulta!$A:$DF,MATCH('MM01'!$B138,Consulta!$C:$C,0),'MM01'!CU$2),"")=0,"",IFERROR(INDEX(Consulta!$A:$DF,MATCH('MM01'!$B138,Consulta!$C:$C,0),'MM01'!CU$2),""))</f>
        <v/>
      </c>
      <c r="CV138" s="43" t="str">
        <f>IF(IFERROR(INDEX(Consulta!$A:$DF,MATCH('MM01'!$B138,Consulta!$C:$C,0),'MM01'!CV$2),"")=0,"",IFERROR(INDEX(Consulta!$A:$DF,MATCH('MM01'!$B138,Consulta!$C:$C,0),'MM01'!CV$2),""))</f>
        <v/>
      </c>
      <c r="CW138" s="43" t="str">
        <f>IF(IFERROR(INDEX(Consulta!$A:$DF,MATCH('MM01'!$B138,Consulta!$C:$C,0),'MM01'!CW$2),"")=0,"",IFERROR(INDEX(Consulta!$A:$DF,MATCH('MM01'!$B138,Consulta!$C:$C,0),'MM01'!CW$2),""))</f>
        <v/>
      </c>
      <c r="CX138" s="43" t="str">
        <f t="shared" si="99"/>
        <v/>
      </c>
      <c r="CY138" s="43" t="str">
        <f t="shared" si="100"/>
        <v/>
      </c>
      <c r="CZ138" s="43" t="str">
        <f t="shared" si="101"/>
        <v/>
      </c>
      <c r="DA138" s="43" t="str">
        <f>IF(IFERROR(INDEX(Consulta!$A:$DF,MATCH('MM01'!$B138,Consulta!$C:$C,0),'MM01'!DA$2),"")=0,"",IFERROR(INDEX(Consulta!$A:$DF,MATCH('MM01'!$B138,Consulta!$C:$C,0),'MM01'!DA$2),""))</f>
        <v/>
      </c>
      <c r="DB138" s="43" t="str">
        <f t="shared" si="102"/>
        <v/>
      </c>
      <c r="DC138" s="43" t="str">
        <f>IF(IFERROR(INDEX(Consulta!$A:$DF,MATCH('MM01'!$B138,Consulta!$C:$C,0),'MM01'!DC$2),"")=0,"",IFERROR(INDEX(Consulta!$A:$DF,MATCH('MM01'!$B138,Consulta!$C:$C,0),'MM01'!DC$2),""))</f>
        <v/>
      </c>
      <c r="DD138" s="45">
        <v>0</v>
      </c>
      <c r="DE138" s="45">
        <v>0</v>
      </c>
      <c r="DF138" s="43" t="str">
        <f t="shared" si="103"/>
        <v/>
      </c>
      <c r="DG138" s="43" t="str">
        <f t="shared" si="104"/>
        <v/>
      </c>
      <c r="DH138" s="55"/>
      <c r="DI138" s="43" t="str">
        <f t="shared" ca="1" si="105"/>
        <v/>
      </c>
      <c r="DJ138" s="43" t="str">
        <f t="shared" si="106"/>
        <v/>
      </c>
      <c r="DK138" s="43" t="str">
        <f t="shared" si="107"/>
        <v/>
      </c>
      <c r="DL138" s="55"/>
      <c r="DM138" s="43" t="str">
        <f t="shared" ca="1" si="108"/>
        <v/>
      </c>
      <c r="DN138" s="43" t="str">
        <f t="shared" si="109"/>
        <v/>
      </c>
      <c r="DO138" s="43" t="str">
        <f t="shared" si="110"/>
        <v/>
      </c>
      <c r="DP138" s="55"/>
      <c r="DQ138" s="43" t="str">
        <f t="shared" ca="1" si="111"/>
        <v/>
      </c>
      <c r="DR138" s="43" t="str">
        <f t="shared" si="112"/>
        <v/>
      </c>
      <c r="DS138" s="43" t="str">
        <f t="shared" si="113"/>
        <v/>
      </c>
      <c r="DT138" s="55"/>
      <c r="DU138" s="43" t="str">
        <f t="shared" ca="1" si="114"/>
        <v/>
      </c>
      <c r="DV138" s="43" t="str">
        <f t="shared" si="115"/>
        <v/>
      </c>
      <c r="DX138" s="44">
        <v>1</v>
      </c>
      <c r="DY138" s="44" t="s">
        <v>774</v>
      </c>
      <c r="DZ138" s="43">
        <f t="shared" si="116"/>
        <v>0.01</v>
      </c>
      <c r="EA138" s="43" t="str">
        <f t="shared" si="117"/>
        <v>M</v>
      </c>
      <c r="EB138" s="43" t="str">
        <f>IF(IFERROR(INDEX(Consulta!$A:$DF,MATCH('MM01'!$B138,Consulta!$C:$C,0),'MM01'!EB$2),"")=0,"7925",IF(IFERROR(INDEX(Consulta!$A:$DF,MATCH('MM01'!$B138,Consulta!$C:$C,0),'MM01'!EB$2),"")="68","7910","7925"))</f>
        <v>7925</v>
      </c>
      <c r="EC138" s="44">
        <v>100</v>
      </c>
      <c r="ED138" s="60">
        <v>1</v>
      </c>
      <c r="EE138" s="43">
        <f t="shared" si="118"/>
        <v>100</v>
      </c>
      <c r="EF138" s="44">
        <v>1</v>
      </c>
      <c r="EG138" s="44">
        <v>0</v>
      </c>
      <c r="EH138" s="44" t="s">
        <v>867</v>
      </c>
      <c r="EI138" s="45">
        <v>0</v>
      </c>
      <c r="EJ138" s="43">
        <f t="shared" si="119"/>
        <v>5000</v>
      </c>
      <c r="EK138" s="65"/>
    </row>
    <row r="139" spans="1:141" x14ac:dyDescent="0.3">
      <c r="A139" s="7" t="str">
        <f t="shared" si="80"/>
        <v>Execução 135</v>
      </c>
      <c r="B139" s="42"/>
      <c r="C139" s="43" t="str">
        <f>IF(IFERROR(INDEX(Consulta!$A:$DF,MATCH('MM01'!$B139,Consulta!$C:$C,0),'MM01'!C$2),"")=0,"",IFERROR(INDEX(Consulta!$A:$DF,MATCH('MM01'!$B139,Consulta!$C:$C,0),'MM01'!C$2),""))</f>
        <v/>
      </c>
      <c r="D139" s="43" t="str">
        <f>IF(IFERROR(INDEX(Consulta!$A:$DF,MATCH('MM01'!$B139,Consulta!$C:$C,0),'MM01'!D$2),"")=0,"",IFERROR(INDEX(Consulta!$A:$DF,MATCH('MM01'!$B139,Consulta!$C:$C,0),'MM01'!D$2),""))</f>
        <v/>
      </c>
      <c r="E139" s="43" t="str">
        <f>IF(IFERROR(INDEX(Consulta!$A:$DF,MATCH('MM01'!$B139,Consulta!$C:$C,0),'MM01'!E$2),"")=0,"",IFERROR(INDEX(Consulta!$A:$DF,MATCH('MM01'!$B139,Consulta!$C:$C,0),'MM01'!E$2),""))</f>
        <v/>
      </c>
      <c r="F139" s="44" t="s">
        <v>100</v>
      </c>
      <c r="G139" s="49" t="str">
        <f>IF(IFERROR(INDEX(Consulta!$A:$DF,MATCH('MM01'!$B139,Consulta!$C:$C,0),'MM01'!G$2),"")=0,"",IFERROR(INDEX(Consulta!$A:$DF,MATCH('MM01'!$B139,Consulta!$C:$C,0),'MM01'!G$2),""))</f>
        <v/>
      </c>
      <c r="H139" s="49" t="str">
        <f>IF(IFERROR(INDEX(Consulta!$A:$DF,MATCH('MM01'!$B139,Consulta!$C:$C,0),'MM01'!H$2),"")=0,"",IFERROR(INDEX(Consulta!$A:$DF,MATCH('MM01'!$B139,Consulta!$C:$C,0),'MM01'!H$2),""))</f>
        <v/>
      </c>
      <c r="I139" s="49" t="str">
        <f t="shared" si="81"/>
        <v/>
      </c>
      <c r="J139" s="49" t="str">
        <f>IF(IFERROR(INDEX(Consulta!$A:$DF,MATCH('MM01'!$B139,Consulta!$C:$C,0),'MM01'!J$2),"")=0,"",IFERROR(INDEX(Consulta!$A:$DF,MATCH('MM01'!$B139,Consulta!$C:$C,0),'MM01'!J$2),""))</f>
        <v/>
      </c>
      <c r="K139" s="49" t="str">
        <f t="shared" si="82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IF(IFERROR(INDEX(Consulta!$A:$DF,MATCH('MM01'!$B139,Consulta!$C:$C,0),'MM01'!AP$2),"")=0,"",IFERROR(INDEX(Consulta!$A:$DF,MATCH('MM01'!$B139,Consulta!$C:$C,0),'MM01'!AP$2),""))</f>
        <v/>
      </c>
      <c r="AQ139" s="45"/>
      <c r="AR139" s="43" t="str">
        <f>IF(IFERROR(INDEX(Consulta!$A:$DF,MATCH('MM01'!$B139,Consulta!$C:$C,0),'MM01'!AR$2),"")=0,"",IFERROR(INDEX(Consulta!$A:$DF,MATCH('MM01'!$B139,Consulta!$C:$C,0),'MM01'!AR$2),""))</f>
        <v/>
      </c>
      <c r="AS139" s="43" t="str">
        <f>IF(IFERROR(INDEX(Consulta!$A:$DF,MATCH('MM01'!$B139,Consulta!$C:$C,0),'MM01'!AS$2),"")=0,"",IF(AR139="68",5102,IFERROR(INDEX(Consulta!$A:$DF,MATCH('MM01'!$B139,Consulta!$C:$C,0),'MM01'!AS$2),"")))</f>
        <v/>
      </c>
      <c r="AT139" s="45"/>
      <c r="AU139" s="46" t="str">
        <f t="shared" ca="1" si="83"/>
        <v/>
      </c>
      <c r="AV139" s="47" t="s">
        <v>796</v>
      </c>
      <c r="AW139" s="43" t="str">
        <f>IF(IFERROR(INDEX(Consulta!$A:$DF,MATCH('MM01'!$B139,Consulta!$C:$C,0),'MM01'!AW$2),"")=0,"",IFERROR(ROUND(INDEX(Consulta!$A:$DF,MATCH('MM01'!$B139,Consulta!$C:$C,0),'MM01'!AW$2),3),""))</f>
        <v/>
      </c>
      <c r="AX139" s="43" t="str">
        <f t="shared" si="84"/>
        <v/>
      </c>
      <c r="AY139" s="48" t="s">
        <v>299</v>
      </c>
      <c r="AZ139" s="48"/>
      <c r="BA139" s="43" t="str">
        <f>IF(IFERROR(INDEX(Consulta!$A:$DF,MATCH('MM01'!$B139,Consulta!$C:$C,0),'MM01'!BA$2),"")=0,"",IFERROR(INDEX(Consulta!$A:$DF,MATCH('MM01'!$B139,Consulta!$C:$C,0),'MM01'!BA$2),""))</f>
        <v/>
      </c>
      <c r="BB139" s="43" t="str">
        <f t="shared" si="85"/>
        <v/>
      </c>
      <c r="BC139" s="43" t="str">
        <f t="shared" si="86"/>
        <v/>
      </c>
      <c r="BD139" s="43" t="str">
        <f t="shared" si="87"/>
        <v/>
      </c>
      <c r="BE139" s="43" t="str">
        <f t="shared" si="88"/>
        <v>M</v>
      </c>
      <c r="BF139" s="43" t="str">
        <f t="shared" si="89"/>
        <v/>
      </c>
      <c r="BG139" s="43" t="str">
        <f t="shared" si="90"/>
        <v/>
      </c>
      <c r="BH139" s="43" t="str">
        <f t="shared" si="91"/>
        <v/>
      </c>
      <c r="BI139" s="43" t="str">
        <f t="shared" si="92"/>
        <v>M</v>
      </c>
      <c r="BK139" s="45" t="s">
        <v>324</v>
      </c>
      <c r="BL139" s="43" t="str">
        <f>IF(IFERROR(INDEX(Consulta!$A:$DF,MATCH('MM01'!$B139,Consulta!$C:$C,0),'MM01'!BL$2),"")=0,"",IFERROR(INDEX(Consulta!$A:$DF,MATCH('MM01'!$B139,Consulta!$C:$C,0),'MM01'!BL$2),""))</f>
        <v/>
      </c>
      <c r="BM139" s="45">
        <v>99</v>
      </c>
      <c r="BN139" s="46" t="str">
        <f t="shared" ca="1" si="93"/>
        <v>28.04.2022</v>
      </c>
      <c r="BO139" s="49" t="str">
        <f t="shared" si="94"/>
        <v/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IF(IFERROR(INDEX(Consulta!$A:$DF,MATCH('MM01'!$B139,Consulta!$C:$C,0),'MM01'!BX$2),"")=0,"",IFERROR(INDEX(Consulta!$A:$DF,MATCH('MM01'!$B139,Consulta!$C:$C,0),'MM01'!BX$2),""))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95"/>
        <v/>
      </c>
      <c r="CD139" s="45" t="s">
        <v>430</v>
      </c>
      <c r="CE139" s="45">
        <v>1</v>
      </c>
      <c r="CF139" s="45" t="s">
        <v>496</v>
      </c>
      <c r="CG139" s="45"/>
      <c r="CH139" s="44">
        <v>2</v>
      </c>
      <c r="CI139" s="49" t="str">
        <f t="shared" si="96"/>
        <v/>
      </c>
      <c r="CJ139" s="49" t="str">
        <f t="shared" si="97"/>
        <v/>
      </c>
      <c r="CK139" s="45"/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8"/>
        <v>K00_P_</v>
      </c>
      <c r="CS139" s="45">
        <v>5000</v>
      </c>
      <c r="CT139" s="43" t="str">
        <f>IF(IFERROR(INDEX(Consulta!$A:$DF,MATCH('MM01'!$B139,Consulta!$C:$C,0),'MM01'!CT$2),"")=0,"",IFERROR(INDEX(Consulta!$A:$DF,MATCH('MM01'!$B139,Consulta!$C:$C,0),'MM01'!CT$2),""))</f>
        <v/>
      </c>
      <c r="CU139" s="43" t="str">
        <f>IF(IFERROR(INDEX(Consulta!$A:$DF,MATCH('MM01'!$B139,Consulta!$C:$C,0),'MM01'!CU$2),"")=0,"",IFERROR(INDEX(Consulta!$A:$DF,MATCH('MM01'!$B139,Consulta!$C:$C,0),'MM01'!CU$2),""))</f>
        <v/>
      </c>
      <c r="CV139" s="43" t="str">
        <f>IF(IFERROR(INDEX(Consulta!$A:$DF,MATCH('MM01'!$B139,Consulta!$C:$C,0),'MM01'!CV$2),"")=0,"",IFERROR(INDEX(Consulta!$A:$DF,MATCH('MM01'!$B139,Consulta!$C:$C,0),'MM01'!CV$2),""))</f>
        <v/>
      </c>
      <c r="CW139" s="43" t="str">
        <f>IF(IFERROR(INDEX(Consulta!$A:$DF,MATCH('MM01'!$B139,Consulta!$C:$C,0),'MM01'!CW$2),"")=0,"",IFERROR(INDEX(Consulta!$A:$DF,MATCH('MM01'!$B139,Consulta!$C:$C,0),'MM01'!CW$2),""))</f>
        <v/>
      </c>
      <c r="CX139" s="43" t="str">
        <f t="shared" si="99"/>
        <v/>
      </c>
      <c r="CY139" s="43" t="str">
        <f t="shared" si="100"/>
        <v/>
      </c>
      <c r="CZ139" s="43" t="str">
        <f t="shared" si="101"/>
        <v/>
      </c>
      <c r="DA139" s="43" t="str">
        <f>IF(IFERROR(INDEX(Consulta!$A:$DF,MATCH('MM01'!$B139,Consulta!$C:$C,0),'MM01'!DA$2),"")=0,"",IFERROR(INDEX(Consulta!$A:$DF,MATCH('MM01'!$B139,Consulta!$C:$C,0),'MM01'!DA$2),""))</f>
        <v/>
      </c>
      <c r="DB139" s="43" t="str">
        <f t="shared" si="102"/>
        <v/>
      </c>
      <c r="DC139" s="43" t="str">
        <f>IF(IFERROR(INDEX(Consulta!$A:$DF,MATCH('MM01'!$B139,Consulta!$C:$C,0),'MM01'!DC$2),"")=0,"",IFERROR(INDEX(Consulta!$A:$DF,MATCH('MM01'!$B139,Consulta!$C:$C,0),'MM01'!DC$2),""))</f>
        <v/>
      </c>
      <c r="DD139" s="45">
        <v>0</v>
      </c>
      <c r="DE139" s="45">
        <v>0</v>
      </c>
      <c r="DF139" s="43" t="str">
        <f t="shared" si="103"/>
        <v/>
      </c>
      <c r="DG139" s="43" t="str">
        <f t="shared" si="104"/>
        <v/>
      </c>
      <c r="DH139" s="55"/>
      <c r="DI139" s="43" t="str">
        <f t="shared" ca="1" si="105"/>
        <v/>
      </c>
      <c r="DJ139" s="43" t="str">
        <f t="shared" si="106"/>
        <v/>
      </c>
      <c r="DK139" s="43" t="str">
        <f t="shared" si="107"/>
        <v/>
      </c>
      <c r="DL139" s="55"/>
      <c r="DM139" s="43" t="str">
        <f t="shared" ca="1" si="108"/>
        <v/>
      </c>
      <c r="DN139" s="43" t="str">
        <f t="shared" si="109"/>
        <v/>
      </c>
      <c r="DO139" s="43" t="str">
        <f t="shared" si="110"/>
        <v/>
      </c>
      <c r="DP139" s="55"/>
      <c r="DQ139" s="43" t="str">
        <f t="shared" ca="1" si="111"/>
        <v/>
      </c>
      <c r="DR139" s="43" t="str">
        <f t="shared" si="112"/>
        <v/>
      </c>
      <c r="DS139" s="43" t="str">
        <f t="shared" si="113"/>
        <v/>
      </c>
      <c r="DT139" s="55"/>
      <c r="DU139" s="43" t="str">
        <f t="shared" ca="1" si="114"/>
        <v/>
      </c>
      <c r="DV139" s="43" t="str">
        <f t="shared" si="115"/>
        <v/>
      </c>
      <c r="DX139" s="44">
        <v>1</v>
      </c>
      <c r="DY139" s="44" t="s">
        <v>774</v>
      </c>
      <c r="DZ139" s="43">
        <f t="shared" si="116"/>
        <v>0.01</v>
      </c>
      <c r="EA139" s="43" t="str">
        <f t="shared" si="117"/>
        <v>M</v>
      </c>
      <c r="EB139" s="43" t="str">
        <f>IF(IFERROR(INDEX(Consulta!$A:$DF,MATCH('MM01'!$B139,Consulta!$C:$C,0),'MM01'!EB$2),"")=0,"7925",IF(IFERROR(INDEX(Consulta!$A:$DF,MATCH('MM01'!$B139,Consulta!$C:$C,0),'MM01'!EB$2),"")="68","7910","7925"))</f>
        <v>7925</v>
      </c>
      <c r="EC139" s="44">
        <v>100</v>
      </c>
      <c r="ED139" s="60">
        <v>1</v>
      </c>
      <c r="EE139" s="43">
        <f t="shared" si="118"/>
        <v>100</v>
      </c>
      <c r="EF139" s="44">
        <v>1</v>
      </c>
      <c r="EG139" s="44">
        <v>0</v>
      </c>
      <c r="EH139" s="44" t="s">
        <v>867</v>
      </c>
      <c r="EI139" s="45">
        <v>0</v>
      </c>
      <c r="EJ139" s="43">
        <f t="shared" si="119"/>
        <v>5000</v>
      </c>
      <c r="EK139" s="65"/>
    </row>
    <row r="140" spans="1:141" x14ac:dyDescent="0.3">
      <c r="A140" s="7" t="str">
        <f t="shared" si="80"/>
        <v>Execução 136</v>
      </c>
      <c r="B140" s="42"/>
      <c r="C140" s="43" t="str">
        <f>IF(IFERROR(INDEX(Consulta!$A:$DF,MATCH('MM01'!$B140,Consulta!$C:$C,0),'MM01'!C$2),"")=0,"",IFERROR(INDEX(Consulta!$A:$DF,MATCH('MM01'!$B140,Consulta!$C:$C,0),'MM01'!C$2),""))</f>
        <v/>
      </c>
      <c r="D140" s="43" t="str">
        <f>IF(IFERROR(INDEX(Consulta!$A:$DF,MATCH('MM01'!$B140,Consulta!$C:$C,0),'MM01'!D$2),"")=0,"",IFERROR(INDEX(Consulta!$A:$DF,MATCH('MM01'!$B140,Consulta!$C:$C,0),'MM01'!D$2),""))</f>
        <v/>
      </c>
      <c r="E140" s="43" t="str">
        <f>IF(IFERROR(INDEX(Consulta!$A:$DF,MATCH('MM01'!$B140,Consulta!$C:$C,0),'MM01'!E$2),"")=0,"",IFERROR(INDEX(Consulta!$A:$DF,MATCH('MM01'!$B140,Consulta!$C:$C,0),'MM01'!E$2),""))</f>
        <v/>
      </c>
      <c r="F140" s="44" t="s">
        <v>100</v>
      </c>
      <c r="G140" s="49" t="str">
        <f>IF(IFERROR(INDEX(Consulta!$A:$DF,MATCH('MM01'!$B140,Consulta!$C:$C,0),'MM01'!G$2),"")=0,"",IFERROR(INDEX(Consulta!$A:$DF,MATCH('MM01'!$B140,Consulta!$C:$C,0),'MM01'!G$2),""))</f>
        <v/>
      </c>
      <c r="H140" s="49" t="str">
        <f>IF(IFERROR(INDEX(Consulta!$A:$DF,MATCH('MM01'!$B140,Consulta!$C:$C,0),'MM01'!H$2),"")=0,"",IFERROR(INDEX(Consulta!$A:$DF,MATCH('MM01'!$B140,Consulta!$C:$C,0),'MM01'!H$2),""))</f>
        <v/>
      </c>
      <c r="I140" s="49" t="str">
        <f t="shared" si="81"/>
        <v/>
      </c>
      <c r="J140" s="49" t="str">
        <f>IF(IFERROR(INDEX(Consulta!$A:$DF,MATCH('MM01'!$B140,Consulta!$C:$C,0),'MM01'!J$2),"")=0,"",IFERROR(INDEX(Consulta!$A:$DF,MATCH('MM01'!$B140,Consulta!$C:$C,0),'MM01'!J$2),""))</f>
        <v/>
      </c>
      <c r="K140" s="49" t="str">
        <f t="shared" si="82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IF(IFERROR(INDEX(Consulta!$A:$DF,MATCH('MM01'!$B140,Consulta!$C:$C,0),'MM01'!AP$2),"")=0,"",IFERROR(INDEX(Consulta!$A:$DF,MATCH('MM01'!$B140,Consulta!$C:$C,0),'MM01'!AP$2),""))</f>
        <v/>
      </c>
      <c r="AQ140" s="45"/>
      <c r="AR140" s="43" t="str">
        <f>IF(IFERROR(INDEX(Consulta!$A:$DF,MATCH('MM01'!$B140,Consulta!$C:$C,0),'MM01'!AR$2),"")=0,"",IFERROR(INDEX(Consulta!$A:$DF,MATCH('MM01'!$B140,Consulta!$C:$C,0),'MM01'!AR$2),""))</f>
        <v/>
      </c>
      <c r="AS140" s="43" t="str">
        <f>IF(IFERROR(INDEX(Consulta!$A:$DF,MATCH('MM01'!$B140,Consulta!$C:$C,0),'MM01'!AS$2),"")=0,"",IF(AR140="68",5102,IFERROR(INDEX(Consulta!$A:$DF,MATCH('MM01'!$B140,Consulta!$C:$C,0),'MM01'!AS$2),"")))</f>
        <v/>
      </c>
      <c r="AT140" s="45"/>
      <c r="AU140" s="46" t="str">
        <f t="shared" ca="1" si="83"/>
        <v/>
      </c>
      <c r="AV140" s="47" t="s">
        <v>796</v>
      </c>
      <c r="AW140" s="43" t="str">
        <f>IF(IFERROR(INDEX(Consulta!$A:$DF,MATCH('MM01'!$B140,Consulta!$C:$C,0),'MM01'!AW$2),"")=0,"",IFERROR(ROUND(INDEX(Consulta!$A:$DF,MATCH('MM01'!$B140,Consulta!$C:$C,0),'MM01'!AW$2),3),""))</f>
        <v/>
      </c>
      <c r="AX140" s="43" t="str">
        <f t="shared" si="84"/>
        <v/>
      </c>
      <c r="AY140" s="48" t="s">
        <v>299</v>
      </c>
      <c r="AZ140" s="48"/>
      <c r="BA140" s="43" t="str">
        <f>IF(IFERROR(INDEX(Consulta!$A:$DF,MATCH('MM01'!$B140,Consulta!$C:$C,0),'MM01'!BA$2),"")=0,"",IFERROR(INDEX(Consulta!$A:$DF,MATCH('MM01'!$B140,Consulta!$C:$C,0),'MM01'!BA$2),""))</f>
        <v/>
      </c>
      <c r="BB140" s="43" t="str">
        <f t="shared" si="85"/>
        <v/>
      </c>
      <c r="BC140" s="43" t="str">
        <f t="shared" si="86"/>
        <v/>
      </c>
      <c r="BD140" s="43" t="str">
        <f t="shared" si="87"/>
        <v/>
      </c>
      <c r="BE140" s="43" t="str">
        <f t="shared" si="88"/>
        <v>M</v>
      </c>
      <c r="BF140" s="43" t="str">
        <f t="shared" si="89"/>
        <v/>
      </c>
      <c r="BG140" s="43" t="str">
        <f t="shared" si="90"/>
        <v/>
      </c>
      <c r="BH140" s="43" t="str">
        <f t="shared" si="91"/>
        <v/>
      </c>
      <c r="BI140" s="43" t="str">
        <f t="shared" si="92"/>
        <v>M</v>
      </c>
      <c r="BK140" s="45" t="s">
        <v>324</v>
      </c>
      <c r="BL140" s="43" t="str">
        <f>IF(IFERROR(INDEX(Consulta!$A:$DF,MATCH('MM01'!$B140,Consulta!$C:$C,0),'MM01'!BL$2),"")=0,"",IFERROR(INDEX(Consulta!$A:$DF,MATCH('MM01'!$B140,Consulta!$C:$C,0),'MM01'!BL$2),""))</f>
        <v/>
      </c>
      <c r="BM140" s="45">
        <v>99</v>
      </c>
      <c r="BN140" s="46" t="str">
        <f t="shared" ca="1" si="93"/>
        <v>28.04.2022</v>
      </c>
      <c r="BO140" s="49" t="str">
        <f t="shared" si="94"/>
        <v/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IF(IFERROR(INDEX(Consulta!$A:$DF,MATCH('MM01'!$B140,Consulta!$C:$C,0),'MM01'!BX$2),"")=0,"",IFERROR(INDEX(Consulta!$A:$DF,MATCH('MM01'!$B140,Consulta!$C:$C,0),'MM01'!BX$2),""))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95"/>
        <v/>
      </c>
      <c r="CD140" s="45" t="s">
        <v>430</v>
      </c>
      <c r="CE140" s="45">
        <v>1</v>
      </c>
      <c r="CF140" s="45" t="s">
        <v>496</v>
      </c>
      <c r="CG140" s="45"/>
      <c r="CH140" s="44">
        <v>2</v>
      </c>
      <c r="CI140" s="49" t="str">
        <f t="shared" si="96"/>
        <v/>
      </c>
      <c r="CJ140" s="49" t="str">
        <f t="shared" si="97"/>
        <v/>
      </c>
      <c r="CK140" s="45"/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8"/>
        <v>K00_P_</v>
      </c>
      <c r="CS140" s="45">
        <v>5000</v>
      </c>
      <c r="CT140" s="43" t="str">
        <f>IF(IFERROR(INDEX(Consulta!$A:$DF,MATCH('MM01'!$B140,Consulta!$C:$C,0),'MM01'!CT$2),"")=0,"",IFERROR(INDEX(Consulta!$A:$DF,MATCH('MM01'!$B140,Consulta!$C:$C,0),'MM01'!CT$2),""))</f>
        <v/>
      </c>
      <c r="CU140" s="43" t="str">
        <f>IF(IFERROR(INDEX(Consulta!$A:$DF,MATCH('MM01'!$B140,Consulta!$C:$C,0),'MM01'!CU$2),"")=0,"",IFERROR(INDEX(Consulta!$A:$DF,MATCH('MM01'!$B140,Consulta!$C:$C,0),'MM01'!CU$2),""))</f>
        <v/>
      </c>
      <c r="CV140" s="43" t="str">
        <f>IF(IFERROR(INDEX(Consulta!$A:$DF,MATCH('MM01'!$B140,Consulta!$C:$C,0),'MM01'!CV$2),"")=0,"",IFERROR(INDEX(Consulta!$A:$DF,MATCH('MM01'!$B140,Consulta!$C:$C,0),'MM01'!CV$2),""))</f>
        <v/>
      </c>
      <c r="CW140" s="43" t="str">
        <f>IF(IFERROR(INDEX(Consulta!$A:$DF,MATCH('MM01'!$B140,Consulta!$C:$C,0),'MM01'!CW$2),"")=0,"",IFERROR(INDEX(Consulta!$A:$DF,MATCH('MM01'!$B140,Consulta!$C:$C,0),'MM01'!CW$2),""))</f>
        <v/>
      </c>
      <c r="CX140" s="43" t="str">
        <f t="shared" si="99"/>
        <v/>
      </c>
      <c r="CY140" s="43" t="str">
        <f t="shared" si="100"/>
        <v/>
      </c>
      <c r="CZ140" s="43" t="str">
        <f t="shared" si="101"/>
        <v/>
      </c>
      <c r="DA140" s="43" t="str">
        <f>IF(IFERROR(INDEX(Consulta!$A:$DF,MATCH('MM01'!$B140,Consulta!$C:$C,0),'MM01'!DA$2),"")=0,"",IFERROR(INDEX(Consulta!$A:$DF,MATCH('MM01'!$B140,Consulta!$C:$C,0),'MM01'!DA$2),""))</f>
        <v/>
      </c>
      <c r="DB140" s="43" t="str">
        <f t="shared" si="102"/>
        <v/>
      </c>
      <c r="DC140" s="43" t="str">
        <f>IF(IFERROR(INDEX(Consulta!$A:$DF,MATCH('MM01'!$B140,Consulta!$C:$C,0),'MM01'!DC$2),"")=0,"",IFERROR(INDEX(Consulta!$A:$DF,MATCH('MM01'!$B140,Consulta!$C:$C,0),'MM01'!DC$2),""))</f>
        <v/>
      </c>
      <c r="DD140" s="45">
        <v>0</v>
      </c>
      <c r="DE140" s="45">
        <v>0</v>
      </c>
      <c r="DF140" s="43" t="str">
        <f t="shared" si="103"/>
        <v/>
      </c>
      <c r="DG140" s="43" t="str">
        <f t="shared" si="104"/>
        <v/>
      </c>
      <c r="DH140" s="55"/>
      <c r="DI140" s="43" t="str">
        <f t="shared" ca="1" si="105"/>
        <v/>
      </c>
      <c r="DJ140" s="43" t="str">
        <f t="shared" si="106"/>
        <v/>
      </c>
      <c r="DK140" s="43" t="str">
        <f t="shared" si="107"/>
        <v/>
      </c>
      <c r="DL140" s="55"/>
      <c r="DM140" s="43" t="str">
        <f t="shared" ca="1" si="108"/>
        <v/>
      </c>
      <c r="DN140" s="43" t="str">
        <f t="shared" si="109"/>
        <v/>
      </c>
      <c r="DO140" s="43" t="str">
        <f t="shared" si="110"/>
        <v/>
      </c>
      <c r="DP140" s="55"/>
      <c r="DQ140" s="43" t="str">
        <f t="shared" ca="1" si="111"/>
        <v/>
      </c>
      <c r="DR140" s="43" t="str">
        <f t="shared" si="112"/>
        <v/>
      </c>
      <c r="DS140" s="43" t="str">
        <f t="shared" si="113"/>
        <v/>
      </c>
      <c r="DT140" s="55"/>
      <c r="DU140" s="43" t="str">
        <f t="shared" ca="1" si="114"/>
        <v/>
      </c>
      <c r="DV140" s="43" t="str">
        <f t="shared" si="115"/>
        <v/>
      </c>
      <c r="DX140" s="44">
        <v>1</v>
      </c>
      <c r="DY140" s="44" t="s">
        <v>774</v>
      </c>
      <c r="DZ140" s="43">
        <f t="shared" si="116"/>
        <v>0.01</v>
      </c>
      <c r="EA140" s="43" t="str">
        <f t="shared" si="117"/>
        <v>M</v>
      </c>
      <c r="EB140" s="43" t="str">
        <f>IF(IFERROR(INDEX(Consulta!$A:$DF,MATCH('MM01'!$B140,Consulta!$C:$C,0),'MM01'!EB$2),"")=0,"7925",IF(IFERROR(INDEX(Consulta!$A:$DF,MATCH('MM01'!$B140,Consulta!$C:$C,0),'MM01'!EB$2),"")="68","7910","7925"))</f>
        <v>7925</v>
      </c>
      <c r="EC140" s="44">
        <v>100</v>
      </c>
      <c r="ED140" s="60">
        <v>1</v>
      </c>
      <c r="EE140" s="43">
        <f t="shared" si="118"/>
        <v>100</v>
      </c>
      <c r="EF140" s="44">
        <v>1</v>
      </c>
      <c r="EG140" s="44">
        <v>0</v>
      </c>
      <c r="EH140" s="44" t="s">
        <v>867</v>
      </c>
      <c r="EI140" s="45">
        <v>0</v>
      </c>
      <c r="EJ140" s="43">
        <f t="shared" si="119"/>
        <v>5000</v>
      </c>
      <c r="EK140" s="65"/>
    </row>
    <row r="141" spans="1:141" x14ac:dyDescent="0.3">
      <c r="A141" s="7" t="str">
        <f t="shared" si="80"/>
        <v>Execução 137</v>
      </c>
      <c r="B141" s="42"/>
      <c r="C141" s="43" t="str">
        <f>IF(IFERROR(INDEX(Consulta!$A:$DF,MATCH('MM01'!$B141,Consulta!$C:$C,0),'MM01'!C$2),"")=0,"",IFERROR(INDEX(Consulta!$A:$DF,MATCH('MM01'!$B141,Consulta!$C:$C,0),'MM01'!C$2),""))</f>
        <v/>
      </c>
      <c r="D141" s="43" t="str">
        <f>IF(IFERROR(INDEX(Consulta!$A:$DF,MATCH('MM01'!$B141,Consulta!$C:$C,0),'MM01'!D$2),"")=0,"",IFERROR(INDEX(Consulta!$A:$DF,MATCH('MM01'!$B141,Consulta!$C:$C,0),'MM01'!D$2),""))</f>
        <v/>
      </c>
      <c r="E141" s="43" t="str">
        <f>IF(IFERROR(INDEX(Consulta!$A:$DF,MATCH('MM01'!$B141,Consulta!$C:$C,0),'MM01'!E$2),"")=0,"",IFERROR(INDEX(Consulta!$A:$DF,MATCH('MM01'!$B141,Consulta!$C:$C,0),'MM01'!E$2),""))</f>
        <v/>
      </c>
      <c r="F141" s="44" t="s">
        <v>100</v>
      </c>
      <c r="G141" s="49" t="str">
        <f>IF(IFERROR(INDEX(Consulta!$A:$DF,MATCH('MM01'!$B141,Consulta!$C:$C,0),'MM01'!G$2),"")=0,"",IFERROR(INDEX(Consulta!$A:$DF,MATCH('MM01'!$B141,Consulta!$C:$C,0),'MM01'!G$2),""))</f>
        <v/>
      </c>
      <c r="H141" s="49" t="str">
        <f>IF(IFERROR(INDEX(Consulta!$A:$DF,MATCH('MM01'!$B141,Consulta!$C:$C,0),'MM01'!H$2),"")=0,"",IFERROR(INDEX(Consulta!$A:$DF,MATCH('MM01'!$B141,Consulta!$C:$C,0),'MM01'!H$2),""))</f>
        <v/>
      </c>
      <c r="I141" s="49" t="str">
        <f t="shared" si="81"/>
        <v/>
      </c>
      <c r="J141" s="49" t="str">
        <f>IF(IFERROR(INDEX(Consulta!$A:$DF,MATCH('MM01'!$B141,Consulta!$C:$C,0),'MM01'!J$2),"")=0,"",IFERROR(INDEX(Consulta!$A:$DF,MATCH('MM01'!$B141,Consulta!$C:$C,0),'MM01'!J$2),""))</f>
        <v/>
      </c>
      <c r="K141" s="49" t="str">
        <f t="shared" si="82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IF(IFERROR(INDEX(Consulta!$A:$DF,MATCH('MM01'!$B141,Consulta!$C:$C,0),'MM01'!AP$2),"")=0,"",IFERROR(INDEX(Consulta!$A:$DF,MATCH('MM01'!$B141,Consulta!$C:$C,0),'MM01'!AP$2),""))</f>
        <v/>
      </c>
      <c r="AQ141" s="45"/>
      <c r="AR141" s="43" t="str">
        <f>IF(IFERROR(INDEX(Consulta!$A:$DF,MATCH('MM01'!$B141,Consulta!$C:$C,0),'MM01'!AR$2),"")=0,"",IFERROR(INDEX(Consulta!$A:$DF,MATCH('MM01'!$B141,Consulta!$C:$C,0),'MM01'!AR$2),""))</f>
        <v/>
      </c>
      <c r="AS141" s="43" t="str">
        <f>IF(IFERROR(INDEX(Consulta!$A:$DF,MATCH('MM01'!$B141,Consulta!$C:$C,0),'MM01'!AS$2),"")=0,"",IF(AR141="68",5102,IFERROR(INDEX(Consulta!$A:$DF,MATCH('MM01'!$B141,Consulta!$C:$C,0),'MM01'!AS$2),"")))</f>
        <v/>
      </c>
      <c r="AT141" s="45"/>
      <c r="AU141" s="46" t="str">
        <f t="shared" ca="1" si="83"/>
        <v/>
      </c>
      <c r="AV141" s="47" t="s">
        <v>796</v>
      </c>
      <c r="AW141" s="43" t="str">
        <f>IF(IFERROR(INDEX(Consulta!$A:$DF,MATCH('MM01'!$B141,Consulta!$C:$C,0),'MM01'!AW$2),"")=0,"",IFERROR(ROUND(INDEX(Consulta!$A:$DF,MATCH('MM01'!$B141,Consulta!$C:$C,0),'MM01'!AW$2),3),""))</f>
        <v/>
      </c>
      <c r="AX141" s="43" t="str">
        <f t="shared" si="84"/>
        <v/>
      </c>
      <c r="AY141" s="48" t="s">
        <v>299</v>
      </c>
      <c r="AZ141" s="48"/>
      <c r="BA141" s="43" t="str">
        <f>IF(IFERROR(INDEX(Consulta!$A:$DF,MATCH('MM01'!$B141,Consulta!$C:$C,0),'MM01'!BA$2),"")=0,"",IFERROR(INDEX(Consulta!$A:$DF,MATCH('MM01'!$B141,Consulta!$C:$C,0),'MM01'!BA$2),""))</f>
        <v/>
      </c>
      <c r="BB141" s="43" t="str">
        <f t="shared" si="85"/>
        <v/>
      </c>
      <c r="BC141" s="43" t="str">
        <f t="shared" si="86"/>
        <v/>
      </c>
      <c r="BD141" s="43" t="str">
        <f t="shared" si="87"/>
        <v/>
      </c>
      <c r="BE141" s="43" t="str">
        <f t="shared" si="88"/>
        <v>M</v>
      </c>
      <c r="BF141" s="43" t="str">
        <f t="shared" si="89"/>
        <v/>
      </c>
      <c r="BG141" s="43" t="str">
        <f t="shared" si="90"/>
        <v/>
      </c>
      <c r="BH141" s="43" t="str">
        <f t="shared" si="91"/>
        <v/>
      </c>
      <c r="BI141" s="43" t="str">
        <f t="shared" si="92"/>
        <v>M</v>
      </c>
      <c r="BK141" s="45" t="s">
        <v>324</v>
      </c>
      <c r="BL141" s="43" t="str">
        <f>IF(IFERROR(INDEX(Consulta!$A:$DF,MATCH('MM01'!$B141,Consulta!$C:$C,0),'MM01'!BL$2),"")=0,"",IFERROR(INDEX(Consulta!$A:$DF,MATCH('MM01'!$B141,Consulta!$C:$C,0),'MM01'!BL$2),""))</f>
        <v/>
      </c>
      <c r="BM141" s="45">
        <v>99</v>
      </c>
      <c r="BN141" s="46" t="str">
        <f t="shared" ca="1" si="93"/>
        <v>28.04.2022</v>
      </c>
      <c r="BO141" s="49" t="str">
        <f t="shared" si="94"/>
        <v/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IF(IFERROR(INDEX(Consulta!$A:$DF,MATCH('MM01'!$B141,Consulta!$C:$C,0),'MM01'!BX$2),"")=0,"",IFERROR(INDEX(Consulta!$A:$DF,MATCH('MM01'!$B141,Consulta!$C:$C,0),'MM01'!BX$2),""))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95"/>
        <v/>
      </c>
      <c r="CD141" s="45" t="s">
        <v>430</v>
      </c>
      <c r="CE141" s="45">
        <v>1</v>
      </c>
      <c r="CF141" s="45" t="s">
        <v>496</v>
      </c>
      <c r="CG141" s="45"/>
      <c r="CH141" s="44">
        <v>2</v>
      </c>
      <c r="CI141" s="49" t="str">
        <f t="shared" si="96"/>
        <v/>
      </c>
      <c r="CJ141" s="49" t="str">
        <f t="shared" si="97"/>
        <v/>
      </c>
      <c r="CK141" s="45"/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8"/>
        <v>K00_P_</v>
      </c>
      <c r="CS141" s="45">
        <v>5000</v>
      </c>
      <c r="CT141" s="43" t="str">
        <f>IF(IFERROR(INDEX(Consulta!$A:$DF,MATCH('MM01'!$B141,Consulta!$C:$C,0),'MM01'!CT$2),"")=0,"",IFERROR(INDEX(Consulta!$A:$DF,MATCH('MM01'!$B141,Consulta!$C:$C,0),'MM01'!CT$2),""))</f>
        <v/>
      </c>
      <c r="CU141" s="43" t="str">
        <f>IF(IFERROR(INDEX(Consulta!$A:$DF,MATCH('MM01'!$B141,Consulta!$C:$C,0),'MM01'!CU$2),"")=0,"",IFERROR(INDEX(Consulta!$A:$DF,MATCH('MM01'!$B141,Consulta!$C:$C,0),'MM01'!CU$2),""))</f>
        <v/>
      </c>
      <c r="CV141" s="43" t="str">
        <f>IF(IFERROR(INDEX(Consulta!$A:$DF,MATCH('MM01'!$B141,Consulta!$C:$C,0),'MM01'!CV$2),"")=0,"",IFERROR(INDEX(Consulta!$A:$DF,MATCH('MM01'!$B141,Consulta!$C:$C,0),'MM01'!CV$2),""))</f>
        <v/>
      </c>
      <c r="CW141" s="43" t="str">
        <f>IF(IFERROR(INDEX(Consulta!$A:$DF,MATCH('MM01'!$B141,Consulta!$C:$C,0),'MM01'!CW$2),"")=0,"",IFERROR(INDEX(Consulta!$A:$DF,MATCH('MM01'!$B141,Consulta!$C:$C,0),'MM01'!CW$2),""))</f>
        <v/>
      </c>
      <c r="CX141" s="43" t="str">
        <f t="shared" si="99"/>
        <v/>
      </c>
      <c r="CY141" s="43" t="str">
        <f t="shared" si="100"/>
        <v/>
      </c>
      <c r="CZ141" s="43" t="str">
        <f t="shared" si="101"/>
        <v/>
      </c>
      <c r="DA141" s="43" t="str">
        <f>IF(IFERROR(INDEX(Consulta!$A:$DF,MATCH('MM01'!$B141,Consulta!$C:$C,0),'MM01'!DA$2),"")=0,"",IFERROR(INDEX(Consulta!$A:$DF,MATCH('MM01'!$B141,Consulta!$C:$C,0),'MM01'!DA$2),""))</f>
        <v/>
      </c>
      <c r="DB141" s="43" t="str">
        <f t="shared" si="102"/>
        <v/>
      </c>
      <c r="DC141" s="43" t="str">
        <f>IF(IFERROR(INDEX(Consulta!$A:$DF,MATCH('MM01'!$B141,Consulta!$C:$C,0),'MM01'!DC$2),"")=0,"",IFERROR(INDEX(Consulta!$A:$DF,MATCH('MM01'!$B141,Consulta!$C:$C,0),'MM01'!DC$2),""))</f>
        <v/>
      </c>
      <c r="DD141" s="45">
        <v>0</v>
      </c>
      <c r="DE141" s="45">
        <v>0</v>
      </c>
      <c r="DF141" s="43" t="str">
        <f t="shared" si="103"/>
        <v/>
      </c>
      <c r="DG141" s="43" t="str">
        <f t="shared" si="104"/>
        <v/>
      </c>
      <c r="DH141" s="55"/>
      <c r="DI141" s="43" t="str">
        <f t="shared" ca="1" si="105"/>
        <v/>
      </c>
      <c r="DJ141" s="43" t="str">
        <f t="shared" si="106"/>
        <v/>
      </c>
      <c r="DK141" s="43" t="str">
        <f t="shared" si="107"/>
        <v/>
      </c>
      <c r="DL141" s="55"/>
      <c r="DM141" s="43" t="str">
        <f t="shared" ca="1" si="108"/>
        <v/>
      </c>
      <c r="DN141" s="43" t="str">
        <f t="shared" si="109"/>
        <v/>
      </c>
      <c r="DO141" s="43" t="str">
        <f t="shared" si="110"/>
        <v/>
      </c>
      <c r="DP141" s="55"/>
      <c r="DQ141" s="43" t="str">
        <f t="shared" ca="1" si="111"/>
        <v/>
      </c>
      <c r="DR141" s="43" t="str">
        <f t="shared" si="112"/>
        <v/>
      </c>
      <c r="DS141" s="43" t="str">
        <f t="shared" si="113"/>
        <v/>
      </c>
      <c r="DT141" s="55"/>
      <c r="DU141" s="43" t="str">
        <f t="shared" ca="1" si="114"/>
        <v/>
      </c>
      <c r="DV141" s="43" t="str">
        <f t="shared" si="115"/>
        <v/>
      </c>
      <c r="DX141" s="44">
        <v>1</v>
      </c>
      <c r="DY141" s="44" t="s">
        <v>774</v>
      </c>
      <c r="DZ141" s="43">
        <f t="shared" si="116"/>
        <v>0.01</v>
      </c>
      <c r="EA141" s="43" t="str">
        <f t="shared" si="117"/>
        <v>M</v>
      </c>
      <c r="EB141" s="43" t="str">
        <f>IF(IFERROR(INDEX(Consulta!$A:$DF,MATCH('MM01'!$B141,Consulta!$C:$C,0),'MM01'!EB$2),"")=0,"7925",IF(IFERROR(INDEX(Consulta!$A:$DF,MATCH('MM01'!$B141,Consulta!$C:$C,0),'MM01'!EB$2),"")="68","7910","7925"))</f>
        <v>7925</v>
      </c>
      <c r="EC141" s="44">
        <v>100</v>
      </c>
      <c r="ED141" s="60">
        <v>1</v>
      </c>
      <c r="EE141" s="43">
        <f t="shared" si="118"/>
        <v>100</v>
      </c>
      <c r="EF141" s="44">
        <v>1</v>
      </c>
      <c r="EG141" s="44">
        <v>0</v>
      </c>
      <c r="EH141" s="44" t="s">
        <v>867</v>
      </c>
      <c r="EI141" s="45">
        <v>0</v>
      </c>
      <c r="EJ141" s="43">
        <f t="shared" si="119"/>
        <v>5000</v>
      </c>
      <c r="EK141" s="65"/>
    </row>
    <row r="142" spans="1:141" x14ac:dyDescent="0.3">
      <c r="A142" s="7" t="str">
        <f t="shared" si="80"/>
        <v>Execução 138</v>
      </c>
      <c r="B142" s="42"/>
      <c r="C142" s="43" t="str">
        <f>IF(IFERROR(INDEX(Consulta!$A:$DF,MATCH('MM01'!$B142,Consulta!$C:$C,0),'MM01'!C$2),"")=0,"",IFERROR(INDEX(Consulta!$A:$DF,MATCH('MM01'!$B142,Consulta!$C:$C,0),'MM01'!C$2),""))</f>
        <v/>
      </c>
      <c r="D142" s="43" t="str">
        <f>IF(IFERROR(INDEX(Consulta!$A:$DF,MATCH('MM01'!$B142,Consulta!$C:$C,0),'MM01'!D$2),"")=0,"",IFERROR(INDEX(Consulta!$A:$DF,MATCH('MM01'!$B142,Consulta!$C:$C,0),'MM01'!D$2),""))</f>
        <v/>
      </c>
      <c r="E142" s="43" t="str">
        <f>IF(IFERROR(INDEX(Consulta!$A:$DF,MATCH('MM01'!$B142,Consulta!$C:$C,0),'MM01'!E$2),"")=0,"",IFERROR(INDEX(Consulta!$A:$DF,MATCH('MM01'!$B142,Consulta!$C:$C,0),'MM01'!E$2),""))</f>
        <v/>
      </c>
      <c r="F142" s="44" t="s">
        <v>100</v>
      </c>
      <c r="G142" s="49" t="str">
        <f>IF(IFERROR(INDEX(Consulta!$A:$DF,MATCH('MM01'!$B142,Consulta!$C:$C,0),'MM01'!G$2),"")=0,"",IFERROR(INDEX(Consulta!$A:$DF,MATCH('MM01'!$B142,Consulta!$C:$C,0),'MM01'!G$2),""))</f>
        <v/>
      </c>
      <c r="H142" s="49" t="str">
        <f>IF(IFERROR(INDEX(Consulta!$A:$DF,MATCH('MM01'!$B142,Consulta!$C:$C,0),'MM01'!H$2),"")=0,"",IFERROR(INDEX(Consulta!$A:$DF,MATCH('MM01'!$B142,Consulta!$C:$C,0),'MM01'!H$2),""))</f>
        <v/>
      </c>
      <c r="I142" s="49" t="str">
        <f t="shared" si="81"/>
        <v/>
      </c>
      <c r="J142" s="49" t="str">
        <f>IF(IFERROR(INDEX(Consulta!$A:$DF,MATCH('MM01'!$B142,Consulta!$C:$C,0),'MM01'!J$2),"")=0,"",IFERROR(INDEX(Consulta!$A:$DF,MATCH('MM01'!$B142,Consulta!$C:$C,0),'MM01'!J$2),""))</f>
        <v/>
      </c>
      <c r="K142" s="49" t="str">
        <f t="shared" si="82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IF(IFERROR(INDEX(Consulta!$A:$DF,MATCH('MM01'!$B142,Consulta!$C:$C,0),'MM01'!AP$2),"")=0,"",IFERROR(INDEX(Consulta!$A:$DF,MATCH('MM01'!$B142,Consulta!$C:$C,0),'MM01'!AP$2),""))</f>
        <v/>
      </c>
      <c r="AQ142" s="45"/>
      <c r="AR142" s="43" t="str">
        <f>IF(IFERROR(INDEX(Consulta!$A:$DF,MATCH('MM01'!$B142,Consulta!$C:$C,0),'MM01'!AR$2),"")=0,"",IFERROR(INDEX(Consulta!$A:$DF,MATCH('MM01'!$B142,Consulta!$C:$C,0),'MM01'!AR$2),""))</f>
        <v/>
      </c>
      <c r="AS142" s="43" t="str">
        <f>IF(IFERROR(INDEX(Consulta!$A:$DF,MATCH('MM01'!$B142,Consulta!$C:$C,0),'MM01'!AS$2),"")=0,"",IF(AR142="68",5102,IFERROR(INDEX(Consulta!$A:$DF,MATCH('MM01'!$B142,Consulta!$C:$C,0),'MM01'!AS$2),"")))</f>
        <v/>
      </c>
      <c r="AT142" s="45"/>
      <c r="AU142" s="46" t="str">
        <f t="shared" ca="1" si="83"/>
        <v/>
      </c>
      <c r="AV142" s="47" t="s">
        <v>796</v>
      </c>
      <c r="AW142" s="43" t="str">
        <f>IF(IFERROR(INDEX(Consulta!$A:$DF,MATCH('MM01'!$B142,Consulta!$C:$C,0),'MM01'!AW$2),"")=0,"",IFERROR(ROUND(INDEX(Consulta!$A:$DF,MATCH('MM01'!$B142,Consulta!$C:$C,0),'MM01'!AW$2),3),""))</f>
        <v/>
      </c>
      <c r="AX142" s="43" t="str">
        <f t="shared" si="84"/>
        <v/>
      </c>
      <c r="AY142" s="48" t="s">
        <v>299</v>
      </c>
      <c r="AZ142" s="48"/>
      <c r="BA142" s="43" t="str">
        <f>IF(IFERROR(INDEX(Consulta!$A:$DF,MATCH('MM01'!$B142,Consulta!$C:$C,0),'MM01'!BA$2),"")=0,"",IFERROR(INDEX(Consulta!$A:$DF,MATCH('MM01'!$B142,Consulta!$C:$C,0),'MM01'!BA$2),""))</f>
        <v/>
      </c>
      <c r="BB142" s="43" t="str">
        <f t="shared" si="85"/>
        <v/>
      </c>
      <c r="BC142" s="43" t="str">
        <f t="shared" si="86"/>
        <v/>
      </c>
      <c r="BD142" s="43" t="str">
        <f t="shared" si="87"/>
        <v/>
      </c>
      <c r="BE142" s="43" t="str">
        <f t="shared" si="88"/>
        <v>M</v>
      </c>
      <c r="BF142" s="43" t="str">
        <f t="shared" si="89"/>
        <v/>
      </c>
      <c r="BG142" s="43" t="str">
        <f t="shared" si="90"/>
        <v/>
      </c>
      <c r="BH142" s="43" t="str">
        <f t="shared" si="91"/>
        <v/>
      </c>
      <c r="BI142" s="43" t="str">
        <f t="shared" si="92"/>
        <v>M</v>
      </c>
      <c r="BK142" s="45" t="s">
        <v>324</v>
      </c>
      <c r="BL142" s="43" t="str">
        <f>IF(IFERROR(INDEX(Consulta!$A:$DF,MATCH('MM01'!$B142,Consulta!$C:$C,0),'MM01'!BL$2),"")=0,"",IFERROR(INDEX(Consulta!$A:$DF,MATCH('MM01'!$B142,Consulta!$C:$C,0),'MM01'!BL$2),""))</f>
        <v/>
      </c>
      <c r="BM142" s="45">
        <v>99</v>
      </c>
      <c r="BN142" s="46" t="str">
        <f t="shared" ca="1" si="93"/>
        <v>28.04.2022</v>
      </c>
      <c r="BO142" s="49" t="str">
        <f t="shared" si="94"/>
        <v/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IF(IFERROR(INDEX(Consulta!$A:$DF,MATCH('MM01'!$B142,Consulta!$C:$C,0),'MM01'!BX$2),"")=0,"",IFERROR(INDEX(Consulta!$A:$DF,MATCH('MM01'!$B142,Consulta!$C:$C,0),'MM01'!BX$2),""))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95"/>
        <v/>
      </c>
      <c r="CD142" s="45" t="s">
        <v>430</v>
      </c>
      <c r="CE142" s="45">
        <v>1</v>
      </c>
      <c r="CF142" s="45" t="s">
        <v>496</v>
      </c>
      <c r="CG142" s="45"/>
      <c r="CH142" s="44">
        <v>2</v>
      </c>
      <c r="CI142" s="49" t="str">
        <f t="shared" si="96"/>
        <v/>
      </c>
      <c r="CJ142" s="49" t="str">
        <f t="shared" si="97"/>
        <v/>
      </c>
      <c r="CK142" s="45"/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8"/>
        <v>K00_P_</v>
      </c>
      <c r="CS142" s="45">
        <v>5000</v>
      </c>
      <c r="CT142" s="43" t="str">
        <f>IF(IFERROR(INDEX(Consulta!$A:$DF,MATCH('MM01'!$B142,Consulta!$C:$C,0),'MM01'!CT$2),"")=0,"",IFERROR(INDEX(Consulta!$A:$DF,MATCH('MM01'!$B142,Consulta!$C:$C,0),'MM01'!CT$2),""))</f>
        <v/>
      </c>
      <c r="CU142" s="43" t="str">
        <f>IF(IFERROR(INDEX(Consulta!$A:$DF,MATCH('MM01'!$B142,Consulta!$C:$C,0),'MM01'!CU$2),"")=0,"",IFERROR(INDEX(Consulta!$A:$DF,MATCH('MM01'!$B142,Consulta!$C:$C,0),'MM01'!CU$2),""))</f>
        <v/>
      </c>
      <c r="CV142" s="43" t="str">
        <f>IF(IFERROR(INDEX(Consulta!$A:$DF,MATCH('MM01'!$B142,Consulta!$C:$C,0),'MM01'!CV$2),"")=0,"",IFERROR(INDEX(Consulta!$A:$DF,MATCH('MM01'!$B142,Consulta!$C:$C,0),'MM01'!CV$2),""))</f>
        <v/>
      </c>
      <c r="CW142" s="43" t="str">
        <f>IF(IFERROR(INDEX(Consulta!$A:$DF,MATCH('MM01'!$B142,Consulta!$C:$C,0),'MM01'!CW$2),"")=0,"",IFERROR(INDEX(Consulta!$A:$DF,MATCH('MM01'!$B142,Consulta!$C:$C,0),'MM01'!CW$2),""))</f>
        <v/>
      </c>
      <c r="CX142" s="43" t="str">
        <f t="shared" si="99"/>
        <v/>
      </c>
      <c r="CY142" s="43" t="str">
        <f t="shared" si="100"/>
        <v/>
      </c>
      <c r="CZ142" s="43" t="str">
        <f t="shared" si="101"/>
        <v/>
      </c>
      <c r="DA142" s="43" t="str">
        <f>IF(IFERROR(INDEX(Consulta!$A:$DF,MATCH('MM01'!$B142,Consulta!$C:$C,0),'MM01'!DA$2),"")=0,"",IFERROR(INDEX(Consulta!$A:$DF,MATCH('MM01'!$B142,Consulta!$C:$C,0),'MM01'!DA$2),""))</f>
        <v/>
      </c>
      <c r="DB142" s="43" t="str">
        <f t="shared" si="102"/>
        <v/>
      </c>
      <c r="DC142" s="43" t="str">
        <f>IF(IFERROR(INDEX(Consulta!$A:$DF,MATCH('MM01'!$B142,Consulta!$C:$C,0),'MM01'!DC$2),"")=0,"",IFERROR(INDEX(Consulta!$A:$DF,MATCH('MM01'!$B142,Consulta!$C:$C,0),'MM01'!DC$2),""))</f>
        <v/>
      </c>
      <c r="DD142" s="45">
        <v>0</v>
      </c>
      <c r="DE142" s="45">
        <v>0</v>
      </c>
      <c r="DF142" s="43" t="str">
        <f t="shared" si="103"/>
        <v/>
      </c>
      <c r="DG142" s="43" t="str">
        <f t="shared" si="104"/>
        <v/>
      </c>
      <c r="DH142" s="55"/>
      <c r="DI142" s="43" t="str">
        <f t="shared" ca="1" si="105"/>
        <v/>
      </c>
      <c r="DJ142" s="43" t="str">
        <f t="shared" si="106"/>
        <v/>
      </c>
      <c r="DK142" s="43" t="str">
        <f t="shared" si="107"/>
        <v/>
      </c>
      <c r="DL142" s="55"/>
      <c r="DM142" s="43" t="str">
        <f t="shared" ca="1" si="108"/>
        <v/>
      </c>
      <c r="DN142" s="43" t="str">
        <f t="shared" si="109"/>
        <v/>
      </c>
      <c r="DO142" s="43" t="str">
        <f t="shared" si="110"/>
        <v/>
      </c>
      <c r="DP142" s="55"/>
      <c r="DQ142" s="43" t="str">
        <f t="shared" ca="1" si="111"/>
        <v/>
      </c>
      <c r="DR142" s="43" t="str">
        <f t="shared" si="112"/>
        <v/>
      </c>
      <c r="DS142" s="43" t="str">
        <f t="shared" si="113"/>
        <v/>
      </c>
      <c r="DT142" s="55"/>
      <c r="DU142" s="43" t="str">
        <f t="shared" ca="1" si="114"/>
        <v/>
      </c>
      <c r="DV142" s="43" t="str">
        <f t="shared" si="115"/>
        <v/>
      </c>
      <c r="DX142" s="44">
        <v>1</v>
      </c>
      <c r="DY142" s="44" t="s">
        <v>774</v>
      </c>
      <c r="DZ142" s="43">
        <f t="shared" si="116"/>
        <v>0.01</v>
      </c>
      <c r="EA142" s="43" t="str">
        <f t="shared" si="117"/>
        <v>M</v>
      </c>
      <c r="EB142" s="43" t="str">
        <f>IF(IFERROR(INDEX(Consulta!$A:$DF,MATCH('MM01'!$B142,Consulta!$C:$C,0),'MM01'!EB$2),"")=0,"7925",IF(IFERROR(INDEX(Consulta!$A:$DF,MATCH('MM01'!$B142,Consulta!$C:$C,0),'MM01'!EB$2),"")="68","7910","7925"))</f>
        <v>7925</v>
      </c>
      <c r="EC142" s="44">
        <v>100</v>
      </c>
      <c r="ED142" s="60">
        <v>1</v>
      </c>
      <c r="EE142" s="43">
        <f t="shared" si="118"/>
        <v>100</v>
      </c>
      <c r="EF142" s="44">
        <v>1</v>
      </c>
      <c r="EG142" s="44">
        <v>0</v>
      </c>
      <c r="EH142" s="44" t="s">
        <v>867</v>
      </c>
      <c r="EI142" s="45">
        <v>0</v>
      </c>
      <c r="EJ142" s="43">
        <f t="shared" si="119"/>
        <v>5000</v>
      </c>
      <c r="EK142" s="65"/>
    </row>
    <row r="143" spans="1:141" x14ac:dyDescent="0.3">
      <c r="A143" s="7" t="str">
        <f t="shared" si="80"/>
        <v>Execução 139</v>
      </c>
      <c r="B143" s="42"/>
      <c r="C143" s="43" t="str">
        <f>IF(IFERROR(INDEX(Consulta!$A:$DF,MATCH('MM01'!$B143,Consulta!$C:$C,0),'MM01'!C$2),"")=0,"",IFERROR(INDEX(Consulta!$A:$DF,MATCH('MM01'!$B143,Consulta!$C:$C,0),'MM01'!C$2),""))</f>
        <v/>
      </c>
      <c r="D143" s="43" t="str">
        <f>IF(IFERROR(INDEX(Consulta!$A:$DF,MATCH('MM01'!$B143,Consulta!$C:$C,0),'MM01'!D$2),"")=0,"",IFERROR(INDEX(Consulta!$A:$DF,MATCH('MM01'!$B143,Consulta!$C:$C,0),'MM01'!D$2),""))</f>
        <v/>
      </c>
      <c r="E143" s="43" t="str">
        <f>IF(IFERROR(INDEX(Consulta!$A:$DF,MATCH('MM01'!$B143,Consulta!$C:$C,0),'MM01'!E$2),"")=0,"",IFERROR(INDEX(Consulta!$A:$DF,MATCH('MM01'!$B143,Consulta!$C:$C,0),'MM01'!E$2),""))</f>
        <v/>
      </c>
      <c r="F143" s="44" t="s">
        <v>100</v>
      </c>
      <c r="G143" s="49" t="str">
        <f>IF(IFERROR(INDEX(Consulta!$A:$DF,MATCH('MM01'!$B143,Consulta!$C:$C,0),'MM01'!G$2),"")=0,"",IFERROR(INDEX(Consulta!$A:$DF,MATCH('MM01'!$B143,Consulta!$C:$C,0),'MM01'!G$2),""))</f>
        <v/>
      </c>
      <c r="H143" s="49" t="str">
        <f>IF(IFERROR(INDEX(Consulta!$A:$DF,MATCH('MM01'!$B143,Consulta!$C:$C,0),'MM01'!H$2),"")=0,"",IFERROR(INDEX(Consulta!$A:$DF,MATCH('MM01'!$B143,Consulta!$C:$C,0),'MM01'!H$2),""))</f>
        <v/>
      </c>
      <c r="I143" s="49" t="str">
        <f t="shared" si="81"/>
        <v/>
      </c>
      <c r="J143" s="49" t="str">
        <f>IF(IFERROR(INDEX(Consulta!$A:$DF,MATCH('MM01'!$B143,Consulta!$C:$C,0),'MM01'!J$2),"")=0,"",IFERROR(INDEX(Consulta!$A:$DF,MATCH('MM01'!$B143,Consulta!$C:$C,0),'MM01'!J$2),""))</f>
        <v/>
      </c>
      <c r="K143" s="49" t="str">
        <f t="shared" si="82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IF(IFERROR(INDEX(Consulta!$A:$DF,MATCH('MM01'!$B143,Consulta!$C:$C,0),'MM01'!AP$2),"")=0,"",IFERROR(INDEX(Consulta!$A:$DF,MATCH('MM01'!$B143,Consulta!$C:$C,0),'MM01'!AP$2),""))</f>
        <v/>
      </c>
      <c r="AQ143" s="45"/>
      <c r="AR143" s="43" t="str">
        <f>IF(IFERROR(INDEX(Consulta!$A:$DF,MATCH('MM01'!$B143,Consulta!$C:$C,0),'MM01'!AR$2),"")=0,"",IFERROR(INDEX(Consulta!$A:$DF,MATCH('MM01'!$B143,Consulta!$C:$C,0),'MM01'!AR$2),""))</f>
        <v/>
      </c>
      <c r="AS143" s="43" t="str">
        <f>IF(IFERROR(INDEX(Consulta!$A:$DF,MATCH('MM01'!$B143,Consulta!$C:$C,0),'MM01'!AS$2),"")=0,"",IF(AR143="68",5102,IFERROR(INDEX(Consulta!$A:$DF,MATCH('MM01'!$B143,Consulta!$C:$C,0),'MM01'!AS$2),"")))</f>
        <v/>
      </c>
      <c r="AT143" s="45"/>
      <c r="AU143" s="46" t="str">
        <f t="shared" ca="1" si="83"/>
        <v/>
      </c>
      <c r="AV143" s="47" t="s">
        <v>796</v>
      </c>
      <c r="AW143" s="43" t="str">
        <f>IF(IFERROR(INDEX(Consulta!$A:$DF,MATCH('MM01'!$B143,Consulta!$C:$C,0),'MM01'!AW$2),"")=0,"",IFERROR(ROUND(INDEX(Consulta!$A:$DF,MATCH('MM01'!$B143,Consulta!$C:$C,0),'MM01'!AW$2),3),""))</f>
        <v/>
      </c>
      <c r="AX143" s="43" t="str">
        <f t="shared" si="84"/>
        <v/>
      </c>
      <c r="AY143" s="48" t="s">
        <v>299</v>
      </c>
      <c r="AZ143" s="48"/>
      <c r="BA143" s="43" t="str">
        <f>IF(IFERROR(INDEX(Consulta!$A:$DF,MATCH('MM01'!$B143,Consulta!$C:$C,0),'MM01'!BA$2),"")=0,"",IFERROR(INDEX(Consulta!$A:$DF,MATCH('MM01'!$B143,Consulta!$C:$C,0),'MM01'!BA$2),""))</f>
        <v/>
      </c>
      <c r="BB143" s="43" t="str">
        <f t="shared" si="85"/>
        <v/>
      </c>
      <c r="BC143" s="43" t="str">
        <f t="shared" si="86"/>
        <v/>
      </c>
      <c r="BD143" s="43" t="str">
        <f t="shared" si="87"/>
        <v/>
      </c>
      <c r="BE143" s="43" t="str">
        <f t="shared" si="88"/>
        <v>M</v>
      </c>
      <c r="BF143" s="43" t="str">
        <f t="shared" si="89"/>
        <v/>
      </c>
      <c r="BG143" s="43" t="str">
        <f t="shared" si="90"/>
        <v/>
      </c>
      <c r="BH143" s="43" t="str">
        <f t="shared" si="91"/>
        <v/>
      </c>
      <c r="BI143" s="43" t="str">
        <f t="shared" si="92"/>
        <v>M</v>
      </c>
      <c r="BK143" s="45" t="s">
        <v>324</v>
      </c>
      <c r="BL143" s="43" t="str">
        <f>IF(IFERROR(INDEX(Consulta!$A:$DF,MATCH('MM01'!$B143,Consulta!$C:$C,0),'MM01'!BL$2),"")=0,"",IFERROR(INDEX(Consulta!$A:$DF,MATCH('MM01'!$B143,Consulta!$C:$C,0),'MM01'!BL$2),""))</f>
        <v/>
      </c>
      <c r="BM143" s="45">
        <v>99</v>
      </c>
      <c r="BN143" s="46" t="str">
        <f t="shared" ca="1" si="93"/>
        <v>28.04.2022</v>
      </c>
      <c r="BO143" s="49" t="str">
        <f t="shared" si="94"/>
        <v/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IF(IFERROR(INDEX(Consulta!$A:$DF,MATCH('MM01'!$B143,Consulta!$C:$C,0),'MM01'!BX$2),"")=0,"",IFERROR(INDEX(Consulta!$A:$DF,MATCH('MM01'!$B143,Consulta!$C:$C,0),'MM01'!BX$2),""))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95"/>
        <v/>
      </c>
      <c r="CD143" s="45" t="s">
        <v>430</v>
      </c>
      <c r="CE143" s="45">
        <v>1</v>
      </c>
      <c r="CF143" s="45" t="s">
        <v>496</v>
      </c>
      <c r="CG143" s="45"/>
      <c r="CH143" s="44">
        <v>2</v>
      </c>
      <c r="CI143" s="49" t="str">
        <f t="shared" si="96"/>
        <v/>
      </c>
      <c r="CJ143" s="49" t="str">
        <f t="shared" si="97"/>
        <v/>
      </c>
      <c r="CK143" s="45"/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8"/>
        <v>K00_P_</v>
      </c>
      <c r="CS143" s="45">
        <v>5000</v>
      </c>
      <c r="CT143" s="43" t="str">
        <f>IF(IFERROR(INDEX(Consulta!$A:$DF,MATCH('MM01'!$B143,Consulta!$C:$C,0),'MM01'!CT$2),"")=0,"",IFERROR(INDEX(Consulta!$A:$DF,MATCH('MM01'!$B143,Consulta!$C:$C,0),'MM01'!CT$2),""))</f>
        <v/>
      </c>
      <c r="CU143" s="43" t="str">
        <f>IF(IFERROR(INDEX(Consulta!$A:$DF,MATCH('MM01'!$B143,Consulta!$C:$C,0),'MM01'!CU$2),"")=0,"",IFERROR(INDEX(Consulta!$A:$DF,MATCH('MM01'!$B143,Consulta!$C:$C,0),'MM01'!CU$2),""))</f>
        <v/>
      </c>
      <c r="CV143" s="43" t="str">
        <f>IF(IFERROR(INDEX(Consulta!$A:$DF,MATCH('MM01'!$B143,Consulta!$C:$C,0),'MM01'!CV$2),"")=0,"",IFERROR(INDEX(Consulta!$A:$DF,MATCH('MM01'!$B143,Consulta!$C:$C,0),'MM01'!CV$2),""))</f>
        <v/>
      </c>
      <c r="CW143" s="43" t="str">
        <f>IF(IFERROR(INDEX(Consulta!$A:$DF,MATCH('MM01'!$B143,Consulta!$C:$C,0),'MM01'!CW$2),"")=0,"",IFERROR(INDEX(Consulta!$A:$DF,MATCH('MM01'!$B143,Consulta!$C:$C,0),'MM01'!CW$2),""))</f>
        <v/>
      </c>
      <c r="CX143" s="43" t="str">
        <f t="shared" si="99"/>
        <v/>
      </c>
      <c r="CY143" s="43" t="str">
        <f t="shared" si="100"/>
        <v/>
      </c>
      <c r="CZ143" s="43" t="str">
        <f t="shared" si="101"/>
        <v/>
      </c>
      <c r="DA143" s="43" t="str">
        <f>IF(IFERROR(INDEX(Consulta!$A:$DF,MATCH('MM01'!$B143,Consulta!$C:$C,0),'MM01'!DA$2),"")=0,"",IFERROR(INDEX(Consulta!$A:$DF,MATCH('MM01'!$B143,Consulta!$C:$C,0),'MM01'!DA$2),""))</f>
        <v/>
      </c>
      <c r="DB143" s="43" t="str">
        <f t="shared" si="102"/>
        <v/>
      </c>
      <c r="DC143" s="43" t="str">
        <f>IF(IFERROR(INDEX(Consulta!$A:$DF,MATCH('MM01'!$B143,Consulta!$C:$C,0),'MM01'!DC$2),"")=0,"",IFERROR(INDEX(Consulta!$A:$DF,MATCH('MM01'!$B143,Consulta!$C:$C,0),'MM01'!DC$2),""))</f>
        <v/>
      </c>
      <c r="DD143" s="45">
        <v>0</v>
      </c>
      <c r="DE143" s="45">
        <v>0</v>
      </c>
      <c r="DF143" s="43" t="str">
        <f t="shared" si="103"/>
        <v/>
      </c>
      <c r="DG143" s="43" t="str">
        <f t="shared" si="104"/>
        <v/>
      </c>
      <c r="DH143" s="55"/>
      <c r="DI143" s="43" t="str">
        <f t="shared" ca="1" si="105"/>
        <v/>
      </c>
      <c r="DJ143" s="43" t="str">
        <f t="shared" si="106"/>
        <v/>
      </c>
      <c r="DK143" s="43" t="str">
        <f t="shared" si="107"/>
        <v/>
      </c>
      <c r="DL143" s="55"/>
      <c r="DM143" s="43" t="str">
        <f t="shared" ca="1" si="108"/>
        <v/>
      </c>
      <c r="DN143" s="43" t="str">
        <f t="shared" si="109"/>
        <v/>
      </c>
      <c r="DO143" s="43" t="str">
        <f t="shared" si="110"/>
        <v/>
      </c>
      <c r="DP143" s="55"/>
      <c r="DQ143" s="43" t="str">
        <f t="shared" ca="1" si="111"/>
        <v/>
      </c>
      <c r="DR143" s="43" t="str">
        <f t="shared" si="112"/>
        <v/>
      </c>
      <c r="DS143" s="43" t="str">
        <f t="shared" si="113"/>
        <v/>
      </c>
      <c r="DT143" s="55"/>
      <c r="DU143" s="43" t="str">
        <f t="shared" ca="1" si="114"/>
        <v/>
      </c>
      <c r="DV143" s="43" t="str">
        <f t="shared" si="115"/>
        <v/>
      </c>
      <c r="DX143" s="44">
        <v>1</v>
      </c>
      <c r="DY143" s="44" t="s">
        <v>774</v>
      </c>
      <c r="DZ143" s="43">
        <f t="shared" si="116"/>
        <v>0.01</v>
      </c>
      <c r="EA143" s="43" t="str">
        <f t="shared" si="117"/>
        <v>M</v>
      </c>
      <c r="EB143" s="43" t="str">
        <f>IF(IFERROR(INDEX(Consulta!$A:$DF,MATCH('MM01'!$B143,Consulta!$C:$C,0),'MM01'!EB$2),"")=0,"7925",IF(IFERROR(INDEX(Consulta!$A:$DF,MATCH('MM01'!$B143,Consulta!$C:$C,0),'MM01'!EB$2),"")="68","7910","7925"))</f>
        <v>7925</v>
      </c>
      <c r="EC143" s="44">
        <v>100</v>
      </c>
      <c r="ED143" s="60">
        <v>1</v>
      </c>
      <c r="EE143" s="43">
        <f t="shared" si="118"/>
        <v>100</v>
      </c>
      <c r="EF143" s="44">
        <v>1</v>
      </c>
      <c r="EG143" s="44">
        <v>0</v>
      </c>
      <c r="EH143" s="44" t="s">
        <v>867</v>
      </c>
      <c r="EI143" s="45">
        <v>0</v>
      </c>
      <c r="EJ143" s="43">
        <f t="shared" si="119"/>
        <v>5000</v>
      </c>
      <c r="EK143" s="65"/>
    </row>
    <row r="144" spans="1:141" x14ac:dyDescent="0.3">
      <c r="A144" s="7" t="str">
        <f t="shared" si="80"/>
        <v>Execução 140</v>
      </c>
      <c r="B144" s="42"/>
      <c r="C144" s="43" t="str">
        <f>IF(IFERROR(INDEX(Consulta!$A:$DF,MATCH('MM01'!$B144,Consulta!$C:$C,0),'MM01'!C$2),"")=0,"",IFERROR(INDEX(Consulta!$A:$DF,MATCH('MM01'!$B144,Consulta!$C:$C,0),'MM01'!C$2),""))</f>
        <v/>
      </c>
      <c r="D144" s="43" t="str">
        <f>IF(IFERROR(INDEX(Consulta!$A:$DF,MATCH('MM01'!$B144,Consulta!$C:$C,0),'MM01'!D$2),"")=0,"",IFERROR(INDEX(Consulta!$A:$DF,MATCH('MM01'!$B144,Consulta!$C:$C,0),'MM01'!D$2),""))</f>
        <v/>
      </c>
      <c r="E144" s="43" t="str">
        <f>IF(IFERROR(INDEX(Consulta!$A:$DF,MATCH('MM01'!$B144,Consulta!$C:$C,0),'MM01'!E$2),"")=0,"",IFERROR(INDEX(Consulta!$A:$DF,MATCH('MM01'!$B144,Consulta!$C:$C,0),'MM01'!E$2),""))</f>
        <v/>
      </c>
      <c r="F144" s="44" t="s">
        <v>100</v>
      </c>
      <c r="G144" s="49" t="str">
        <f>IF(IFERROR(INDEX(Consulta!$A:$DF,MATCH('MM01'!$B144,Consulta!$C:$C,0),'MM01'!G$2),"")=0,"",IFERROR(INDEX(Consulta!$A:$DF,MATCH('MM01'!$B144,Consulta!$C:$C,0),'MM01'!G$2),""))</f>
        <v/>
      </c>
      <c r="H144" s="49" t="str">
        <f>IF(IFERROR(INDEX(Consulta!$A:$DF,MATCH('MM01'!$B144,Consulta!$C:$C,0),'MM01'!H$2),"")=0,"",IFERROR(INDEX(Consulta!$A:$DF,MATCH('MM01'!$B144,Consulta!$C:$C,0),'MM01'!H$2),""))</f>
        <v/>
      </c>
      <c r="I144" s="49" t="str">
        <f t="shared" si="81"/>
        <v/>
      </c>
      <c r="J144" s="49" t="str">
        <f>IF(IFERROR(INDEX(Consulta!$A:$DF,MATCH('MM01'!$B144,Consulta!$C:$C,0),'MM01'!J$2),"")=0,"",IFERROR(INDEX(Consulta!$A:$DF,MATCH('MM01'!$B144,Consulta!$C:$C,0),'MM01'!J$2),""))</f>
        <v/>
      </c>
      <c r="K144" s="49" t="str">
        <f t="shared" si="82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IF(IFERROR(INDEX(Consulta!$A:$DF,MATCH('MM01'!$B144,Consulta!$C:$C,0),'MM01'!AP$2),"")=0,"",IFERROR(INDEX(Consulta!$A:$DF,MATCH('MM01'!$B144,Consulta!$C:$C,0),'MM01'!AP$2),""))</f>
        <v/>
      </c>
      <c r="AQ144" s="45"/>
      <c r="AR144" s="43" t="str">
        <f>IF(IFERROR(INDEX(Consulta!$A:$DF,MATCH('MM01'!$B144,Consulta!$C:$C,0),'MM01'!AR$2),"")=0,"",IFERROR(INDEX(Consulta!$A:$DF,MATCH('MM01'!$B144,Consulta!$C:$C,0),'MM01'!AR$2),""))</f>
        <v/>
      </c>
      <c r="AS144" s="43" t="str">
        <f>IF(IFERROR(INDEX(Consulta!$A:$DF,MATCH('MM01'!$B144,Consulta!$C:$C,0),'MM01'!AS$2),"")=0,"",IF(AR144="68",5102,IFERROR(INDEX(Consulta!$A:$DF,MATCH('MM01'!$B144,Consulta!$C:$C,0),'MM01'!AS$2),"")))</f>
        <v/>
      </c>
      <c r="AT144" s="45"/>
      <c r="AU144" s="46" t="str">
        <f t="shared" ca="1" si="83"/>
        <v/>
      </c>
      <c r="AV144" s="47" t="s">
        <v>796</v>
      </c>
      <c r="AW144" s="43" t="str">
        <f>IF(IFERROR(INDEX(Consulta!$A:$DF,MATCH('MM01'!$B144,Consulta!$C:$C,0),'MM01'!AW$2),"")=0,"",IFERROR(ROUND(INDEX(Consulta!$A:$DF,MATCH('MM01'!$B144,Consulta!$C:$C,0),'MM01'!AW$2),3),""))</f>
        <v/>
      </c>
      <c r="AX144" s="43" t="str">
        <f t="shared" si="84"/>
        <v/>
      </c>
      <c r="AY144" s="48" t="s">
        <v>299</v>
      </c>
      <c r="AZ144" s="48"/>
      <c r="BA144" s="43" t="str">
        <f>IF(IFERROR(INDEX(Consulta!$A:$DF,MATCH('MM01'!$B144,Consulta!$C:$C,0),'MM01'!BA$2),"")=0,"",IFERROR(INDEX(Consulta!$A:$DF,MATCH('MM01'!$B144,Consulta!$C:$C,0),'MM01'!BA$2),""))</f>
        <v/>
      </c>
      <c r="BB144" s="43" t="str">
        <f t="shared" si="85"/>
        <v/>
      </c>
      <c r="BC144" s="43" t="str">
        <f t="shared" si="86"/>
        <v/>
      </c>
      <c r="BD144" s="43" t="str">
        <f t="shared" si="87"/>
        <v/>
      </c>
      <c r="BE144" s="43" t="str">
        <f t="shared" si="88"/>
        <v>M</v>
      </c>
      <c r="BF144" s="43" t="str">
        <f t="shared" si="89"/>
        <v/>
      </c>
      <c r="BG144" s="43" t="str">
        <f t="shared" si="90"/>
        <v/>
      </c>
      <c r="BH144" s="43" t="str">
        <f t="shared" si="91"/>
        <v/>
      </c>
      <c r="BI144" s="43" t="str">
        <f t="shared" si="92"/>
        <v>M</v>
      </c>
      <c r="BK144" s="45" t="s">
        <v>324</v>
      </c>
      <c r="BL144" s="43" t="str">
        <f>IF(IFERROR(INDEX(Consulta!$A:$DF,MATCH('MM01'!$B144,Consulta!$C:$C,0),'MM01'!BL$2),"")=0,"",IFERROR(INDEX(Consulta!$A:$DF,MATCH('MM01'!$B144,Consulta!$C:$C,0),'MM01'!BL$2),""))</f>
        <v/>
      </c>
      <c r="BM144" s="45">
        <v>99</v>
      </c>
      <c r="BN144" s="46" t="str">
        <f t="shared" ca="1" si="93"/>
        <v>28.04.2022</v>
      </c>
      <c r="BO144" s="49" t="str">
        <f t="shared" si="94"/>
        <v/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IF(IFERROR(INDEX(Consulta!$A:$DF,MATCH('MM01'!$B144,Consulta!$C:$C,0),'MM01'!BX$2),"")=0,"",IFERROR(INDEX(Consulta!$A:$DF,MATCH('MM01'!$B144,Consulta!$C:$C,0),'MM01'!BX$2),""))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95"/>
        <v/>
      </c>
      <c r="CD144" s="45" t="s">
        <v>430</v>
      </c>
      <c r="CE144" s="45">
        <v>1</v>
      </c>
      <c r="CF144" s="45" t="s">
        <v>496</v>
      </c>
      <c r="CG144" s="45"/>
      <c r="CH144" s="44">
        <v>2</v>
      </c>
      <c r="CI144" s="49" t="str">
        <f t="shared" si="96"/>
        <v/>
      </c>
      <c r="CJ144" s="49" t="str">
        <f t="shared" si="97"/>
        <v/>
      </c>
      <c r="CK144" s="45"/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8"/>
        <v>K00_P_</v>
      </c>
      <c r="CS144" s="45">
        <v>5000</v>
      </c>
      <c r="CT144" s="43" t="str">
        <f>IF(IFERROR(INDEX(Consulta!$A:$DF,MATCH('MM01'!$B144,Consulta!$C:$C,0),'MM01'!CT$2),"")=0,"",IFERROR(INDEX(Consulta!$A:$DF,MATCH('MM01'!$B144,Consulta!$C:$C,0),'MM01'!CT$2),""))</f>
        <v/>
      </c>
      <c r="CU144" s="43" t="str">
        <f>IF(IFERROR(INDEX(Consulta!$A:$DF,MATCH('MM01'!$B144,Consulta!$C:$C,0),'MM01'!CU$2),"")=0,"",IFERROR(INDEX(Consulta!$A:$DF,MATCH('MM01'!$B144,Consulta!$C:$C,0),'MM01'!CU$2),""))</f>
        <v/>
      </c>
      <c r="CV144" s="43" t="str">
        <f>IF(IFERROR(INDEX(Consulta!$A:$DF,MATCH('MM01'!$B144,Consulta!$C:$C,0),'MM01'!CV$2),"")=0,"",IFERROR(INDEX(Consulta!$A:$DF,MATCH('MM01'!$B144,Consulta!$C:$C,0),'MM01'!CV$2),""))</f>
        <v/>
      </c>
      <c r="CW144" s="43" t="str">
        <f>IF(IFERROR(INDEX(Consulta!$A:$DF,MATCH('MM01'!$B144,Consulta!$C:$C,0),'MM01'!CW$2),"")=0,"",IFERROR(INDEX(Consulta!$A:$DF,MATCH('MM01'!$B144,Consulta!$C:$C,0),'MM01'!CW$2),""))</f>
        <v/>
      </c>
      <c r="CX144" s="43" t="str">
        <f t="shared" si="99"/>
        <v/>
      </c>
      <c r="CY144" s="43" t="str">
        <f t="shared" si="100"/>
        <v/>
      </c>
      <c r="CZ144" s="43" t="str">
        <f t="shared" si="101"/>
        <v/>
      </c>
      <c r="DA144" s="43" t="str">
        <f>IF(IFERROR(INDEX(Consulta!$A:$DF,MATCH('MM01'!$B144,Consulta!$C:$C,0),'MM01'!DA$2),"")=0,"",IFERROR(INDEX(Consulta!$A:$DF,MATCH('MM01'!$B144,Consulta!$C:$C,0),'MM01'!DA$2),""))</f>
        <v/>
      </c>
      <c r="DB144" s="43" t="str">
        <f t="shared" si="102"/>
        <v/>
      </c>
      <c r="DC144" s="43" t="str">
        <f>IF(IFERROR(INDEX(Consulta!$A:$DF,MATCH('MM01'!$B144,Consulta!$C:$C,0),'MM01'!DC$2),"")=0,"",IFERROR(INDEX(Consulta!$A:$DF,MATCH('MM01'!$B144,Consulta!$C:$C,0),'MM01'!DC$2),""))</f>
        <v/>
      </c>
      <c r="DD144" s="45">
        <v>0</v>
      </c>
      <c r="DE144" s="45">
        <v>0</v>
      </c>
      <c r="DF144" s="43" t="str">
        <f t="shared" si="103"/>
        <v/>
      </c>
      <c r="DG144" s="43" t="str">
        <f t="shared" si="104"/>
        <v/>
      </c>
      <c r="DH144" s="55"/>
      <c r="DI144" s="43" t="str">
        <f t="shared" ca="1" si="105"/>
        <v/>
      </c>
      <c r="DJ144" s="43" t="str">
        <f t="shared" si="106"/>
        <v/>
      </c>
      <c r="DK144" s="43" t="str">
        <f t="shared" si="107"/>
        <v/>
      </c>
      <c r="DL144" s="55"/>
      <c r="DM144" s="43" t="str">
        <f t="shared" ca="1" si="108"/>
        <v/>
      </c>
      <c r="DN144" s="43" t="str">
        <f t="shared" si="109"/>
        <v/>
      </c>
      <c r="DO144" s="43" t="str">
        <f t="shared" si="110"/>
        <v/>
      </c>
      <c r="DP144" s="55"/>
      <c r="DQ144" s="43" t="str">
        <f t="shared" ca="1" si="111"/>
        <v/>
      </c>
      <c r="DR144" s="43" t="str">
        <f t="shared" si="112"/>
        <v/>
      </c>
      <c r="DS144" s="43" t="str">
        <f t="shared" si="113"/>
        <v/>
      </c>
      <c r="DT144" s="55"/>
      <c r="DU144" s="43" t="str">
        <f t="shared" ca="1" si="114"/>
        <v/>
      </c>
      <c r="DV144" s="43" t="str">
        <f t="shared" si="115"/>
        <v/>
      </c>
      <c r="DX144" s="44">
        <v>1</v>
      </c>
      <c r="DY144" s="44" t="s">
        <v>774</v>
      </c>
      <c r="DZ144" s="43">
        <f t="shared" si="116"/>
        <v>0.01</v>
      </c>
      <c r="EA144" s="43" t="str">
        <f t="shared" si="117"/>
        <v>M</v>
      </c>
      <c r="EB144" s="43" t="str">
        <f>IF(IFERROR(INDEX(Consulta!$A:$DF,MATCH('MM01'!$B144,Consulta!$C:$C,0),'MM01'!EB$2),"")=0,"7925",IF(IFERROR(INDEX(Consulta!$A:$DF,MATCH('MM01'!$B144,Consulta!$C:$C,0),'MM01'!EB$2),"")="68","7910","7925"))</f>
        <v>7925</v>
      </c>
      <c r="EC144" s="44">
        <v>100</v>
      </c>
      <c r="ED144" s="60">
        <v>1</v>
      </c>
      <c r="EE144" s="43">
        <f t="shared" si="118"/>
        <v>100</v>
      </c>
      <c r="EF144" s="44">
        <v>1</v>
      </c>
      <c r="EG144" s="44">
        <v>0</v>
      </c>
      <c r="EH144" s="44" t="s">
        <v>867</v>
      </c>
      <c r="EI144" s="45">
        <v>0</v>
      </c>
      <c r="EJ144" s="43">
        <f t="shared" si="119"/>
        <v>5000</v>
      </c>
      <c r="EK144" s="65"/>
    </row>
    <row r="145" spans="1:141" x14ac:dyDescent="0.3">
      <c r="A145" s="7" t="str">
        <f t="shared" si="80"/>
        <v>Execução 141</v>
      </c>
      <c r="B145" s="42"/>
      <c r="C145" s="43" t="str">
        <f>IF(IFERROR(INDEX(Consulta!$A:$DF,MATCH('MM01'!$B145,Consulta!$C:$C,0),'MM01'!C$2),"")=0,"",IFERROR(INDEX(Consulta!$A:$DF,MATCH('MM01'!$B145,Consulta!$C:$C,0),'MM01'!C$2),""))</f>
        <v/>
      </c>
      <c r="D145" s="43" t="str">
        <f>IF(IFERROR(INDEX(Consulta!$A:$DF,MATCH('MM01'!$B145,Consulta!$C:$C,0),'MM01'!D$2),"")=0,"",IFERROR(INDEX(Consulta!$A:$DF,MATCH('MM01'!$B145,Consulta!$C:$C,0),'MM01'!D$2),""))</f>
        <v/>
      </c>
      <c r="E145" s="43" t="str">
        <f>IF(IFERROR(INDEX(Consulta!$A:$DF,MATCH('MM01'!$B145,Consulta!$C:$C,0),'MM01'!E$2),"")=0,"",IFERROR(INDEX(Consulta!$A:$DF,MATCH('MM01'!$B145,Consulta!$C:$C,0),'MM01'!E$2),""))</f>
        <v/>
      </c>
      <c r="F145" s="44" t="s">
        <v>100</v>
      </c>
      <c r="G145" s="49" t="str">
        <f>IF(IFERROR(INDEX(Consulta!$A:$DF,MATCH('MM01'!$B145,Consulta!$C:$C,0),'MM01'!G$2),"")=0,"",IFERROR(INDEX(Consulta!$A:$DF,MATCH('MM01'!$B145,Consulta!$C:$C,0),'MM01'!G$2),""))</f>
        <v/>
      </c>
      <c r="H145" s="49" t="str">
        <f>IF(IFERROR(INDEX(Consulta!$A:$DF,MATCH('MM01'!$B145,Consulta!$C:$C,0),'MM01'!H$2),"")=0,"",IFERROR(INDEX(Consulta!$A:$DF,MATCH('MM01'!$B145,Consulta!$C:$C,0),'MM01'!H$2),""))</f>
        <v/>
      </c>
      <c r="I145" s="49" t="str">
        <f t="shared" si="81"/>
        <v/>
      </c>
      <c r="J145" s="49" t="str">
        <f>IF(IFERROR(INDEX(Consulta!$A:$DF,MATCH('MM01'!$B145,Consulta!$C:$C,0),'MM01'!J$2),"")=0,"",IFERROR(INDEX(Consulta!$A:$DF,MATCH('MM01'!$B145,Consulta!$C:$C,0),'MM01'!J$2),""))</f>
        <v/>
      </c>
      <c r="K145" s="49" t="str">
        <f t="shared" si="82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IF(IFERROR(INDEX(Consulta!$A:$DF,MATCH('MM01'!$B145,Consulta!$C:$C,0),'MM01'!AP$2),"")=0,"",IFERROR(INDEX(Consulta!$A:$DF,MATCH('MM01'!$B145,Consulta!$C:$C,0),'MM01'!AP$2),""))</f>
        <v/>
      </c>
      <c r="AQ145" s="45"/>
      <c r="AR145" s="43" t="str">
        <f>IF(IFERROR(INDEX(Consulta!$A:$DF,MATCH('MM01'!$B145,Consulta!$C:$C,0),'MM01'!AR$2),"")=0,"",IFERROR(INDEX(Consulta!$A:$DF,MATCH('MM01'!$B145,Consulta!$C:$C,0),'MM01'!AR$2),""))</f>
        <v/>
      </c>
      <c r="AS145" s="43" t="str">
        <f>IF(IFERROR(INDEX(Consulta!$A:$DF,MATCH('MM01'!$B145,Consulta!$C:$C,0),'MM01'!AS$2),"")=0,"",IF(AR145="68",5102,IFERROR(INDEX(Consulta!$A:$DF,MATCH('MM01'!$B145,Consulta!$C:$C,0),'MM01'!AS$2),"")))</f>
        <v/>
      </c>
      <c r="AT145" s="45"/>
      <c r="AU145" s="46" t="str">
        <f t="shared" ca="1" si="83"/>
        <v/>
      </c>
      <c r="AV145" s="47" t="s">
        <v>796</v>
      </c>
      <c r="AW145" s="43" t="str">
        <f>IF(IFERROR(INDEX(Consulta!$A:$DF,MATCH('MM01'!$B145,Consulta!$C:$C,0),'MM01'!AW$2),"")=0,"",IFERROR(ROUND(INDEX(Consulta!$A:$DF,MATCH('MM01'!$B145,Consulta!$C:$C,0),'MM01'!AW$2),3),""))</f>
        <v/>
      </c>
      <c r="AX145" s="43" t="str">
        <f t="shared" si="84"/>
        <v/>
      </c>
      <c r="AY145" s="48" t="s">
        <v>299</v>
      </c>
      <c r="AZ145" s="48"/>
      <c r="BA145" s="43" t="str">
        <f>IF(IFERROR(INDEX(Consulta!$A:$DF,MATCH('MM01'!$B145,Consulta!$C:$C,0),'MM01'!BA$2),"")=0,"",IFERROR(INDEX(Consulta!$A:$DF,MATCH('MM01'!$B145,Consulta!$C:$C,0),'MM01'!BA$2),""))</f>
        <v/>
      </c>
      <c r="BB145" s="43" t="str">
        <f t="shared" si="85"/>
        <v/>
      </c>
      <c r="BC145" s="43" t="str">
        <f t="shared" si="86"/>
        <v/>
      </c>
      <c r="BD145" s="43" t="str">
        <f t="shared" si="87"/>
        <v/>
      </c>
      <c r="BE145" s="43" t="str">
        <f t="shared" si="88"/>
        <v>M</v>
      </c>
      <c r="BF145" s="43" t="str">
        <f t="shared" si="89"/>
        <v/>
      </c>
      <c r="BG145" s="43" t="str">
        <f t="shared" si="90"/>
        <v/>
      </c>
      <c r="BH145" s="43" t="str">
        <f t="shared" si="91"/>
        <v/>
      </c>
      <c r="BI145" s="43" t="str">
        <f t="shared" si="92"/>
        <v>M</v>
      </c>
      <c r="BK145" s="45" t="s">
        <v>324</v>
      </c>
      <c r="BL145" s="43" t="str">
        <f>IF(IFERROR(INDEX(Consulta!$A:$DF,MATCH('MM01'!$B145,Consulta!$C:$C,0),'MM01'!BL$2),"")=0,"",IFERROR(INDEX(Consulta!$A:$DF,MATCH('MM01'!$B145,Consulta!$C:$C,0),'MM01'!BL$2),""))</f>
        <v/>
      </c>
      <c r="BM145" s="45">
        <v>99</v>
      </c>
      <c r="BN145" s="46" t="str">
        <f t="shared" ca="1" si="93"/>
        <v>28.04.2022</v>
      </c>
      <c r="BO145" s="49" t="str">
        <f t="shared" si="94"/>
        <v/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IF(IFERROR(INDEX(Consulta!$A:$DF,MATCH('MM01'!$B145,Consulta!$C:$C,0),'MM01'!BX$2),"")=0,"",IFERROR(INDEX(Consulta!$A:$DF,MATCH('MM01'!$B145,Consulta!$C:$C,0),'MM01'!BX$2),""))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95"/>
        <v/>
      </c>
      <c r="CD145" s="45" t="s">
        <v>430</v>
      </c>
      <c r="CE145" s="45">
        <v>1</v>
      </c>
      <c r="CF145" s="45" t="s">
        <v>496</v>
      </c>
      <c r="CG145" s="45"/>
      <c r="CH145" s="44">
        <v>2</v>
      </c>
      <c r="CI145" s="49" t="str">
        <f t="shared" si="96"/>
        <v/>
      </c>
      <c r="CJ145" s="49" t="str">
        <f t="shared" si="97"/>
        <v/>
      </c>
      <c r="CK145" s="45"/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8"/>
        <v>K00_P_</v>
      </c>
      <c r="CS145" s="45">
        <v>5000</v>
      </c>
      <c r="CT145" s="43" t="str">
        <f>IF(IFERROR(INDEX(Consulta!$A:$DF,MATCH('MM01'!$B145,Consulta!$C:$C,0),'MM01'!CT$2),"")=0,"",IFERROR(INDEX(Consulta!$A:$DF,MATCH('MM01'!$B145,Consulta!$C:$C,0),'MM01'!CT$2),""))</f>
        <v/>
      </c>
      <c r="CU145" s="43" t="str">
        <f>IF(IFERROR(INDEX(Consulta!$A:$DF,MATCH('MM01'!$B145,Consulta!$C:$C,0),'MM01'!CU$2),"")=0,"",IFERROR(INDEX(Consulta!$A:$DF,MATCH('MM01'!$B145,Consulta!$C:$C,0),'MM01'!CU$2),""))</f>
        <v/>
      </c>
      <c r="CV145" s="43" t="str">
        <f>IF(IFERROR(INDEX(Consulta!$A:$DF,MATCH('MM01'!$B145,Consulta!$C:$C,0),'MM01'!CV$2),"")=0,"",IFERROR(INDEX(Consulta!$A:$DF,MATCH('MM01'!$B145,Consulta!$C:$C,0),'MM01'!CV$2),""))</f>
        <v/>
      </c>
      <c r="CW145" s="43" t="str">
        <f>IF(IFERROR(INDEX(Consulta!$A:$DF,MATCH('MM01'!$B145,Consulta!$C:$C,0),'MM01'!CW$2),"")=0,"",IFERROR(INDEX(Consulta!$A:$DF,MATCH('MM01'!$B145,Consulta!$C:$C,0),'MM01'!CW$2),""))</f>
        <v/>
      </c>
      <c r="CX145" s="43" t="str">
        <f t="shared" si="99"/>
        <v/>
      </c>
      <c r="CY145" s="43" t="str">
        <f t="shared" si="100"/>
        <v/>
      </c>
      <c r="CZ145" s="43" t="str">
        <f t="shared" si="101"/>
        <v/>
      </c>
      <c r="DA145" s="43" t="str">
        <f>IF(IFERROR(INDEX(Consulta!$A:$DF,MATCH('MM01'!$B145,Consulta!$C:$C,0),'MM01'!DA$2),"")=0,"",IFERROR(INDEX(Consulta!$A:$DF,MATCH('MM01'!$B145,Consulta!$C:$C,0),'MM01'!DA$2),""))</f>
        <v/>
      </c>
      <c r="DB145" s="43" t="str">
        <f t="shared" si="102"/>
        <v/>
      </c>
      <c r="DC145" s="43" t="str">
        <f>IF(IFERROR(INDEX(Consulta!$A:$DF,MATCH('MM01'!$B145,Consulta!$C:$C,0),'MM01'!DC$2),"")=0,"",IFERROR(INDEX(Consulta!$A:$DF,MATCH('MM01'!$B145,Consulta!$C:$C,0),'MM01'!DC$2),""))</f>
        <v/>
      </c>
      <c r="DD145" s="45">
        <v>0</v>
      </c>
      <c r="DE145" s="45">
        <v>0</v>
      </c>
      <c r="DF145" s="43" t="str">
        <f t="shared" si="103"/>
        <v/>
      </c>
      <c r="DG145" s="43" t="str">
        <f t="shared" si="104"/>
        <v/>
      </c>
      <c r="DH145" s="55"/>
      <c r="DI145" s="43" t="str">
        <f t="shared" ca="1" si="105"/>
        <v/>
      </c>
      <c r="DJ145" s="43" t="str">
        <f t="shared" si="106"/>
        <v/>
      </c>
      <c r="DK145" s="43" t="str">
        <f t="shared" si="107"/>
        <v/>
      </c>
      <c r="DL145" s="55"/>
      <c r="DM145" s="43" t="str">
        <f t="shared" ca="1" si="108"/>
        <v/>
      </c>
      <c r="DN145" s="43" t="str">
        <f t="shared" si="109"/>
        <v/>
      </c>
      <c r="DO145" s="43" t="str">
        <f t="shared" si="110"/>
        <v/>
      </c>
      <c r="DP145" s="55"/>
      <c r="DQ145" s="43" t="str">
        <f t="shared" ca="1" si="111"/>
        <v/>
      </c>
      <c r="DR145" s="43" t="str">
        <f t="shared" si="112"/>
        <v/>
      </c>
      <c r="DS145" s="43" t="str">
        <f t="shared" si="113"/>
        <v/>
      </c>
      <c r="DT145" s="55"/>
      <c r="DU145" s="43" t="str">
        <f t="shared" ca="1" si="114"/>
        <v/>
      </c>
      <c r="DV145" s="43" t="str">
        <f t="shared" si="115"/>
        <v/>
      </c>
      <c r="DX145" s="44">
        <v>1</v>
      </c>
      <c r="DY145" s="44" t="s">
        <v>774</v>
      </c>
      <c r="DZ145" s="43">
        <f t="shared" si="116"/>
        <v>0.01</v>
      </c>
      <c r="EA145" s="43" t="str">
        <f t="shared" si="117"/>
        <v>M</v>
      </c>
      <c r="EB145" s="43" t="str">
        <f>IF(IFERROR(INDEX(Consulta!$A:$DF,MATCH('MM01'!$B145,Consulta!$C:$C,0),'MM01'!EB$2),"")=0,"7925",IF(IFERROR(INDEX(Consulta!$A:$DF,MATCH('MM01'!$B145,Consulta!$C:$C,0),'MM01'!EB$2),"")="68","7910","7925"))</f>
        <v>7925</v>
      </c>
      <c r="EC145" s="44">
        <v>100</v>
      </c>
      <c r="ED145" s="60">
        <v>1</v>
      </c>
      <c r="EE145" s="43">
        <f t="shared" si="118"/>
        <v>100</v>
      </c>
      <c r="EF145" s="44">
        <v>1</v>
      </c>
      <c r="EG145" s="44">
        <v>0</v>
      </c>
      <c r="EH145" s="44" t="s">
        <v>867</v>
      </c>
      <c r="EI145" s="45">
        <v>0</v>
      </c>
      <c r="EJ145" s="43">
        <f t="shared" si="119"/>
        <v>5000</v>
      </c>
      <c r="EK145" s="65"/>
    </row>
    <row r="146" spans="1:141" x14ac:dyDescent="0.3">
      <c r="A146" s="7" t="str">
        <f t="shared" si="80"/>
        <v>Execução 142</v>
      </c>
      <c r="B146" s="42"/>
      <c r="C146" s="43" t="str">
        <f>IF(IFERROR(INDEX(Consulta!$A:$DF,MATCH('MM01'!$B146,Consulta!$C:$C,0),'MM01'!C$2),"")=0,"",IFERROR(INDEX(Consulta!$A:$DF,MATCH('MM01'!$B146,Consulta!$C:$C,0),'MM01'!C$2),""))</f>
        <v/>
      </c>
      <c r="D146" s="43" t="str">
        <f>IF(IFERROR(INDEX(Consulta!$A:$DF,MATCH('MM01'!$B146,Consulta!$C:$C,0),'MM01'!D$2),"")=0,"",IFERROR(INDEX(Consulta!$A:$DF,MATCH('MM01'!$B146,Consulta!$C:$C,0),'MM01'!D$2),""))</f>
        <v/>
      </c>
      <c r="E146" s="43" t="str">
        <f>IF(IFERROR(INDEX(Consulta!$A:$DF,MATCH('MM01'!$B146,Consulta!$C:$C,0),'MM01'!E$2),"")=0,"",IFERROR(INDEX(Consulta!$A:$DF,MATCH('MM01'!$B146,Consulta!$C:$C,0),'MM01'!E$2),""))</f>
        <v/>
      </c>
      <c r="F146" s="44" t="s">
        <v>100</v>
      </c>
      <c r="G146" s="49" t="str">
        <f>IF(IFERROR(INDEX(Consulta!$A:$DF,MATCH('MM01'!$B146,Consulta!$C:$C,0),'MM01'!G$2),"")=0,"",IFERROR(INDEX(Consulta!$A:$DF,MATCH('MM01'!$B146,Consulta!$C:$C,0),'MM01'!G$2),""))</f>
        <v/>
      </c>
      <c r="H146" s="49" t="str">
        <f>IF(IFERROR(INDEX(Consulta!$A:$DF,MATCH('MM01'!$B146,Consulta!$C:$C,0),'MM01'!H$2),"")=0,"",IFERROR(INDEX(Consulta!$A:$DF,MATCH('MM01'!$B146,Consulta!$C:$C,0),'MM01'!H$2),""))</f>
        <v/>
      </c>
      <c r="I146" s="49" t="str">
        <f t="shared" si="81"/>
        <v/>
      </c>
      <c r="J146" s="49" t="str">
        <f>IF(IFERROR(INDEX(Consulta!$A:$DF,MATCH('MM01'!$B146,Consulta!$C:$C,0),'MM01'!J$2),"")=0,"",IFERROR(INDEX(Consulta!$A:$DF,MATCH('MM01'!$B146,Consulta!$C:$C,0),'MM01'!J$2),""))</f>
        <v/>
      </c>
      <c r="K146" s="49" t="str">
        <f t="shared" si="82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IF(IFERROR(INDEX(Consulta!$A:$DF,MATCH('MM01'!$B146,Consulta!$C:$C,0),'MM01'!AP$2),"")=0,"",IFERROR(INDEX(Consulta!$A:$DF,MATCH('MM01'!$B146,Consulta!$C:$C,0),'MM01'!AP$2),""))</f>
        <v/>
      </c>
      <c r="AQ146" s="45"/>
      <c r="AR146" s="43" t="str">
        <f>IF(IFERROR(INDEX(Consulta!$A:$DF,MATCH('MM01'!$B146,Consulta!$C:$C,0),'MM01'!AR$2),"")=0,"",IFERROR(INDEX(Consulta!$A:$DF,MATCH('MM01'!$B146,Consulta!$C:$C,0),'MM01'!AR$2),""))</f>
        <v/>
      </c>
      <c r="AS146" s="43" t="str">
        <f>IF(IFERROR(INDEX(Consulta!$A:$DF,MATCH('MM01'!$B146,Consulta!$C:$C,0),'MM01'!AS$2),"")=0,"",IF(AR146="68",5102,IFERROR(INDEX(Consulta!$A:$DF,MATCH('MM01'!$B146,Consulta!$C:$C,0),'MM01'!AS$2),"")))</f>
        <v/>
      </c>
      <c r="AT146" s="45"/>
      <c r="AU146" s="46" t="str">
        <f t="shared" ca="1" si="83"/>
        <v/>
      </c>
      <c r="AV146" s="47" t="s">
        <v>796</v>
      </c>
      <c r="AW146" s="43" t="str">
        <f>IF(IFERROR(INDEX(Consulta!$A:$DF,MATCH('MM01'!$B146,Consulta!$C:$C,0),'MM01'!AW$2),"")=0,"",IFERROR(ROUND(INDEX(Consulta!$A:$DF,MATCH('MM01'!$B146,Consulta!$C:$C,0),'MM01'!AW$2),3),""))</f>
        <v/>
      </c>
      <c r="AX146" s="43" t="str">
        <f t="shared" si="84"/>
        <v/>
      </c>
      <c r="AY146" s="48" t="s">
        <v>299</v>
      </c>
      <c r="AZ146" s="48"/>
      <c r="BA146" s="43" t="str">
        <f>IF(IFERROR(INDEX(Consulta!$A:$DF,MATCH('MM01'!$B146,Consulta!$C:$C,0),'MM01'!BA$2),"")=0,"",IFERROR(INDEX(Consulta!$A:$DF,MATCH('MM01'!$B146,Consulta!$C:$C,0),'MM01'!BA$2),""))</f>
        <v/>
      </c>
      <c r="BB146" s="43" t="str">
        <f t="shared" si="85"/>
        <v/>
      </c>
      <c r="BC146" s="43" t="str">
        <f t="shared" si="86"/>
        <v/>
      </c>
      <c r="BD146" s="43" t="str">
        <f t="shared" si="87"/>
        <v/>
      </c>
      <c r="BE146" s="43" t="str">
        <f t="shared" si="88"/>
        <v>M</v>
      </c>
      <c r="BF146" s="43" t="str">
        <f t="shared" si="89"/>
        <v/>
      </c>
      <c r="BG146" s="43" t="str">
        <f t="shared" si="90"/>
        <v/>
      </c>
      <c r="BH146" s="43" t="str">
        <f t="shared" si="91"/>
        <v/>
      </c>
      <c r="BI146" s="43" t="str">
        <f t="shared" si="92"/>
        <v>M</v>
      </c>
      <c r="BK146" s="45" t="s">
        <v>324</v>
      </c>
      <c r="BL146" s="43" t="str">
        <f>IF(IFERROR(INDEX(Consulta!$A:$DF,MATCH('MM01'!$B146,Consulta!$C:$C,0),'MM01'!BL$2),"")=0,"",IFERROR(INDEX(Consulta!$A:$DF,MATCH('MM01'!$B146,Consulta!$C:$C,0),'MM01'!BL$2),""))</f>
        <v/>
      </c>
      <c r="BM146" s="45">
        <v>99</v>
      </c>
      <c r="BN146" s="46" t="str">
        <f t="shared" ca="1" si="93"/>
        <v>28.04.2022</v>
      </c>
      <c r="BO146" s="49" t="str">
        <f t="shared" si="94"/>
        <v/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IF(IFERROR(INDEX(Consulta!$A:$DF,MATCH('MM01'!$B146,Consulta!$C:$C,0),'MM01'!BX$2),"")=0,"",IFERROR(INDEX(Consulta!$A:$DF,MATCH('MM01'!$B146,Consulta!$C:$C,0),'MM01'!BX$2),""))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95"/>
        <v/>
      </c>
      <c r="CD146" s="45" t="s">
        <v>430</v>
      </c>
      <c r="CE146" s="45">
        <v>1</v>
      </c>
      <c r="CF146" s="45" t="s">
        <v>496</v>
      </c>
      <c r="CG146" s="45"/>
      <c r="CH146" s="44">
        <v>2</v>
      </c>
      <c r="CI146" s="49" t="str">
        <f t="shared" si="96"/>
        <v/>
      </c>
      <c r="CJ146" s="49" t="str">
        <f t="shared" si="97"/>
        <v/>
      </c>
      <c r="CK146" s="45"/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8"/>
        <v>K00_P_</v>
      </c>
      <c r="CS146" s="45">
        <v>5000</v>
      </c>
      <c r="CT146" s="43" t="str">
        <f>IF(IFERROR(INDEX(Consulta!$A:$DF,MATCH('MM01'!$B146,Consulta!$C:$C,0),'MM01'!CT$2),"")=0,"",IFERROR(INDEX(Consulta!$A:$DF,MATCH('MM01'!$B146,Consulta!$C:$C,0),'MM01'!CT$2),""))</f>
        <v/>
      </c>
      <c r="CU146" s="43" t="str">
        <f>IF(IFERROR(INDEX(Consulta!$A:$DF,MATCH('MM01'!$B146,Consulta!$C:$C,0),'MM01'!CU$2),"")=0,"",IFERROR(INDEX(Consulta!$A:$DF,MATCH('MM01'!$B146,Consulta!$C:$C,0),'MM01'!CU$2),""))</f>
        <v/>
      </c>
      <c r="CV146" s="43" t="str">
        <f>IF(IFERROR(INDEX(Consulta!$A:$DF,MATCH('MM01'!$B146,Consulta!$C:$C,0),'MM01'!CV$2),"")=0,"",IFERROR(INDEX(Consulta!$A:$DF,MATCH('MM01'!$B146,Consulta!$C:$C,0),'MM01'!CV$2),""))</f>
        <v/>
      </c>
      <c r="CW146" s="43" t="str">
        <f>IF(IFERROR(INDEX(Consulta!$A:$DF,MATCH('MM01'!$B146,Consulta!$C:$C,0),'MM01'!CW$2),"")=0,"",IFERROR(INDEX(Consulta!$A:$DF,MATCH('MM01'!$B146,Consulta!$C:$C,0),'MM01'!CW$2),""))</f>
        <v/>
      </c>
      <c r="CX146" s="43" t="str">
        <f t="shared" si="99"/>
        <v/>
      </c>
      <c r="CY146" s="43" t="str">
        <f t="shared" si="100"/>
        <v/>
      </c>
      <c r="CZ146" s="43" t="str">
        <f t="shared" si="101"/>
        <v/>
      </c>
      <c r="DA146" s="43" t="str">
        <f>IF(IFERROR(INDEX(Consulta!$A:$DF,MATCH('MM01'!$B146,Consulta!$C:$C,0),'MM01'!DA$2),"")=0,"",IFERROR(INDEX(Consulta!$A:$DF,MATCH('MM01'!$B146,Consulta!$C:$C,0),'MM01'!DA$2),""))</f>
        <v/>
      </c>
      <c r="DB146" s="43" t="str">
        <f t="shared" si="102"/>
        <v/>
      </c>
      <c r="DC146" s="43" t="str">
        <f>IF(IFERROR(INDEX(Consulta!$A:$DF,MATCH('MM01'!$B146,Consulta!$C:$C,0),'MM01'!DC$2),"")=0,"",IFERROR(INDEX(Consulta!$A:$DF,MATCH('MM01'!$B146,Consulta!$C:$C,0),'MM01'!DC$2),""))</f>
        <v/>
      </c>
      <c r="DD146" s="45">
        <v>0</v>
      </c>
      <c r="DE146" s="45">
        <v>0</v>
      </c>
      <c r="DF146" s="43" t="str">
        <f t="shared" si="103"/>
        <v/>
      </c>
      <c r="DG146" s="43" t="str">
        <f t="shared" si="104"/>
        <v/>
      </c>
      <c r="DH146" s="55"/>
      <c r="DI146" s="43" t="str">
        <f t="shared" ca="1" si="105"/>
        <v/>
      </c>
      <c r="DJ146" s="43" t="str">
        <f t="shared" si="106"/>
        <v/>
      </c>
      <c r="DK146" s="43" t="str">
        <f t="shared" si="107"/>
        <v/>
      </c>
      <c r="DL146" s="55"/>
      <c r="DM146" s="43" t="str">
        <f t="shared" ca="1" si="108"/>
        <v/>
      </c>
      <c r="DN146" s="43" t="str">
        <f t="shared" si="109"/>
        <v/>
      </c>
      <c r="DO146" s="43" t="str">
        <f t="shared" si="110"/>
        <v/>
      </c>
      <c r="DP146" s="55"/>
      <c r="DQ146" s="43" t="str">
        <f t="shared" ca="1" si="111"/>
        <v/>
      </c>
      <c r="DR146" s="43" t="str">
        <f t="shared" si="112"/>
        <v/>
      </c>
      <c r="DS146" s="43" t="str">
        <f t="shared" si="113"/>
        <v/>
      </c>
      <c r="DT146" s="55"/>
      <c r="DU146" s="43" t="str">
        <f t="shared" ca="1" si="114"/>
        <v/>
      </c>
      <c r="DV146" s="43" t="str">
        <f t="shared" si="115"/>
        <v/>
      </c>
      <c r="DX146" s="44">
        <v>1</v>
      </c>
      <c r="DY146" s="44" t="s">
        <v>774</v>
      </c>
      <c r="DZ146" s="43">
        <f t="shared" si="116"/>
        <v>0.01</v>
      </c>
      <c r="EA146" s="43" t="str">
        <f t="shared" si="117"/>
        <v>M</v>
      </c>
      <c r="EB146" s="43" t="str">
        <f>IF(IFERROR(INDEX(Consulta!$A:$DF,MATCH('MM01'!$B146,Consulta!$C:$C,0),'MM01'!EB$2),"")=0,"7925",IF(IFERROR(INDEX(Consulta!$A:$DF,MATCH('MM01'!$B146,Consulta!$C:$C,0),'MM01'!EB$2),"")="68","7910","7925"))</f>
        <v>7925</v>
      </c>
      <c r="EC146" s="44">
        <v>100</v>
      </c>
      <c r="ED146" s="60">
        <v>1</v>
      </c>
      <c r="EE146" s="43">
        <f t="shared" si="118"/>
        <v>100</v>
      </c>
      <c r="EF146" s="44">
        <v>1</v>
      </c>
      <c r="EG146" s="44">
        <v>0</v>
      </c>
      <c r="EH146" s="44" t="s">
        <v>867</v>
      </c>
      <c r="EI146" s="45">
        <v>0</v>
      </c>
      <c r="EJ146" s="43">
        <f t="shared" si="119"/>
        <v>5000</v>
      </c>
      <c r="EK146" s="65"/>
    </row>
    <row r="147" spans="1:141" x14ac:dyDescent="0.3">
      <c r="A147" s="7" t="str">
        <f t="shared" si="80"/>
        <v>Execução 143</v>
      </c>
      <c r="B147" s="42"/>
      <c r="C147" s="43" t="str">
        <f>IF(IFERROR(INDEX(Consulta!$A:$DF,MATCH('MM01'!$B147,Consulta!$C:$C,0),'MM01'!C$2),"")=0,"",IFERROR(INDEX(Consulta!$A:$DF,MATCH('MM01'!$B147,Consulta!$C:$C,0),'MM01'!C$2),""))</f>
        <v/>
      </c>
      <c r="D147" s="43" t="str">
        <f>IF(IFERROR(INDEX(Consulta!$A:$DF,MATCH('MM01'!$B147,Consulta!$C:$C,0),'MM01'!D$2),"")=0,"",IFERROR(INDEX(Consulta!$A:$DF,MATCH('MM01'!$B147,Consulta!$C:$C,0),'MM01'!D$2),""))</f>
        <v/>
      </c>
      <c r="E147" s="43" t="str">
        <f>IF(IFERROR(INDEX(Consulta!$A:$DF,MATCH('MM01'!$B147,Consulta!$C:$C,0),'MM01'!E$2),"")=0,"",IFERROR(INDEX(Consulta!$A:$DF,MATCH('MM01'!$B147,Consulta!$C:$C,0),'MM01'!E$2),""))</f>
        <v/>
      </c>
      <c r="F147" s="44" t="s">
        <v>100</v>
      </c>
      <c r="G147" s="49" t="str">
        <f>IF(IFERROR(INDEX(Consulta!$A:$DF,MATCH('MM01'!$B147,Consulta!$C:$C,0),'MM01'!G$2),"")=0,"",IFERROR(INDEX(Consulta!$A:$DF,MATCH('MM01'!$B147,Consulta!$C:$C,0),'MM01'!G$2),""))</f>
        <v/>
      </c>
      <c r="H147" s="49" t="str">
        <f>IF(IFERROR(INDEX(Consulta!$A:$DF,MATCH('MM01'!$B147,Consulta!$C:$C,0),'MM01'!H$2),"")=0,"",IFERROR(INDEX(Consulta!$A:$DF,MATCH('MM01'!$B147,Consulta!$C:$C,0),'MM01'!H$2),""))</f>
        <v/>
      </c>
      <c r="I147" s="49" t="str">
        <f t="shared" si="81"/>
        <v/>
      </c>
      <c r="J147" s="49" t="str">
        <f>IF(IFERROR(INDEX(Consulta!$A:$DF,MATCH('MM01'!$B147,Consulta!$C:$C,0),'MM01'!J$2),"")=0,"",IFERROR(INDEX(Consulta!$A:$DF,MATCH('MM01'!$B147,Consulta!$C:$C,0),'MM01'!J$2),""))</f>
        <v/>
      </c>
      <c r="K147" s="49" t="str">
        <f t="shared" si="82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IF(IFERROR(INDEX(Consulta!$A:$DF,MATCH('MM01'!$B147,Consulta!$C:$C,0),'MM01'!AP$2),"")=0,"",IFERROR(INDEX(Consulta!$A:$DF,MATCH('MM01'!$B147,Consulta!$C:$C,0),'MM01'!AP$2),""))</f>
        <v/>
      </c>
      <c r="AQ147" s="45"/>
      <c r="AR147" s="43" t="str">
        <f>IF(IFERROR(INDEX(Consulta!$A:$DF,MATCH('MM01'!$B147,Consulta!$C:$C,0),'MM01'!AR$2),"")=0,"",IFERROR(INDEX(Consulta!$A:$DF,MATCH('MM01'!$B147,Consulta!$C:$C,0),'MM01'!AR$2),""))</f>
        <v/>
      </c>
      <c r="AS147" s="43" t="str">
        <f>IF(IFERROR(INDEX(Consulta!$A:$DF,MATCH('MM01'!$B147,Consulta!$C:$C,0),'MM01'!AS$2),"")=0,"",IF(AR147="68",5102,IFERROR(INDEX(Consulta!$A:$DF,MATCH('MM01'!$B147,Consulta!$C:$C,0),'MM01'!AS$2),"")))</f>
        <v/>
      </c>
      <c r="AT147" s="45"/>
      <c r="AU147" s="46" t="str">
        <f t="shared" ca="1" si="83"/>
        <v/>
      </c>
      <c r="AV147" s="47" t="s">
        <v>796</v>
      </c>
      <c r="AW147" s="43" t="str">
        <f>IF(IFERROR(INDEX(Consulta!$A:$DF,MATCH('MM01'!$B147,Consulta!$C:$C,0),'MM01'!AW$2),"")=0,"",IFERROR(ROUND(INDEX(Consulta!$A:$DF,MATCH('MM01'!$B147,Consulta!$C:$C,0),'MM01'!AW$2),3),""))</f>
        <v/>
      </c>
      <c r="AX147" s="43" t="str">
        <f t="shared" si="84"/>
        <v/>
      </c>
      <c r="AY147" s="48" t="s">
        <v>299</v>
      </c>
      <c r="AZ147" s="48"/>
      <c r="BA147" s="43" t="str">
        <f>IF(IFERROR(INDEX(Consulta!$A:$DF,MATCH('MM01'!$B147,Consulta!$C:$C,0),'MM01'!BA$2),"")=0,"",IFERROR(INDEX(Consulta!$A:$DF,MATCH('MM01'!$B147,Consulta!$C:$C,0),'MM01'!BA$2),""))</f>
        <v/>
      </c>
      <c r="BB147" s="43" t="str">
        <f t="shared" si="85"/>
        <v/>
      </c>
      <c r="BC147" s="43" t="str">
        <f t="shared" si="86"/>
        <v/>
      </c>
      <c r="BD147" s="43" t="str">
        <f t="shared" si="87"/>
        <v/>
      </c>
      <c r="BE147" s="43" t="str">
        <f t="shared" si="88"/>
        <v>M</v>
      </c>
      <c r="BF147" s="43" t="str">
        <f t="shared" si="89"/>
        <v/>
      </c>
      <c r="BG147" s="43" t="str">
        <f t="shared" si="90"/>
        <v/>
      </c>
      <c r="BH147" s="43" t="str">
        <f t="shared" si="91"/>
        <v/>
      </c>
      <c r="BI147" s="43" t="str">
        <f t="shared" si="92"/>
        <v>M</v>
      </c>
      <c r="BK147" s="45" t="s">
        <v>324</v>
      </c>
      <c r="BL147" s="43" t="str">
        <f>IF(IFERROR(INDEX(Consulta!$A:$DF,MATCH('MM01'!$B147,Consulta!$C:$C,0),'MM01'!BL$2),"")=0,"",IFERROR(INDEX(Consulta!$A:$DF,MATCH('MM01'!$B147,Consulta!$C:$C,0),'MM01'!BL$2),""))</f>
        <v/>
      </c>
      <c r="BM147" s="45">
        <v>99</v>
      </c>
      <c r="BN147" s="46" t="str">
        <f t="shared" ca="1" si="93"/>
        <v>28.04.2022</v>
      </c>
      <c r="BO147" s="49" t="str">
        <f t="shared" si="94"/>
        <v/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IF(IFERROR(INDEX(Consulta!$A:$DF,MATCH('MM01'!$B147,Consulta!$C:$C,0),'MM01'!BX$2),"")=0,"",IFERROR(INDEX(Consulta!$A:$DF,MATCH('MM01'!$B147,Consulta!$C:$C,0),'MM01'!BX$2),""))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95"/>
        <v/>
      </c>
      <c r="CD147" s="45" t="s">
        <v>430</v>
      </c>
      <c r="CE147" s="45">
        <v>1</v>
      </c>
      <c r="CF147" s="45" t="s">
        <v>496</v>
      </c>
      <c r="CG147" s="45"/>
      <c r="CH147" s="44">
        <v>2</v>
      </c>
      <c r="CI147" s="49" t="str">
        <f t="shared" si="96"/>
        <v/>
      </c>
      <c r="CJ147" s="49" t="str">
        <f t="shared" si="97"/>
        <v/>
      </c>
      <c r="CK147" s="45"/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8"/>
        <v>K00_P_</v>
      </c>
      <c r="CS147" s="45">
        <v>5000</v>
      </c>
      <c r="CT147" s="43" t="str">
        <f>IF(IFERROR(INDEX(Consulta!$A:$DF,MATCH('MM01'!$B147,Consulta!$C:$C,0),'MM01'!CT$2),"")=0,"",IFERROR(INDEX(Consulta!$A:$DF,MATCH('MM01'!$B147,Consulta!$C:$C,0),'MM01'!CT$2),""))</f>
        <v/>
      </c>
      <c r="CU147" s="43" t="str">
        <f>IF(IFERROR(INDEX(Consulta!$A:$DF,MATCH('MM01'!$B147,Consulta!$C:$C,0),'MM01'!CU$2),"")=0,"",IFERROR(INDEX(Consulta!$A:$DF,MATCH('MM01'!$B147,Consulta!$C:$C,0),'MM01'!CU$2),""))</f>
        <v/>
      </c>
      <c r="CV147" s="43" t="str">
        <f>IF(IFERROR(INDEX(Consulta!$A:$DF,MATCH('MM01'!$B147,Consulta!$C:$C,0),'MM01'!CV$2),"")=0,"",IFERROR(INDEX(Consulta!$A:$DF,MATCH('MM01'!$B147,Consulta!$C:$C,0),'MM01'!CV$2),""))</f>
        <v/>
      </c>
      <c r="CW147" s="43" t="str">
        <f>IF(IFERROR(INDEX(Consulta!$A:$DF,MATCH('MM01'!$B147,Consulta!$C:$C,0),'MM01'!CW$2),"")=0,"",IFERROR(INDEX(Consulta!$A:$DF,MATCH('MM01'!$B147,Consulta!$C:$C,0),'MM01'!CW$2),""))</f>
        <v/>
      </c>
      <c r="CX147" s="43" t="str">
        <f t="shared" si="99"/>
        <v/>
      </c>
      <c r="CY147" s="43" t="str">
        <f t="shared" si="100"/>
        <v/>
      </c>
      <c r="CZ147" s="43" t="str">
        <f t="shared" si="101"/>
        <v/>
      </c>
      <c r="DA147" s="43" t="str">
        <f>IF(IFERROR(INDEX(Consulta!$A:$DF,MATCH('MM01'!$B147,Consulta!$C:$C,0),'MM01'!DA$2),"")=0,"",IFERROR(INDEX(Consulta!$A:$DF,MATCH('MM01'!$B147,Consulta!$C:$C,0),'MM01'!DA$2),""))</f>
        <v/>
      </c>
      <c r="DB147" s="43" t="str">
        <f t="shared" si="102"/>
        <v/>
      </c>
      <c r="DC147" s="43" t="str">
        <f>IF(IFERROR(INDEX(Consulta!$A:$DF,MATCH('MM01'!$B147,Consulta!$C:$C,0),'MM01'!DC$2),"")=0,"",IFERROR(INDEX(Consulta!$A:$DF,MATCH('MM01'!$B147,Consulta!$C:$C,0),'MM01'!DC$2),""))</f>
        <v/>
      </c>
      <c r="DD147" s="45">
        <v>0</v>
      </c>
      <c r="DE147" s="45">
        <v>0</v>
      </c>
      <c r="DF147" s="43" t="str">
        <f t="shared" si="103"/>
        <v/>
      </c>
      <c r="DG147" s="43" t="str">
        <f t="shared" si="104"/>
        <v/>
      </c>
      <c r="DH147" s="55"/>
      <c r="DI147" s="43" t="str">
        <f t="shared" ca="1" si="105"/>
        <v/>
      </c>
      <c r="DJ147" s="43" t="str">
        <f t="shared" si="106"/>
        <v/>
      </c>
      <c r="DK147" s="43" t="str">
        <f t="shared" si="107"/>
        <v/>
      </c>
      <c r="DL147" s="55"/>
      <c r="DM147" s="43" t="str">
        <f t="shared" ca="1" si="108"/>
        <v/>
      </c>
      <c r="DN147" s="43" t="str">
        <f t="shared" si="109"/>
        <v/>
      </c>
      <c r="DO147" s="43" t="str">
        <f t="shared" si="110"/>
        <v/>
      </c>
      <c r="DP147" s="55"/>
      <c r="DQ147" s="43" t="str">
        <f t="shared" ca="1" si="111"/>
        <v/>
      </c>
      <c r="DR147" s="43" t="str">
        <f t="shared" si="112"/>
        <v/>
      </c>
      <c r="DS147" s="43" t="str">
        <f t="shared" si="113"/>
        <v/>
      </c>
      <c r="DT147" s="55"/>
      <c r="DU147" s="43" t="str">
        <f t="shared" ca="1" si="114"/>
        <v/>
      </c>
      <c r="DV147" s="43" t="str">
        <f t="shared" si="115"/>
        <v/>
      </c>
      <c r="DX147" s="44">
        <v>1</v>
      </c>
      <c r="DY147" s="44" t="s">
        <v>774</v>
      </c>
      <c r="DZ147" s="43">
        <f t="shared" si="116"/>
        <v>0.01</v>
      </c>
      <c r="EA147" s="43" t="str">
        <f t="shared" si="117"/>
        <v>M</v>
      </c>
      <c r="EB147" s="43" t="str">
        <f>IF(IFERROR(INDEX(Consulta!$A:$DF,MATCH('MM01'!$B147,Consulta!$C:$C,0),'MM01'!EB$2),"")=0,"7925",IF(IFERROR(INDEX(Consulta!$A:$DF,MATCH('MM01'!$B147,Consulta!$C:$C,0),'MM01'!EB$2),"")="68","7910","7925"))</f>
        <v>7925</v>
      </c>
      <c r="EC147" s="44">
        <v>100</v>
      </c>
      <c r="ED147" s="60">
        <v>1</v>
      </c>
      <c r="EE147" s="43">
        <f t="shared" si="118"/>
        <v>100</v>
      </c>
      <c r="EF147" s="44">
        <v>1</v>
      </c>
      <c r="EG147" s="44">
        <v>0</v>
      </c>
      <c r="EH147" s="44" t="s">
        <v>867</v>
      </c>
      <c r="EI147" s="45">
        <v>0</v>
      </c>
      <c r="EJ147" s="43">
        <f t="shared" si="119"/>
        <v>5000</v>
      </c>
      <c r="EK147" s="65"/>
    </row>
    <row r="148" spans="1:141" x14ac:dyDescent="0.3">
      <c r="A148" s="7" t="str">
        <f t="shared" si="80"/>
        <v>Execução 144</v>
      </c>
      <c r="B148" s="42"/>
      <c r="C148" s="43" t="str">
        <f>IF(IFERROR(INDEX(Consulta!$A:$DF,MATCH('MM01'!$B148,Consulta!$C:$C,0),'MM01'!C$2),"")=0,"",IFERROR(INDEX(Consulta!$A:$DF,MATCH('MM01'!$B148,Consulta!$C:$C,0),'MM01'!C$2),""))</f>
        <v/>
      </c>
      <c r="D148" s="43" t="str">
        <f>IF(IFERROR(INDEX(Consulta!$A:$DF,MATCH('MM01'!$B148,Consulta!$C:$C,0),'MM01'!D$2),"")=0,"",IFERROR(INDEX(Consulta!$A:$DF,MATCH('MM01'!$B148,Consulta!$C:$C,0),'MM01'!D$2),""))</f>
        <v/>
      </c>
      <c r="E148" s="43" t="str">
        <f>IF(IFERROR(INDEX(Consulta!$A:$DF,MATCH('MM01'!$B148,Consulta!$C:$C,0),'MM01'!E$2),"")=0,"",IFERROR(INDEX(Consulta!$A:$DF,MATCH('MM01'!$B148,Consulta!$C:$C,0),'MM01'!E$2),""))</f>
        <v/>
      </c>
      <c r="F148" s="44" t="s">
        <v>100</v>
      </c>
      <c r="G148" s="49" t="str">
        <f>IF(IFERROR(INDEX(Consulta!$A:$DF,MATCH('MM01'!$B148,Consulta!$C:$C,0),'MM01'!G$2),"")=0,"",IFERROR(INDEX(Consulta!$A:$DF,MATCH('MM01'!$B148,Consulta!$C:$C,0),'MM01'!G$2),""))</f>
        <v/>
      </c>
      <c r="H148" s="49" t="str">
        <f>IF(IFERROR(INDEX(Consulta!$A:$DF,MATCH('MM01'!$B148,Consulta!$C:$C,0),'MM01'!H$2),"")=0,"",IFERROR(INDEX(Consulta!$A:$DF,MATCH('MM01'!$B148,Consulta!$C:$C,0),'MM01'!H$2),""))</f>
        <v/>
      </c>
      <c r="I148" s="49" t="str">
        <f t="shared" si="81"/>
        <v/>
      </c>
      <c r="J148" s="49" t="str">
        <f>IF(IFERROR(INDEX(Consulta!$A:$DF,MATCH('MM01'!$B148,Consulta!$C:$C,0),'MM01'!J$2),"")=0,"",IFERROR(INDEX(Consulta!$A:$DF,MATCH('MM01'!$B148,Consulta!$C:$C,0),'MM01'!J$2),""))</f>
        <v/>
      </c>
      <c r="K148" s="49" t="str">
        <f t="shared" si="82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IF(IFERROR(INDEX(Consulta!$A:$DF,MATCH('MM01'!$B148,Consulta!$C:$C,0),'MM01'!AP$2),"")=0,"",IFERROR(INDEX(Consulta!$A:$DF,MATCH('MM01'!$B148,Consulta!$C:$C,0),'MM01'!AP$2),""))</f>
        <v/>
      </c>
      <c r="AQ148" s="45"/>
      <c r="AR148" s="43" t="str">
        <f>IF(IFERROR(INDEX(Consulta!$A:$DF,MATCH('MM01'!$B148,Consulta!$C:$C,0),'MM01'!AR$2),"")=0,"",IFERROR(INDEX(Consulta!$A:$DF,MATCH('MM01'!$B148,Consulta!$C:$C,0),'MM01'!AR$2),""))</f>
        <v/>
      </c>
      <c r="AS148" s="43" t="str">
        <f>IF(IFERROR(INDEX(Consulta!$A:$DF,MATCH('MM01'!$B148,Consulta!$C:$C,0),'MM01'!AS$2),"")=0,"",IF(AR148="68",5102,IFERROR(INDEX(Consulta!$A:$DF,MATCH('MM01'!$B148,Consulta!$C:$C,0),'MM01'!AS$2),"")))</f>
        <v/>
      </c>
      <c r="AT148" s="45"/>
      <c r="AU148" s="46" t="str">
        <f t="shared" ca="1" si="83"/>
        <v/>
      </c>
      <c r="AV148" s="47" t="s">
        <v>796</v>
      </c>
      <c r="AW148" s="43" t="str">
        <f>IF(IFERROR(INDEX(Consulta!$A:$DF,MATCH('MM01'!$B148,Consulta!$C:$C,0),'MM01'!AW$2),"")=0,"",IFERROR(ROUND(INDEX(Consulta!$A:$DF,MATCH('MM01'!$B148,Consulta!$C:$C,0),'MM01'!AW$2),3),""))</f>
        <v/>
      </c>
      <c r="AX148" s="43" t="str">
        <f t="shared" si="84"/>
        <v/>
      </c>
      <c r="AY148" s="48" t="s">
        <v>299</v>
      </c>
      <c r="AZ148" s="48"/>
      <c r="BA148" s="43" t="str">
        <f>IF(IFERROR(INDEX(Consulta!$A:$DF,MATCH('MM01'!$B148,Consulta!$C:$C,0),'MM01'!BA$2),"")=0,"",IFERROR(INDEX(Consulta!$A:$DF,MATCH('MM01'!$B148,Consulta!$C:$C,0),'MM01'!BA$2),""))</f>
        <v/>
      </c>
      <c r="BB148" s="43" t="str">
        <f t="shared" si="85"/>
        <v/>
      </c>
      <c r="BC148" s="43" t="str">
        <f t="shared" si="86"/>
        <v/>
      </c>
      <c r="BD148" s="43" t="str">
        <f t="shared" si="87"/>
        <v/>
      </c>
      <c r="BE148" s="43" t="str">
        <f t="shared" si="88"/>
        <v>M</v>
      </c>
      <c r="BF148" s="43" t="str">
        <f t="shared" si="89"/>
        <v/>
      </c>
      <c r="BG148" s="43" t="str">
        <f t="shared" si="90"/>
        <v/>
      </c>
      <c r="BH148" s="43" t="str">
        <f t="shared" si="91"/>
        <v/>
      </c>
      <c r="BI148" s="43" t="str">
        <f t="shared" si="92"/>
        <v>M</v>
      </c>
      <c r="BK148" s="45" t="s">
        <v>324</v>
      </c>
      <c r="BL148" s="43" t="str">
        <f>IF(IFERROR(INDEX(Consulta!$A:$DF,MATCH('MM01'!$B148,Consulta!$C:$C,0),'MM01'!BL$2),"")=0,"",IFERROR(INDEX(Consulta!$A:$DF,MATCH('MM01'!$B148,Consulta!$C:$C,0),'MM01'!BL$2),""))</f>
        <v/>
      </c>
      <c r="BM148" s="45">
        <v>99</v>
      </c>
      <c r="BN148" s="46" t="str">
        <f t="shared" ca="1" si="93"/>
        <v>28.04.2022</v>
      </c>
      <c r="BO148" s="49" t="str">
        <f t="shared" si="94"/>
        <v/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IF(IFERROR(INDEX(Consulta!$A:$DF,MATCH('MM01'!$B148,Consulta!$C:$C,0),'MM01'!BX$2),"")=0,"",IFERROR(INDEX(Consulta!$A:$DF,MATCH('MM01'!$B148,Consulta!$C:$C,0),'MM01'!BX$2),""))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95"/>
        <v/>
      </c>
      <c r="CD148" s="45" t="s">
        <v>430</v>
      </c>
      <c r="CE148" s="45">
        <v>1</v>
      </c>
      <c r="CF148" s="45" t="s">
        <v>496</v>
      </c>
      <c r="CG148" s="45"/>
      <c r="CH148" s="44">
        <v>2</v>
      </c>
      <c r="CI148" s="49" t="str">
        <f t="shared" si="96"/>
        <v/>
      </c>
      <c r="CJ148" s="49" t="str">
        <f t="shared" si="97"/>
        <v/>
      </c>
      <c r="CK148" s="45"/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8"/>
        <v>K00_P_</v>
      </c>
      <c r="CS148" s="45">
        <v>5000</v>
      </c>
      <c r="CT148" s="43" t="str">
        <f>IF(IFERROR(INDEX(Consulta!$A:$DF,MATCH('MM01'!$B148,Consulta!$C:$C,0),'MM01'!CT$2),"")=0,"",IFERROR(INDEX(Consulta!$A:$DF,MATCH('MM01'!$B148,Consulta!$C:$C,0),'MM01'!CT$2),""))</f>
        <v/>
      </c>
      <c r="CU148" s="43" t="str">
        <f>IF(IFERROR(INDEX(Consulta!$A:$DF,MATCH('MM01'!$B148,Consulta!$C:$C,0),'MM01'!CU$2),"")=0,"",IFERROR(INDEX(Consulta!$A:$DF,MATCH('MM01'!$B148,Consulta!$C:$C,0),'MM01'!CU$2),""))</f>
        <v/>
      </c>
      <c r="CV148" s="43" t="str">
        <f>IF(IFERROR(INDEX(Consulta!$A:$DF,MATCH('MM01'!$B148,Consulta!$C:$C,0),'MM01'!CV$2),"")=0,"",IFERROR(INDEX(Consulta!$A:$DF,MATCH('MM01'!$B148,Consulta!$C:$C,0),'MM01'!CV$2),""))</f>
        <v/>
      </c>
      <c r="CW148" s="43" t="str">
        <f>IF(IFERROR(INDEX(Consulta!$A:$DF,MATCH('MM01'!$B148,Consulta!$C:$C,0),'MM01'!CW$2),"")=0,"",IFERROR(INDEX(Consulta!$A:$DF,MATCH('MM01'!$B148,Consulta!$C:$C,0),'MM01'!CW$2),""))</f>
        <v/>
      </c>
      <c r="CX148" s="43" t="str">
        <f t="shared" si="99"/>
        <v/>
      </c>
      <c r="CY148" s="43" t="str">
        <f t="shared" si="100"/>
        <v/>
      </c>
      <c r="CZ148" s="43" t="str">
        <f t="shared" si="101"/>
        <v/>
      </c>
      <c r="DA148" s="43" t="str">
        <f>IF(IFERROR(INDEX(Consulta!$A:$DF,MATCH('MM01'!$B148,Consulta!$C:$C,0),'MM01'!DA$2),"")=0,"",IFERROR(INDEX(Consulta!$A:$DF,MATCH('MM01'!$B148,Consulta!$C:$C,0),'MM01'!DA$2),""))</f>
        <v/>
      </c>
      <c r="DB148" s="43" t="str">
        <f t="shared" si="102"/>
        <v/>
      </c>
      <c r="DC148" s="43" t="str">
        <f>IF(IFERROR(INDEX(Consulta!$A:$DF,MATCH('MM01'!$B148,Consulta!$C:$C,0),'MM01'!DC$2),"")=0,"",IFERROR(INDEX(Consulta!$A:$DF,MATCH('MM01'!$B148,Consulta!$C:$C,0),'MM01'!DC$2),""))</f>
        <v/>
      </c>
      <c r="DD148" s="45">
        <v>0</v>
      </c>
      <c r="DE148" s="45">
        <v>0</v>
      </c>
      <c r="DF148" s="43" t="str">
        <f t="shared" si="103"/>
        <v/>
      </c>
      <c r="DG148" s="43" t="str">
        <f t="shared" si="104"/>
        <v/>
      </c>
      <c r="DH148" s="55"/>
      <c r="DI148" s="43" t="str">
        <f t="shared" ca="1" si="105"/>
        <v/>
      </c>
      <c r="DJ148" s="43" t="str">
        <f t="shared" si="106"/>
        <v/>
      </c>
      <c r="DK148" s="43" t="str">
        <f t="shared" si="107"/>
        <v/>
      </c>
      <c r="DL148" s="55"/>
      <c r="DM148" s="43" t="str">
        <f t="shared" ca="1" si="108"/>
        <v/>
      </c>
      <c r="DN148" s="43" t="str">
        <f t="shared" si="109"/>
        <v/>
      </c>
      <c r="DO148" s="43" t="str">
        <f t="shared" si="110"/>
        <v/>
      </c>
      <c r="DP148" s="55"/>
      <c r="DQ148" s="43" t="str">
        <f t="shared" ca="1" si="111"/>
        <v/>
      </c>
      <c r="DR148" s="43" t="str">
        <f t="shared" si="112"/>
        <v/>
      </c>
      <c r="DS148" s="43" t="str">
        <f t="shared" si="113"/>
        <v/>
      </c>
      <c r="DT148" s="55"/>
      <c r="DU148" s="43" t="str">
        <f t="shared" ca="1" si="114"/>
        <v/>
      </c>
      <c r="DV148" s="43" t="str">
        <f t="shared" si="115"/>
        <v/>
      </c>
      <c r="DX148" s="44">
        <v>1</v>
      </c>
      <c r="DY148" s="44" t="s">
        <v>774</v>
      </c>
      <c r="DZ148" s="43">
        <f t="shared" si="116"/>
        <v>0.01</v>
      </c>
      <c r="EA148" s="43" t="str">
        <f t="shared" si="117"/>
        <v>M</v>
      </c>
      <c r="EB148" s="43" t="str">
        <f>IF(IFERROR(INDEX(Consulta!$A:$DF,MATCH('MM01'!$B148,Consulta!$C:$C,0),'MM01'!EB$2),"")=0,"7925",IF(IFERROR(INDEX(Consulta!$A:$DF,MATCH('MM01'!$B148,Consulta!$C:$C,0),'MM01'!EB$2),"")="68","7910","7925"))</f>
        <v>7925</v>
      </c>
      <c r="EC148" s="44">
        <v>100</v>
      </c>
      <c r="ED148" s="60">
        <v>1</v>
      </c>
      <c r="EE148" s="43">
        <f t="shared" si="118"/>
        <v>100</v>
      </c>
      <c r="EF148" s="44">
        <v>1</v>
      </c>
      <c r="EG148" s="44">
        <v>0</v>
      </c>
      <c r="EH148" s="44" t="s">
        <v>867</v>
      </c>
      <c r="EI148" s="45">
        <v>0</v>
      </c>
      <c r="EJ148" s="43">
        <f t="shared" si="119"/>
        <v>5000</v>
      </c>
      <c r="EK148" s="65"/>
    </row>
    <row r="149" spans="1:141" x14ac:dyDescent="0.3">
      <c r="A149" s="7" t="str">
        <f t="shared" si="80"/>
        <v>Execução 145</v>
      </c>
      <c r="B149" s="42"/>
      <c r="C149" s="43" t="str">
        <f>IF(IFERROR(INDEX(Consulta!$A:$DF,MATCH('MM01'!$B149,Consulta!$C:$C,0),'MM01'!C$2),"")=0,"",IFERROR(INDEX(Consulta!$A:$DF,MATCH('MM01'!$B149,Consulta!$C:$C,0),'MM01'!C$2),""))</f>
        <v/>
      </c>
      <c r="D149" s="43" t="str">
        <f>IF(IFERROR(INDEX(Consulta!$A:$DF,MATCH('MM01'!$B149,Consulta!$C:$C,0),'MM01'!D$2),"")=0,"",IFERROR(INDEX(Consulta!$A:$DF,MATCH('MM01'!$B149,Consulta!$C:$C,0),'MM01'!D$2),""))</f>
        <v/>
      </c>
      <c r="E149" s="43" t="str">
        <f>IF(IFERROR(INDEX(Consulta!$A:$DF,MATCH('MM01'!$B149,Consulta!$C:$C,0),'MM01'!E$2),"")=0,"",IFERROR(INDEX(Consulta!$A:$DF,MATCH('MM01'!$B149,Consulta!$C:$C,0),'MM01'!E$2),""))</f>
        <v/>
      </c>
      <c r="F149" s="44" t="s">
        <v>100</v>
      </c>
      <c r="G149" s="49" t="str">
        <f>IF(IFERROR(INDEX(Consulta!$A:$DF,MATCH('MM01'!$B149,Consulta!$C:$C,0),'MM01'!G$2),"")=0,"",IFERROR(INDEX(Consulta!$A:$DF,MATCH('MM01'!$B149,Consulta!$C:$C,0),'MM01'!G$2),""))</f>
        <v/>
      </c>
      <c r="H149" s="49" t="str">
        <f>IF(IFERROR(INDEX(Consulta!$A:$DF,MATCH('MM01'!$B149,Consulta!$C:$C,0),'MM01'!H$2),"")=0,"",IFERROR(INDEX(Consulta!$A:$DF,MATCH('MM01'!$B149,Consulta!$C:$C,0),'MM01'!H$2),""))</f>
        <v/>
      </c>
      <c r="I149" s="49" t="str">
        <f t="shared" si="81"/>
        <v/>
      </c>
      <c r="J149" s="49" t="str">
        <f>IF(IFERROR(INDEX(Consulta!$A:$DF,MATCH('MM01'!$B149,Consulta!$C:$C,0),'MM01'!J$2),"")=0,"",IFERROR(INDEX(Consulta!$A:$DF,MATCH('MM01'!$B149,Consulta!$C:$C,0),'MM01'!J$2),""))</f>
        <v/>
      </c>
      <c r="K149" s="49" t="str">
        <f t="shared" si="82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IF(IFERROR(INDEX(Consulta!$A:$DF,MATCH('MM01'!$B149,Consulta!$C:$C,0),'MM01'!AP$2),"")=0,"",IFERROR(INDEX(Consulta!$A:$DF,MATCH('MM01'!$B149,Consulta!$C:$C,0),'MM01'!AP$2),""))</f>
        <v/>
      </c>
      <c r="AQ149" s="45"/>
      <c r="AR149" s="43" t="str">
        <f>IF(IFERROR(INDEX(Consulta!$A:$DF,MATCH('MM01'!$B149,Consulta!$C:$C,0),'MM01'!AR$2),"")=0,"",IFERROR(INDEX(Consulta!$A:$DF,MATCH('MM01'!$B149,Consulta!$C:$C,0),'MM01'!AR$2),""))</f>
        <v/>
      </c>
      <c r="AS149" s="43" t="str">
        <f>IF(IFERROR(INDEX(Consulta!$A:$DF,MATCH('MM01'!$B149,Consulta!$C:$C,0),'MM01'!AS$2),"")=0,"",IF(AR149="68",5102,IFERROR(INDEX(Consulta!$A:$DF,MATCH('MM01'!$B149,Consulta!$C:$C,0),'MM01'!AS$2),"")))</f>
        <v/>
      </c>
      <c r="AT149" s="45"/>
      <c r="AU149" s="46" t="str">
        <f t="shared" ca="1" si="83"/>
        <v/>
      </c>
      <c r="AV149" s="47" t="s">
        <v>796</v>
      </c>
      <c r="AW149" s="43" t="str">
        <f>IF(IFERROR(INDEX(Consulta!$A:$DF,MATCH('MM01'!$B149,Consulta!$C:$C,0),'MM01'!AW$2),"")=0,"",IFERROR(ROUND(INDEX(Consulta!$A:$DF,MATCH('MM01'!$B149,Consulta!$C:$C,0),'MM01'!AW$2),3),""))</f>
        <v/>
      </c>
      <c r="AX149" s="43" t="str">
        <f t="shared" si="84"/>
        <v/>
      </c>
      <c r="AY149" s="48" t="s">
        <v>299</v>
      </c>
      <c r="AZ149" s="48"/>
      <c r="BA149" s="43" t="str">
        <f>IF(IFERROR(INDEX(Consulta!$A:$DF,MATCH('MM01'!$B149,Consulta!$C:$C,0),'MM01'!BA$2),"")=0,"",IFERROR(INDEX(Consulta!$A:$DF,MATCH('MM01'!$B149,Consulta!$C:$C,0),'MM01'!BA$2),""))</f>
        <v/>
      </c>
      <c r="BB149" s="43" t="str">
        <f t="shared" si="85"/>
        <v/>
      </c>
      <c r="BC149" s="43" t="str">
        <f t="shared" si="86"/>
        <v/>
      </c>
      <c r="BD149" s="43" t="str">
        <f t="shared" si="87"/>
        <v/>
      </c>
      <c r="BE149" s="43" t="str">
        <f t="shared" si="88"/>
        <v>M</v>
      </c>
      <c r="BF149" s="43" t="str">
        <f t="shared" si="89"/>
        <v/>
      </c>
      <c r="BG149" s="43" t="str">
        <f t="shared" si="90"/>
        <v/>
      </c>
      <c r="BH149" s="43" t="str">
        <f t="shared" si="91"/>
        <v/>
      </c>
      <c r="BI149" s="43" t="str">
        <f t="shared" si="92"/>
        <v>M</v>
      </c>
      <c r="BK149" s="45" t="s">
        <v>324</v>
      </c>
      <c r="BL149" s="43" t="str">
        <f>IF(IFERROR(INDEX(Consulta!$A:$DF,MATCH('MM01'!$B149,Consulta!$C:$C,0),'MM01'!BL$2),"")=0,"",IFERROR(INDEX(Consulta!$A:$DF,MATCH('MM01'!$B149,Consulta!$C:$C,0),'MM01'!BL$2),""))</f>
        <v/>
      </c>
      <c r="BM149" s="45">
        <v>99</v>
      </c>
      <c r="BN149" s="46" t="str">
        <f t="shared" ca="1" si="93"/>
        <v>28.04.2022</v>
      </c>
      <c r="BO149" s="49" t="str">
        <f t="shared" si="94"/>
        <v/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IF(IFERROR(INDEX(Consulta!$A:$DF,MATCH('MM01'!$B149,Consulta!$C:$C,0),'MM01'!BX$2),"")=0,"",IFERROR(INDEX(Consulta!$A:$DF,MATCH('MM01'!$B149,Consulta!$C:$C,0),'MM01'!BX$2),""))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95"/>
        <v/>
      </c>
      <c r="CD149" s="45" t="s">
        <v>430</v>
      </c>
      <c r="CE149" s="45">
        <v>1</v>
      </c>
      <c r="CF149" s="45" t="s">
        <v>496</v>
      </c>
      <c r="CG149" s="45"/>
      <c r="CH149" s="44">
        <v>2</v>
      </c>
      <c r="CI149" s="49" t="str">
        <f t="shared" si="96"/>
        <v/>
      </c>
      <c r="CJ149" s="49" t="str">
        <f t="shared" si="97"/>
        <v/>
      </c>
      <c r="CK149" s="45"/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8"/>
        <v>K00_P_</v>
      </c>
      <c r="CS149" s="45">
        <v>5000</v>
      </c>
      <c r="CT149" s="43" t="str">
        <f>IF(IFERROR(INDEX(Consulta!$A:$DF,MATCH('MM01'!$B149,Consulta!$C:$C,0),'MM01'!CT$2),"")=0,"",IFERROR(INDEX(Consulta!$A:$DF,MATCH('MM01'!$B149,Consulta!$C:$C,0),'MM01'!CT$2),""))</f>
        <v/>
      </c>
      <c r="CU149" s="43" t="str">
        <f>IF(IFERROR(INDEX(Consulta!$A:$DF,MATCH('MM01'!$B149,Consulta!$C:$C,0),'MM01'!CU$2),"")=0,"",IFERROR(INDEX(Consulta!$A:$DF,MATCH('MM01'!$B149,Consulta!$C:$C,0),'MM01'!CU$2),""))</f>
        <v/>
      </c>
      <c r="CV149" s="43" t="str">
        <f>IF(IFERROR(INDEX(Consulta!$A:$DF,MATCH('MM01'!$B149,Consulta!$C:$C,0),'MM01'!CV$2),"")=0,"",IFERROR(INDEX(Consulta!$A:$DF,MATCH('MM01'!$B149,Consulta!$C:$C,0),'MM01'!CV$2),""))</f>
        <v/>
      </c>
      <c r="CW149" s="43" t="str">
        <f>IF(IFERROR(INDEX(Consulta!$A:$DF,MATCH('MM01'!$B149,Consulta!$C:$C,0),'MM01'!CW$2),"")=0,"",IFERROR(INDEX(Consulta!$A:$DF,MATCH('MM01'!$B149,Consulta!$C:$C,0),'MM01'!CW$2),""))</f>
        <v/>
      </c>
      <c r="CX149" s="43" t="str">
        <f t="shared" si="99"/>
        <v/>
      </c>
      <c r="CY149" s="43" t="str">
        <f t="shared" si="100"/>
        <v/>
      </c>
      <c r="CZ149" s="43" t="str">
        <f t="shared" si="101"/>
        <v/>
      </c>
      <c r="DA149" s="43" t="str">
        <f>IF(IFERROR(INDEX(Consulta!$A:$DF,MATCH('MM01'!$B149,Consulta!$C:$C,0),'MM01'!DA$2),"")=0,"",IFERROR(INDEX(Consulta!$A:$DF,MATCH('MM01'!$B149,Consulta!$C:$C,0),'MM01'!DA$2),""))</f>
        <v/>
      </c>
      <c r="DB149" s="43" t="str">
        <f t="shared" si="102"/>
        <v/>
      </c>
      <c r="DC149" s="43" t="str">
        <f>IF(IFERROR(INDEX(Consulta!$A:$DF,MATCH('MM01'!$B149,Consulta!$C:$C,0),'MM01'!DC$2),"")=0,"",IFERROR(INDEX(Consulta!$A:$DF,MATCH('MM01'!$B149,Consulta!$C:$C,0),'MM01'!DC$2),""))</f>
        <v/>
      </c>
      <c r="DD149" s="45">
        <v>0</v>
      </c>
      <c r="DE149" s="45">
        <v>0</v>
      </c>
      <c r="DF149" s="43" t="str">
        <f t="shared" si="103"/>
        <v/>
      </c>
      <c r="DG149" s="43" t="str">
        <f t="shared" si="104"/>
        <v/>
      </c>
      <c r="DH149" s="55"/>
      <c r="DI149" s="43" t="str">
        <f t="shared" ca="1" si="105"/>
        <v/>
      </c>
      <c r="DJ149" s="43" t="str">
        <f t="shared" si="106"/>
        <v/>
      </c>
      <c r="DK149" s="43" t="str">
        <f t="shared" si="107"/>
        <v/>
      </c>
      <c r="DL149" s="55"/>
      <c r="DM149" s="43" t="str">
        <f t="shared" ca="1" si="108"/>
        <v/>
      </c>
      <c r="DN149" s="43" t="str">
        <f t="shared" si="109"/>
        <v/>
      </c>
      <c r="DO149" s="43" t="str">
        <f t="shared" si="110"/>
        <v/>
      </c>
      <c r="DP149" s="55"/>
      <c r="DQ149" s="43" t="str">
        <f t="shared" ca="1" si="111"/>
        <v/>
      </c>
      <c r="DR149" s="43" t="str">
        <f t="shared" si="112"/>
        <v/>
      </c>
      <c r="DS149" s="43" t="str">
        <f t="shared" si="113"/>
        <v/>
      </c>
      <c r="DT149" s="55"/>
      <c r="DU149" s="43" t="str">
        <f t="shared" ca="1" si="114"/>
        <v/>
      </c>
      <c r="DV149" s="43" t="str">
        <f t="shared" si="115"/>
        <v/>
      </c>
      <c r="DX149" s="44">
        <v>1</v>
      </c>
      <c r="DY149" s="44" t="s">
        <v>774</v>
      </c>
      <c r="DZ149" s="43">
        <f t="shared" si="116"/>
        <v>0.01</v>
      </c>
      <c r="EA149" s="43" t="str">
        <f t="shared" si="117"/>
        <v>M</v>
      </c>
      <c r="EB149" s="43" t="str">
        <f>IF(IFERROR(INDEX(Consulta!$A:$DF,MATCH('MM01'!$B149,Consulta!$C:$C,0),'MM01'!EB$2),"")=0,"7925",IF(IFERROR(INDEX(Consulta!$A:$DF,MATCH('MM01'!$B149,Consulta!$C:$C,0),'MM01'!EB$2),"")="68","7910","7925"))</f>
        <v>7925</v>
      </c>
      <c r="EC149" s="44">
        <v>100</v>
      </c>
      <c r="ED149" s="60">
        <v>1</v>
      </c>
      <c r="EE149" s="43">
        <f t="shared" si="118"/>
        <v>100</v>
      </c>
      <c r="EF149" s="44">
        <v>1</v>
      </c>
      <c r="EG149" s="44">
        <v>0</v>
      </c>
      <c r="EH149" s="44" t="s">
        <v>867</v>
      </c>
      <c r="EI149" s="45">
        <v>0</v>
      </c>
      <c r="EJ149" s="43">
        <f t="shared" si="119"/>
        <v>5000</v>
      </c>
      <c r="EK149" s="65"/>
    </row>
    <row r="150" spans="1:141" x14ac:dyDescent="0.3">
      <c r="A150" s="7" t="str">
        <f t="shared" si="80"/>
        <v>Execução 146</v>
      </c>
      <c r="B150" s="42"/>
      <c r="C150" s="43" t="str">
        <f>IF(IFERROR(INDEX(Consulta!$A:$DF,MATCH('MM01'!$B150,Consulta!$C:$C,0),'MM01'!C$2),"")=0,"",IFERROR(INDEX(Consulta!$A:$DF,MATCH('MM01'!$B150,Consulta!$C:$C,0),'MM01'!C$2),""))</f>
        <v/>
      </c>
      <c r="D150" s="43" t="str">
        <f>IF(IFERROR(INDEX(Consulta!$A:$DF,MATCH('MM01'!$B150,Consulta!$C:$C,0),'MM01'!D$2),"")=0,"",IFERROR(INDEX(Consulta!$A:$DF,MATCH('MM01'!$B150,Consulta!$C:$C,0),'MM01'!D$2),""))</f>
        <v/>
      </c>
      <c r="E150" s="43" t="str">
        <f>IF(IFERROR(INDEX(Consulta!$A:$DF,MATCH('MM01'!$B150,Consulta!$C:$C,0),'MM01'!E$2),"")=0,"",IFERROR(INDEX(Consulta!$A:$DF,MATCH('MM01'!$B150,Consulta!$C:$C,0),'MM01'!E$2),""))</f>
        <v/>
      </c>
      <c r="F150" s="44" t="s">
        <v>100</v>
      </c>
      <c r="G150" s="49" t="str">
        <f>IF(IFERROR(INDEX(Consulta!$A:$DF,MATCH('MM01'!$B150,Consulta!$C:$C,0),'MM01'!G$2),"")=0,"",IFERROR(INDEX(Consulta!$A:$DF,MATCH('MM01'!$B150,Consulta!$C:$C,0),'MM01'!G$2),""))</f>
        <v/>
      </c>
      <c r="H150" s="49" t="str">
        <f>IF(IFERROR(INDEX(Consulta!$A:$DF,MATCH('MM01'!$B150,Consulta!$C:$C,0),'MM01'!H$2),"")=0,"",IFERROR(INDEX(Consulta!$A:$DF,MATCH('MM01'!$B150,Consulta!$C:$C,0),'MM01'!H$2),""))</f>
        <v/>
      </c>
      <c r="I150" s="49" t="str">
        <f t="shared" si="81"/>
        <v/>
      </c>
      <c r="J150" s="49" t="str">
        <f>IF(IFERROR(INDEX(Consulta!$A:$DF,MATCH('MM01'!$B150,Consulta!$C:$C,0),'MM01'!J$2),"")=0,"",IFERROR(INDEX(Consulta!$A:$DF,MATCH('MM01'!$B150,Consulta!$C:$C,0),'MM01'!J$2),""))</f>
        <v/>
      </c>
      <c r="K150" s="49" t="str">
        <f t="shared" si="82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IF(IFERROR(INDEX(Consulta!$A:$DF,MATCH('MM01'!$B150,Consulta!$C:$C,0),'MM01'!AP$2),"")=0,"",IFERROR(INDEX(Consulta!$A:$DF,MATCH('MM01'!$B150,Consulta!$C:$C,0),'MM01'!AP$2),""))</f>
        <v/>
      </c>
      <c r="AQ150" s="45"/>
      <c r="AR150" s="43" t="str">
        <f>IF(IFERROR(INDEX(Consulta!$A:$DF,MATCH('MM01'!$B150,Consulta!$C:$C,0),'MM01'!AR$2),"")=0,"",IFERROR(INDEX(Consulta!$A:$DF,MATCH('MM01'!$B150,Consulta!$C:$C,0),'MM01'!AR$2),""))</f>
        <v/>
      </c>
      <c r="AS150" s="43" t="str">
        <f>IF(IFERROR(INDEX(Consulta!$A:$DF,MATCH('MM01'!$B150,Consulta!$C:$C,0),'MM01'!AS$2),"")=0,"",IF(AR150="68",5102,IFERROR(INDEX(Consulta!$A:$DF,MATCH('MM01'!$B150,Consulta!$C:$C,0),'MM01'!AS$2),"")))</f>
        <v/>
      </c>
      <c r="AT150" s="45"/>
      <c r="AU150" s="46" t="str">
        <f t="shared" ca="1" si="83"/>
        <v/>
      </c>
      <c r="AV150" s="47" t="s">
        <v>796</v>
      </c>
      <c r="AW150" s="43" t="str">
        <f>IF(IFERROR(INDEX(Consulta!$A:$DF,MATCH('MM01'!$B150,Consulta!$C:$C,0),'MM01'!AW$2),"")=0,"",IFERROR(ROUND(INDEX(Consulta!$A:$DF,MATCH('MM01'!$B150,Consulta!$C:$C,0),'MM01'!AW$2),3),""))</f>
        <v/>
      </c>
      <c r="AX150" s="43" t="str">
        <f t="shared" si="84"/>
        <v/>
      </c>
      <c r="AY150" s="48" t="s">
        <v>299</v>
      </c>
      <c r="AZ150" s="48"/>
      <c r="BA150" s="43" t="str">
        <f>IF(IFERROR(INDEX(Consulta!$A:$DF,MATCH('MM01'!$B150,Consulta!$C:$C,0),'MM01'!BA$2),"")=0,"",IFERROR(INDEX(Consulta!$A:$DF,MATCH('MM01'!$B150,Consulta!$C:$C,0),'MM01'!BA$2),""))</f>
        <v/>
      </c>
      <c r="BB150" s="43" t="str">
        <f t="shared" si="85"/>
        <v/>
      </c>
      <c r="BC150" s="43" t="str">
        <f t="shared" si="86"/>
        <v/>
      </c>
      <c r="BD150" s="43" t="str">
        <f t="shared" si="87"/>
        <v/>
      </c>
      <c r="BE150" s="43" t="str">
        <f t="shared" si="88"/>
        <v>M</v>
      </c>
      <c r="BF150" s="43" t="str">
        <f t="shared" si="89"/>
        <v/>
      </c>
      <c r="BG150" s="43" t="str">
        <f t="shared" si="90"/>
        <v/>
      </c>
      <c r="BH150" s="43" t="str">
        <f t="shared" si="91"/>
        <v/>
      </c>
      <c r="BI150" s="43" t="str">
        <f t="shared" si="92"/>
        <v>M</v>
      </c>
      <c r="BK150" s="45" t="s">
        <v>324</v>
      </c>
      <c r="BL150" s="43" t="str">
        <f>IF(IFERROR(INDEX(Consulta!$A:$DF,MATCH('MM01'!$B150,Consulta!$C:$C,0),'MM01'!BL$2),"")=0,"",IFERROR(INDEX(Consulta!$A:$DF,MATCH('MM01'!$B150,Consulta!$C:$C,0),'MM01'!BL$2),""))</f>
        <v/>
      </c>
      <c r="BM150" s="45">
        <v>99</v>
      </c>
      <c r="BN150" s="46" t="str">
        <f t="shared" ca="1" si="93"/>
        <v>28.04.2022</v>
      </c>
      <c r="BO150" s="49" t="str">
        <f t="shared" si="94"/>
        <v/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IF(IFERROR(INDEX(Consulta!$A:$DF,MATCH('MM01'!$B150,Consulta!$C:$C,0),'MM01'!BX$2),"")=0,"",IFERROR(INDEX(Consulta!$A:$DF,MATCH('MM01'!$B150,Consulta!$C:$C,0),'MM01'!BX$2),""))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95"/>
        <v/>
      </c>
      <c r="CD150" s="45" t="s">
        <v>430</v>
      </c>
      <c r="CE150" s="45">
        <v>1</v>
      </c>
      <c r="CF150" s="45" t="s">
        <v>496</v>
      </c>
      <c r="CG150" s="45"/>
      <c r="CH150" s="44">
        <v>2</v>
      </c>
      <c r="CI150" s="49" t="str">
        <f t="shared" si="96"/>
        <v/>
      </c>
      <c r="CJ150" s="49" t="str">
        <f t="shared" si="97"/>
        <v/>
      </c>
      <c r="CK150" s="45"/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8"/>
        <v>K00_P_</v>
      </c>
      <c r="CS150" s="45">
        <v>5000</v>
      </c>
      <c r="CT150" s="43" t="str">
        <f>IF(IFERROR(INDEX(Consulta!$A:$DF,MATCH('MM01'!$B150,Consulta!$C:$C,0),'MM01'!CT$2),"")=0,"",IFERROR(INDEX(Consulta!$A:$DF,MATCH('MM01'!$B150,Consulta!$C:$C,0),'MM01'!CT$2),""))</f>
        <v/>
      </c>
      <c r="CU150" s="43" t="str">
        <f>IF(IFERROR(INDEX(Consulta!$A:$DF,MATCH('MM01'!$B150,Consulta!$C:$C,0),'MM01'!CU$2),"")=0,"",IFERROR(INDEX(Consulta!$A:$DF,MATCH('MM01'!$B150,Consulta!$C:$C,0),'MM01'!CU$2),""))</f>
        <v/>
      </c>
      <c r="CV150" s="43" t="str">
        <f>IF(IFERROR(INDEX(Consulta!$A:$DF,MATCH('MM01'!$B150,Consulta!$C:$C,0),'MM01'!CV$2),"")=0,"",IFERROR(INDEX(Consulta!$A:$DF,MATCH('MM01'!$B150,Consulta!$C:$C,0),'MM01'!CV$2),""))</f>
        <v/>
      </c>
      <c r="CW150" s="43" t="str">
        <f>IF(IFERROR(INDEX(Consulta!$A:$DF,MATCH('MM01'!$B150,Consulta!$C:$C,0),'MM01'!CW$2),"")=0,"",IFERROR(INDEX(Consulta!$A:$DF,MATCH('MM01'!$B150,Consulta!$C:$C,0),'MM01'!CW$2),""))</f>
        <v/>
      </c>
      <c r="CX150" s="43" t="str">
        <f t="shared" si="99"/>
        <v/>
      </c>
      <c r="CY150" s="43" t="str">
        <f t="shared" si="100"/>
        <v/>
      </c>
      <c r="CZ150" s="43" t="str">
        <f t="shared" si="101"/>
        <v/>
      </c>
      <c r="DA150" s="43" t="str">
        <f>IF(IFERROR(INDEX(Consulta!$A:$DF,MATCH('MM01'!$B150,Consulta!$C:$C,0),'MM01'!DA$2),"")=0,"",IFERROR(INDEX(Consulta!$A:$DF,MATCH('MM01'!$B150,Consulta!$C:$C,0),'MM01'!DA$2),""))</f>
        <v/>
      </c>
      <c r="DB150" s="43" t="str">
        <f t="shared" si="102"/>
        <v/>
      </c>
      <c r="DC150" s="43" t="str">
        <f>IF(IFERROR(INDEX(Consulta!$A:$DF,MATCH('MM01'!$B150,Consulta!$C:$C,0),'MM01'!DC$2),"")=0,"",IFERROR(INDEX(Consulta!$A:$DF,MATCH('MM01'!$B150,Consulta!$C:$C,0),'MM01'!DC$2),""))</f>
        <v/>
      </c>
      <c r="DD150" s="45">
        <v>0</v>
      </c>
      <c r="DE150" s="45">
        <v>0</v>
      </c>
      <c r="DF150" s="43" t="str">
        <f t="shared" si="103"/>
        <v/>
      </c>
      <c r="DG150" s="43" t="str">
        <f t="shared" si="104"/>
        <v/>
      </c>
      <c r="DH150" s="55"/>
      <c r="DI150" s="43" t="str">
        <f t="shared" ca="1" si="105"/>
        <v/>
      </c>
      <c r="DJ150" s="43" t="str">
        <f t="shared" si="106"/>
        <v/>
      </c>
      <c r="DK150" s="43" t="str">
        <f t="shared" si="107"/>
        <v/>
      </c>
      <c r="DL150" s="55"/>
      <c r="DM150" s="43" t="str">
        <f t="shared" ca="1" si="108"/>
        <v/>
      </c>
      <c r="DN150" s="43" t="str">
        <f t="shared" si="109"/>
        <v/>
      </c>
      <c r="DO150" s="43" t="str">
        <f t="shared" si="110"/>
        <v/>
      </c>
      <c r="DP150" s="55"/>
      <c r="DQ150" s="43" t="str">
        <f t="shared" ca="1" si="111"/>
        <v/>
      </c>
      <c r="DR150" s="43" t="str">
        <f t="shared" si="112"/>
        <v/>
      </c>
      <c r="DS150" s="43" t="str">
        <f t="shared" si="113"/>
        <v/>
      </c>
      <c r="DT150" s="55"/>
      <c r="DU150" s="43" t="str">
        <f t="shared" ca="1" si="114"/>
        <v/>
      </c>
      <c r="DV150" s="43" t="str">
        <f t="shared" si="115"/>
        <v/>
      </c>
      <c r="DX150" s="44">
        <v>1</v>
      </c>
      <c r="DY150" s="44" t="s">
        <v>774</v>
      </c>
      <c r="DZ150" s="43">
        <f t="shared" si="116"/>
        <v>0.01</v>
      </c>
      <c r="EA150" s="43" t="str">
        <f t="shared" si="117"/>
        <v>M</v>
      </c>
      <c r="EB150" s="43" t="str">
        <f>IF(IFERROR(INDEX(Consulta!$A:$DF,MATCH('MM01'!$B150,Consulta!$C:$C,0),'MM01'!EB$2),"")=0,"7925",IF(IFERROR(INDEX(Consulta!$A:$DF,MATCH('MM01'!$B150,Consulta!$C:$C,0),'MM01'!EB$2),"")="68","7910","7925"))</f>
        <v>7925</v>
      </c>
      <c r="EC150" s="44">
        <v>100</v>
      </c>
      <c r="ED150" s="60">
        <v>1</v>
      </c>
      <c r="EE150" s="43">
        <f t="shared" si="118"/>
        <v>100</v>
      </c>
      <c r="EF150" s="44">
        <v>1</v>
      </c>
      <c r="EG150" s="44">
        <v>0</v>
      </c>
      <c r="EH150" s="44" t="s">
        <v>867</v>
      </c>
      <c r="EI150" s="45">
        <v>0</v>
      </c>
      <c r="EJ150" s="43">
        <f t="shared" si="119"/>
        <v>5000</v>
      </c>
      <c r="EK150" s="65"/>
    </row>
    <row r="151" spans="1:141" x14ac:dyDescent="0.3">
      <c r="A151" s="7" t="str">
        <f t="shared" si="80"/>
        <v>Execução 147</v>
      </c>
      <c r="B151" s="42"/>
      <c r="C151" s="43" t="str">
        <f>IF(IFERROR(INDEX(Consulta!$A:$DF,MATCH('MM01'!$B151,Consulta!$C:$C,0),'MM01'!C$2),"")=0,"",IFERROR(INDEX(Consulta!$A:$DF,MATCH('MM01'!$B151,Consulta!$C:$C,0),'MM01'!C$2),""))</f>
        <v/>
      </c>
      <c r="D151" s="43" t="str">
        <f>IF(IFERROR(INDEX(Consulta!$A:$DF,MATCH('MM01'!$B151,Consulta!$C:$C,0),'MM01'!D$2),"")=0,"",IFERROR(INDEX(Consulta!$A:$DF,MATCH('MM01'!$B151,Consulta!$C:$C,0),'MM01'!D$2),""))</f>
        <v/>
      </c>
      <c r="E151" s="43" t="str">
        <f>IF(IFERROR(INDEX(Consulta!$A:$DF,MATCH('MM01'!$B151,Consulta!$C:$C,0),'MM01'!E$2),"")=0,"",IFERROR(INDEX(Consulta!$A:$DF,MATCH('MM01'!$B151,Consulta!$C:$C,0),'MM01'!E$2),""))</f>
        <v/>
      </c>
      <c r="F151" s="44" t="s">
        <v>100</v>
      </c>
      <c r="G151" s="49" t="str">
        <f>IF(IFERROR(INDEX(Consulta!$A:$DF,MATCH('MM01'!$B151,Consulta!$C:$C,0),'MM01'!G$2),"")=0,"",IFERROR(INDEX(Consulta!$A:$DF,MATCH('MM01'!$B151,Consulta!$C:$C,0),'MM01'!G$2),""))</f>
        <v/>
      </c>
      <c r="H151" s="49" t="str">
        <f>IF(IFERROR(INDEX(Consulta!$A:$DF,MATCH('MM01'!$B151,Consulta!$C:$C,0),'MM01'!H$2),"")=0,"",IFERROR(INDEX(Consulta!$A:$DF,MATCH('MM01'!$B151,Consulta!$C:$C,0),'MM01'!H$2),""))</f>
        <v/>
      </c>
      <c r="I151" s="49" t="str">
        <f t="shared" si="81"/>
        <v/>
      </c>
      <c r="J151" s="49" t="str">
        <f>IF(IFERROR(INDEX(Consulta!$A:$DF,MATCH('MM01'!$B151,Consulta!$C:$C,0),'MM01'!J$2),"")=0,"",IFERROR(INDEX(Consulta!$A:$DF,MATCH('MM01'!$B151,Consulta!$C:$C,0),'MM01'!J$2),""))</f>
        <v/>
      </c>
      <c r="K151" s="49" t="str">
        <f t="shared" si="82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IF(IFERROR(INDEX(Consulta!$A:$DF,MATCH('MM01'!$B151,Consulta!$C:$C,0),'MM01'!AP$2),"")=0,"",IFERROR(INDEX(Consulta!$A:$DF,MATCH('MM01'!$B151,Consulta!$C:$C,0),'MM01'!AP$2),""))</f>
        <v/>
      </c>
      <c r="AQ151" s="45"/>
      <c r="AR151" s="43" t="str">
        <f>IF(IFERROR(INDEX(Consulta!$A:$DF,MATCH('MM01'!$B151,Consulta!$C:$C,0),'MM01'!AR$2),"")=0,"",IFERROR(INDEX(Consulta!$A:$DF,MATCH('MM01'!$B151,Consulta!$C:$C,0),'MM01'!AR$2),""))</f>
        <v/>
      </c>
      <c r="AS151" s="43" t="str">
        <f>IF(IFERROR(INDEX(Consulta!$A:$DF,MATCH('MM01'!$B151,Consulta!$C:$C,0),'MM01'!AS$2),"")=0,"",IF(AR151="68",5102,IFERROR(INDEX(Consulta!$A:$DF,MATCH('MM01'!$B151,Consulta!$C:$C,0),'MM01'!AS$2),"")))</f>
        <v/>
      </c>
      <c r="AT151" s="45"/>
      <c r="AU151" s="46" t="str">
        <f t="shared" ca="1" si="83"/>
        <v/>
      </c>
      <c r="AV151" s="47" t="s">
        <v>796</v>
      </c>
      <c r="AW151" s="43" t="str">
        <f>IF(IFERROR(INDEX(Consulta!$A:$DF,MATCH('MM01'!$B151,Consulta!$C:$C,0),'MM01'!AW$2),"")=0,"",IFERROR(ROUND(INDEX(Consulta!$A:$DF,MATCH('MM01'!$B151,Consulta!$C:$C,0),'MM01'!AW$2),3),""))</f>
        <v/>
      </c>
      <c r="AX151" s="43" t="str">
        <f t="shared" si="84"/>
        <v/>
      </c>
      <c r="AY151" s="48" t="s">
        <v>299</v>
      </c>
      <c r="AZ151" s="48"/>
      <c r="BA151" s="43" t="str">
        <f>IF(IFERROR(INDEX(Consulta!$A:$DF,MATCH('MM01'!$B151,Consulta!$C:$C,0),'MM01'!BA$2),"")=0,"",IFERROR(INDEX(Consulta!$A:$DF,MATCH('MM01'!$B151,Consulta!$C:$C,0),'MM01'!BA$2),""))</f>
        <v/>
      </c>
      <c r="BB151" s="43" t="str">
        <f t="shared" si="85"/>
        <v/>
      </c>
      <c r="BC151" s="43" t="str">
        <f t="shared" si="86"/>
        <v/>
      </c>
      <c r="BD151" s="43" t="str">
        <f t="shared" si="87"/>
        <v/>
      </c>
      <c r="BE151" s="43" t="str">
        <f t="shared" si="88"/>
        <v>M</v>
      </c>
      <c r="BF151" s="43" t="str">
        <f t="shared" si="89"/>
        <v/>
      </c>
      <c r="BG151" s="43" t="str">
        <f t="shared" si="90"/>
        <v/>
      </c>
      <c r="BH151" s="43" t="str">
        <f t="shared" si="91"/>
        <v/>
      </c>
      <c r="BI151" s="43" t="str">
        <f t="shared" si="92"/>
        <v>M</v>
      </c>
      <c r="BK151" s="45" t="s">
        <v>324</v>
      </c>
      <c r="BL151" s="43" t="str">
        <f>IF(IFERROR(INDEX(Consulta!$A:$DF,MATCH('MM01'!$B151,Consulta!$C:$C,0),'MM01'!BL$2),"")=0,"",IFERROR(INDEX(Consulta!$A:$DF,MATCH('MM01'!$B151,Consulta!$C:$C,0),'MM01'!BL$2),""))</f>
        <v/>
      </c>
      <c r="BM151" s="45">
        <v>99</v>
      </c>
      <c r="BN151" s="46" t="str">
        <f t="shared" ca="1" si="93"/>
        <v>28.04.2022</v>
      </c>
      <c r="BO151" s="49" t="str">
        <f t="shared" si="94"/>
        <v/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IF(IFERROR(INDEX(Consulta!$A:$DF,MATCH('MM01'!$B151,Consulta!$C:$C,0),'MM01'!BX$2),"")=0,"",IFERROR(INDEX(Consulta!$A:$DF,MATCH('MM01'!$B151,Consulta!$C:$C,0),'MM01'!BX$2),""))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si="95"/>
        <v/>
      </c>
      <c r="CD151" s="45" t="s">
        <v>430</v>
      </c>
      <c r="CE151" s="45">
        <v>1</v>
      </c>
      <c r="CF151" s="45" t="s">
        <v>496</v>
      </c>
      <c r="CG151" s="45"/>
      <c r="CH151" s="44">
        <v>2</v>
      </c>
      <c r="CI151" s="49" t="str">
        <f t="shared" si="96"/>
        <v/>
      </c>
      <c r="CJ151" s="49" t="str">
        <f t="shared" si="97"/>
        <v/>
      </c>
      <c r="CK151" s="45"/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si="98"/>
        <v>K00_P_</v>
      </c>
      <c r="CS151" s="45">
        <v>5000</v>
      </c>
      <c r="CT151" s="43" t="str">
        <f>IF(IFERROR(INDEX(Consulta!$A:$DF,MATCH('MM01'!$B151,Consulta!$C:$C,0),'MM01'!CT$2),"")=0,"",IFERROR(INDEX(Consulta!$A:$DF,MATCH('MM01'!$B151,Consulta!$C:$C,0),'MM01'!CT$2),""))</f>
        <v/>
      </c>
      <c r="CU151" s="43" t="str">
        <f>IF(IFERROR(INDEX(Consulta!$A:$DF,MATCH('MM01'!$B151,Consulta!$C:$C,0),'MM01'!CU$2),"")=0,"",IFERROR(INDEX(Consulta!$A:$DF,MATCH('MM01'!$B151,Consulta!$C:$C,0),'MM01'!CU$2),""))</f>
        <v/>
      </c>
      <c r="CV151" s="43" t="str">
        <f>IF(IFERROR(INDEX(Consulta!$A:$DF,MATCH('MM01'!$B151,Consulta!$C:$C,0),'MM01'!CV$2),"")=0,"",IFERROR(INDEX(Consulta!$A:$DF,MATCH('MM01'!$B151,Consulta!$C:$C,0),'MM01'!CV$2),""))</f>
        <v/>
      </c>
      <c r="CW151" s="43" t="str">
        <f>IF(IFERROR(INDEX(Consulta!$A:$DF,MATCH('MM01'!$B151,Consulta!$C:$C,0),'MM01'!CW$2),"")=0,"",IFERROR(INDEX(Consulta!$A:$DF,MATCH('MM01'!$B151,Consulta!$C:$C,0),'MM01'!CW$2),""))</f>
        <v/>
      </c>
      <c r="CX151" s="43" t="str">
        <f t="shared" si="99"/>
        <v/>
      </c>
      <c r="CY151" s="43" t="str">
        <f t="shared" si="100"/>
        <v/>
      </c>
      <c r="CZ151" s="43" t="str">
        <f t="shared" si="101"/>
        <v/>
      </c>
      <c r="DA151" s="43" t="str">
        <f>IF(IFERROR(INDEX(Consulta!$A:$DF,MATCH('MM01'!$B151,Consulta!$C:$C,0),'MM01'!DA$2),"")=0,"",IFERROR(INDEX(Consulta!$A:$DF,MATCH('MM01'!$B151,Consulta!$C:$C,0),'MM01'!DA$2),""))</f>
        <v/>
      </c>
      <c r="DB151" s="43" t="str">
        <f t="shared" si="102"/>
        <v/>
      </c>
      <c r="DC151" s="43" t="str">
        <f>IF(IFERROR(INDEX(Consulta!$A:$DF,MATCH('MM01'!$B151,Consulta!$C:$C,0),'MM01'!DC$2),"")=0,"",IFERROR(INDEX(Consulta!$A:$DF,MATCH('MM01'!$B151,Consulta!$C:$C,0),'MM01'!DC$2),""))</f>
        <v/>
      </c>
      <c r="DD151" s="45">
        <v>0</v>
      </c>
      <c r="DE151" s="45">
        <v>0</v>
      </c>
      <c r="DF151" s="43" t="str">
        <f t="shared" si="103"/>
        <v/>
      </c>
      <c r="DG151" s="43" t="str">
        <f t="shared" si="104"/>
        <v/>
      </c>
      <c r="DH151" s="55"/>
      <c r="DI151" s="43" t="str">
        <f t="shared" ca="1" si="105"/>
        <v/>
      </c>
      <c r="DJ151" s="43" t="str">
        <f t="shared" si="106"/>
        <v/>
      </c>
      <c r="DK151" s="43" t="str">
        <f t="shared" si="107"/>
        <v/>
      </c>
      <c r="DL151" s="55"/>
      <c r="DM151" s="43" t="str">
        <f t="shared" ca="1" si="108"/>
        <v/>
      </c>
      <c r="DN151" s="43" t="str">
        <f t="shared" si="109"/>
        <v/>
      </c>
      <c r="DO151" s="43" t="str">
        <f t="shared" si="110"/>
        <v/>
      </c>
      <c r="DP151" s="55"/>
      <c r="DQ151" s="43" t="str">
        <f t="shared" ca="1" si="111"/>
        <v/>
      </c>
      <c r="DR151" s="43" t="str">
        <f t="shared" si="112"/>
        <v/>
      </c>
      <c r="DS151" s="43" t="str">
        <f t="shared" si="113"/>
        <v/>
      </c>
      <c r="DT151" s="55"/>
      <c r="DU151" s="43" t="str">
        <f t="shared" ca="1" si="114"/>
        <v/>
      </c>
      <c r="DV151" s="43" t="str">
        <f t="shared" si="115"/>
        <v/>
      </c>
      <c r="DX151" s="44">
        <v>1</v>
      </c>
      <c r="DY151" s="44" t="s">
        <v>774</v>
      </c>
      <c r="DZ151" s="43">
        <f t="shared" si="116"/>
        <v>0.01</v>
      </c>
      <c r="EA151" s="43" t="str">
        <f t="shared" si="117"/>
        <v>M</v>
      </c>
      <c r="EB151" s="43" t="str">
        <f>IF(IFERROR(INDEX(Consulta!$A:$DF,MATCH('MM01'!$B151,Consulta!$C:$C,0),'MM01'!EB$2),"")=0,"7925",IF(IFERROR(INDEX(Consulta!$A:$DF,MATCH('MM01'!$B151,Consulta!$C:$C,0),'MM01'!EB$2),"")="68","7910","7925"))</f>
        <v>7925</v>
      </c>
      <c r="EC151" s="44">
        <v>100</v>
      </c>
      <c r="ED151" s="60">
        <v>1</v>
      </c>
      <c r="EE151" s="43">
        <f t="shared" si="118"/>
        <v>100</v>
      </c>
      <c r="EF151" s="44">
        <v>1</v>
      </c>
      <c r="EG151" s="44">
        <v>0</v>
      </c>
      <c r="EH151" s="44" t="s">
        <v>867</v>
      </c>
      <c r="EI151" s="45">
        <v>0</v>
      </c>
      <c r="EJ151" s="43">
        <f t="shared" si="119"/>
        <v>5000</v>
      </c>
      <c r="EK151" s="65"/>
    </row>
    <row r="152" spans="1:141" x14ac:dyDescent="0.3">
      <c r="A152" s="7" t="str">
        <f t="shared" si="80"/>
        <v>Execução 148</v>
      </c>
      <c r="B152" s="42"/>
      <c r="C152" s="43" t="str">
        <f>IF(IFERROR(INDEX(Consulta!$A:$DF,MATCH('MM01'!$B152,Consulta!$C:$C,0),'MM01'!C$2),"")=0,"",IFERROR(INDEX(Consulta!$A:$DF,MATCH('MM01'!$B152,Consulta!$C:$C,0),'MM01'!C$2),""))</f>
        <v/>
      </c>
      <c r="D152" s="43" t="str">
        <f>IF(IFERROR(INDEX(Consulta!$A:$DF,MATCH('MM01'!$B152,Consulta!$C:$C,0),'MM01'!D$2),"")=0,"",IFERROR(INDEX(Consulta!$A:$DF,MATCH('MM01'!$B152,Consulta!$C:$C,0),'MM01'!D$2),""))</f>
        <v/>
      </c>
      <c r="E152" s="43" t="str">
        <f>IF(IFERROR(INDEX(Consulta!$A:$DF,MATCH('MM01'!$B152,Consulta!$C:$C,0),'MM01'!E$2),"")=0,"",IFERROR(INDEX(Consulta!$A:$DF,MATCH('MM01'!$B152,Consulta!$C:$C,0),'MM01'!E$2),""))</f>
        <v/>
      </c>
      <c r="F152" s="44" t="s">
        <v>100</v>
      </c>
      <c r="G152" s="49" t="str">
        <f>IF(IFERROR(INDEX(Consulta!$A:$DF,MATCH('MM01'!$B152,Consulta!$C:$C,0),'MM01'!G$2),"")=0,"",IFERROR(INDEX(Consulta!$A:$DF,MATCH('MM01'!$B152,Consulta!$C:$C,0),'MM01'!G$2),""))</f>
        <v/>
      </c>
      <c r="H152" s="49" t="str">
        <f>IF(IFERROR(INDEX(Consulta!$A:$DF,MATCH('MM01'!$B152,Consulta!$C:$C,0),'MM01'!H$2),"")=0,"",IFERROR(INDEX(Consulta!$A:$DF,MATCH('MM01'!$B152,Consulta!$C:$C,0),'MM01'!H$2),""))</f>
        <v/>
      </c>
      <c r="I152" s="49" t="str">
        <f t="shared" si="81"/>
        <v/>
      </c>
      <c r="J152" s="49" t="str">
        <f>IF(IFERROR(INDEX(Consulta!$A:$DF,MATCH('MM01'!$B152,Consulta!$C:$C,0),'MM01'!J$2),"")=0,"",IFERROR(INDEX(Consulta!$A:$DF,MATCH('MM01'!$B152,Consulta!$C:$C,0),'MM01'!J$2),""))</f>
        <v/>
      </c>
      <c r="K152" s="49" t="str">
        <f t="shared" si="82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IF(IFERROR(INDEX(Consulta!$A:$DF,MATCH('MM01'!$B152,Consulta!$C:$C,0),'MM01'!AP$2),"")=0,"",IFERROR(INDEX(Consulta!$A:$DF,MATCH('MM01'!$B152,Consulta!$C:$C,0),'MM01'!AP$2),""))</f>
        <v/>
      </c>
      <c r="AQ152" s="45"/>
      <c r="AR152" s="43" t="str">
        <f>IF(IFERROR(INDEX(Consulta!$A:$DF,MATCH('MM01'!$B152,Consulta!$C:$C,0),'MM01'!AR$2),"")=0,"",IFERROR(INDEX(Consulta!$A:$DF,MATCH('MM01'!$B152,Consulta!$C:$C,0),'MM01'!AR$2),""))</f>
        <v/>
      </c>
      <c r="AS152" s="43" t="str">
        <f>IF(IFERROR(INDEX(Consulta!$A:$DF,MATCH('MM01'!$B152,Consulta!$C:$C,0),'MM01'!AS$2),"")=0,"",IF(AR152="68",5102,IFERROR(INDEX(Consulta!$A:$DF,MATCH('MM01'!$B152,Consulta!$C:$C,0),'MM01'!AS$2),"")))</f>
        <v/>
      </c>
      <c r="AT152" s="45"/>
      <c r="AU152" s="46" t="str">
        <f t="shared" ca="1" si="83"/>
        <v/>
      </c>
      <c r="AV152" s="47" t="s">
        <v>796</v>
      </c>
      <c r="AW152" s="43" t="str">
        <f>IF(IFERROR(INDEX(Consulta!$A:$DF,MATCH('MM01'!$B152,Consulta!$C:$C,0),'MM01'!AW$2),"")=0,"",IFERROR(ROUND(INDEX(Consulta!$A:$DF,MATCH('MM01'!$B152,Consulta!$C:$C,0),'MM01'!AW$2),3),""))</f>
        <v/>
      </c>
      <c r="AX152" s="43" t="str">
        <f t="shared" si="84"/>
        <v/>
      </c>
      <c r="AY152" s="48" t="s">
        <v>299</v>
      </c>
      <c r="AZ152" s="48"/>
      <c r="BA152" s="43" t="str">
        <f>IF(IFERROR(INDEX(Consulta!$A:$DF,MATCH('MM01'!$B152,Consulta!$C:$C,0),'MM01'!BA$2),"")=0,"",IFERROR(INDEX(Consulta!$A:$DF,MATCH('MM01'!$B152,Consulta!$C:$C,0),'MM01'!BA$2),""))</f>
        <v/>
      </c>
      <c r="BB152" s="43" t="str">
        <f t="shared" si="85"/>
        <v/>
      </c>
      <c r="BC152" s="43" t="str">
        <f t="shared" si="86"/>
        <v/>
      </c>
      <c r="BD152" s="43" t="str">
        <f t="shared" si="87"/>
        <v/>
      </c>
      <c r="BE152" s="43" t="str">
        <f t="shared" si="88"/>
        <v>M</v>
      </c>
      <c r="BF152" s="43" t="str">
        <f t="shared" si="89"/>
        <v/>
      </c>
      <c r="BG152" s="43" t="str">
        <f t="shared" si="90"/>
        <v/>
      </c>
      <c r="BH152" s="43" t="str">
        <f t="shared" si="91"/>
        <v/>
      </c>
      <c r="BI152" s="43" t="str">
        <f t="shared" si="92"/>
        <v>M</v>
      </c>
      <c r="BK152" s="45" t="s">
        <v>324</v>
      </c>
      <c r="BL152" s="43" t="str">
        <f>IF(IFERROR(INDEX(Consulta!$A:$DF,MATCH('MM01'!$B152,Consulta!$C:$C,0),'MM01'!BL$2),"")=0,"",IFERROR(INDEX(Consulta!$A:$DF,MATCH('MM01'!$B152,Consulta!$C:$C,0),'MM01'!BL$2),""))</f>
        <v/>
      </c>
      <c r="BM152" s="45">
        <v>99</v>
      </c>
      <c r="BN152" s="46" t="str">
        <f t="shared" ca="1" si="93"/>
        <v>28.04.2022</v>
      </c>
      <c r="BO152" s="49" t="str">
        <f t="shared" si="94"/>
        <v/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IF(IFERROR(INDEX(Consulta!$A:$DF,MATCH('MM01'!$B152,Consulta!$C:$C,0),'MM01'!BX$2),"")=0,"",IFERROR(INDEX(Consulta!$A:$DF,MATCH('MM01'!$B152,Consulta!$C:$C,0),'MM01'!BX$2),""))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95"/>
        <v/>
      </c>
      <c r="CD152" s="45" t="s">
        <v>430</v>
      </c>
      <c r="CE152" s="45">
        <v>1</v>
      </c>
      <c r="CF152" s="45" t="s">
        <v>496</v>
      </c>
      <c r="CG152" s="45"/>
      <c r="CH152" s="44">
        <v>2</v>
      </c>
      <c r="CI152" s="49" t="str">
        <f t="shared" si="96"/>
        <v/>
      </c>
      <c r="CJ152" s="49" t="str">
        <f t="shared" si="97"/>
        <v/>
      </c>
      <c r="CK152" s="45"/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98"/>
        <v>K00_P_</v>
      </c>
      <c r="CS152" s="45">
        <v>5000</v>
      </c>
      <c r="CT152" s="43" t="str">
        <f>IF(IFERROR(INDEX(Consulta!$A:$DF,MATCH('MM01'!$B152,Consulta!$C:$C,0),'MM01'!CT$2),"")=0,"",IFERROR(INDEX(Consulta!$A:$DF,MATCH('MM01'!$B152,Consulta!$C:$C,0),'MM01'!CT$2),""))</f>
        <v/>
      </c>
      <c r="CU152" s="43" t="str">
        <f>IF(IFERROR(INDEX(Consulta!$A:$DF,MATCH('MM01'!$B152,Consulta!$C:$C,0),'MM01'!CU$2),"")=0,"",IFERROR(INDEX(Consulta!$A:$DF,MATCH('MM01'!$B152,Consulta!$C:$C,0),'MM01'!CU$2),""))</f>
        <v/>
      </c>
      <c r="CV152" s="43" t="str">
        <f>IF(IFERROR(INDEX(Consulta!$A:$DF,MATCH('MM01'!$B152,Consulta!$C:$C,0),'MM01'!CV$2),"")=0,"",IFERROR(INDEX(Consulta!$A:$DF,MATCH('MM01'!$B152,Consulta!$C:$C,0),'MM01'!CV$2),""))</f>
        <v/>
      </c>
      <c r="CW152" s="43" t="str">
        <f>IF(IFERROR(INDEX(Consulta!$A:$DF,MATCH('MM01'!$B152,Consulta!$C:$C,0),'MM01'!CW$2),"")=0,"",IFERROR(INDEX(Consulta!$A:$DF,MATCH('MM01'!$B152,Consulta!$C:$C,0),'MM01'!CW$2),""))</f>
        <v/>
      </c>
      <c r="CX152" s="43" t="str">
        <f t="shared" si="99"/>
        <v/>
      </c>
      <c r="CY152" s="43" t="str">
        <f t="shared" si="100"/>
        <v/>
      </c>
      <c r="CZ152" s="43" t="str">
        <f t="shared" si="101"/>
        <v/>
      </c>
      <c r="DA152" s="43" t="str">
        <f>IF(IFERROR(INDEX(Consulta!$A:$DF,MATCH('MM01'!$B152,Consulta!$C:$C,0),'MM01'!DA$2),"")=0,"",IFERROR(INDEX(Consulta!$A:$DF,MATCH('MM01'!$B152,Consulta!$C:$C,0),'MM01'!DA$2),""))</f>
        <v/>
      </c>
      <c r="DB152" s="43" t="str">
        <f t="shared" si="102"/>
        <v/>
      </c>
      <c r="DC152" s="43" t="str">
        <f>IF(IFERROR(INDEX(Consulta!$A:$DF,MATCH('MM01'!$B152,Consulta!$C:$C,0),'MM01'!DC$2),"")=0,"",IFERROR(INDEX(Consulta!$A:$DF,MATCH('MM01'!$B152,Consulta!$C:$C,0),'MM01'!DC$2),""))</f>
        <v/>
      </c>
      <c r="DD152" s="45">
        <v>0</v>
      </c>
      <c r="DE152" s="45">
        <v>0</v>
      </c>
      <c r="DF152" s="43" t="str">
        <f t="shared" si="103"/>
        <v/>
      </c>
      <c r="DG152" s="43" t="str">
        <f t="shared" si="104"/>
        <v/>
      </c>
      <c r="DH152" s="55"/>
      <c r="DI152" s="43" t="str">
        <f t="shared" ca="1" si="105"/>
        <v/>
      </c>
      <c r="DJ152" s="43" t="str">
        <f t="shared" si="106"/>
        <v/>
      </c>
      <c r="DK152" s="43" t="str">
        <f t="shared" si="107"/>
        <v/>
      </c>
      <c r="DL152" s="55"/>
      <c r="DM152" s="43" t="str">
        <f t="shared" ca="1" si="108"/>
        <v/>
      </c>
      <c r="DN152" s="43" t="str">
        <f t="shared" si="109"/>
        <v/>
      </c>
      <c r="DO152" s="43" t="str">
        <f t="shared" si="110"/>
        <v/>
      </c>
      <c r="DP152" s="55"/>
      <c r="DQ152" s="43" t="str">
        <f t="shared" ca="1" si="111"/>
        <v/>
      </c>
      <c r="DR152" s="43" t="str">
        <f t="shared" si="112"/>
        <v/>
      </c>
      <c r="DS152" s="43" t="str">
        <f t="shared" si="113"/>
        <v/>
      </c>
      <c r="DT152" s="55"/>
      <c r="DU152" s="43" t="str">
        <f t="shared" ca="1" si="114"/>
        <v/>
      </c>
      <c r="DV152" s="43" t="str">
        <f t="shared" si="115"/>
        <v/>
      </c>
      <c r="DX152" s="44">
        <v>1</v>
      </c>
      <c r="DY152" s="44" t="s">
        <v>774</v>
      </c>
      <c r="DZ152" s="43">
        <f t="shared" si="116"/>
        <v>0.01</v>
      </c>
      <c r="EA152" s="43" t="str">
        <f t="shared" si="117"/>
        <v>M</v>
      </c>
      <c r="EB152" s="43" t="str">
        <f>IF(IFERROR(INDEX(Consulta!$A:$DF,MATCH('MM01'!$B152,Consulta!$C:$C,0),'MM01'!EB$2),"")=0,"7925",IF(IFERROR(INDEX(Consulta!$A:$DF,MATCH('MM01'!$B152,Consulta!$C:$C,0),'MM01'!EB$2),"")="68","7910","7925"))</f>
        <v>7925</v>
      </c>
      <c r="EC152" s="44">
        <v>100</v>
      </c>
      <c r="ED152" s="60">
        <v>1</v>
      </c>
      <c r="EE152" s="43">
        <f t="shared" si="118"/>
        <v>100</v>
      </c>
      <c r="EF152" s="44">
        <v>1</v>
      </c>
      <c r="EG152" s="44">
        <v>0</v>
      </c>
      <c r="EH152" s="44" t="s">
        <v>867</v>
      </c>
      <c r="EI152" s="45">
        <v>0</v>
      </c>
      <c r="EJ152" s="43">
        <f t="shared" si="119"/>
        <v>5000</v>
      </c>
      <c r="EK152" s="65"/>
    </row>
    <row r="153" spans="1:141" x14ac:dyDescent="0.3">
      <c r="A153" s="7" t="str">
        <f t="shared" si="80"/>
        <v>Execução 149</v>
      </c>
      <c r="B153" s="42"/>
      <c r="C153" s="43" t="str">
        <f>IF(IFERROR(INDEX(Consulta!$A:$DF,MATCH('MM01'!$B153,Consulta!$C:$C,0),'MM01'!C$2),"")=0,"",IFERROR(INDEX(Consulta!$A:$DF,MATCH('MM01'!$B153,Consulta!$C:$C,0),'MM01'!C$2),""))</f>
        <v/>
      </c>
      <c r="D153" s="43" t="str">
        <f>IF(IFERROR(INDEX(Consulta!$A:$DF,MATCH('MM01'!$B153,Consulta!$C:$C,0),'MM01'!D$2),"")=0,"",IFERROR(INDEX(Consulta!$A:$DF,MATCH('MM01'!$B153,Consulta!$C:$C,0),'MM01'!D$2),""))</f>
        <v/>
      </c>
      <c r="E153" s="43" t="str">
        <f>IF(IFERROR(INDEX(Consulta!$A:$DF,MATCH('MM01'!$B153,Consulta!$C:$C,0),'MM01'!E$2),"")=0,"",IFERROR(INDEX(Consulta!$A:$DF,MATCH('MM01'!$B153,Consulta!$C:$C,0),'MM01'!E$2),""))</f>
        <v/>
      </c>
      <c r="F153" s="44" t="s">
        <v>100</v>
      </c>
      <c r="G153" s="49" t="str">
        <f>IF(IFERROR(INDEX(Consulta!$A:$DF,MATCH('MM01'!$B153,Consulta!$C:$C,0),'MM01'!G$2),"")=0,"",IFERROR(INDEX(Consulta!$A:$DF,MATCH('MM01'!$B153,Consulta!$C:$C,0),'MM01'!G$2),""))</f>
        <v/>
      </c>
      <c r="H153" s="49" t="str">
        <f>IF(IFERROR(INDEX(Consulta!$A:$DF,MATCH('MM01'!$B153,Consulta!$C:$C,0),'MM01'!H$2),"")=0,"",IFERROR(INDEX(Consulta!$A:$DF,MATCH('MM01'!$B153,Consulta!$C:$C,0),'MM01'!H$2),""))</f>
        <v/>
      </c>
      <c r="I153" s="49" t="str">
        <f t="shared" si="81"/>
        <v/>
      </c>
      <c r="J153" s="49" t="str">
        <f>IF(IFERROR(INDEX(Consulta!$A:$DF,MATCH('MM01'!$B153,Consulta!$C:$C,0),'MM01'!J$2),"")=0,"",IFERROR(INDEX(Consulta!$A:$DF,MATCH('MM01'!$B153,Consulta!$C:$C,0),'MM01'!J$2),""))</f>
        <v/>
      </c>
      <c r="K153" s="49" t="str">
        <f t="shared" si="82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IF(IFERROR(INDEX(Consulta!$A:$DF,MATCH('MM01'!$B153,Consulta!$C:$C,0),'MM01'!AP$2),"")=0,"",IFERROR(INDEX(Consulta!$A:$DF,MATCH('MM01'!$B153,Consulta!$C:$C,0),'MM01'!AP$2),""))</f>
        <v/>
      </c>
      <c r="AQ153" s="45"/>
      <c r="AR153" s="43" t="str">
        <f>IF(IFERROR(INDEX(Consulta!$A:$DF,MATCH('MM01'!$B153,Consulta!$C:$C,0),'MM01'!AR$2),"")=0,"",IFERROR(INDEX(Consulta!$A:$DF,MATCH('MM01'!$B153,Consulta!$C:$C,0),'MM01'!AR$2),""))</f>
        <v/>
      </c>
      <c r="AS153" s="43" t="str">
        <f>IF(IFERROR(INDEX(Consulta!$A:$DF,MATCH('MM01'!$B153,Consulta!$C:$C,0),'MM01'!AS$2),"")=0,"",IF(AR153="68",5102,IFERROR(INDEX(Consulta!$A:$DF,MATCH('MM01'!$B153,Consulta!$C:$C,0),'MM01'!AS$2),"")))</f>
        <v/>
      </c>
      <c r="AT153" s="45"/>
      <c r="AU153" s="46" t="str">
        <f t="shared" ca="1" si="83"/>
        <v/>
      </c>
      <c r="AV153" s="47" t="s">
        <v>796</v>
      </c>
      <c r="AW153" s="43" t="str">
        <f>IF(IFERROR(INDEX(Consulta!$A:$DF,MATCH('MM01'!$B153,Consulta!$C:$C,0),'MM01'!AW$2),"")=0,"",IFERROR(ROUND(INDEX(Consulta!$A:$DF,MATCH('MM01'!$B153,Consulta!$C:$C,0),'MM01'!AW$2),3),""))</f>
        <v/>
      </c>
      <c r="AX153" s="43" t="str">
        <f t="shared" si="84"/>
        <v/>
      </c>
      <c r="AY153" s="48" t="s">
        <v>299</v>
      </c>
      <c r="AZ153" s="48"/>
      <c r="BA153" s="43" t="str">
        <f>IF(IFERROR(INDEX(Consulta!$A:$DF,MATCH('MM01'!$B153,Consulta!$C:$C,0),'MM01'!BA$2),"")=0,"",IFERROR(INDEX(Consulta!$A:$DF,MATCH('MM01'!$B153,Consulta!$C:$C,0),'MM01'!BA$2),""))</f>
        <v/>
      </c>
      <c r="BB153" s="43" t="str">
        <f t="shared" si="85"/>
        <v/>
      </c>
      <c r="BC153" s="43" t="str">
        <f t="shared" si="86"/>
        <v/>
      </c>
      <c r="BD153" s="43" t="str">
        <f t="shared" si="87"/>
        <v/>
      </c>
      <c r="BE153" s="43" t="str">
        <f t="shared" si="88"/>
        <v>M</v>
      </c>
      <c r="BF153" s="43" t="str">
        <f t="shared" si="89"/>
        <v/>
      </c>
      <c r="BG153" s="43" t="str">
        <f t="shared" si="90"/>
        <v/>
      </c>
      <c r="BH153" s="43" t="str">
        <f t="shared" si="91"/>
        <v/>
      </c>
      <c r="BI153" s="43" t="str">
        <f t="shared" si="92"/>
        <v>M</v>
      </c>
      <c r="BK153" s="45" t="s">
        <v>324</v>
      </c>
      <c r="BL153" s="43" t="str">
        <f>IF(IFERROR(INDEX(Consulta!$A:$DF,MATCH('MM01'!$B153,Consulta!$C:$C,0),'MM01'!BL$2),"")=0,"",IFERROR(INDEX(Consulta!$A:$DF,MATCH('MM01'!$B153,Consulta!$C:$C,0),'MM01'!BL$2),""))</f>
        <v/>
      </c>
      <c r="BM153" s="45">
        <v>99</v>
      </c>
      <c r="BN153" s="46" t="str">
        <f t="shared" ca="1" si="93"/>
        <v>28.04.2022</v>
      </c>
      <c r="BO153" s="49" t="str">
        <f t="shared" si="94"/>
        <v/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IF(IFERROR(INDEX(Consulta!$A:$DF,MATCH('MM01'!$B153,Consulta!$C:$C,0),'MM01'!BX$2),"")=0,"",IFERROR(INDEX(Consulta!$A:$DF,MATCH('MM01'!$B153,Consulta!$C:$C,0),'MM01'!BX$2),""))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95"/>
        <v/>
      </c>
      <c r="CD153" s="45" t="s">
        <v>430</v>
      </c>
      <c r="CE153" s="45">
        <v>1</v>
      </c>
      <c r="CF153" s="45" t="s">
        <v>496</v>
      </c>
      <c r="CG153" s="45"/>
      <c r="CH153" s="44">
        <v>2</v>
      </c>
      <c r="CI153" s="49" t="str">
        <f t="shared" si="96"/>
        <v/>
      </c>
      <c r="CJ153" s="49" t="str">
        <f t="shared" si="97"/>
        <v/>
      </c>
      <c r="CK153" s="45"/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98"/>
        <v>K00_P_</v>
      </c>
      <c r="CS153" s="45">
        <v>5000</v>
      </c>
      <c r="CT153" s="43" t="str">
        <f>IF(IFERROR(INDEX(Consulta!$A:$DF,MATCH('MM01'!$B153,Consulta!$C:$C,0),'MM01'!CT$2),"")=0,"",IFERROR(INDEX(Consulta!$A:$DF,MATCH('MM01'!$B153,Consulta!$C:$C,0),'MM01'!CT$2),""))</f>
        <v/>
      </c>
      <c r="CU153" s="43" t="str">
        <f>IF(IFERROR(INDEX(Consulta!$A:$DF,MATCH('MM01'!$B153,Consulta!$C:$C,0),'MM01'!CU$2),"")=0,"",IFERROR(INDEX(Consulta!$A:$DF,MATCH('MM01'!$B153,Consulta!$C:$C,0),'MM01'!CU$2),""))</f>
        <v/>
      </c>
      <c r="CV153" s="43" t="str">
        <f>IF(IFERROR(INDEX(Consulta!$A:$DF,MATCH('MM01'!$B153,Consulta!$C:$C,0),'MM01'!CV$2),"")=0,"",IFERROR(INDEX(Consulta!$A:$DF,MATCH('MM01'!$B153,Consulta!$C:$C,0),'MM01'!CV$2),""))</f>
        <v/>
      </c>
      <c r="CW153" s="43" t="str">
        <f>IF(IFERROR(INDEX(Consulta!$A:$DF,MATCH('MM01'!$B153,Consulta!$C:$C,0),'MM01'!CW$2),"")=0,"",IFERROR(INDEX(Consulta!$A:$DF,MATCH('MM01'!$B153,Consulta!$C:$C,0),'MM01'!CW$2),""))</f>
        <v/>
      </c>
      <c r="CX153" s="43" t="str">
        <f t="shared" si="99"/>
        <v/>
      </c>
      <c r="CY153" s="43" t="str">
        <f t="shared" si="100"/>
        <v/>
      </c>
      <c r="CZ153" s="43" t="str">
        <f t="shared" si="101"/>
        <v/>
      </c>
      <c r="DA153" s="43" t="str">
        <f>IF(IFERROR(INDEX(Consulta!$A:$DF,MATCH('MM01'!$B153,Consulta!$C:$C,0),'MM01'!DA$2),"")=0,"",IFERROR(INDEX(Consulta!$A:$DF,MATCH('MM01'!$B153,Consulta!$C:$C,0),'MM01'!DA$2),""))</f>
        <v/>
      </c>
      <c r="DB153" s="43" t="str">
        <f t="shared" si="102"/>
        <v/>
      </c>
      <c r="DC153" s="43" t="str">
        <f>IF(IFERROR(INDEX(Consulta!$A:$DF,MATCH('MM01'!$B153,Consulta!$C:$C,0),'MM01'!DC$2),"")=0,"",IFERROR(INDEX(Consulta!$A:$DF,MATCH('MM01'!$B153,Consulta!$C:$C,0),'MM01'!DC$2),""))</f>
        <v/>
      </c>
      <c r="DD153" s="45">
        <v>0</v>
      </c>
      <c r="DE153" s="45">
        <v>0</v>
      </c>
      <c r="DF153" s="43" t="str">
        <f t="shared" si="103"/>
        <v/>
      </c>
      <c r="DG153" s="43" t="str">
        <f t="shared" si="104"/>
        <v/>
      </c>
      <c r="DH153" s="55"/>
      <c r="DI153" s="43" t="str">
        <f t="shared" ca="1" si="105"/>
        <v/>
      </c>
      <c r="DJ153" s="43" t="str">
        <f t="shared" si="106"/>
        <v/>
      </c>
      <c r="DK153" s="43" t="str">
        <f t="shared" si="107"/>
        <v/>
      </c>
      <c r="DL153" s="55"/>
      <c r="DM153" s="43" t="str">
        <f t="shared" ca="1" si="108"/>
        <v/>
      </c>
      <c r="DN153" s="43" t="str">
        <f t="shared" si="109"/>
        <v/>
      </c>
      <c r="DO153" s="43" t="str">
        <f t="shared" si="110"/>
        <v/>
      </c>
      <c r="DP153" s="55"/>
      <c r="DQ153" s="43" t="str">
        <f t="shared" ca="1" si="111"/>
        <v/>
      </c>
      <c r="DR153" s="43" t="str">
        <f t="shared" si="112"/>
        <v/>
      </c>
      <c r="DS153" s="43" t="str">
        <f t="shared" si="113"/>
        <v/>
      </c>
      <c r="DT153" s="55"/>
      <c r="DU153" s="43" t="str">
        <f t="shared" ca="1" si="114"/>
        <v/>
      </c>
      <c r="DV153" s="43" t="str">
        <f t="shared" si="115"/>
        <v/>
      </c>
      <c r="DX153" s="44">
        <v>1</v>
      </c>
      <c r="DY153" s="44" t="s">
        <v>774</v>
      </c>
      <c r="DZ153" s="43">
        <f t="shared" si="116"/>
        <v>0.01</v>
      </c>
      <c r="EA153" s="43" t="str">
        <f t="shared" si="117"/>
        <v>M</v>
      </c>
      <c r="EB153" s="43" t="str">
        <f>IF(IFERROR(INDEX(Consulta!$A:$DF,MATCH('MM01'!$B153,Consulta!$C:$C,0),'MM01'!EB$2),"")=0,"7925",IF(IFERROR(INDEX(Consulta!$A:$DF,MATCH('MM01'!$B153,Consulta!$C:$C,0),'MM01'!EB$2),"")="68","7910","7925"))</f>
        <v>7925</v>
      </c>
      <c r="EC153" s="44">
        <v>100</v>
      </c>
      <c r="ED153" s="60">
        <v>1</v>
      </c>
      <c r="EE153" s="43">
        <f t="shared" si="118"/>
        <v>100</v>
      </c>
      <c r="EF153" s="44">
        <v>1</v>
      </c>
      <c r="EG153" s="44">
        <v>0</v>
      </c>
      <c r="EH153" s="44" t="s">
        <v>867</v>
      </c>
      <c r="EI153" s="45">
        <v>0</v>
      </c>
      <c r="EJ153" s="43">
        <f t="shared" si="119"/>
        <v>5000</v>
      </c>
      <c r="EK153" s="65"/>
    </row>
    <row r="154" spans="1:141" x14ac:dyDescent="0.3">
      <c r="A154" s="7" t="str">
        <f t="shared" si="80"/>
        <v>Execução 150</v>
      </c>
      <c r="B154" s="42"/>
      <c r="C154" s="43" t="str">
        <f>IF(IFERROR(INDEX(Consulta!$A:$DF,MATCH('MM01'!$B154,Consulta!$C:$C,0),'MM01'!C$2),"")=0,"",IFERROR(INDEX(Consulta!$A:$DF,MATCH('MM01'!$B154,Consulta!$C:$C,0),'MM01'!C$2),""))</f>
        <v/>
      </c>
      <c r="D154" s="43" t="str">
        <f>IF(IFERROR(INDEX(Consulta!$A:$DF,MATCH('MM01'!$B154,Consulta!$C:$C,0),'MM01'!D$2),"")=0,"",IFERROR(INDEX(Consulta!$A:$DF,MATCH('MM01'!$B154,Consulta!$C:$C,0),'MM01'!D$2),""))</f>
        <v/>
      </c>
      <c r="E154" s="43" t="str">
        <f>IF(IFERROR(INDEX(Consulta!$A:$DF,MATCH('MM01'!$B154,Consulta!$C:$C,0),'MM01'!E$2),"")=0,"",IFERROR(INDEX(Consulta!$A:$DF,MATCH('MM01'!$B154,Consulta!$C:$C,0),'MM01'!E$2),""))</f>
        <v/>
      </c>
      <c r="F154" s="44" t="s">
        <v>100</v>
      </c>
      <c r="G154" s="49" t="str">
        <f>IF(IFERROR(INDEX(Consulta!$A:$DF,MATCH('MM01'!$B154,Consulta!$C:$C,0),'MM01'!G$2),"")=0,"",IFERROR(INDEX(Consulta!$A:$DF,MATCH('MM01'!$B154,Consulta!$C:$C,0),'MM01'!G$2),""))</f>
        <v/>
      </c>
      <c r="H154" s="49" t="str">
        <f>IF(IFERROR(INDEX(Consulta!$A:$DF,MATCH('MM01'!$B154,Consulta!$C:$C,0),'MM01'!H$2),"")=0,"",IFERROR(INDEX(Consulta!$A:$DF,MATCH('MM01'!$B154,Consulta!$C:$C,0),'MM01'!H$2),""))</f>
        <v/>
      </c>
      <c r="I154" s="49" t="str">
        <f t="shared" si="81"/>
        <v/>
      </c>
      <c r="J154" s="49" t="str">
        <f>IF(IFERROR(INDEX(Consulta!$A:$DF,MATCH('MM01'!$B154,Consulta!$C:$C,0),'MM01'!J$2),"")=0,"",IFERROR(INDEX(Consulta!$A:$DF,MATCH('MM01'!$B154,Consulta!$C:$C,0),'MM01'!J$2),""))</f>
        <v/>
      </c>
      <c r="K154" s="49" t="str">
        <f t="shared" si="82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IF(IFERROR(INDEX(Consulta!$A:$DF,MATCH('MM01'!$B154,Consulta!$C:$C,0),'MM01'!AP$2),"")=0,"",IFERROR(INDEX(Consulta!$A:$DF,MATCH('MM01'!$B154,Consulta!$C:$C,0),'MM01'!AP$2),""))</f>
        <v/>
      </c>
      <c r="AQ154" s="45"/>
      <c r="AR154" s="43" t="str">
        <f>IF(IFERROR(INDEX(Consulta!$A:$DF,MATCH('MM01'!$B154,Consulta!$C:$C,0),'MM01'!AR$2),"")=0,"",IFERROR(INDEX(Consulta!$A:$DF,MATCH('MM01'!$B154,Consulta!$C:$C,0),'MM01'!AR$2),""))</f>
        <v/>
      </c>
      <c r="AS154" s="43" t="str">
        <f>IF(IFERROR(INDEX(Consulta!$A:$DF,MATCH('MM01'!$B154,Consulta!$C:$C,0),'MM01'!AS$2),"")=0,"",IF(AR154="68",5102,IFERROR(INDEX(Consulta!$A:$DF,MATCH('MM01'!$B154,Consulta!$C:$C,0),'MM01'!AS$2),"")))</f>
        <v/>
      </c>
      <c r="AT154" s="45"/>
      <c r="AU154" s="46" t="str">
        <f t="shared" ca="1" si="83"/>
        <v/>
      </c>
      <c r="AV154" s="47" t="s">
        <v>796</v>
      </c>
      <c r="AW154" s="43" t="str">
        <f>IF(IFERROR(INDEX(Consulta!$A:$DF,MATCH('MM01'!$B154,Consulta!$C:$C,0),'MM01'!AW$2),"")=0,"",IFERROR(ROUND(INDEX(Consulta!$A:$DF,MATCH('MM01'!$B154,Consulta!$C:$C,0),'MM01'!AW$2),3),""))</f>
        <v/>
      </c>
      <c r="AX154" s="43" t="str">
        <f t="shared" si="84"/>
        <v/>
      </c>
      <c r="AY154" s="48" t="s">
        <v>299</v>
      </c>
      <c r="AZ154" s="48"/>
      <c r="BA154" s="43" t="str">
        <f>IF(IFERROR(INDEX(Consulta!$A:$DF,MATCH('MM01'!$B154,Consulta!$C:$C,0),'MM01'!BA$2),"")=0,"",IFERROR(INDEX(Consulta!$A:$DF,MATCH('MM01'!$B154,Consulta!$C:$C,0),'MM01'!BA$2),""))</f>
        <v/>
      </c>
      <c r="BB154" s="43" t="str">
        <f t="shared" si="85"/>
        <v/>
      </c>
      <c r="BC154" s="43" t="str">
        <f t="shared" si="86"/>
        <v/>
      </c>
      <c r="BD154" s="43" t="str">
        <f t="shared" si="87"/>
        <v/>
      </c>
      <c r="BE154" s="43" t="str">
        <f t="shared" si="88"/>
        <v>M</v>
      </c>
      <c r="BF154" s="43" t="str">
        <f t="shared" si="89"/>
        <v/>
      </c>
      <c r="BG154" s="43" t="str">
        <f t="shared" si="90"/>
        <v/>
      </c>
      <c r="BH154" s="43" t="str">
        <f t="shared" si="91"/>
        <v/>
      </c>
      <c r="BI154" s="43" t="str">
        <f t="shared" si="92"/>
        <v>M</v>
      </c>
      <c r="BK154" s="45" t="s">
        <v>324</v>
      </c>
      <c r="BL154" s="43" t="str">
        <f>IF(IFERROR(INDEX(Consulta!$A:$DF,MATCH('MM01'!$B154,Consulta!$C:$C,0),'MM01'!BL$2),"")=0,"",IFERROR(INDEX(Consulta!$A:$DF,MATCH('MM01'!$B154,Consulta!$C:$C,0),'MM01'!BL$2),""))</f>
        <v/>
      </c>
      <c r="BM154" s="45">
        <v>99</v>
      </c>
      <c r="BN154" s="46" t="str">
        <f t="shared" ca="1" si="93"/>
        <v>28.04.2022</v>
      </c>
      <c r="BO154" s="49" t="str">
        <f t="shared" si="94"/>
        <v/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IF(IFERROR(INDEX(Consulta!$A:$DF,MATCH('MM01'!$B154,Consulta!$C:$C,0),'MM01'!BX$2),"")=0,"",IFERROR(INDEX(Consulta!$A:$DF,MATCH('MM01'!$B154,Consulta!$C:$C,0),'MM01'!BX$2),""))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95"/>
        <v/>
      </c>
      <c r="CD154" s="45" t="s">
        <v>430</v>
      </c>
      <c r="CE154" s="45">
        <v>1</v>
      </c>
      <c r="CF154" s="45" t="s">
        <v>496</v>
      </c>
      <c r="CG154" s="45"/>
      <c r="CH154" s="44">
        <v>2</v>
      </c>
      <c r="CI154" s="49" t="str">
        <f t="shared" si="96"/>
        <v/>
      </c>
      <c r="CJ154" s="49" t="str">
        <f t="shared" si="97"/>
        <v/>
      </c>
      <c r="CK154" s="45"/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98"/>
        <v>K00_P_</v>
      </c>
      <c r="CS154" s="45">
        <v>5000</v>
      </c>
      <c r="CT154" s="43" t="str">
        <f>IF(IFERROR(INDEX(Consulta!$A:$DF,MATCH('MM01'!$B154,Consulta!$C:$C,0),'MM01'!CT$2),"")=0,"",IFERROR(INDEX(Consulta!$A:$DF,MATCH('MM01'!$B154,Consulta!$C:$C,0),'MM01'!CT$2),""))</f>
        <v/>
      </c>
      <c r="CU154" s="43" t="str">
        <f>IF(IFERROR(INDEX(Consulta!$A:$DF,MATCH('MM01'!$B154,Consulta!$C:$C,0),'MM01'!CU$2),"")=0,"",IFERROR(INDEX(Consulta!$A:$DF,MATCH('MM01'!$B154,Consulta!$C:$C,0),'MM01'!CU$2),""))</f>
        <v/>
      </c>
      <c r="CV154" s="43" t="str">
        <f>IF(IFERROR(INDEX(Consulta!$A:$DF,MATCH('MM01'!$B154,Consulta!$C:$C,0),'MM01'!CV$2),"")=0,"",IFERROR(INDEX(Consulta!$A:$DF,MATCH('MM01'!$B154,Consulta!$C:$C,0),'MM01'!CV$2),""))</f>
        <v/>
      </c>
      <c r="CW154" s="43" t="str">
        <f>IF(IFERROR(INDEX(Consulta!$A:$DF,MATCH('MM01'!$B154,Consulta!$C:$C,0),'MM01'!CW$2),"")=0,"",IFERROR(INDEX(Consulta!$A:$DF,MATCH('MM01'!$B154,Consulta!$C:$C,0),'MM01'!CW$2),""))</f>
        <v/>
      </c>
      <c r="CX154" s="43" t="str">
        <f t="shared" si="99"/>
        <v/>
      </c>
      <c r="CY154" s="43" t="str">
        <f t="shared" si="100"/>
        <v/>
      </c>
      <c r="CZ154" s="43" t="str">
        <f t="shared" si="101"/>
        <v/>
      </c>
      <c r="DA154" s="43" t="str">
        <f>IF(IFERROR(INDEX(Consulta!$A:$DF,MATCH('MM01'!$B154,Consulta!$C:$C,0),'MM01'!DA$2),"")=0,"",IFERROR(INDEX(Consulta!$A:$DF,MATCH('MM01'!$B154,Consulta!$C:$C,0),'MM01'!DA$2),""))</f>
        <v/>
      </c>
      <c r="DB154" s="43" t="str">
        <f t="shared" si="102"/>
        <v/>
      </c>
      <c r="DC154" s="43" t="str">
        <f>IF(IFERROR(INDEX(Consulta!$A:$DF,MATCH('MM01'!$B154,Consulta!$C:$C,0),'MM01'!DC$2),"")=0,"",IFERROR(INDEX(Consulta!$A:$DF,MATCH('MM01'!$B154,Consulta!$C:$C,0),'MM01'!DC$2),""))</f>
        <v/>
      </c>
      <c r="DD154" s="45">
        <v>0</v>
      </c>
      <c r="DE154" s="45">
        <v>0</v>
      </c>
      <c r="DF154" s="43" t="str">
        <f t="shared" si="103"/>
        <v/>
      </c>
      <c r="DG154" s="43" t="str">
        <f t="shared" si="104"/>
        <v/>
      </c>
      <c r="DH154" s="55"/>
      <c r="DI154" s="43" t="str">
        <f t="shared" ca="1" si="105"/>
        <v/>
      </c>
      <c r="DJ154" s="43" t="str">
        <f t="shared" si="106"/>
        <v/>
      </c>
      <c r="DK154" s="43" t="str">
        <f t="shared" si="107"/>
        <v/>
      </c>
      <c r="DL154" s="55"/>
      <c r="DM154" s="43" t="str">
        <f t="shared" ca="1" si="108"/>
        <v/>
      </c>
      <c r="DN154" s="43" t="str">
        <f t="shared" si="109"/>
        <v/>
      </c>
      <c r="DO154" s="43" t="str">
        <f t="shared" si="110"/>
        <v/>
      </c>
      <c r="DP154" s="55"/>
      <c r="DQ154" s="43" t="str">
        <f t="shared" ca="1" si="111"/>
        <v/>
      </c>
      <c r="DR154" s="43" t="str">
        <f t="shared" si="112"/>
        <v/>
      </c>
      <c r="DS154" s="43" t="str">
        <f t="shared" si="113"/>
        <v/>
      </c>
      <c r="DT154" s="55"/>
      <c r="DU154" s="43" t="str">
        <f t="shared" ca="1" si="114"/>
        <v/>
      </c>
      <c r="DV154" s="43" t="str">
        <f t="shared" si="115"/>
        <v/>
      </c>
      <c r="DX154" s="44">
        <v>1</v>
      </c>
      <c r="DY154" s="44" t="s">
        <v>774</v>
      </c>
      <c r="DZ154" s="43">
        <f t="shared" si="116"/>
        <v>0.01</v>
      </c>
      <c r="EA154" s="43" t="str">
        <f t="shared" si="117"/>
        <v>M</v>
      </c>
      <c r="EB154" s="43" t="str">
        <f>IF(IFERROR(INDEX(Consulta!$A:$DF,MATCH('MM01'!$B154,Consulta!$C:$C,0),'MM01'!EB$2),"")=0,"7925",IF(IFERROR(INDEX(Consulta!$A:$DF,MATCH('MM01'!$B154,Consulta!$C:$C,0),'MM01'!EB$2),"")="68","7910","7925"))</f>
        <v>7925</v>
      </c>
      <c r="EC154" s="44">
        <v>100</v>
      </c>
      <c r="ED154" s="60">
        <v>1</v>
      </c>
      <c r="EE154" s="43">
        <f t="shared" si="118"/>
        <v>100</v>
      </c>
      <c r="EF154" s="44">
        <v>1</v>
      </c>
      <c r="EG154" s="44">
        <v>0</v>
      </c>
      <c r="EH154" s="44" t="s">
        <v>867</v>
      </c>
      <c r="EI154" s="45">
        <v>0</v>
      </c>
      <c r="EJ154" s="43">
        <f t="shared" si="119"/>
        <v>5000</v>
      </c>
      <c r="EK154" s="66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84" priority="164" operator="beginsWith" text="L">
      <formula>LEFT(B5,LEN("L"))="L"</formula>
    </cfRule>
  </conditionalFormatting>
  <conditionalFormatting sqref="D5">
    <cfRule type="beginsWith" dxfId="183" priority="133" operator="beginsWith" text="L">
      <formula>LEFT(D5,LEN("L"))="L"</formula>
    </cfRule>
  </conditionalFormatting>
  <conditionalFormatting sqref="E5:E54">
    <cfRule type="beginsWith" dxfId="182" priority="132" operator="beginsWith" text="L">
      <formula>LEFT(E5,LEN("L"))="L"</formula>
    </cfRule>
  </conditionalFormatting>
  <conditionalFormatting sqref="AP5">
    <cfRule type="beginsWith" dxfId="181" priority="131" operator="beginsWith" text="L">
      <formula>LEFT(AP5,LEN("L"))="L"</formula>
    </cfRule>
  </conditionalFormatting>
  <conditionalFormatting sqref="AS5:AS54">
    <cfRule type="beginsWith" dxfId="180" priority="130" operator="beginsWith" text="L">
      <formula>LEFT(AS5,LEN("L"))="L"</formula>
    </cfRule>
  </conditionalFormatting>
  <conditionalFormatting sqref="AW5">
    <cfRule type="beginsWith" dxfId="179" priority="129" operator="beginsWith" text="L">
      <formula>LEFT(AW5,LEN("L"))="L"</formula>
    </cfRule>
  </conditionalFormatting>
  <conditionalFormatting sqref="BA5">
    <cfRule type="beginsWith" dxfId="178" priority="128" operator="beginsWith" text="L">
      <formula>LEFT(BA5,LEN("L"))="L"</formula>
    </cfRule>
  </conditionalFormatting>
  <conditionalFormatting sqref="BL5">
    <cfRule type="beginsWith" dxfId="177" priority="127" operator="beginsWith" text="L">
      <formula>LEFT(BL5,LEN("L"))="L"</formula>
    </cfRule>
  </conditionalFormatting>
  <conditionalFormatting sqref="BX5">
    <cfRule type="beginsWith" dxfId="176" priority="126" operator="beginsWith" text="L">
      <formula>LEFT(BX5,LEN("L"))="L"</formula>
    </cfRule>
  </conditionalFormatting>
  <conditionalFormatting sqref="CT5">
    <cfRule type="beginsWith" dxfId="175" priority="125" operator="beginsWith" text="L">
      <formula>LEFT(CT5,LEN("L"))="L"</formula>
    </cfRule>
  </conditionalFormatting>
  <conditionalFormatting sqref="CU5">
    <cfRule type="beginsWith" dxfId="174" priority="124" operator="beginsWith" text="L">
      <formula>LEFT(CU5,LEN("L"))="L"</formula>
    </cfRule>
  </conditionalFormatting>
  <conditionalFormatting sqref="CV5">
    <cfRule type="beginsWith" dxfId="173" priority="123" operator="beginsWith" text="L">
      <formula>LEFT(CV5,LEN("L"))="L"</formula>
    </cfRule>
  </conditionalFormatting>
  <conditionalFormatting sqref="CW5">
    <cfRule type="beginsWith" dxfId="172" priority="122" operator="beginsWith" text="L">
      <formula>LEFT(CW5,LEN("L"))="L"</formula>
    </cfRule>
  </conditionalFormatting>
  <conditionalFormatting sqref="DC5">
    <cfRule type="beginsWith" dxfId="171" priority="121" operator="beginsWith" text="L">
      <formula>LEFT(DC5,LEN("L"))="L"</formula>
    </cfRule>
  </conditionalFormatting>
  <conditionalFormatting sqref="B6:C54">
    <cfRule type="beginsWith" dxfId="170" priority="102" operator="beginsWith" text="L">
      <formula>LEFT(B6,LEN("L"))="L"</formula>
    </cfRule>
  </conditionalFormatting>
  <conditionalFormatting sqref="D6:D54">
    <cfRule type="beginsWith" dxfId="169" priority="101" operator="beginsWith" text="L">
      <formula>LEFT(D6,LEN("L"))="L"</formula>
    </cfRule>
  </conditionalFormatting>
  <conditionalFormatting sqref="AP6:AP54">
    <cfRule type="beginsWith" dxfId="168" priority="99" operator="beginsWith" text="L">
      <formula>LEFT(AP6,LEN("L"))="L"</formula>
    </cfRule>
  </conditionalFormatting>
  <conditionalFormatting sqref="BA6:BA54">
    <cfRule type="beginsWith" dxfId="167" priority="96" operator="beginsWith" text="L">
      <formula>LEFT(BA6,LEN("L"))="L"</formula>
    </cfRule>
  </conditionalFormatting>
  <conditionalFormatting sqref="BL6:BL54">
    <cfRule type="beginsWith" dxfId="166" priority="95" operator="beginsWith" text="L">
      <formula>LEFT(BL6,LEN("L"))="L"</formula>
    </cfRule>
  </conditionalFormatting>
  <conditionalFormatting sqref="BX6:BX54">
    <cfRule type="beginsWith" dxfId="165" priority="94" operator="beginsWith" text="L">
      <formula>LEFT(BX6,LEN("L"))="L"</formula>
    </cfRule>
  </conditionalFormatting>
  <conditionalFormatting sqref="CT6:CT54">
    <cfRule type="beginsWith" dxfId="164" priority="93" operator="beginsWith" text="L">
      <formula>LEFT(CT6,LEN("L"))="L"</formula>
    </cfRule>
  </conditionalFormatting>
  <conditionalFormatting sqref="CU6:CU54">
    <cfRule type="beginsWith" dxfId="163" priority="92" operator="beginsWith" text="L">
      <formula>LEFT(CU6,LEN("L"))="L"</formula>
    </cfRule>
  </conditionalFormatting>
  <conditionalFormatting sqref="CV6:CV54">
    <cfRule type="beginsWith" dxfId="162" priority="91" operator="beginsWith" text="L">
      <formula>LEFT(CV6,LEN("L"))="L"</formula>
    </cfRule>
  </conditionalFormatting>
  <conditionalFormatting sqref="CW6:CW54">
    <cfRule type="beginsWith" dxfId="161" priority="90" operator="beginsWith" text="L">
      <formula>LEFT(CW6,LEN("L"))="L"</formula>
    </cfRule>
  </conditionalFormatting>
  <conditionalFormatting sqref="DC6:DC54">
    <cfRule type="beginsWith" dxfId="160" priority="89" operator="beginsWith" text="L">
      <formula>LEFT(DC6,LEN("L"))="L"</formula>
    </cfRule>
  </conditionalFormatting>
  <conditionalFormatting sqref="AW6:AW54">
    <cfRule type="beginsWith" dxfId="159" priority="88" operator="beginsWith" text="L">
      <formula>LEFT(AW6,LEN("L"))="L"</formula>
    </cfRule>
  </conditionalFormatting>
  <conditionalFormatting sqref="EK1:EK54 EK155:EK1048576">
    <cfRule type="containsText" dxfId="158" priority="81" operator="containsText" text="criadas">
      <formula>NOT(ISERROR(SEARCH("criadas",EK1)))</formula>
    </cfRule>
    <cfRule type="containsText" dxfId="157" priority="83" operator="containsText" text="é gravado">
      <formula>NOT(ISERROR(SEARCH("é gravado",EK1)))</formula>
    </cfRule>
    <cfRule type="containsText" dxfId="156" priority="84" operator="containsText" text="é modificado">
      <formula>NOT(ISERROR(SEARCH("é modificado",EK1)))</formula>
    </cfRule>
    <cfRule type="containsText" dxfId="155" priority="85" operator="containsText" text="Error">
      <formula>NOT(ISERROR(SEARCH("Error",EK1)))</formula>
    </cfRule>
    <cfRule type="containsText" dxfId="154" priority="86" operator="containsText" text="é criado">
      <formula>NOT(ISERROR(SEARCH("é criado",EK1)))</formula>
    </cfRule>
  </conditionalFormatting>
  <conditionalFormatting sqref="DA5:DA54">
    <cfRule type="beginsWith" dxfId="153" priority="80" operator="beginsWith" text="L">
      <formula>LEFT(DA5,LEN("L"))="L"</formula>
    </cfRule>
  </conditionalFormatting>
  <conditionalFormatting sqref="EB5:EB54">
    <cfRule type="beginsWith" dxfId="152" priority="79" operator="beginsWith" text="L">
      <formula>LEFT(EB5,LEN("L"))="L"</formula>
    </cfRule>
  </conditionalFormatting>
  <conditionalFormatting sqref="G5:G54">
    <cfRule type="beginsWith" dxfId="151" priority="78" operator="beginsWith" text="L">
      <formula>LEFT(G5,LEN("L"))="L"</formula>
    </cfRule>
  </conditionalFormatting>
  <conditionalFormatting sqref="H5:H54">
    <cfRule type="beginsWith" dxfId="150" priority="77" operator="beginsWith" text="L">
      <formula>LEFT(H5,LEN("L"))="L"</formula>
    </cfRule>
  </conditionalFormatting>
  <conditionalFormatting sqref="J5:J54">
    <cfRule type="beginsWith" dxfId="149" priority="76" operator="beginsWith" text="L">
      <formula>LEFT(J5,LEN("L"))="L"</formula>
    </cfRule>
  </conditionalFormatting>
  <conditionalFormatting sqref="AR5:AR54">
    <cfRule type="beginsWith" dxfId="148" priority="75" operator="beginsWith" text="L">
      <formula>LEFT(AR5,LEN("L"))="L"</formula>
    </cfRule>
  </conditionalFormatting>
  <conditionalFormatting sqref="B55:C55">
    <cfRule type="beginsWith" dxfId="147" priority="74" operator="beginsWith" text="L">
      <formula>LEFT(B55,LEN("L"))="L"</formula>
    </cfRule>
  </conditionalFormatting>
  <conditionalFormatting sqref="D55">
    <cfRule type="beginsWith" dxfId="146" priority="73" operator="beginsWith" text="L">
      <formula>LEFT(D55,LEN("L"))="L"</formula>
    </cfRule>
  </conditionalFormatting>
  <conditionalFormatting sqref="E55:E104">
    <cfRule type="beginsWith" dxfId="145" priority="72" operator="beginsWith" text="L">
      <formula>LEFT(E55,LEN("L"))="L"</formula>
    </cfRule>
  </conditionalFormatting>
  <conditionalFormatting sqref="AP55">
    <cfRule type="beginsWith" dxfId="144" priority="71" operator="beginsWith" text="L">
      <formula>LEFT(AP55,LEN("L"))="L"</formula>
    </cfRule>
  </conditionalFormatting>
  <conditionalFormatting sqref="AS55:AS104">
    <cfRule type="beginsWith" dxfId="143" priority="70" operator="beginsWith" text="L">
      <formula>LEFT(AS55,LEN("L"))="L"</formula>
    </cfRule>
  </conditionalFormatting>
  <conditionalFormatting sqref="AW55">
    <cfRule type="beginsWith" dxfId="142" priority="69" operator="beginsWith" text="L">
      <formula>LEFT(AW55,LEN("L"))="L"</formula>
    </cfRule>
  </conditionalFormatting>
  <conditionalFormatting sqref="BA55">
    <cfRule type="beginsWith" dxfId="141" priority="68" operator="beginsWith" text="L">
      <formula>LEFT(BA55,LEN("L"))="L"</formula>
    </cfRule>
  </conditionalFormatting>
  <conditionalFormatting sqref="BL55">
    <cfRule type="beginsWith" dxfId="140" priority="67" operator="beginsWith" text="L">
      <formula>LEFT(BL55,LEN("L"))="L"</formula>
    </cfRule>
  </conditionalFormatting>
  <conditionalFormatting sqref="BX55">
    <cfRule type="beginsWith" dxfId="139" priority="66" operator="beginsWith" text="L">
      <formula>LEFT(BX55,LEN("L"))="L"</formula>
    </cfRule>
  </conditionalFormatting>
  <conditionalFormatting sqref="CT55">
    <cfRule type="beginsWith" dxfId="138" priority="65" operator="beginsWith" text="L">
      <formula>LEFT(CT55,LEN("L"))="L"</formula>
    </cfRule>
  </conditionalFormatting>
  <conditionalFormatting sqref="CU55">
    <cfRule type="beginsWith" dxfId="137" priority="64" operator="beginsWith" text="L">
      <formula>LEFT(CU55,LEN("L"))="L"</formula>
    </cfRule>
  </conditionalFormatting>
  <conditionalFormatting sqref="CV55">
    <cfRule type="beginsWith" dxfId="136" priority="63" operator="beginsWith" text="L">
      <formula>LEFT(CV55,LEN("L"))="L"</formula>
    </cfRule>
  </conditionalFormatting>
  <conditionalFormatting sqref="CW55">
    <cfRule type="beginsWith" dxfId="135" priority="62" operator="beginsWith" text="L">
      <formula>LEFT(CW55,LEN("L"))="L"</formula>
    </cfRule>
  </conditionalFormatting>
  <conditionalFormatting sqref="DC55">
    <cfRule type="beginsWith" dxfId="134" priority="61" operator="beginsWith" text="L">
      <formula>LEFT(DC55,LEN("L"))="L"</formula>
    </cfRule>
  </conditionalFormatting>
  <conditionalFormatting sqref="B56:C104">
    <cfRule type="beginsWith" dxfId="133" priority="60" operator="beginsWith" text="L">
      <formula>LEFT(B56,LEN("L"))="L"</formula>
    </cfRule>
  </conditionalFormatting>
  <conditionalFormatting sqref="D56:D104">
    <cfRule type="beginsWith" dxfId="132" priority="59" operator="beginsWith" text="L">
      <formula>LEFT(D56,LEN("L"))="L"</formula>
    </cfRule>
  </conditionalFormatting>
  <conditionalFormatting sqref="AP56:AP104">
    <cfRule type="beginsWith" dxfId="131" priority="58" operator="beginsWith" text="L">
      <formula>LEFT(AP56,LEN("L"))="L"</formula>
    </cfRule>
  </conditionalFormatting>
  <conditionalFormatting sqref="BA56:BA104">
    <cfRule type="beginsWith" dxfId="130" priority="57" operator="beginsWith" text="L">
      <formula>LEFT(BA56,LEN("L"))="L"</formula>
    </cfRule>
  </conditionalFormatting>
  <conditionalFormatting sqref="BL56:BL104">
    <cfRule type="beginsWith" dxfId="129" priority="56" operator="beginsWith" text="L">
      <formula>LEFT(BL56,LEN("L"))="L"</formula>
    </cfRule>
  </conditionalFormatting>
  <conditionalFormatting sqref="BX56:BX104">
    <cfRule type="beginsWith" dxfId="128" priority="55" operator="beginsWith" text="L">
      <formula>LEFT(BX56,LEN("L"))="L"</formula>
    </cfRule>
  </conditionalFormatting>
  <conditionalFormatting sqref="CT56:CT104">
    <cfRule type="beginsWith" dxfId="127" priority="54" operator="beginsWith" text="L">
      <formula>LEFT(CT56,LEN("L"))="L"</formula>
    </cfRule>
  </conditionalFormatting>
  <conditionalFormatting sqref="CU56:CU104">
    <cfRule type="beginsWith" dxfId="126" priority="53" operator="beginsWith" text="L">
      <formula>LEFT(CU56,LEN("L"))="L"</formula>
    </cfRule>
  </conditionalFormatting>
  <conditionalFormatting sqref="CV56:CV104">
    <cfRule type="beginsWith" dxfId="125" priority="52" operator="beginsWith" text="L">
      <formula>LEFT(CV56,LEN("L"))="L"</formula>
    </cfRule>
  </conditionalFormatting>
  <conditionalFormatting sqref="CW56:CW104">
    <cfRule type="beginsWith" dxfId="124" priority="51" operator="beginsWith" text="L">
      <formula>LEFT(CW56,LEN("L"))="L"</formula>
    </cfRule>
  </conditionalFormatting>
  <conditionalFormatting sqref="DC56:DC104">
    <cfRule type="beginsWith" dxfId="123" priority="50" operator="beginsWith" text="L">
      <formula>LEFT(DC56,LEN("L"))="L"</formula>
    </cfRule>
  </conditionalFormatting>
  <conditionalFormatting sqref="AW56:AW104">
    <cfRule type="beginsWith" dxfId="122" priority="49" operator="beginsWith" text="L">
      <formula>LEFT(AW56,LEN("L"))="L"</formula>
    </cfRule>
  </conditionalFormatting>
  <conditionalFormatting sqref="EK55:EK104">
    <cfRule type="containsText" dxfId="121" priority="44" operator="containsText" text="criadas">
      <formula>NOT(ISERROR(SEARCH("criadas",EK55)))</formula>
    </cfRule>
    <cfRule type="containsText" dxfId="120" priority="45" operator="containsText" text="é gravado">
      <formula>NOT(ISERROR(SEARCH("é gravado",EK55)))</formula>
    </cfRule>
    <cfRule type="containsText" dxfId="119" priority="46" operator="containsText" text="é modificado">
      <formula>NOT(ISERROR(SEARCH("é modificado",EK55)))</formula>
    </cfRule>
    <cfRule type="containsText" dxfId="118" priority="47" operator="containsText" text="Error">
      <formula>NOT(ISERROR(SEARCH("Error",EK55)))</formula>
    </cfRule>
    <cfRule type="containsText" dxfId="117" priority="48" operator="containsText" text="é criado">
      <formula>NOT(ISERROR(SEARCH("é criado",EK55)))</formula>
    </cfRule>
  </conditionalFormatting>
  <conditionalFormatting sqref="DA55:DA104">
    <cfRule type="beginsWith" dxfId="116" priority="43" operator="beginsWith" text="L">
      <formula>LEFT(DA55,LEN("L"))="L"</formula>
    </cfRule>
  </conditionalFormatting>
  <conditionalFormatting sqref="EB55:EB104">
    <cfRule type="beginsWith" dxfId="115" priority="42" operator="beginsWith" text="L">
      <formula>LEFT(EB55,LEN("L"))="L"</formula>
    </cfRule>
  </conditionalFormatting>
  <conditionalFormatting sqref="G55:G104">
    <cfRule type="beginsWith" dxfId="114" priority="41" operator="beginsWith" text="L">
      <formula>LEFT(G55,LEN("L"))="L"</formula>
    </cfRule>
  </conditionalFormatting>
  <conditionalFormatting sqref="H55:H104">
    <cfRule type="beginsWith" dxfId="113" priority="40" operator="beginsWith" text="L">
      <formula>LEFT(H55,LEN("L"))="L"</formula>
    </cfRule>
  </conditionalFormatting>
  <conditionalFormatting sqref="J55:J104">
    <cfRule type="beginsWith" dxfId="112" priority="39" operator="beginsWith" text="L">
      <formula>LEFT(J55,LEN("L"))="L"</formula>
    </cfRule>
  </conditionalFormatting>
  <conditionalFormatting sqref="AR55:AR104">
    <cfRule type="beginsWith" dxfId="111" priority="38" operator="beginsWith" text="L">
      <formula>LEFT(AR55,LEN("L"))="L"</formula>
    </cfRule>
  </conditionalFormatting>
  <conditionalFormatting sqref="B105:C105">
    <cfRule type="beginsWith" dxfId="110" priority="37" operator="beginsWith" text="L">
      <formula>LEFT(B105,LEN("L"))="L"</formula>
    </cfRule>
  </conditionalFormatting>
  <conditionalFormatting sqref="D105">
    <cfRule type="beginsWith" dxfId="109" priority="36" operator="beginsWith" text="L">
      <formula>LEFT(D105,LEN("L"))="L"</formula>
    </cfRule>
  </conditionalFormatting>
  <conditionalFormatting sqref="E105:E154">
    <cfRule type="beginsWith" dxfId="108" priority="35" operator="beginsWith" text="L">
      <formula>LEFT(E105,LEN("L"))="L"</formula>
    </cfRule>
  </conditionalFormatting>
  <conditionalFormatting sqref="AP105">
    <cfRule type="beginsWith" dxfId="107" priority="34" operator="beginsWith" text="L">
      <formula>LEFT(AP105,LEN("L"))="L"</formula>
    </cfRule>
  </conditionalFormatting>
  <conditionalFormatting sqref="AS105:AS154">
    <cfRule type="beginsWith" dxfId="106" priority="33" operator="beginsWith" text="L">
      <formula>LEFT(AS105,LEN("L"))="L"</formula>
    </cfRule>
  </conditionalFormatting>
  <conditionalFormatting sqref="AW105">
    <cfRule type="beginsWith" dxfId="105" priority="32" operator="beginsWith" text="L">
      <formula>LEFT(AW105,LEN("L"))="L"</formula>
    </cfRule>
  </conditionalFormatting>
  <conditionalFormatting sqref="BA105">
    <cfRule type="beginsWith" dxfId="104" priority="31" operator="beginsWith" text="L">
      <formula>LEFT(BA105,LEN("L"))="L"</formula>
    </cfRule>
  </conditionalFormatting>
  <conditionalFormatting sqref="BL105">
    <cfRule type="beginsWith" dxfId="103" priority="30" operator="beginsWith" text="L">
      <formula>LEFT(BL105,LEN("L"))="L"</formula>
    </cfRule>
  </conditionalFormatting>
  <conditionalFormatting sqref="BX105">
    <cfRule type="beginsWith" dxfId="102" priority="29" operator="beginsWith" text="L">
      <formula>LEFT(BX105,LEN("L"))="L"</formula>
    </cfRule>
  </conditionalFormatting>
  <conditionalFormatting sqref="CT105">
    <cfRule type="beginsWith" dxfId="101" priority="28" operator="beginsWith" text="L">
      <formula>LEFT(CT105,LEN("L"))="L"</formula>
    </cfRule>
  </conditionalFormatting>
  <conditionalFormatting sqref="CU105">
    <cfRule type="beginsWith" dxfId="100" priority="27" operator="beginsWith" text="L">
      <formula>LEFT(CU105,LEN("L"))="L"</formula>
    </cfRule>
  </conditionalFormatting>
  <conditionalFormatting sqref="CV105">
    <cfRule type="beginsWith" dxfId="99" priority="26" operator="beginsWith" text="L">
      <formula>LEFT(CV105,LEN("L"))="L"</formula>
    </cfRule>
  </conditionalFormatting>
  <conditionalFormatting sqref="CW105">
    <cfRule type="beginsWith" dxfId="98" priority="25" operator="beginsWith" text="L">
      <formula>LEFT(CW105,LEN("L"))="L"</formula>
    </cfRule>
  </conditionalFormatting>
  <conditionalFormatting sqref="DC105">
    <cfRule type="beginsWith" dxfId="97" priority="24" operator="beginsWith" text="L">
      <formula>LEFT(DC105,LEN("L"))="L"</formula>
    </cfRule>
  </conditionalFormatting>
  <conditionalFormatting sqref="B106:C154">
    <cfRule type="beginsWith" dxfId="96" priority="23" operator="beginsWith" text="L">
      <formula>LEFT(B106,LEN("L"))="L"</formula>
    </cfRule>
  </conditionalFormatting>
  <conditionalFormatting sqref="D106:D154">
    <cfRule type="beginsWith" dxfId="95" priority="22" operator="beginsWith" text="L">
      <formula>LEFT(D106,LEN("L"))="L"</formula>
    </cfRule>
  </conditionalFormatting>
  <conditionalFormatting sqref="AP106:AP154">
    <cfRule type="beginsWith" dxfId="94" priority="21" operator="beginsWith" text="L">
      <formula>LEFT(AP106,LEN("L"))="L"</formula>
    </cfRule>
  </conditionalFormatting>
  <conditionalFormatting sqref="BA106:BA154">
    <cfRule type="beginsWith" dxfId="93" priority="20" operator="beginsWith" text="L">
      <formula>LEFT(BA106,LEN("L"))="L"</formula>
    </cfRule>
  </conditionalFormatting>
  <conditionalFormatting sqref="BL106:BL154">
    <cfRule type="beginsWith" dxfId="92" priority="19" operator="beginsWith" text="L">
      <formula>LEFT(BL106,LEN("L"))="L"</formula>
    </cfRule>
  </conditionalFormatting>
  <conditionalFormatting sqref="BX106:BX154">
    <cfRule type="beginsWith" dxfId="91" priority="18" operator="beginsWith" text="L">
      <formula>LEFT(BX106,LEN("L"))="L"</formula>
    </cfRule>
  </conditionalFormatting>
  <conditionalFormatting sqref="CT106:CT154">
    <cfRule type="beginsWith" dxfId="90" priority="17" operator="beginsWith" text="L">
      <formula>LEFT(CT106,LEN("L"))="L"</formula>
    </cfRule>
  </conditionalFormatting>
  <conditionalFormatting sqref="CU106:CU154">
    <cfRule type="beginsWith" dxfId="89" priority="16" operator="beginsWith" text="L">
      <formula>LEFT(CU106,LEN("L"))="L"</formula>
    </cfRule>
  </conditionalFormatting>
  <conditionalFormatting sqref="CV106:CV154">
    <cfRule type="beginsWith" dxfId="88" priority="15" operator="beginsWith" text="L">
      <formula>LEFT(CV106,LEN("L"))="L"</formula>
    </cfRule>
  </conditionalFormatting>
  <conditionalFormatting sqref="CW106:CW154">
    <cfRule type="beginsWith" dxfId="87" priority="14" operator="beginsWith" text="L">
      <formula>LEFT(CW106,LEN("L"))="L"</formula>
    </cfRule>
  </conditionalFormatting>
  <conditionalFormatting sqref="DC106:DC154">
    <cfRule type="beginsWith" dxfId="86" priority="13" operator="beginsWith" text="L">
      <formula>LEFT(DC106,LEN("L"))="L"</formula>
    </cfRule>
  </conditionalFormatting>
  <conditionalFormatting sqref="AW106:AW154">
    <cfRule type="beginsWith" dxfId="85" priority="12" operator="beginsWith" text="L">
      <formula>LEFT(AW106,LEN("L"))="L"</formula>
    </cfRule>
  </conditionalFormatting>
  <conditionalFormatting sqref="EK105:EK154">
    <cfRule type="containsText" dxfId="84" priority="7" operator="containsText" text="criadas">
      <formula>NOT(ISERROR(SEARCH("criadas",EK105)))</formula>
    </cfRule>
    <cfRule type="containsText" dxfId="83" priority="8" operator="containsText" text="é gravado">
      <formula>NOT(ISERROR(SEARCH("é gravado",EK105)))</formula>
    </cfRule>
    <cfRule type="containsText" dxfId="82" priority="9" operator="containsText" text="é modificado">
      <formula>NOT(ISERROR(SEARCH("é modificado",EK105)))</formula>
    </cfRule>
    <cfRule type="containsText" dxfId="81" priority="10" operator="containsText" text="Error">
      <formula>NOT(ISERROR(SEARCH("Error",EK105)))</formula>
    </cfRule>
    <cfRule type="containsText" dxfId="80" priority="11" operator="containsText" text="é criado">
      <formula>NOT(ISERROR(SEARCH("é criado",EK105)))</formula>
    </cfRule>
  </conditionalFormatting>
  <conditionalFormatting sqref="DA105:DA154">
    <cfRule type="beginsWith" dxfId="79" priority="6" operator="beginsWith" text="L">
      <formula>LEFT(DA105,LEN("L"))="L"</formula>
    </cfRule>
  </conditionalFormatting>
  <conditionalFormatting sqref="EB105:EB154">
    <cfRule type="beginsWith" dxfId="78" priority="5" operator="beginsWith" text="L">
      <formula>LEFT(EB105,LEN("L"))="L"</formula>
    </cfRule>
  </conditionalFormatting>
  <conditionalFormatting sqref="G105:G154">
    <cfRule type="beginsWith" dxfId="77" priority="4" operator="beginsWith" text="L">
      <formula>LEFT(G105,LEN("L"))="L"</formula>
    </cfRule>
  </conditionalFormatting>
  <conditionalFormatting sqref="H105:H154">
    <cfRule type="beginsWith" dxfId="76" priority="3" operator="beginsWith" text="L">
      <formula>LEFT(H105,LEN("L"))="L"</formula>
    </cfRule>
  </conditionalFormatting>
  <conditionalFormatting sqref="J105:J154">
    <cfRule type="beginsWith" dxfId="75" priority="2" operator="beginsWith" text="L">
      <formula>LEFT(J105,LEN("L"))="L"</formula>
    </cfRule>
  </conditionalFormatting>
  <conditionalFormatting sqref="AR105:AR154">
    <cfRule type="beginsWith" dxfId="74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N443"/>
  <sheetViews>
    <sheetView showGridLines="0" showRowColHeaders="0" workbookViewId="0">
      <selection activeCell="C3" sqref="C3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2.5703125" customWidth="1"/>
    <col min="4" max="4" width="14.85546875" customWidth="1"/>
    <col min="5" max="5" width="9.140625" customWidth="1"/>
    <col min="6" max="6" width="20.5703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8.7109375" customWidth="1"/>
    <col min="11" max="11" width="13.7109375" customWidth="1"/>
    <col min="12" max="13" width="13.7109375" bestFit="1" customWidth="1"/>
    <col min="14" max="15" width="13.710937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7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bestFit="1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7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1.425781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1" width="11.42578125" customWidth="1"/>
    <col min="72" max="72" width="9.85546875" customWidth="1"/>
    <col min="73" max="73" width="11.42578125" customWidth="1"/>
    <col min="74" max="75" width="9.85546875" customWidth="1"/>
    <col min="76" max="91" width="9.85546875" hidden="1" customWidth="1"/>
    <col min="92" max="92" width="0" hidden="1" customWidth="1"/>
    <col min="93" max="16384" width="9.140625" hidden="1"/>
  </cols>
  <sheetData>
    <row r="1" spans="1:92" ht="45" x14ac:dyDescent="0.3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937</v>
      </c>
      <c r="L1" s="38" t="s">
        <v>938</v>
      </c>
      <c r="M1" s="38" t="s">
        <v>939</v>
      </c>
      <c r="N1" s="38" t="s">
        <v>940</v>
      </c>
      <c r="O1" s="38" t="s">
        <v>941</v>
      </c>
      <c r="P1" s="39" t="s">
        <v>942</v>
      </c>
      <c r="Q1" s="38" t="s">
        <v>817</v>
      </c>
      <c r="R1" s="39" t="s">
        <v>944</v>
      </c>
      <c r="S1" s="38" t="s">
        <v>943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959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952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953</v>
      </c>
      <c r="BD1" s="38" t="s">
        <v>960</v>
      </c>
      <c r="BE1" s="38" t="s">
        <v>954</v>
      </c>
      <c r="BF1" s="38" t="s">
        <v>961</v>
      </c>
      <c r="BG1" s="38" t="s">
        <v>955</v>
      </c>
      <c r="BH1" s="38" t="s">
        <v>962</v>
      </c>
      <c r="BI1" s="38" t="s">
        <v>956</v>
      </c>
      <c r="BJ1" s="38" t="s">
        <v>963</v>
      </c>
      <c r="BK1" s="38" t="s">
        <v>957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945</v>
      </c>
      <c r="BR1" s="38" t="s">
        <v>972</v>
      </c>
      <c r="BS1" s="38" t="s">
        <v>973</v>
      </c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2" hidden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63"/>
      <c r="BC2" s="38"/>
      <c r="BD2" s="63"/>
      <c r="BE2" s="38"/>
      <c r="BF2" s="63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</row>
    <row r="3" spans="1:92" x14ac:dyDescent="0.3">
      <c r="A3" s="38" t="s">
        <v>862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3"/>
      <c r="BC3" s="38"/>
      <c r="BD3" s="63"/>
      <c r="BE3" s="38"/>
      <c r="BF3" s="63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>
        <f>SUBTOTAL(103,Estrutura_P01[Column71])</f>
        <v>0</v>
      </c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</row>
    <row r="4" spans="1:92" hidden="1" x14ac:dyDescent="0.3">
      <c r="A4" t="s">
        <v>534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</row>
    <row r="5" spans="1:92" hidden="1" x14ac:dyDescent="0.3"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</row>
    <row r="6" spans="1:92" hidden="1" x14ac:dyDescent="0.3"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</row>
    <row r="7" spans="1:92" hidden="1" x14ac:dyDescent="0.3"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</row>
    <row r="8" spans="1:92" hidden="1" x14ac:dyDescent="0.3"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</row>
    <row r="9" spans="1:92" hidden="1" x14ac:dyDescent="0.3"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</row>
    <row r="10" spans="1:92" hidden="1" x14ac:dyDescent="0.3"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</row>
    <row r="11" spans="1:92" hidden="1" x14ac:dyDescent="0.3"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</row>
    <row r="12" spans="1:92" hidden="1" x14ac:dyDescent="0.3"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</row>
    <row r="13" spans="1:92" hidden="1" x14ac:dyDescent="0.3"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</row>
    <row r="14" spans="1:92" hidden="1" x14ac:dyDescent="0.3"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</row>
    <row r="15" spans="1:92" hidden="1" x14ac:dyDescent="0.3"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</row>
    <row r="16" spans="1:92" hidden="1" x14ac:dyDescent="0.3"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</row>
    <row r="17" spans="82:92" hidden="1" x14ac:dyDescent="0.3"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</row>
    <row r="18" spans="82:92" hidden="1" x14ac:dyDescent="0.3"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</row>
    <row r="19" spans="82:92" hidden="1" x14ac:dyDescent="0.3"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</row>
    <row r="20" spans="82:92" hidden="1" x14ac:dyDescent="0.3"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</row>
    <row r="21" spans="82:92" hidden="1" x14ac:dyDescent="0.3"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</row>
    <row r="22" spans="82:92" hidden="1" x14ac:dyDescent="0.3"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</row>
    <row r="23" spans="82:92" hidden="1" x14ac:dyDescent="0.3"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</row>
    <row r="24" spans="82:92" hidden="1" x14ac:dyDescent="0.3"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</row>
    <row r="25" spans="82:92" hidden="1" x14ac:dyDescent="0.3"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</row>
    <row r="26" spans="82:92" hidden="1" x14ac:dyDescent="0.3"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</row>
    <row r="27" spans="82:92" hidden="1" x14ac:dyDescent="0.3"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</row>
    <row r="28" spans="82:92" hidden="1" x14ac:dyDescent="0.3"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</row>
    <row r="29" spans="82:92" hidden="1" x14ac:dyDescent="0.3"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</row>
    <row r="30" spans="82:92" hidden="1" x14ac:dyDescent="0.3"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</row>
    <row r="31" spans="82:92" hidden="1" x14ac:dyDescent="0.3"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</row>
    <row r="32" spans="82:92" hidden="1" x14ac:dyDescent="0.3">
      <c r="CJ32" s="38"/>
      <c r="CK32" s="38"/>
      <c r="CL32" s="38"/>
      <c r="CM32" s="38"/>
      <c r="CN32" s="38"/>
    </row>
    <row r="33" spans="88:92" hidden="1" x14ac:dyDescent="0.3">
      <c r="CJ33" s="38"/>
      <c r="CK33" s="38"/>
      <c r="CL33" s="38"/>
      <c r="CM33" s="38"/>
      <c r="CN33" s="38"/>
    </row>
    <row r="34" spans="88:92" hidden="1" x14ac:dyDescent="0.3">
      <c r="CJ34" s="38"/>
      <c r="CK34" s="38"/>
      <c r="CL34" s="38"/>
      <c r="CM34" s="38"/>
      <c r="CN34" s="38"/>
    </row>
    <row r="35" spans="88:92" hidden="1" x14ac:dyDescent="0.3">
      <c r="CJ35" s="38"/>
      <c r="CK35" s="38"/>
      <c r="CL35" s="38"/>
      <c r="CM35" s="38"/>
      <c r="CN35" s="38"/>
    </row>
    <row r="36" spans="88:92" hidden="1" x14ac:dyDescent="0.3">
      <c r="CJ36" s="38"/>
      <c r="CK36" s="38"/>
      <c r="CL36" s="38"/>
      <c r="CM36" s="38"/>
      <c r="CN36" s="38"/>
    </row>
    <row r="37" spans="88:92" hidden="1" x14ac:dyDescent="0.3">
      <c r="CJ37" s="38"/>
      <c r="CK37" s="38"/>
      <c r="CL37" s="38"/>
      <c r="CM37" s="38"/>
      <c r="CN37" s="38"/>
    </row>
    <row r="38" spans="88:92" hidden="1" x14ac:dyDescent="0.3"/>
    <row r="39" spans="88:92" hidden="1" x14ac:dyDescent="0.3"/>
    <row r="40" spans="88:92" hidden="1" x14ac:dyDescent="0.3"/>
    <row r="41" spans="88:92" hidden="1" x14ac:dyDescent="0.3"/>
    <row r="42" spans="88:92" hidden="1" x14ac:dyDescent="0.3"/>
    <row r="43" spans="88:92" hidden="1" x14ac:dyDescent="0.3"/>
    <row r="44" spans="88:92" hidden="1" x14ac:dyDescent="0.3"/>
    <row r="45" spans="88:92" hidden="1" x14ac:dyDescent="0.3"/>
    <row r="46" spans="88:92" hidden="1" x14ac:dyDescent="0.3"/>
    <row r="47" spans="88:92" hidden="1" x14ac:dyDescent="0.3"/>
    <row r="48" spans="88:92" hidden="1" x14ac:dyDescent="0.3"/>
    <row r="49" spans="91:91" hidden="1" x14ac:dyDescent="0.3"/>
    <row r="50" spans="91:91" hidden="1" x14ac:dyDescent="0.3"/>
    <row r="51" spans="91:91" hidden="1" x14ac:dyDescent="0.3"/>
    <row r="52" spans="91:91" hidden="1" x14ac:dyDescent="0.3"/>
    <row r="53" spans="91:91" hidden="1" x14ac:dyDescent="0.3">
      <c r="CM53" t="e">
        <f>SUBTOTAL(103,#REF!)</f>
        <v>#REF!</v>
      </c>
    </row>
    <row r="54" spans="91:91" hidden="1" x14ac:dyDescent="0.3"/>
    <row r="55" spans="91:91" hidden="1" x14ac:dyDescent="0.3"/>
    <row r="56" spans="91:91" hidden="1" x14ac:dyDescent="0.3"/>
    <row r="57" spans="91:91" hidden="1" x14ac:dyDescent="0.3"/>
    <row r="58" spans="91:91" hidden="1" x14ac:dyDescent="0.3"/>
    <row r="59" spans="91:91" hidden="1" x14ac:dyDescent="0.3"/>
    <row r="60" spans="91:91" hidden="1" x14ac:dyDescent="0.3"/>
    <row r="61" spans="91:91" hidden="1" x14ac:dyDescent="0.3"/>
    <row r="62" spans="91:91" hidden="1" x14ac:dyDescent="0.3"/>
    <row r="63" spans="91:91" hidden="1" x14ac:dyDescent="0.3"/>
    <row r="64" spans="91:91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8.42578125" style="6" bestFit="1" customWidth="1"/>
    <col min="63" max="63" width="17.5703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0.140625" style="6" bestFit="1" customWidth="1"/>
    <col min="73" max="73" width="8.42578125" style="6" bestFit="1" customWidth="1"/>
    <col min="74" max="74" width="29" style="6" bestFit="1" customWidth="1"/>
    <col min="75" max="16384" width="9.140625" style="6"/>
  </cols>
  <sheetData>
    <row r="1" spans="1:75" s="2" customFormat="1" ht="17.100000000000001" customHeight="1" x14ac:dyDescent="0.3">
      <c r="A1" s="7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69"/>
      <c r="BT1" s="69"/>
      <c r="BU1" s="69"/>
    </row>
    <row r="2" spans="1:75" s="2" customFormat="1" ht="17.100000000000001" customHeight="1" x14ac:dyDescent="0.3">
      <c r="A2" s="71"/>
      <c r="B2" s="71" t="s">
        <v>10</v>
      </c>
      <c r="C2" s="71"/>
      <c r="D2" s="71"/>
      <c r="E2" s="71"/>
      <c r="F2" s="15"/>
      <c r="G2" s="71" t="s">
        <v>33</v>
      </c>
      <c r="H2" s="71"/>
      <c r="I2" s="15"/>
      <c r="J2" s="71" t="s">
        <v>127</v>
      </c>
      <c r="K2" s="71"/>
      <c r="L2" s="15"/>
      <c r="M2" s="71" t="s">
        <v>172</v>
      </c>
      <c r="N2" s="71"/>
      <c r="O2" s="15"/>
      <c r="P2" s="71" t="s">
        <v>186</v>
      </c>
      <c r="Q2" s="71"/>
      <c r="R2" s="71"/>
      <c r="S2" s="71"/>
      <c r="T2" s="71"/>
      <c r="U2" s="71"/>
      <c r="V2" s="71"/>
      <c r="W2" s="71"/>
      <c r="X2" s="71"/>
      <c r="Y2" s="71"/>
      <c r="Z2" s="34"/>
      <c r="AA2" s="71" t="s">
        <v>292</v>
      </c>
      <c r="AB2" s="71"/>
      <c r="AC2" s="15"/>
      <c r="AD2" s="71" t="s">
        <v>323</v>
      </c>
      <c r="AE2" s="71"/>
      <c r="AF2" s="19"/>
      <c r="AG2" s="19" t="s">
        <v>323</v>
      </c>
      <c r="AH2" s="22"/>
      <c r="AI2" s="71" t="s">
        <v>373</v>
      </c>
      <c r="AJ2" s="71"/>
      <c r="AK2" s="22"/>
      <c r="AL2" s="71" t="s">
        <v>410</v>
      </c>
      <c r="AM2" s="71"/>
      <c r="AN2" s="22"/>
      <c r="AO2" s="71" t="s">
        <v>33</v>
      </c>
      <c r="AP2" s="71"/>
      <c r="AQ2" s="22"/>
      <c r="AR2" s="71" t="s">
        <v>413</v>
      </c>
      <c r="AS2" s="71"/>
      <c r="AT2" s="22"/>
      <c r="AU2" s="71" t="s">
        <v>428</v>
      </c>
      <c r="AV2" s="71"/>
      <c r="AW2" s="22"/>
      <c r="AX2" s="71" t="s">
        <v>493</v>
      </c>
      <c r="AY2" s="71"/>
      <c r="AZ2" s="25"/>
      <c r="BA2" s="71" t="s">
        <v>532</v>
      </c>
      <c r="BB2" s="71"/>
      <c r="BC2" s="71"/>
      <c r="BD2" s="71"/>
      <c r="BE2" s="28"/>
      <c r="BF2" s="71" t="s">
        <v>720</v>
      </c>
      <c r="BG2" s="71"/>
      <c r="BH2" s="71"/>
      <c r="BI2" s="37"/>
      <c r="BJ2" s="71" t="s">
        <v>859</v>
      </c>
      <c r="BK2" s="71"/>
      <c r="BL2" s="51"/>
      <c r="BM2" s="51" t="s">
        <v>99</v>
      </c>
      <c r="BN2" s="51"/>
      <c r="BO2" s="71" t="s">
        <v>931</v>
      </c>
      <c r="BP2" s="71"/>
      <c r="BQ2" s="51"/>
      <c r="BR2" s="51" t="s">
        <v>932</v>
      </c>
      <c r="BS2" s="69"/>
      <c r="BT2" s="71" t="s">
        <v>966</v>
      </c>
      <c r="BU2" s="71"/>
      <c r="BV2" s="71"/>
    </row>
    <row r="3" spans="1:75" s="2" customFormat="1" ht="17.100000000000001" customHeight="1" x14ac:dyDescent="0.3">
      <c r="A3" s="7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1"/>
      <c r="BM3" s="51" t="s">
        <v>857</v>
      </c>
      <c r="BN3" s="51"/>
      <c r="BO3" s="51" t="s">
        <v>857</v>
      </c>
      <c r="BP3" s="51" t="s">
        <v>93</v>
      </c>
      <c r="BQ3" s="51"/>
      <c r="BR3" s="51" t="s">
        <v>933</v>
      </c>
      <c r="BS3" s="69"/>
      <c r="BT3" s="69" t="s">
        <v>0</v>
      </c>
      <c r="BU3" s="69" t="s">
        <v>857</v>
      </c>
      <c r="BV3" s="2" t="s">
        <v>93</v>
      </c>
      <c r="BW3" s="69"/>
    </row>
    <row r="4" spans="1:75" x14ac:dyDescent="0.3">
      <c r="A4" s="53" t="s">
        <v>936</v>
      </c>
      <c r="B4" s="10" t="s">
        <v>4</v>
      </c>
      <c r="C4" s="17" t="s">
        <v>958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866</v>
      </c>
      <c r="BO4" s="17" t="s">
        <v>871</v>
      </c>
      <c r="BP4" s="17" t="s">
        <v>872</v>
      </c>
      <c r="BR4" s="17" t="s">
        <v>299</v>
      </c>
      <c r="BT4" s="17" t="s">
        <v>4</v>
      </c>
      <c r="BU4" s="17" t="s">
        <v>967</v>
      </c>
      <c r="BV4" s="17" t="s">
        <v>969</v>
      </c>
    </row>
    <row r="5" spans="1:75" x14ac:dyDescent="0.3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946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873</v>
      </c>
      <c r="BP5" s="17" t="s">
        <v>874</v>
      </c>
      <c r="BR5" s="17" t="s">
        <v>864</v>
      </c>
      <c r="BT5" s="17" t="s">
        <v>9</v>
      </c>
      <c r="BU5" s="17" t="s">
        <v>968</v>
      </c>
      <c r="BV5" s="17" t="s">
        <v>970</v>
      </c>
    </row>
    <row r="6" spans="1:75" x14ac:dyDescent="0.3">
      <c r="A6" s="51" t="s">
        <v>934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867</v>
      </c>
      <c r="BO6" s="17" t="s">
        <v>875</v>
      </c>
      <c r="BP6" s="17" t="s">
        <v>876</v>
      </c>
      <c r="BR6" s="17" t="s">
        <v>100</v>
      </c>
      <c r="BT6" s="17"/>
      <c r="BU6" s="17"/>
      <c r="BV6" s="17"/>
    </row>
    <row r="7" spans="1:75" ht="15" x14ac:dyDescent="0.3">
      <c r="A7" s="52" t="s">
        <v>971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868</v>
      </c>
      <c r="BO7" s="17" t="s">
        <v>877</v>
      </c>
      <c r="BP7" s="17" t="s">
        <v>878</v>
      </c>
      <c r="BR7" s="17"/>
      <c r="BT7"/>
      <c r="BU7"/>
      <c r="BV7"/>
    </row>
    <row r="8" spans="1:75" ht="15" x14ac:dyDescent="0.3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964</v>
      </c>
      <c r="BM8" s="17" t="s">
        <v>869</v>
      </c>
      <c r="BO8" s="17" t="s">
        <v>879</v>
      </c>
      <c r="BP8" s="17" t="s">
        <v>880</v>
      </c>
      <c r="BR8" s="17"/>
      <c r="BT8"/>
      <c r="BU8"/>
      <c r="BV8"/>
    </row>
    <row r="9" spans="1:75" ht="15" x14ac:dyDescent="0.3">
      <c r="A9" s="57" t="s">
        <v>947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965</v>
      </c>
      <c r="BM9" s="17" t="s">
        <v>870</v>
      </c>
      <c r="BO9" s="17" t="s">
        <v>881</v>
      </c>
      <c r="BP9" s="17" t="s">
        <v>882</v>
      </c>
      <c r="BR9" s="17"/>
      <c r="BT9"/>
      <c r="BU9"/>
      <c r="BV9"/>
    </row>
    <row r="10" spans="1:75" ht="15" x14ac:dyDescent="0.3">
      <c r="A10" s="53" t="s">
        <v>951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883</v>
      </c>
      <c r="BP10" s="17" t="s">
        <v>884</v>
      </c>
      <c r="BR10"/>
      <c r="BT10"/>
      <c r="BU10"/>
      <c r="BV10"/>
    </row>
    <row r="11" spans="1:75" ht="15" x14ac:dyDescent="0.3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885</v>
      </c>
      <c r="BP11" s="17" t="s">
        <v>886</v>
      </c>
      <c r="BR11"/>
      <c r="BT11"/>
      <c r="BU11"/>
      <c r="BV11"/>
    </row>
    <row r="12" spans="1:75" ht="15" x14ac:dyDescent="0.3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887</v>
      </c>
      <c r="BP12" s="17" t="s">
        <v>888</v>
      </c>
      <c r="BR12"/>
      <c r="BT12"/>
      <c r="BU12"/>
      <c r="BV12"/>
    </row>
    <row r="13" spans="1:75" ht="15" x14ac:dyDescent="0.3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889</v>
      </c>
      <c r="BP13" s="17" t="s">
        <v>890</v>
      </c>
      <c r="BR13"/>
      <c r="BT13"/>
      <c r="BU13"/>
      <c r="BV13"/>
    </row>
    <row r="14" spans="1:75" ht="15" x14ac:dyDescent="0.3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891</v>
      </c>
      <c r="BP14" s="17" t="s">
        <v>892</v>
      </c>
      <c r="BR14"/>
      <c r="BT14"/>
      <c r="BU14"/>
      <c r="BV14"/>
    </row>
    <row r="15" spans="1:75" ht="15" x14ac:dyDescent="0.3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893</v>
      </c>
      <c r="BR15"/>
      <c r="BT15"/>
      <c r="BU15"/>
      <c r="BV15"/>
    </row>
    <row r="16" spans="1:75" ht="15" x14ac:dyDescent="0.3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894</v>
      </c>
      <c r="BP16" s="17" t="s">
        <v>895</v>
      </c>
      <c r="BR16"/>
      <c r="BT16"/>
      <c r="BU16"/>
      <c r="BV16"/>
    </row>
    <row r="17" spans="1:74" ht="15" x14ac:dyDescent="0.3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896</v>
      </c>
      <c r="BP17" s="17" t="s">
        <v>897</v>
      </c>
      <c r="BR17"/>
      <c r="BT17"/>
      <c r="BU17"/>
      <c r="BV17"/>
    </row>
    <row r="18" spans="1:74" ht="15" x14ac:dyDescent="0.3">
      <c r="A18" s="54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898</v>
      </c>
      <c r="BP18" s="17" t="s">
        <v>899</v>
      </c>
      <c r="BR18"/>
      <c r="BT18"/>
      <c r="BU18"/>
      <c r="BV18"/>
    </row>
    <row r="19" spans="1:74" ht="15" x14ac:dyDescent="0.3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900</v>
      </c>
      <c r="BP19" s="17" t="s">
        <v>901</v>
      </c>
      <c r="BR19"/>
      <c r="BT19"/>
      <c r="BU19"/>
      <c r="BV19"/>
    </row>
    <row r="20" spans="1:74" ht="15" x14ac:dyDescent="0.3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902</v>
      </c>
      <c r="BP20" s="17" t="s">
        <v>903</v>
      </c>
      <c r="BR20"/>
      <c r="BT20"/>
      <c r="BU20"/>
      <c r="BV20"/>
    </row>
    <row r="21" spans="1:74" ht="15" x14ac:dyDescent="0.3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904</v>
      </c>
      <c r="BP21" s="17" t="s">
        <v>905</v>
      </c>
      <c r="BR21"/>
      <c r="BT21"/>
      <c r="BU21"/>
      <c r="BV21"/>
    </row>
    <row r="22" spans="1:74" ht="15" x14ac:dyDescent="0.3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906</v>
      </c>
      <c r="BP22" s="17" t="s">
        <v>907</v>
      </c>
      <c r="BR22"/>
      <c r="BT22"/>
      <c r="BU22"/>
      <c r="BV22"/>
    </row>
    <row r="23" spans="1:74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908</v>
      </c>
      <c r="BP23" s="17" t="s">
        <v>909</v>
      </c>
      <c r="BR23"/>
      <c r="BT23"/>
      <c r="BU23"/>
      <c r="BV23"/>
    </row>
    <row r="24" spans="1:74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910</v>
      </c>
      <c r="BP24" s="17" t="s">
        <v>911</v>
      </c>
      <c r="BR24"/>
      <c r="BT24"/>
      <c r="BU24"/>
      <c r="BV24"/>
    </row>
    <row r="25" spans="1:74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912</v>
      </c>
      <c r="BP25" s="17" t="s">
        <v>913</v>
      </c>
      <c r="BR25"/>
      <c r="BT25"/>
      <c r="BU25"/>
      <c r="BV25"/>
    </row>
    <row r="26" spans="1:74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914</v>
      </c>
      <c r="BR26"/>
      <c r="BT26"/>
      <c r="BU26"/>
      <c r="BV26"/>
    </row>
    <row r="27" spans="1:74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915</v>
      </c>
      <c r="BP27" s="17" t="s">
        <v>916</v>
      </c>
      <c r="BR27"/>
      <c r="BT27"/>
      <c r="BU27"/>
      <c r="BV27"/>
    </row>
    <row r="28" spans="1:74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917</v>
      </c>
      <c r="BP28" s="17" t="s">
        <v>918</v>
      </c>
      <c r="BR28"/>
      <c r="BT28"/>
      <c r="BU28"/>
      <c r="BV28"/>
    </row>
    <row r="29" spans="1:74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919</v>
      </c>
      <c r="BP29" s="17" t="s">
        <v>920</v>
      </c>
      <c r="BR29"/>
      <c r="BT29"/>
      <c r="BU29"/>
      <c r="BV29"/>
    </row>
    <row r="30" spans="1:74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921</v>
      </c>
      <c r="BP30" s="17" t="s">
        <v>922</v>
      </c>
      <c r="BR30"/>
      <c r="BT30"/>
      <c r="BU30"/>
      <c r="BV30"/>
    </row>
    <row r="31" spans="1:74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923</v>
      </c>
      <c r="BP31" s="17" t="s">
        <v>924</v>
      </c>
      <c r="BR31"/>
      <c r="BT31"/>
      <c r="BU31"/>
      <c r="BV31"/>
    </row>
    <row r="32" spans="1:74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925</v>
      </c>
      <c r="BP32" s="17" t="s">
        <v>926</v>
      </c>
      <c r="BR32"/>
      <c r="BT32"/>
      <c r="BU32"/>
      <c r="BV32"/>
    </row>
    <row r="33" spans="1:74" ht="15" x14ac:dyDescent="0.3">
      <c r="A33" s="67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927</v>
      </c>
      <c r="BP33" s="17" t="s">
        <v>928</v>
      </c>
      <c r="BR33"/>
      <c r="BT33"/>
      <c r="BU33"/>
      <c r="BV33"/>
    </row>
    <row r="34" spans="1:74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929</v>
      </c>
      <c r="BP34" s="17" t="s">
        <v>930</v>
      </c>
      <c r="BR34"/>
      <c r="BT34"/>
      <c r="BU34"/>
      <c r="BV34"/>
    </row>
    <row r="35" spans="1:74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ht="15" x14ac:dyDescent="0.3">
      <c r="A37" s="67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ht="15" x14ac:dyDescent="0.3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ht="15" x14ac:dyDescent="0.3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ht="15" x14ac:dyDescent="0.3">
      <c r="A40" s="58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ht="15" x14ac:dyDescent="0.3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ht="15" x14ac:dyDescent="0.3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ht="15" x14ac:dyDescent="0.3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ht="15" x14ac:dyDescent="0.3">
      <c r="A44" s="67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ht="15" x14ac:dyDescent="0.3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ht="15" x14ac:dyDescent="0.3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ht="15" x14ac:dyDescent="0.3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ht="15" x14ac:dyDescent="0.3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ht="15" x14ac:dyDescent="0.3">
      <c r="A49" s="68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ht="15" x14ac:dyDescent="0.3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ht="15" x14ac:dyDescent="0.3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ht="15" x14ac:dyDescent="0.3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ht="15" x14ac:dyDescent="0.3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ht="15" x14ac:dyDescent="0.3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ht="15" x14ac:dyDescent="0.3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ht="15" x14ac:dyDescent="0.3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ht="15" x14ac:dyDescent="0.3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ht="15" x14ac:dyDescent="0.3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ht="15" x14ac:dyDescent="0.3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ht="15" x14ac:dyDescent="0.3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ht="15" x14ac:dyDescent="0.3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ht="15" x14ac:dyDescent="0.3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ht="15" x14ac:dyDescent="0.3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ht="15" x14ac:dyDescent="0.3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ht="15" x14ac:dyDescent="0.3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ht="15" x14ac:dyDescent="0.3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ht="15" x14ac:dyDescent="0.3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ht="15" x14ac:dyDescent="0.3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ht="15" x14ac:dyDescent="0.3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ht="15" x14ac:dyDescent="0.3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ht="15" x14ac:dyDescent="0.3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ht="15" x14ac:dyDescent="0.3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ht="15" x14ac:dyDescent="0.3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ht="15" x14ac:dyDescent="0.3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ht="15" x14ac:dyDescent="0.3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ht="15" x14ac:dyDescent="0.3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ht="15" x14ac:dyDescent="0.3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ht="15" x14ac:dyDescent="0.3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ht="15" x14ac:dyDescent="0.3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ht="15" x14ac:dyDescent="0.3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ht="15" x14ac:dyDescent="0.3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ht="15" x14ac:dyDescent="0.3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76CA1C-508C-4A6B-A975-1EEA20BF42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2022-04-28T12:00:35Z</dcterms:modified>
</cp:coreProperties>
</file>