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7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"/>
    </mc:Choice>
  </mc:AlternateContent>
  <bookViews>
    <workbookView xWindow="19530" yWindow="67200" windowWidth="28800" windowHeight="14130"/>
  </bookViews>
  <sheets>
    <sheet name="ZM01" sheetId="6" r:id="rId1"/>
    <sheet name="CA01" sheetId="8" r:id="rId2"/>
    <sheet name="CS01" sheetId="12" r:id="rId3"/>
    <sheet name="LPK1" sheetId="11" r:id="rId4"/>
    <sheet name="C223" sheetId="13" r:id="rId5"/>
    <sheet name="Consulta" sheetId="7" r:id="rId6"/>
    <sheet name="Listas de Dados" sheetId="2" r:id="rId7"/>
  </sheets>
  <functionGroups builtInGroupCount="18"/>
  <definedNames>
    <definedName name="DadosExternos_1" localSheetId="5" hidden="1">Consulta!$A$1:$CB$10</definedName>
  </definedNames>
  <calcPr calcId="162913"/>
</workbook>
</file>

<file path=xl/calcChain.xml><?xml version="1.0" encoding="utf-8"?>
<calcChain xmlns="http://schemas.openxmlformats.org/spreadsheetml/2006/main">
  <c r="DT40" i="6" l="1"/>
  <c r="DP40" i="6"/>
  <c r="DO40" i="6"/>
  <c r="DI40" i="6"/>
  <c r="DH40" i="6"/>
  <c r="DJ40" i="6" s="1"/>
  <c r="DG40" i="6"/>
  <c r="DE40" i="6"/>
  <c r="DB40" i="6"/>
  <c r="DA40" i="6"/>
  <c r="CJ40" i="6"/>
  <c r="DS40" i="6" s="1"/>
  <c r="CB40" i="6"/>
  <c r="BV40" i="6"/>
  <c r="BS40" i="6"/>
  <c r="BR40" i="6"/>
  <c r="BP40" i="6"/>
  <c r="BL40" i="6"/>
  <c r="BI40" i="6"/>
  <c r="BK40" i="6" s="1"/>
  <c r="BH40" i="6"/>
  <c r="BD40" i="6"/>
  <c r="AZ40" i="6"/>
  <c r="BA40" i="6" s="1"/>
  <c r="AX40" i="6"/>
  <c r="AV40" i="6"/>
  <c r="AU40" i="6"/>
  <c r="AS40" i="6"/>
  <c r="N40" i="6"/>
  <c r="M40" i="6"/>
  <c r="L40" i="6"/>
  <c r="K40" i="6"/>
  <c r="CN40" i="6" s="1"/>
  <c r="J40" i="6"/>
  <c r="H40" i="6"/>
  <c r="G40" i="6"/>
  <c r="CZ40" i="6" s="1"/>
  <c r="F40" i="6"/>
  <c r="CX40" i="6" s="1"/>
  <c r="D40" i="6"/>
  <c r="A40" i="6"/>
  <c r="DT39" i="6"/>
  <c r="DP39" i="6"/>
  <c r="DO39" i="6"/>
  <c r="DH39" i="6"/>
  <c r="DJ39" i="6" s="1"/>
  <c r="DG39" i="6"/>
  <c r="DE39" i="6"/>
  <c r="DB39" i="6"/>
  <c r="DA39" i="6"/>
  <c r="CJ39" i="6"/>
  <c r="CK39" i="6" s="1"/>
  <c r="CO39" i="6" s="1"/>
  <c r="CB39" i="6"/>
  <c r="BR39" i="6"/>
  <c r="BP39" i="6"/>
  <c r="BL39" i="6"/>
  <c r="BK39" i="6"/>
  <c r="BI39" i="6"/>
  <c r="BJ39" i="6" s="1"/>
  <c r="BH39" i="6"/>
  <c r="BG39" i="6"/>
  <c r="BD39" i="6"/>
  <c r="AZ39" i="6"/>
  <c r="BE39" i="6" s="1"/>
  <c r="BF39" i="6" s="1"/>
  <c r="AX39" i="6"/>
  <c r="AV39" i="6"/>
  <c r="AU39" i="6"/>
  <c r="BV39" i="6" s="1"/>
  <c r="AS39" i="6"/>
  <c r="M39" i="6"/>
  <c r="L39" i="6"/>
  <c r="K39" i="6"/>
  <c r="CN39" i="6" s="1"/>
  <c r="J39" i="6"/>
  <c r="BS39" i="6" s="1"/>
  <c r="H39" i="6"/>
  <c r="G39" i="6"/>
  <c r="CZ39" i="6" s="1"/>
  <c r="F39" i="6"/>
  <c r="CX39" i="6" s="1"/>
  <c r="A39" i="6"/>
  <c r="DT38" i="6"/>
  <c r="DP38" i="6"/>
  <c r="DO38" i="6"/>
  <c r="DJ38" i="6"/>
  <c r="DH38" i="6"/>
  <c r="DI38" i="6" s="1"/>
  <c r="DG38" i="6"/>
  <c r="DE38" i="6"/>
  <c r="DB38" i="6"/>
  <c r="DA38" i="6"/>
  <c r="CN38" i="6"/>
  <c r="CJ38" i="6"/>
  <c r="CB38" i="6"/>
  <c r="BV38" i="6"/>
  <c r="BR38" i="6"/>
  <c r="BP38" i="6"/>
  <c r="BL38" i="6"/>
  <c r="BH38" i="6"/>
  <c r="BG38" i="6"/>
  <c r="BE38" i="6"/>
  <c r="BF38" i="6" s="1"/>
  <c r="BD38" i="6"/>
  <c r="AZ38" i="6"/>
  <c r="BA38" i="6" s="1"/>
  <c r="AX38" i="6"/>
  <c r="AV38" i="6"/>
  <c r="AU38" i="6"/>
  <c r="AS38" i="6"/>
  <c r="M38" i="6"/>
  <c r="K38" i="6"/>
  <c r="CM38" i="6" s="1"/>
  <c r="J38" i="6"/>
  <c r="N38" i="6" s="1"/>
  <c r="H38" i="6"/>
  <c r="G38" i="6"/>
  <c r="BI38" i="6" s="1"/>
  <c r="F38" i="6"/>
  <c r="DQ38" i="6" s="1"/>
  <c r="D38" i="6"/>
  <c r="A38" i="6"/>
  <c r="DT37" i="6"/>
  <c r="DP37" i="6"/>
  <c r="DO37" i="6"/>
  <c r="DJ37" i="6"/>
  <c r="DI37" i="6"/>
  <c r="DH37" i="6"/>
  <c r="DG37" i="6"/>
  <c r="DE37" i="6"/>
  <c r="DB37" i="6"/>
  <c r="DA37" i="6"/>
  <c r="CN37" i="6"/>
  <c r="CM37" i="6"/>
  <c r="CJ37" i="6"/>
  <c r="CB37" i="6"/>
  <c r="BV37" i="6"/>
  <c r="BR37" i="6"/>
  <c r="BP37" i="6"/>
  <c r="BL37" i="6"/>
  <c r="BI37" i="6"/>
  <c r="BK37" i="6" s="1"/>
  <c r="BH37" i="6"/>
  <c r="BG37" i="6"/>
  <c r="BE37" i="6"/>
  <c r="BF37" i="6" s="1"/>
  <c r="BD37" i="6"/>
  <c r="BA37" i="6"/>
  <c r="AZ37" i="6"/>
  <c r="AX37" i="6"/>
  <c r="AV37" i="6"/>
  <c r="AU37" i="6"/>
  <c r="AS37" i="6"/>
  <c r="N37" i="6"/>
  <c r="M37" i="6"/>
  <c r="K37" i="6"/>
  <c r="J37" i="6"/>
  <c r="BS37" i="6" s="1"/>
  <c r="H37" i="6"/>
  <c r="G37" i="6"/>
  <c r="CZ37" i="6" s="1"/>
  <c r="F37" i="6"/>
  <c r="CX37" i="6" s="1"/>
  <c r="A37" i="6"/>
  <c r="DT36" i="6"/>
  <c r="DP36" i="6"/>
  <c r="DO36" i="6"/>
  <c r="DJ36" i="6"/>
  <c r="DH36" i="6"/>
  <c r="DI36" i="6" s="1"/>
  <c r="DE36" i="6"/>
  <c r="DB36" i="6"/>
  <c r="DA36" i="6"/>
  <c r="CN36" i="6"/>
  <c r="CM36" i="6"/>
  <c r="CB36" i="6"/>
  <c r="BR36" i="6"/>
  <c r="BP36" i="6"/>
  <c r="BL36" i="6"/>
  <c r="BH36" i="6"/>
  <c r="BD36" i="6"/>
  <c r="AZ36" i="6"/>
  <c r="BG36" i="6" s="1"/>
  <c r="AX36" i="6"/>
  <c r="AV36" i="6"/>
  <c r="AU36" i="6"/>
  <c r="BV36" i="6" s="1"/>
  <c r="AS36" i="6"/>
  <c r="M36" i="6"/>
  <c r="K36" i="6"/>
  <c r="J36" i="6"/>
  <c r="N36" i="6" s="1"/>
  <c r="H36" i="6"/>
  <c r="G36" i="6"/>
  <c r="BI36" i="6" s="1"/>
  <c r="F36" i="6"/>
  <c r="CX36" i="6" s="1"/>
  <c r="A36" i="6"/>
  <c r="DT35" i="6"/>
  <c r="DP35" i="6"/>
  <c r="DO35" i="6"/>
  <c r="DH35" i="6"/>
  <c r="DJ35" i="6" s="1"/>
  <c r="DG35" i="6"/>
  <c r="DE35" i="6"/>
  <c r="DB35" i="6"/>
  <c r="DA35" i="6"/>
  <c r="CN35" i="6"/>
  <c r="CM35" i="6"/>
  <c r="CJ35" i="6"/>
  <c r="DS35" i="6" s="1"/>
  <c r="CB35" i="6"/>
  <c r="BV35" i="6"/>
  <c r="BS35" i="6"/>
  <c r="BR35" i="6"/>
  <c r="BP35" i="6"/>
  <c r="BL35" i="6"/>
  <c r="BH35" i="6"/>
  <c r="BG35" i="6"/>
  <c r="BD35" i="6"/>
  <c r="BA35" i="6"/>
  <c r="AZ35" i="6"/>
  <c r="BE35" i="6" s="1"/>
  <c r="BF35" i="6" s="1"/>
  <c r="AX35" i="6"/>
  <c r="AV35" i="6"/>
  <c r="AU35" i="6"/>
  <c r="AS35" i="6"/>
  <c r="M35" i="6"/>
  <c r="L35" i="6"/>
  <c r="K35" i="6"/>
  <c r="J35" i="6"/>
  <c r="D35" i="6" s="1"/>
  <c r="H35" i="6"/>
  <c r="G35" i="6"/>
  <c r="CZ35" i="6" s="1"/>
  <c r="F35" i="6"/>
  <c r="CX35" i="6" s="1"/>
  <c r="A35" i="6"/>
  <c r="DT34" i="6"/>
  <c r="DQ34" i="6"/>
  <c r="DP34" i="6"/>
  <c r="DO34" i="6"/>
  <c r="DH34" i="6"/>
  <c r="DI34" i="6" s="1"/>
  <c r="DE34" i="6"/>
  <c r="DB34" i="6"/>
  <c r="DA34" i="6"/>
  <c r="CW34" i="6"/>
  <c r="CV34" i="6"/>
  <c r="CB34" i="6"/>
  <c r="BV34" i="6"/>
  <c r="BS34" i="6"/>
  <c r="BR34" i="6"/>
  <c r="BP34" i="6"/>
  <c r="BL34" i="6"/>
  <c r="BH34" i="6"/>
  <c r="BG34" i="6"/>
  <c r="BD34" i="6"/>
  <c r="BA34" i="6"/>
  <c r="AZ34" i="6"/>
  <c r="BE34" i="6" s="1"/>
  <c r="BF34" i="6" s="1"/>
  <c r="AX34" i="6"/>
  <c r="AV34" i="6"/>
  <c r="AU34" i="6"/>
  <c r="AS34" i="6"/>
  <c r="M34" i="6"/>
  <c r="L34" i="6"/>
  <c r="K34" i="6"/>
  <c r="CM34" i="6" s="1"/>
  <c r="J34" i="6"/>
  <c r="N34" i="6" s="1"/>
  <c r="H34" i="6"/>
  <c r="G34" i="6"/>
  <c r="BI34" i="6" s="1"/>
  <c r="F34" i="6"/>
  <c r="CX34" i="6" s="1"/>
  <c r="E34" i="6"/>
  <c r="D34" i="6"/>
  <c r="A34" i="6"/>
  <c r="DT33" i="6"/>
  <c r="DQ33" i="6"/>
  <c r="DP33" i="6"/>
  <c r="DO33" i="6"/>
  <c r="DH33" i="6"/>
  <c r="DJ33" i="6" s="1"/>
  <c r="DE33" i="6"/>
  <c r="DB33" i="6"/>
  <c r="DA33" i="6"/>
  <c r="CW33" i="6"/>
  <c r="CB33" i="6"/>
  <c r="BR33" i="6"/>
  <c r="BP33" i="6"/>
  <c r="BL33" i="6"/>
  <c r="BH33" i="6"/>
  <c r="BE33" i="6"/>
  <c r="BF33" i="6" s="1"/>
  <c r="BD33" i="6"/>
  <c r="AZ33" i="6"/>
  <c r="BG33" i="6" s="1"/>
  <c r="AX33" i="6"/>
  <c r="AV33" i="6"/>
  <c r="AU33" i="6"/>
  <c r="BV33" i="6" s="1"/>
  <c r="AS33" i="6"/>
  <c r="M33" i="6"/>
  <c r="K33" i="6"/>
  <c r="CN33" i="6" s="1"/>
  <c r="J33" i="6"/>
  <c r="D33" i="6" s="1"/>
  <c r="H33" i="6"/>
  <c r="G33" i="6"/>
  <c r="BI33" i="6" s="1"/>
  <c r="F33" i="6"/>
  <c r="CX33" i="6" s="1"/>
  <c r="E33" i="6"/>
  <c r="CV33" i="6" s="1"/>
  <c r="A33" i="6"/>
  <c r="DT32" i="6"/>
  <c r="DQ32" i="6"/>
  <c r="DP32" i="6"/>
  <c r="DO32" i="6"/>
  <c r="DJ32" i="6"/>
  <c r="DH32" i="6"/>
  <c r="DG32" i="6" s="1"/>
  <c r="DE32" i="6"/>
  <c r="DB32" i="6"/>
  <c r="DA32" i="6"/>
  <c r="CW32" i="6"/>
  <c r="CN32" i="6"/>
  <c r="CB32" i="6"/>
  <c r="BR32" i="6"/>
  <c r="BP32" i="6"/>
  <c r="BL32" i="6"/>
  <c r="BH32" i="6"/>
  <c r="BG32" i="6"/>
  <c r="BF32" i="6"/>
  <c r="BE32" i="6"/>
  <c r="BD32" i="6"/>
  <c r="AZ32" i="6"/>
  <c r="BA32" i="6" s="1"/>
  <c r="AX32" i="6"/>
  <c r="AV32" i="6"/>
  <c r="AU32" i="6"/>
  <c r="BV32" i="6" s="1"/>
  <c r="AS32" i="6"/>
  <c r="M32" i="6"/>
  <c r="K32" i="6"/>
  <c r="CM32" i="6" s="1"/>
  <c r="J32" i="6"/>
  <c r="L32" i="6" s="1"/>
  <c r="H32" i="6"/>
  <c r="G32" i="6"/>
  <c r="CZ32" i="6" s="1"/>
  <c r="F32" i="6"/>
  <c r="CX32" i="6" s="1"/>
  <c r="E32" i="6"/>
  <c r="CV32" i="6" s="1"/>
  <c r="A32" i="6"/>
  <c r="DT31" i="6"/>
  <c r="DQ31" i="6"/>
  <c r="DP31" i="6"/>
  <c r="DO31" i="6"/>
  <c r="DJ31" i="6"/>
  <c r="DI31" i="6"/>
  <c r="DH31" i="6"/>
  <c r="DG31" i="6"/>
  <c r="DE31" i="6"/>
  <c r="DB31" i="6"/>
  <c r="DA31" i="6"/>
  <c r="CW31" i="6"/>
  <c r="CN31" i="6"/>
  <c r="CM31" i="6"/>
  <c r="CJ31" i="6"/>
  <c r="CK31" i="6" s="1"/>
  <c r="CB31" i="6"/>
  <c r="BS31" i="6"/>
  <c r="BR31" i="6"/>
  <c r="BP31" i="6"/>
  <c r="BL31" i="6"/>
  <c r="BH31" i="6"/>
  <c r="BG31" i="6"/>
  <c r="BF31" i="6"/>
  <c r="BE31" i="6"/>
  <c r="BD31" i="6"/>
  <c r="BA31" i="6"/>
  <c r="AZ31" i="6"/>
  <c r="AX31" i="6"/>
  <c r="AV31" i="6"/>
  <c r="AU31" i="6"/>
  <c r="BV31" i="6" s="1"/>
  <c r="AS31" i="6"/>
  <c r="N31" i="6"/>
  <c r="M31" i="6"/>
  <c r="K31" i="6"/>
  <c r="J31" i="6"/>
  <c r="D31" i="6" s="1"/>
  <c r="H31" i="6"/>
  <c r="G31" i="6"/>
  <c r="BI31" i="6" s="1"/>
  <c r="F31" i="6"/>
  <c r="CX31" i="6" s="1"/>
  <c r="E31" i="6"/>
  <c r="CV31" i="6" s="1"/>
  <c r="A31" i="6"/>
  <c r="DT30" i="6"/>
  <c r="DP30" i="6"/>
  <c r="DO30" i="6"/>
  <c r="DH30" i="6"/>
  <c r="DJ30" i="6" s="1"/>
  <c r="DE30" i="6"/>
  <c r="DB30" i="6"/>
  <c r="DA30" i="6"/>
  <c r="CM30" i="6"/>
  <c r="CB30" i="6"/>
  <c r="BV30" i="6"/>
  <c r="BS30" i="6"/>
  <c r="BR30" i="6"/>
  <c r="BP30" i="6"/>
  <c r="BL30" i="6"/>
  <c r="BH30" i="6"/>
  <c r="BD30" i="6"/>
  <c r="AZ30" i="6"/>
  <c r="BE30" i="6" s="1"/>
  <c r="BF30" i="6" s="1"/>
  <c r="AX30" i="6"/>
  <c r="AV30" i="6"/>
  <c r="AU30" i="6"/>
  <c r="AS30" i="6"/>
  <c r="N30" i="6"/>
  <c r="M30" i="6"/>
  <c r="K30" i="6"/>
  <c r="CN30" i="6" s="1"/>
  <c r="J30" i="6"/>
  <c r="D30" i="6" s="1"/>
  <c r="H30" i="6"/>
  <c r="G30" i="6"/>
  <c r="CZ30" i="6" s="1"/>
  <c r="F30" i="6"/>
  <c r="CX30" i="6" s="1"/>
  <c r="A30" i="6"/>
  <c r="DT29" i="6"/>
  <c r="DQ29" i="6"/>
  <c r="DP29" i="6"/>
  <c r="DO29" i="6"/>
  <c r="DI29" i="6"/>
  <c r="DH29" i="6"/>
  <c r="DJ29" i="6" s="1"/>
  <c r="DG29" i="6"/>
  <c r="DE29" i="6"/>
  <c r="DB29" i="6"/>
  <c r="DA29" i="6"/>
  <c r="CW29" i="6"/>
  <c r="CN29" i="6"/>
  <c r="CM29" i="6"/>
  <c r="CJ29" i="6"/>
  <c r="CK29" i="6" s="1"/>
  <c r="CB29" i="6"/>
  <c r="BV29" i="6"/>
  <c r="BS29" i="6"/>
  <c r="BR29" i="6"/>
  <c r="BP29" i="6"/>
  <c r="BL29" i="6"/>
  <c r="BI29" i="6"/>
  <c r="BJ29" i="6" s="1"/>
  <c r="BH29" i="6"/>
  <c r="BD29" i="6"/>
  <c r="AZ29" i="6"/>
  <c r="BG29" i="6" s="1"/>
  <c r="AX29" i="6"/>
  <c r="AV29" i="6"/>
  <c r="AU29" i="6"/>
  <c r="AS29" i="6"/>
  <c r="N29" i="6"/>
  <c r="M29" i="6"/>
  <c r="L29" i="6"/>
  <c r="K29" i="6"/>
  <c r="J29" i="6"/>
  <c r="D29" i="6" s="1"/>
  <c r="H29" i="6"/>
  <c r="G29" i="6"/>
  <c r="CZ29" i="6" s="1"/>
  <c r="F29" i="6"/>
  <c r="CX29" i="6" s="1"/>
  <c r="E29" i="6"/>
  <c r="CV29" i="6" s="1"/>
  <c r="A29" i="6"/>
  <c r="DT28" i="6"/>
  <c r="DS28" i="6"/>
  <c r="DP28" i="6"/>
  <c r="DO28" i="6"/>
  <c r="DI28" i="6"/>
  <c r="DH28" i="6"/>
  <c r="DJ28" i="6" s="1"/>
  <c r="DG28" i="6"/>
  <c r="DE28" i="6"/>
  <c r="DB28" i="6"/>
  <c r="DA28" i="6"/>
  <c r="CJ28" i="6"/>
  <c r="CB28" i="6"/>
  <c r="BV28" i="6"/>
  <c r="BS28" i="6"/>
  <c r="BR28" i="6"/>
  <c r="BP28" i="6"/>
  <c r="BL28" i="6"/>
  <c r="BI28" i="6"/>
  <c r="BK28" i="6" s="1"/>
  <c r="BH28" i="6"/>
  <c r="BD28" i="6"/>
  <c r="AZ28" i="6"/>
  <c r="BA28" i="6" s="1"/>
  <c r="AX28" i="6"/>
  <c r="AV28" i="6"/>
  <c r="AU28" i="6"/>
  <c r="AS28" i="6"/>
  <c r="N28" i="6"/>
  <c r="M28" i="6"/>
  <c r="L28" i="6"/>
  <c r="K28" i="6"/>
  <c r="CN28" i="6" s="1"/>
  <c r="J28" i="6"/>
  <c r="H28" i="6"/>
  <c r="G28" i="6"/>
  <c r="CZ28" i="6" s="1"/>
  <c r="F28" i="6"/>
  <c r="CX28" i="6" s="1"/>
  <c r="D28" i="6"/>
  <c r="A28" i="6"/>
  <c r="DT27" i="6"/>
  <c r="DP27" i="6"/>
  <c r="DO27" i="6"/>
  <c r="DI27" i="6"/>
  <c r="DH27" i="6"/>
  <c r="DJ27" i="6" s="1"/>
  <c r="DG27" i="6"/>
  <c r="DE27" i="6"/>
  <c r="DB27" i="6"/>
  <c r="DA27" i="6"/>
  <c r="CJ27" i="6"/>
  <c r="CK27" i="6" s="1"/>
  <c r="CO27" i="6" s="1"/>
  <c r="CB27" i="6"/>
  <c r="BR27" i="6"/>
  <c r="BP27" i="6"/>
  <c r="BL27" i="6"/>
  <c r="BK27" i="6"/>
  <c r="BI27" i="6"/>
  <c r="BJ27" i="6" s="1"/>
  <c r="BH27" i="6"/>
  <c r="BG27" i="6"/>
  <c r="BD27" i="6"/>
  <c r="AZ27" i="6"/>
  <c r="BE27" i="6" s="1"/>
  <c r="BF27" i="6" s="1"/>
  <c r="AX27" i="6"/>
  <c r="AV27" i="6"/>
  <c r="AU27" i="6"/>
  <c r="BV27" i="6" s="1"/>
  <c r="AS27" i="6"/>
  <c r="M27" i="6"/>
  <c r="L27" i="6"/>
  <c r="K27" i="6"/>
  <c r="CN27" i="6" s="1"/>
  <c r="J27" i="6"/>
  <c r="BS27" i="6" s="1"/>
  <c r="H27" i="6"/>
  <c r="G27" i="6"/>
  <c r="CZ27" i="6" s="1"/>
  <c r="F27" i="6"/>
  <c r="CX27" i="6" s="1"/>
  <c r="D27" i="6"/>
  <c r="A27" i="6"/>
  <c r="DT26" i="6"/>
  <c r="DP26" i="6"/>
  <c r="DO26" i="6"/>
  <c r="DJ26" i="6"/>
  <c r="DH26" i="6"/>
  <c r="DI26" i="6" s="1"/>
  <c r="DG26" i="6"/>
  <c r="DE26" i="6"/>
  <c r="DB26" i="6"/>
  <c r="DA26" i="6"/>
  <c r="CN26" i="6"/>
  <c r="CJ26" i="6"/>
  <c r="CB26" i="6"/>
  <c r="BV26" i="6"/>
  <c r="BR26" i="6"/>
  <c r="BP26" i="6"/>
  <c r="BL26" i="6"/>
  <c r="BH26" i="6"/>
  <c r="BG26" i="6"/>
  <c r="BE26" i="6"/>
  <c r="BF26" i="6" s="1"/>
  <c r="BD26" i="6"/>
  <c r="AZ26" i="6"/>
  <c r="BA26" i="6" s="1"/>
  <c r="AX26" i="6"/>
  <c r="AV26" i="6"/>
  <c r="AU26" i="6"/>
  <c r="AS26" i="6"/>
  <c r="M26" i="6"/>
  <c r="K26" i="6"/>
  <c r="CM26" i="6" s="1"/>
  <c r="J26" i="6"/>
  <c r="N26" i="6" s="1"/>
  <c r="H26" i="6"/>
  <c r="G26" i="6"/>
  <c r="BI26" i="6" s="1"/>
  <c r="F26" i="6"/>
  <c r="DQ26" i="6" s="1"/>
  <c r="D26" i="6"/>
  <c r="A26" i="6"/>
  <c r="DT25" i="6"/>
  <c r="DP25" i="6"/>
  <c r="DO25" i="6"/>
  <c r="DJ25" i="6"/>
  <c r="DI25" i="6"/>
  <c r="DH25" i="6"/>
  <c r="DG25" i="6"/>
  <c r="DE25" i="6"/>
  <c r="DB25" i="6"/>
  <c r="DA25" i="6"/>
  <c r="CN25" i="6"/>
  <c r="CM25" i="6"/>
  <c r="CJ25" i="6"/>
  <c r="CB25" i="6"/>
  <c r="BV25" i="6"/>
  <c r="BR25" i="6"/>
  <c r="BP25" i="6"/>
  <c r="BL25" i="6"/>
  <c r="BI25" i="6"/>
  <c r="BK25" i="6" s="1"/>
  <c r="BH25" i="6"/>
  <c r="BG25" i="6"/>
  <c r="BE25" i="6"/>
  <c r="BF25" i="6" s="1"/>
  <c r="BD25" i="6"/>
  <c r="BA25" i="6"/>
  <c r="AZ25" i="6"/>
  <c r="AX25" i="6"/>
  <c r="AV25" i="6"/>
  <c r="AU25" i="6"/>
  <c r="AS25" i="6"/>
  <c r="N25" i="6"/>
  <c r="M25" i="6"/>
  <c r="K25" i="6"/>
  <c r="J25" i="6"/>
  <c r="BS25" i="6" s="1"/>
  <c r="H25" i="6"/>
  <c r="G25" i="6"/>
  <c r="CZ25" i="6" s="1"/>
  <c r="F25" i="6"/>
  <c r="CX25" i="6" s="1"/>
  <c r="A25" i="6"/>
  <c r="DT24" i="6"/>
  <c r="DP24" i="6"/>
  <c r="DO24" i="6"/>
  <c r="DJ24" i="6"/>
  <c r="DI24" i="6"/>
  <c r="DH24" i="6"/>
  <c r="DG24" i="6" s="1"/>
  <c r="DE24" i="6"/>
  <c r="DB24" i="6"/>
  <c r="DA24" i="6"/>
  <c r="CN24" i="6"/>
  <c r="CM24" i="6"/>
  <c r="CB24" i="6"/>
  <c r="BS24" i="6"/>
  <c r="BR24" i="6"/>
  <c r="BP24" i="6"/>
  <c r="BL24" i="6"/>
  <c r="BH24" i="6"/>
  <c r="BD24" i="6"/>
  <c r="AZ24" i="6"/>
  <c r="BG24" i="6" s="1"/>
  <c r="AX24" i="6"/>
  <c r="AV24" i="6"/>
  <c r="AU24" i="6"/>
  <c r="BV24" i="6" s="1"/>
  <c r="AS24" i="6"/>
  <c r="N24" i="6"/>
  <c r="M24" i="6"/>
  <c r="K24" i="6"/>
  <c r="J24" i="6"/>
  <c r="L24" i="6" s="1"/>
  <c r="H24" i="6"/>
  <c r="G24" i="6"/>
  <c r="BI24" i="6" s="1"/>
  <c r="F24" i="6"/>
  <c r="CX24" i="6" s="1"/>
  <c r="A24" i="6"/>
  <c r="DT23" i="6"/>
  <c r="DP23" i="6"/>
  <c r="DO23" i="6"/>
  <c r="DH23" i="6"/>
  <c r="DJ23" i="6" s="1"/>
  <c r="DG23" i="6"/>
  <c r="DE23" i="6"/>
  <c r="DB23" i="6"/>
  <c r="DA23" i="6"/>
  <c r="CN23" i="6"/>
  <c r="CM23" i="6"/>
  <c r="CJ23" i="6"/>
  <c r="DS23" i="6" s="1"/>
  <c r="CB23" i="6"/>
  <c r="BV23" i="6"/>
  <c r="BS23" i="6"/>
  <c r="BR23" i="6"/>
  <c r="BP23" i="6"/>
  <c r="BL23" i="6"/>
  <c r="BH23" i="6"/>
  <c r="BG23" i="6"/>
  <c r="BD23" i="6"/>
  <c r="AZ23" i="6"/>
  <c r="BA23" i="6" s="1"/>
  <c r="AX23" i="6"/>
  <c r="AV23" i="6"/>
  <c r="AU23" i="6"/>
  <c r="AS23" i="6"/>
  <c r="M23" i="6"/>
  <c r="L23" i="6"/>
  <c r="K23" i="6"/>
  <c r="J23" i="6"/>
  <c r="D23" i="6" s="1"/>
  <c r="H23" i="6"/>
  <c r="G23" i="6"/>
  <c r="BI23" i="6" s="1"/>
  <c r="F23" i="6"/>
  <c r="CX23" i="6" s="1"/>
  <c r="A23" i="6"/>
  <c r="DT22" i="6"/>
  <c r="DQ22" i="6"/>
  <c r="DP22" i="6"/>
  <c r="DO22" i="6"/>
  <c r="DH22" i="6"/>
  <c r="DI22" i="6" s="1"/>
  <c r="DG22" i="6"/>
  <c r="DE22" i="6"/>
  <c r="DB22" i="6"/>
  <c r="DA22" i="6"/>
  <c r="CW22" i="6"/>
  <c r="CV22" i="6"/>
  <c r="CJ22" i="6"/>
  <c r="CK22" i="6" s="1"/>
  <c r="CB22" i="6"/>
  <c r="BV22" i="6"/>
  <c r="BS22" i="6"/>
  <c r="BR22" i="6"/>
  <c r="BP22" i="6"/>
  <c r="BL22" i="6"/>
  <c r="BH22" i="6"/>
  <c r="BG22" i="6"/>
  <c r="BD22" i="6"/>
  <c r="BA22" i="6"/>
  <c r="AZ22" i="6"/>
  <c r="BE22" i="6" s="1"/>
  <c r="BF22" i="6" s="1"/>
  <c r="AX22" i="6"/>
  <c r="AV22" i="6"/>
  <c r="AU22" i="6"/>
  <c r="AS22" i="6"/>
  <c r="M22" i="6"/>
  <c r="L22" i="6"/>
  <c r="K22" i="6"/>
  <c r="CM22" i="6" s="1"/>
  <c r="J22" i="6"/>
  <c r="N22" i="6" s="1"/>
  <c r="H22" i="6"/>
  <c r="G22" i="6"/>
  <c r="BI22" i="6" s="1"/>
  <c r="F22" i="6"/>
  <c r="CX22" i="6" s="1"/>
  <c r="E22" i="6"/>
  <c r="D22" i="6"/>
  <c r="A22" i="6"/>
  <c r="DT21" i="6"/>
  <c r="DQ21" i="6"/>
  <c r="DP21" i="6"/>
  <c r="DO21" i="6"/>
  <c r="DH21" i="6"/>
  <c r="DJ21" i="6" s="1"/>
  <c r="DE21" i="6"/>
  <c r="DB21" i="6"/>
  <c r="DA21" i="6"/>
  <c r="CW21" i="6"/>
  <c r="CB21" i="6"/>
  <c r="BR21" i="6"/>
  <c r="BP21" i="6"/>
  <c r="BL21" i="6"/>
  <c r="BH21" i="6"/>
  <c r="BE21" i="6"/>
  <c r="BF21" i="6" s="1"/>
  <c r="BD21" i="6"/>
  <c r="BA21" i="6"/>
  <c r="AZ21" i="6"/>
  <c r="BG21" i="6" s="1"/>
  <c r="AX21" i="6"/>
  <c r="AV21" i="6"/>
  <c r="AU21" i="6"/>
  <c r="BV21" i="6" s="1"/>
  <c r="AS21" i="6"/>
  <c r="M21" i="6"/>
  <c r="K21" i="6"/>
  <c r="CN21" i="6" s="1"/>
  <c r="J21" i="6"/>
  <c r="N21" i="6" s="1"/>
  <c r="H21" i="6"/>
  <c r="G21" i="6"/>
  <c r="BI21" i="6" s="1"/>
  <c r="F21" i="6"/>
  <c r="CX21" i="6" s="1"/>
  <c r="E21" i="6"/>
  <c r="A21" i="6"/>
  <c r="DT20" i="6"/>
  <c r="DQ20" i="6"/>
  <c r="DP20" i="6"/>
  <c r="DO20" i="6"/>
  <c r="DJ20" i="6"/>
  <c r="DH20" i="6"/>
  <c r="DG20" i="6" s="1"/>
  <c r="DE20" i="6"/>
  <c r="DB20" i="6"/>
  <c r="DA20" i="6"/>
  <c r="CW20" i="6"/>
  <c r="CN20" i="6"/>
  <c r="CB20" i="6"/>
  <c r="BR20" i="6"/>
  <c r="BP20" i="6"/>
  <c r="BL20" i="6"/>
  <c r="BH20" i="6"/>
  <c r="BG20" i="6"/>
  <c r="BE20" i="6"/>
  <c r="BF20" i="6" s="1"/>
  <c r="BD20" i="6"/>
  <c r="AZ20" i="6"/>
  <c r="BA20" i="6" s="1"/>
  <c r="AX20" i="6"/>
  <c r="AV20" i="6"/>
  <c r="AU20" i="6"/>
  <c r="BV20" i="6" s="1"/>
  <c r="AS20" i="6"/>
  <c r="M20" i="6"/>
  <c r="K20" i="6"/>
  <c r="CM20" i="6" s="1"/>
  <c r="J20" i="6"/>
  <c r="L20" i="6" s="1"/>
  <c r="H20" i="6"/>
  <c r="G20" i="6"/>
  <c r="CZ20" i="6" s="1"/>
  <c r="F20" i="6"/>
  <c r="CX20" i="6" s="1"/>
  <c r="E20" i="6"/>
  <c r="CV20" i="6" s="1"/>
  <c r="A20" i="6"/>
  <c r="DT19" i="6"/>
  <c r="DQ19" i="6"/>
  <c r="DP19" i="6"/>
  <c r="DO19" i="6"/>
  <c r="DJ19" i="6"/>
  <c r="DI19" i="6"/>
  <c r="DH19" i="6"/>
  <c r="DG19" i="6"/>
  <c r="DE19" i="6"/>
  <c r="DB19" i="6"/>
  <c r="DA19" i="6"/>
  <c r="CW19" i="6"/>
  <c r="CN19" i="6"/>
  <c r="CM19" i="6"/>
  <c r="CJ19" i="6"/>
  <c r="CK19" i="6" s="1"/>
  <c r="CB19" i="6"/>
  <c r="BS19" i="6"/>
  <c r="BR19" i="6"/>
  <c r="BP19" i="6"/>
  <c r="BL19" i="6"/>
  <c r="BH19" i="6"/>
  <c r="BG19" i="6"/>
  <c r="BF19" i="6"/>
  <c r="BE19" i="6"/>
  <c r="BD19" i="6"/>
  <c r="BA19" i="6"/>
  <c r="AZ19" i="6"/>
  <c r="AX19" i="6"/>
  <c r="AV19" i="6"/>
  <c r="AU19" i="6"/>
  <c r="BV19" i="6" s="1"/>
  <c r="AS19" i="6"/>
  <c r="N19" i="6"/>
  <c r="M19" i="6"/>
  <c r="K19" i="6"/>
  <c r="J19" i="6"/>
  <c r="D19" i="6" s="1"/>
  <c r="H19" i="6"/>
  <c r="G19" i="6"/>
  <c r="BI19" i="6" s="1"/>
  <c r="F19" i="6"/>
  <c r="CX19" i="6" s="1"/>
  <c r="E19" i="6"/>
  <c r="CV19" i="6" s="1"/>
  <c r="A19" i="6"/>
  <c r="DT18" i="6"/>
  <c r="DP18" i="6"/>
  <c r="DO18" i="6"/>
  <c r="DH18" i="6"/>
  <c r="DJ18" i="6" s="1"/>
  <c r="DE18" i="6"/>
  <c r="DB18" i="6"/>
  <c r="DA18" i="6"/>
  <c r="CM18" i="6"/>
  <c r="CB18" i="6"/>
  <c r="BV18" i="6"/>
  <c r="BS18" i="6"/>
  <c r="BR18" i="6"/>
  <c r="BP18" i="6"/>
  <c r="BL18" i="6"/>
  <c r="BH18" i="6"/>
  <c r="BD18" i="6"/>
  <c r="AZ18" i="6"/>
  <c r="BE18" i="6" s="1"/>
  <c r="BF18" i="6" s="1"/>
  <c r="AX18" i="6"/>
  <c r="AV18" i="6"/>
  <c r="AU18" i="6"/>
  <c r="AS18" i="6"/>
  <c r="N18" i="6"/>
  <c r="M18" i="6"/>
  <c r="K18" i="6"/>
  <c r="CN18" i="6" s="1"/>
  <c r="J18" i="6"/>
  <c r="D18" i="6" s="1"/>
  <c r="H18" i="6"/>
  <c r="G18" i="6"/>
  <c r="BI18" i="6" s="1"/>
  <c r="F18" i="6"/>
  <c r="CX18" i="6" s="1"/>
  <c r="A18" i="6"/>
  <c r="DT17" i="6"/>
  <c r="DQ17" i="6"/>
  <c r="DP17" i="6"/>
  <c r="DO17" i="6"/>
  <c r="DH17" i="6"/>
  <c r="DJ17" i="6" s="1"/>
  <c r="DG17" i="6"/>
  <c r="DE17" i="6"/>
  <c r="DB17" i="6"/>
  <c r="DA17" i="6"/>
  <c r="CW17" i="6"/>
  <c r="CN17" i="6"/>
  <c r="CM17" i="6"/>
  <c r="CJ17" i="6"/>
  <c r="CB17" i="6"/>
  <c r="BV17" i="6"/>
  <c r="BS17" i="6"/>
  <c r="BR17" i="6"/>
  <c r="BP17" i="6"/>
  <c r="BL17" i="6"/>
  <c r="BI17" i="6"/>
  <c r="BJ17" i="6" s="1"/>
  <c r="BH17" i="6"/>
  <c r="BG17" i="6"/>
  <c r="BD17" i="6"/>
  <c r="AZ17" i="6"/>
  <c r="BE17" i="6" s="1"/>
  <c r="BF17" i="6" s="1"/>
  <c r="AX17" i="6"/>
  <c r="AV17" i="6"/>
  <c r="AU17" i="6"/>
  <c r="AS17" i="6"/>
  <c r="N17" i="6"/>
  <c r="M17" i="6"/>
  <c r="L17" i="6"/>
  <c r="K17" i="6"/>
  <c r="J17" i="6"/>
  <c r="D17" i="6" s="1"/>
  <c r="H17" i="6"/>
  <c r="G17" i="6"/>
  <c r="CZ17" i="6" s="1"/>
  <c r="F17" i="6"/>
  <c r="CX17" i="6" s="1"/>
  <c r="E17" i="6"/>
  <c r="CV17" i="6" s="1"/>
  <c r="A17" i="6"/>
  <c r="BK22" i="6" l="1"/>
  <c r="BJ22" i="6"/>
  <c r="BK34" i="6"/>
  <c r="BJ34" i="6"/>
  <c r="BK38" i="6"/>
  <c r="BJ38" i="6"/>
  <c r="CG19" i="6"/>
  <c r="CO19" i="6"/>
  <c r="CO31" i="6"/>
  <c r="CG31" i="6"/>
  <c r="BJ19" i="6"/>
  <c r="BK19" i="6"/>
  <c r="BK21" i="6"/>
  <c r="BJ21" i="6"/>
  <c r="BK26" i="6"/>
  <c r="BJ26" i="6"/>
  <c r="BK31" i="6"/>
  <c r="BJ31" i="6"/>
  <c r="BK36" i="6"/>
  <c r="BJ36" i="6"/>
  <c r="BK24" i="6"/>
  <c r="BJ24" i="6"/>
  <c r="CO28" i="6"/>
  <c r="BK33" i="6"/>
  <c r="BJ33" i="6"/>
  <c r="BK18" i="6"/>
  <c r="BJ18" i="6"/>
  <c r="BK23" i="6"/>
  <c r="BJ23" i="6"/>
  <c r="CZ31" i="6"/>
  <c r="CK17" i="6"/>
  <c r="CO17" i="6" s="1"/>
  <c r="CV21" i="6"/>
  <c r="CZ23" i="6"/>
  <c r="CZ21" i="6"/>
  <c r="CN22" i="6"/>
  <c r="DJ22" i="6"/>
  <c r="BE23" i="6"/>
  <c r="BF23" i="6" s="1"/>
  <c r="D24" i="6"/>
  <c r="L25" i="6"/>
  <c r="CX26" i="6"/>
  <c r="DS26" i="6"/>
  <c r="N27" i="6"/>
  <c r="CM27" i="6"/>
  <c r="BK29" i="6"/>
  <c r="CO29" i="6"/>
  <c r="BA33" i="6"/>
  <c r="BS33" i="6"/>
  <c r="CZ33" i="6"/>
  <c r="CN34" i="6"/>
  <c r="DJ34" i="6"/>
  <c r="D36" i="6"/>
  <c r="L37" i="6"/>
  <c r="CX38" i="6"/>
  <c r="DS38" i="6"/>
  <c r="N39" i="6"/>
  <c r="CM39" i="6"/>
  <c r="DI39" i="6"/>
  <c r="CZ18" i="6"/>
  <c r="D21" i="6"/>
  <c r="BK17" i="6"/>
  <c r="BS21" i="6"/>
  <c r="L18" i="6"/>
  <c r="BG18" i="6"/>
  <c r="CJ18" i="6"/>
  <c r="DG18" i="6"/>
  <c r="DS19" i="6"/>
  <c r="N20" i="6"/>
  <c r="BI20" i="6"/>
  <c r="DI20" i="6"/>
  <c r="CO22" i="6"/>
  <c r="CG23" i="6"/>
  <c r="E24" i="6"/>
  <c r="CV24" i="6" s="1"/>
  <c r="CW24" i="6"/>
  <c r="DQ24" i="6"/>
  <c r="CK25" i="6"/>
  <c r="CG25" i="6" s="1"/>
  <c r="BS26" i="6"/>
  <c r="CZ26" i="6"/>
  <c r="BE28" i="6"/>
  <c r="BF28" i="6" s="1"/>
  <c r="L30" i="6"/>
  <c r="BG30" i="6"/>
  <c r="CJ30" i="6"/>
  <c r="DG30" i="6"/>
  <c r="DS31" i="6"/>
  <c r="N32" i="6"/>
  <c r="BI32" i="6"/>
  <c r="DI32" i="6"/>
  <c r="E36" i="6"/>
  <c r="CV36" i="6" s="1"/>
  <c r="CW36" i="6"/>
  <c r="DQ36" i="6"/>
  <c r="CK37" i="6"/>
  <c r="CG37" i="6" s="1"/>
  <c r="BS38" i="6"/>
  <c r="CZ38" i="6"/>
  <c r="BE40" i="6"/>
  <c r="BF40" i="6" s="1"/>
  <c r="BJ25" i="6"/>
  <c r="BG28" i="6"/>
  <c r="DS29" i="6"/>
  <c r="BI30" i="6"/>
  <c r="DI30" i="6"/>
  <c r="CK35" i="6"/>
  <c r="CO35" i="6" s="1"/>
  <c r="BA36" i="6"/>
  <c r="BS36" i="6"/>
  <c r="CZ36" i="6"/>
  <c r="BJ37" i="6"/>
  <c r="D39" i="6"/>
  <c r="BG40" i="6"/>
  <c r="DI18" i="6"/>
  <c r="CK23" i="6"/>
  <c r="BA24" i="6"/>
  <c r="CZ24" i="6"/>
  <c r="BA17" i="6"/>
  <c r="D20" i="6"/>
  <c r="L21" i="6"/>
  <c r="CJ21" i="6"/>
  <c r="DG21" i="6"/>
  <c r="DS22" i="6"/>
  <c r="N23" i="6"/>
  <c r="DI23" i="6"/>
  <c r="CO25" i="6"/>
  <c r="E27" i="6"/>
  <c r="CV27" i="6" s="1"/>
  <c r="CW27" i="6"/>
  <c r="DQ27" i="6"/>
  <c r="CK28" i="6"/>
  <c r="CG28" i="6" s="1"/>
  <c r="BA29" i="6"/>
  <c r="D32" i="6"/>
  <c r="L33" i="6"/>
  <c r="CJ33" i="6"/>
  <c r="DG33" i="6"/>
  <c r="N35" i="6"/>
  <c r="BI35" i="6"/>
  <c r="DI35" i="6"/>
  <c r="E39" i="6"/>
  <c r="CV39" i="6" s="1"/>
  <c r="CW39" i="6"/>
  <c r="DQ39" i="6"/>
  <c r="CK40" i="6"/>
  <c r="CG40" i="6" s="1"/>
  <c r="CZ19" i="6"/>
  <c r="BE24" i="6"/>
  <c r="BF24" i="6" s="1"/>
  <c r="D25" i="6"/>
  <c r="L26" i="6"/>
  <c r="DS27" i="6"/>
  <c r="CM28" i="6"/>
  <c r="CZ34" i="6"/>
  <c r="BE36" i="6"/>
  <c r="BF36" i="6" s="1"/>
  <c r="D37" i="6"/>
  <c r="L38" i="6"/>
  <c r="DS39" i="6"/>
  <c r="CM40" i="6"/>
  <c r="DS17" i="6"/>
  <c r="CZ22" i="6"/>
  <c r="L19" i="6"/>
  <c r="CM21" i="6"/>
  <c r="DI21" i="6"/>
  <c r="CO23" i="6"/>
  <c r="E25" i="6"/>
  <c r="CV25" i="6" s="1"/>
  <c r="CW25" i="6"/>
  <c r="DQ25" i="6"/>
  <c r="CK26" i="6"/>
  <c r="CO26" i="6" s="1"/>
  <c r="BA27" i="6"/>
  <c r="BJ28" i="6"/>
  <c r="BE29" i="6"/>
  <c r="BF29" i="6" s="1"/>
  <c r="L31" i="6"/>
  <c r="N33" i="6"/>
  <c r="CM33" i="6"/>
  <c r="DI33" i="6"/>
  <c r="E37" i="6"/>
  <c r="CV37" i="6" s="1"/>
  <c r="CW37" i="6"/>
  <c r="DQ37" i="6"/>
  <c r="CK38" i="6"/>
  <c r="CO38" i="6" s="1"/>
  <c r="BA39" i="6"/>
  <c r="BJ40" i="6"/>
  <c r="E18" i="6"/>
  <c r="CV18" i="6" s="1"/>
  <c r="CW18" i="6"/>
  <c r="DQ18" i="6"/>
  <c r="BS20" i="6"/>
  <c r="CJ24" i="6"/>
  <c r="DS25" i="6"/>
  <c r="CG29" i="6"/>
  <c r="E30" i="6"/>
  <c r="CV30" i="6" s="1"/>
  <c r="CW30" i="6"/>
  <c r="DQ30" i="6"/>
  <c r="BS32" i="6"/>
  <c r="L36" i="6"/>
  <c r="CJ36" i="6"/>
  <c r="DG36" i="6"/>
  <c r="DS37" i="6"/>
  <c r="CG22" i="6"/>
  <c r="E23" i="6"/>
  <c r="CV23" i="6" s="1"/>
  <c r="CW23" i="6"/>
  <c r="DQ23" i="6"/>
  <c r="E35" i="6"/>
  <c r="CV35" i="6" s="1"/>
  <c r="CW35" i="6"/>
  <c r="DQ35" i="6"/>
  <c r="BA18" i="6"/>
  <c r="CG27" i="6"/>
  <c r="E28" i="6"/>
  <c r="CV28" i="6" s="1"/>
  <c r="CW28" i="6"/>
  <c r="DQ28" i="6"/>
  <c r="BA30" i="6"/>
  <c r="CJ34" i="6"/>
  <c r="DG34" i="6"/>
  <c r="CG39" i="6"/>
  <c r="E40" i="6"/>
  <c r="CV40" i="6" s="1"/>
  <c r="CW40" i="6"/>
  <c r="DQ40" i="6"/>
  <c r="DI17" i="6"/>
  <c r="CJ20" i="6"/>
  <c r="E26" i="6"/>
  <c r="CV26" i="6" s="1"/>
  <c r="CW26" i="6"/>
  <c r="CJ32" i="6"/>
  <c r="E38" i="6"/>
  <c r="CV38" i="6" s="1"/>
  <c r="CW38" i="6"/>
  <c r="CB11" i="7"/>
  <c r="DS21" i="6" l="1"/>
  <c r="CK21" i="6"/>
  <c r="CO21" i="6" s="1"/>
  <c r="CG17" i="6"/>
  <c r="CK24" i="6"/>
  <c r="CO24" i="6" s="1"/>
  <c r="DS24" i="6"/>
  <c r="BJ20" i="6"/>
  <c r="BK20" i="6"/>
  <c r="DS18" i="6"/>
  <c r="CO18" i="6"/>
  <c r="CK18" i="6"/>
  <c r="CG18" i="6"/>
  <c r="CG35" i="6"/>
  <c r="CG38" i="6"/>
  <c r="BK30" i="6"/>
  <c r="BJ30" i="6"/>
  <c r="DS33" i="6"/>
  <c r="CK33" i="6"/>
  <c r="CO33" i="6" s="1"/>
  <c r="CO37" i="6"/>
  <c r="BJ32" i="6"/>
  <c r="BK32" i="6"/>
  <c r="CK34" i="6"/>
  <c r="CG34" i="6" s="1"/>
  <c r="DS34" i="6"/>
  <c r="CG26" i="6"/>
  <c r="BK35" i="6"/>
  <c r="BJ35" i="6"/>
  <c r="CG32" i="6"/>
  <c r="DS32" i="6"/>
  <c r="CO32" i="6"/>
  <c r="CK32" i="6"/>
  <c r="CO40" i="6"/>
  <c r="DS30" i="6"/>
  <c r="CK30" i="6"/>
  <c r="CG30" i="6" s="1"/>
  <c r="CO30" i="6"/>
  <c r="DS20" i="6"/>
  <c r="CK20" i="6"/>
  <c r="CO20" i="6" s="1"/>
  <c r="CG20" i="6"/>
  <c r="CK36" i="6"/>
  <c r="CG36" i="6" s="1"/>
  <c r="DS36" i="6"/>
  <c r="DT64" i="6"/>
  <c r="DP64" i="6"/>
  <c r="DO64" i="6"/>
  <c r="DH64" i="6"/>
  <c r="DJ64" i="6" s="1"/>
  <c r="DE64" i="6"/>
  <c r="DB64" i="6"/>
  <c r="DA64" i="6"/>
  <c r="CB64" i="6"/>
  <c r="BR64" i="6"/>
  <c r="BP64" i="6"/>
  <c r="BL64" i="6"/>
  <c r="BH64" i="6"/>
  <c r="BD64" i="6"/>
  <c r="AZ64" i="6"/>
  <c r="AX64" i="6"/>
  <c r="AV64" i="6"/>
  <c r="AU64" i="6"/>
  <c r="BV64" i="6" s="1"/>
  <c r="AS64" i="6"/>
  <c r="M64" i="6"/>
  <c r="K64" i="6"/>
  <c r="CN64" i="6" s="1"/>
  <c r="J64" i="6"/>
  <c r="D64" i="6" s="1"/>
  <c r="H64" i="6"/>
  <c r="G64" i="6"/>
  <c r="CZ64" i="6" s="1"/>
  <c r="F64" i="6"/>
  <c r="CX64" i="6" s="1"/>
  <c r="A64" i="6"/>
  <c r="DT63" i="6"/>
  <c r="DP63" i="6"/>
  <c r="DO63" i="6"/>
  <c r="DH63" i="6"/>
  <c r="DG63" i="6" s="1"/>
  <c r="DE63" i="6"/>
  <c r="DB63" i="6"/>
  <c r="DA63" i="6"/>
  <c r="CB63" i="6"/>
  <c r="BR63" i="6"/>
  <c r="BP63" i="6"/>
  <c r="BL63" i="6"/>
  <c r="BH63" i="6"/>
  <c r="BD63" i="6"/>
  <c r="AZ63" i="6"/>
  <c r="AX63" i="6"/>
  <c r="AV63" i="6"/>
  <c r="AU63" i="6"/>
  <c r="BV63" i="6" s="1"/>
  <c r="AS63" i="6"/>
  <c r="M63" i="6"/>
  <c r="K63" i="6"/>
  <c r="CN63" i="6" s="1"/>
  <c r="J63" i="6"/>
  <c r="BS63" i="6" s="1"/>
  <c r="H63" i="6"/>
  <c r="G63" i="6"/>
  <c r="CZ63" i="6" s="1"/>
  <c r="F63" i="6"/>
  <c r="CX63" i="6" s="1"/>
  <c r="A63" i="6"/>
  <c r="DT62" i="6"/>
  <c r="DP62" i="6"/>
  <c r="DO62" i="6"/>
  <c r="DH62" i="6"/>
  <c r="DJ62" i="6" s="1"/>
  <c r="DE62" i="6"/>
  <c r="DB62" i="6"/>
  <c r="DA62" i="6"/>
  <c r="CB62" i="6"/>
  <c r="BR62" i="6"/>
  <c r="BP62" i="6"/>
  <c r="BL62" i="6"/>
  <c r="BH62" i="6"/>
  <c r="BD62" i="6"/>
  <c r="AZ62" i="6"/>
  <c r="AX62" i="6"/>
  <c r="AV62" i="6"/>
  <c r="AU62" i="6"/>
  <c r="BV62" i="6" s="1"/>
  <c r="AS62" i="6"/>
  <c r="M62" i="6"/>
  <c r="K62" i="6"/>
  <c r="CN62" i="6" s="1"/>
  <c r="J62" i="6"/>
  <c r="N62" i="6" s="1"/>
  <c r="H62" i="6"/>
  <c r="G62" i="6"/>
  <c r="BI62" i="6" s="1"/>
  <c r="F62" i="6"/>
  <c r="CX62" i="6" s="1"/>
  <c r="A62" i="6"/>
  <c r="DT61" i="6"/>
  <c r="DP61" i="6"/>
  <c r="DO61" i="6"/>
  <c r="DH61" i="6"/>
  <c r="DG61" i="6" s="1"/>
  <c r="DE61" i="6"/>
  <c r="DB61" i="6"/>
  <c r="DA61" i="6"/>
  <c r="CB61" i="6"/>
  <c r="BR61" i="6"/>
  <c r="BP61" i="6"/>
  <c r="BL61" i="6"/>
  <c r="BH61" i="6"/>
  <c r="BD61" i="6"/>
  <c r="AZ61" i="6"/>
  <c r="AX61" i="6"/>
  <c r="AV61" i="6"/>
  <c r="AU61" i="6"/>
  <c r="BV61" i="6" s="1"/>
  <c r="AS61" i="6"/>
  <c r="M61" i="6"/>
  <c r="K61" i="6"/>
  <c r="CN61" i="6" s="1"/>
  <c r="J61" i="6"/>
  <c r="D61" i="6" s="1"/>
  <c r="H61" i="6"/>
  <c r="G61" i="6"/>
  <c r="CZ61" i="6" s="1"/>
  <c r="F61" i="6"/>
  <c r="CX61" i="6" s="1"/>
  <c r="A61" i="6"/>
  <c r="DT60" i="6"/>
  <c r="DP60" i="6"/>
  <c r="DO60" i="6"/>
  <c r="DH60" i="6"/>
  <c r="DG60" i="6" s="1"/>
  <c r="DE60" i="6"/>
  <c r="DB60" i="6"/>
  <c r="DA60" i="6"/>
  <c r="CB60" i="6"/>
  <c r="BR60" i="6"/>
  <c r="BP60" i="6"/>
  <c r="BL60" i="6"/>
  <c r="BH60" i="6"/>
  <c r="BD60" i="6"/>
  <c r="AZ60" i="6"/>
  <c r="AX60" i="6"/>
  <c r="AV60" i="6"/>
  <c r="AU60" i="6"/>
  <c r="BV60" i="6" s="1"/>
  <c r="AS60" i="6"/>
  <c r="M60" i="6"/>
  <c r="K60" i="6"/>
  <c r="CN60" i="6" s="1"/>
  <c r="J60" i="6"/>
  <c r="D60" i="6" s="1"/>
  <c r="H60" i="6"/>
  <c r="G60" i="6"/>
  <c r="CZ60" i="6" s="1"/>
  <c r="F60" i="6"/>
  <c r="CX60" i="6" s="1"/>
  <c r="A60" i="6"/>
  <c r="DT59" i="6"/>
  <c r="DP59" i="6"/>
  <c r="DO59" i="6"/>
  <c r="DH59" i="6"/>
  <c r="DJ59" i="6" s="1"/>
  <c r="DE59" i="6"/>
  <c r="DB59" i="6"/>
  <c r="DA59" i="6"/>
  <c r="CB59" i="6"/>
  <c r="BR59" i="6"/>
  <c r="BP59" i="6"/>
  <c r="BL59" i="6"/>
  <c r="BH59" i="6"/>
  <c r="BD59" i="6"/>
  <c r="AZ59" i="6"/>
  <c r="AX59" i="6"/>
  <c r="AV59" i="6"/>
  <c r="AU59" i="6"/>
  <c r="BV59" i="6" s="1"/>
  <c r="AS59" i="6"/>
  <c r="M59" i="6"/>
  <c r="K59" i="6"/>
  <c r="CN59" i="6" s="1"/>
  <c r="J59" i="6"/>
  <c r="N59" i="6" s="1"/>
  <c r="H59" i="6"/>
  <c r="G59" i="6"/>
  <c r="BI59" i="6" s="1"/>
  <c r="F59" i="6"/>
  <c r="CX59" i="6" s="1"/>
  <c r="A59" i="6"/>
  <c r="DT58" i="6"/>
  <c r="DP58" i="6"/>
  <c r="DO58" i="6"/>
  <c r="DH58" i="6"/>
  <c r="DJ58" i="6" s="1"/>
  <c r="DE58" i="6"/>
  <c r="DB58" i="6"/>
  <c r="DA58" i="6"/>
  <c r="CB58" i="6"/>
  <c r="BR58" i="6"/>
  <c r="BP58" i="6"/>
  <c r="BL58" i="6"/>
  <c r="BH58" i="6"/>
  <c r="BD58" i="6"/>
  <c r="AZ58" i="6"/>
  <c r="AX58" i="6"/>
  <c r="AV58" i="6"/>
  <c r="AU58" i="6"/>
  <c r="BV58" i="6" s="1"/>
  <c r="AS58" i="6"/>
  <c r="M58" i="6"/>
  <c r="K58" i="6"/>
  <c r="CN58" i="6" s="1"/>
  <c r="J58" i="6"/>
  <c r="L58" i="6" s="1"/>
  <c r="H58" i="6"/>
  <c r="G58" i="6"/>
  <c r="CZ58" i="6" s="1"/>
  <c r="F58" i="6"/>
  <c r="CX58" i="6" s="1"/>
  <c r="A58" i="6"/>
  <c r="DT57" i="6"/>
  <c r="DP57" i="6"/>
  <c r="DO57" i="6"/>
  <c r="DH57" i="6"/>
  <c r="DG57" i="6" s="1"/>
  <c r="DE57" i="6"/>
  <c r="DB57" i="6"/>
  <c r="DA57" i="6"/>
  <c r="CB57" i="6"/>
  <c r="BR57" i="6"/>
  <c r="BP57" i="6"/>
  <c r="BL57" i="6"/>
  <c r="BH57" i="6"/>
  <c r="BD57" i="6"/>
  <c r="AZ57" i="6"/>
  <c r="AX57" i="6"/>
  <c r="AV57" i="6"/>
  <c r="AU57" i="6"/>
  <c r="BV57" i="6" s="1"/>
  <c r="AS57" i="6"/>
  <c r="M57" i="6"/>
  <c r="K57" i="6"/>
  <c r="CN57" i="6" s="1"/>
  <c r="J57" i="6"/>
  <c r="BS57" i="6" s="1"/>
  <c r="H57" i="6"/>
  <c r="G57" i="6"/>
  <c r="CZ57" i="6" s="1"/>
  <c r="F57" i="6"/>
  <c r="CX57" i="6" s="1"/>
  <c r="A57" i="6"/>
  <c r="DT56" i="6"/>
  <c r="DP56" i="6"/>
  <c r="DO56" i="6"/>
  <c r="DH56" i="6"/>
  <c r="DJ56" i="6" s="1"/>
  <c r="DE56" i="6"/>
  <c r="DB56" i="6"/>
  <c r="DA56" i="6"/>
  <c r="CB56" i="6"/>
  <c r="BR56" i="6"/>
  <c r="BP56" i="6"/>
  <c r="BL56" i="6"/>
  <c r="BH56" i="6"/>
  <c r="BD56" i="6"/>
  <c r="AZ56" i="6"/>
  <c r="AX56" i="6"/>
  <c r="AV56" i="6"/>
  <c r="AU56" i="6"/>
  <c r="BV56" i="6" s="1"/>
  <c r="AS56" i="6"/>
  <c r="M56" i="6"/>
  <c r="K56" i="6"/>
  <c r="CN56" i="6" s="1"/>
  <c r="J56" i="6"/>
  <c r="N56" i="6" s="1"/>
  <c r="H56" i="6"/>
  <c r="G56" i="6"/>
  <c r="BI56" i="6" s="1"/>
  <c r="F56" i="6"/>
  <c r="CX56" i="6" s="1"/>
  <c r="A56" i="6"/>
  <c r="DT55" i="6"/>
  <c r="DP55" i="6"/>
  <c r="DO55" i="6"/>
  <c r="DH55" i="6"/>
  <c r="DG55" i="6" s="1"/>
  <c r="DE55" i="6"/>
  <c r="DB55" i="6"/>
  <c r="DA55" i="6"/>
  <c r="CB55" i="6"/>
  <c r="BR55" i="6"/>
  <c r="BP55" i="6"/>
  <c r="BL55" i="6"/>
  <c r="BH55" i="6"/>
  <c r="BD55" i="6"/>
  <c r="AZ55" i="6"/>
  <c r="AX55" i="6"/>
  <c r="AV55" i="6"/>
  <c r="AU55" i="6"/>
  <c r="BV55" i="6" s="1"/>
  <c r="AS55" i="6"/>
  <c r="M55" i="6"/>
  <c r="K55" i="6"/>
  <c r="CN55" i="6" s="1"/>
  <c r="J55" i="6"/>
  <c r="D55" i="6" s="1"/>
  <c r="H55" i="6"/>
  <c r="G55" i="6"/>
  <c r="CZ55" i="6" s="1"/>
  <c r="F55" i="6"/>
  <c r="CX55" i="6" s="1"/>
  <c r="A55" i="6"/>
  <c r="DT54" i="6"/>
  <c r="DP54" i="6"/>
  <c r="DO54" i="6"/>
  <c r="DH54" i="6"/>
  <c r="DG54" i="6" s="1"/>
  <c r="DE54" i="6"/>
  <c r="DB54" i="6"/>
  <c r="DA54" i="6"/>
  <c r="CB54" i="6"/>
  <c r="BR54" i="6"/>
  <c r="BP54" i="6"/>
  <c r="BL54" i="6"/>
  <c r="BH54" i="6"/>
  <c r="BD54" i="6"/>
  <c r="AZ54" i="6"/>
  <c r="AX54" i="6"/>
  <c r="AV54" i="6"/>
  <c r="AU54" i="6"/>
  <c r="BV54" i="6" s="1"/>
  <c r="AS54" i="6"/>
  <c r="M54" i="6"/>
  <c r="K54" i="6"/>
  <c r="CN54" i="6" s="1"/>
  <c r="J54" i="6"/>
  <c r="D54" i="6" s="1"/>
  <c r="H54" i="6"/>
  <c r="G54" i="6"/>
  <c r="CZ54" i="6" s="1"/>
  <c r="F54" i="6"/>
  <c r="CX54" i="6" s="1"/>
  <c r="A54" i="6"/>
  <c r="DT53" i="6"/>
  <c r="DP53" i="6"/>
  <c r="DO53" i="6"/>
  <c r="DH53" i="6"/>
  <c r="DJ53" i="6" s="1"/>
  <c r="DE53" i="6"/>
  <c r="DB53" i="6"/>
  <c r="DA53" i="6"/>
  <c r="CB53" i="6"/>
  <c r="BR53" i="6"/>
  <c r="BP53" i="6"/>
  <c r="BL53" i="6"/>
  <c r="BH53" i="6"/>
  <c r="BD53" i="6"/>
  <c r="AZ53" i="6"/>
  <c r="AX53" i="6"/>
  <c r="AV53" i="6"/>
  <c r="AU53" i="6"/>
  <c r="BV53" i="6" s="1"/>
  <c r="AS53" i="6"/>
  <c r="M53" i="6"/>
  <c r="K53" i="6"/>
  <c r="CN53" i="6" s="1"/>
  <c r="J53" i="6"/>
  <c r="N53" i="6" s="1"/>
  <c r="H53" i="6"/>
  <c r="G53" i="6"/>
  <c r="BI53" i="6" s="1"/>
  <c r="F53" i="6"/>
  <c r="CX53" i="6" s="1"/>
  <c r="A53" i="6"/>
  <c r="DT52" i="6"/>
  <c r="DP52" i="6"/>
  <c r="DO52" i="6"/>
  <c r="DH52" i="6"/>
  <c r="DJ52" i="6" s="1"/>
  <c r="DE52" i="6"/>
  <c r="DB52" i="6"/>
  <c r="DA52" i="6"/>
  <c r="CB52" i="6"/>
  <c r="BR52" i="6"/>
  <c r="BP52" i="6"/>
  <c r="BL52" i="6"/>
  <c r="BH52" i="6"/>
  <c r="BD52" i="6"/>
  <c r="AZ52" i="6"/>
  <c r="AX52" i="6"/>
  <c r="AV52" i="6"/>
  <c r="AU52" i="6"/>
  <c r="BV52" i="6" s="1"/>
  <c r="AS52" i="6"/>
  <c r="M52" i="6"/>
  <c r="K52" i="6"/>
  <c r="CN52" i="6" s="1"/>
  <c r="J52" i="6"/>
  <c r="L52" i="6" s="1"/>
  <c r="H52" i="6"/>
  <c r="G52" i="6"/>
  <c r="CZ52" i="6" s="1"/>
  <c r="F52" i="6"/>
  <c r="DQ52" i="6" s="1"/>
  <c r="A52" i="6"/>
  <c r="DT51" i="6"/>
  <c r="DP51" i="6"/>
  <c r="DO51" i="6"/>
  <c r="DH51" i="6"/>
  <c r="DG51" i="6" s="1"/>
  <c r="DE51" i="6"/>
  <c r="DB51" i="6"/>
  <c r="DA51" i="6"/>
  <c r="CB51" i="6"/>
  <c r="BR51" i="6"/>
  <c r="BP51" i="6"/>
  <c r="BL51" i="6"/>
  <c r="BH51" i="6"/>
  <c r="BD51" i="6"/>
  <c r="AZ51" i="6"/>
  <c r="AX51" i="6"/>
  <c r="AV51" i="6"/>
  <c r="AU51" i="6"/>
  <c r="BV51" i="6" s="1"/>
  <c r="AS51" i="6"/>
  <c r="M51" i="6"/>
  <c r="K51" i="6"/>
  <c r="CN51" i="6" s="1"/>
  <c r="J51" i="6"/>
  <c r="D51" i="6" s="1"/>
  <c r="H51" i="6"/>
  <c r="G51" i="6"/>
  <c r="CZ51" i="6" s="1"/>
  <c r="F51" i="6"/>
  <c r="CX51" i="6" s="1"/>
  <c r="A51" i="6"/>
  <c r="DT50" i="6"/>
  <c r="DP50" i="6"/>
  <c r="DO50" i="6"/>
  <c r="DH50" i="6"/>
  <c r="DJ50" i="6" s="1"/>
  <c r="DE50" i="6"/>
  <c r="DB50" i="6"/>
  <c r="DA50" i="6"/>
  <c r="CB50" i="6"/>
  <c r="BR50" i="6"/>
  <c r="BP50" i="6"/>
  <c r="BL50" i="6"/>
  <c r="BH50" i="6"/>
  <c r="BD50" i="6"/>
  <c r="AZ50" i="6"/>
  <c r="AX50" i="6"/>
  <c r="AV50" i="6"/>
  <c r="AU50" i="6"/>
  <c r="BV50" i="6" s="1"/>
  <c r="AS50" i="6"/>
  <c r="M50" i="6"/>
  <c r="K50" i="6"/>
  <c r="CN50" i="6" s="1"/>
  <c r="J50" i="6"/>
  <c r="N50" i="6" s="1"/>
  <c r="H50" i="6"/>
  <c r="G50" i="6"/>
  <c r="BI50" i="6" s="1"/>
  <c r="F50" i="6"/>
  <c r="CX50" i="6" s="1"/>
  <c r="A50" i="6"/>
  <c r="DT49" i="6"/>
  <c r="DP49" i="6"/>
  <c r="DO49" i="6"/>
  <c r="DH49" i="6"/>
  <c r="DI49" i="6" s="1"/>
  <c r="DE49" i="6"/>
  <c r="DB49" i="6"/>
  <c r="DA49" i="6"/>
  <c r="CB49" i="6"/>
  <c r="BR49" i="6"/>
  <c r="BP49" i="6"/>
  <c r="BL49" i="6"/>
  <c r="BH49" i="6"/>
  <c r="BD49" i="6"/>
  <c r="AZ49" i="6"/>
  <c r="AX49" i="6"/>
  <c r="AV49" i="6"/>
  <c r="AU49" i="6"/>
  <c r="BV49" i="6" s="1"/>
  <c r="AS49" i="6"/>
  <c r="M49" i="6"/>
  <c r="K49" i="6"/>
  <c r="CN49" i="6" s="1"/>
  <c r="J49" i="6"/>
  <c r="BS49" i="6" s="1"/>
  <c r="H49" i="6"/>
  <c r="G49" i="6"/>
  <c r="CZ49" i="6" s="1"/>
  <c r="F49" i="6"/>
  <c r="CX49" i="6" s="1"/>
  <c r="A49" i="6"/>
  <c r="DT48" i="6"/>
  <c r="DP48" i="6"/>
  <c r="DO48" i="6"/>
  <c r="DH48" i="6"/>
  <c r="DG48" i="6" s="1"/>
  <c r="DE48" i="6"/>
  <c r="DB48" i="6"/>
  <c r="DA48" i="6"/>
  <c r="CB48" i="6"/>
  <c r="BR48" i="6"/>
  <c r="BP48" i="6"/>
  <c r="BL48" i="6"/>
  <c r="BH48" i="6"/>
  <c r="BD48" i="6"/>
  <c r="AZ48" i="6"/>
  <c r="AX48" i="6"/>
  <c r="AV48" i="6"/>
  <c r="AU48" i="6"/>
  <c r="BV48" i="6" s="1"/>
  <c r="AS48" i="6"/>
  <c r="M48" i="6"/>
  <c r="K48" i="6"/>
  <c r="CN48" i="6" s="1"/>
  <c r="J48" i="6"/>
  <c r="D48" i="6" s="1"/>
  <c r="H48" i="6"/>
  <c r="G48" i="6"/>
  <c r="CZ48" i="6" s="1"/>
  <c r="F48" i="6"/>
  <c r="CX48" i="6" s="1"/>
  <c r="A48" i="6"/>
  <c r="DT47" i="6"/>
  <c r="DP47" i="6"/>
  <c r="DO47" i="6"/>
  <c r="DH47" i="6"/>
  <c r="DJ47" i="6" s="1"/>
  <c r="DE47" i="6"/>
  <c r="DB47" i="6"/>
  <c r="DA47" i="6"/>
  <c r="CB47" i="6"/>
  <c r="BR47" i="6"/>
  <c r="BP47" i="6"/>
  <c r="BL47" i="6"/>
  <c r="BH47" i="6"/>
  <c r="BD47" i="6"/>
  <c r="AZ47" i="6"/>
  <c r="AX47" i="6"/>
  <c r="AV47" i="6"/>
  <c r="AU47" i="6"/>
  <c r="BV47" i="6" s="1"/>
  <c r="AS47" i="6"/>
  <c r="M47" i="6"/>
  <c r="K47" i="6"/>
  <c r="CN47" i="6" s="1"/>
  <c r="J47" i="6"/>
  <c r="N47" i="6" s="1"/>
  <c r="H47" i="6"/>
  <c r="G47" i="6"/>
  <c r="BI47" i="6" s="1"/>
  <c r="F47" i="6"/>
  <c r="CX47" i="6" s="1"/>
  <c r="A47" i="6"/>
  <c r="DT46" i="6"/>
  <c r="DP46" i="6"/>
  <c r="DO46" i="6"/>
  <c r="DH46" i="6"/>
  <c r="DJ46" i="6" s="1"/>
  <c r="DE46" i="6"/>
  <c r="DB46" i="6"/>
  <c r="DA46" i="6"/>
  <c r="CB46" i="6"/>
  <c r="BR46" i="6"/>
  <c r="BP46" i="6"/>
  <c r="BL46" i="6"/>
  <c r="BH46" i="6"/>
  <c r="BD46" i="6"/>
  <c r="AZ46" i="6"/>
  <c r="AX46" i="6"/>
  <c r="AV46" i="6"/>
  <c r="AU46" i="6"/>
  <c r="BV46" i="6" s="1"/>
  <c r="AS46" i="6"/>
  <c r="M46" i="6"/>
  <c r="K46" i="6"/>
  <c r="CN46" i="6" s="1"/>
  <c r="J46" i="6"/>
  <c r="BS46" i="6" s="1"/>
  <c r="H46" i="6"/>
  <c r="G46" i="6"/>
  <c r="CZ46" i="6" s="1"/>
  <c r="F46" i="6"/>
  <c r="CX46" i="6" s="1"/>
  <c r="A46" i="6"/>
  <c r="DT45" i="6"/>
  <c r="DP45" i="6"/>
  <c r="DO45" i="6"/>
  <c r="DH45" i="6"/>
  <c r="DG45" i="6" s="1"/>
  <c r="DE45" i="6"/>
  <c r="DB45" i="6"/>
  <c r="DA45" i="6"/>
  <c r="CB45" i="6"/>
  <c r="BR45" i="6"/>
  <c r="BP45" i="6"/>
  <c r="BL45" i="6"/>
  <c r="BH45" i="6"/>
  <c r="BD45" i="6"/>
  <c r="AZ45" i="6"/>
  <c r="AX45" i="6"/>
  <c r="AV45" i="6"/>
  <c r="AU45" i="6"/>
  <c r="BV45" i="6" s="1"/>
  <c r="AS45" i="6"/>
  <c r="M45" i="6"/>
  <c r="K45" i="6"/>
  <c r="CN45" i="6" s="1"/>
  <c r="J45" i="6"/>
  <c r="D45" i="6" s="1"/>
  <c r="H45" i="6"/>
  <c r="G45" i="6"/>
  <c r="CZ45" i="6" s="1"/>
  <c r="F45" i="6"/>
  <c r="CX45" i="6" s="1"/>
  <c r="A45" i="6"/>
  <c r="DT44" i="6"/>
  <c r="DP44" i="6"/>
  <c r="DO44" i="6"/>
  <c r="DH44" i="6"/>
  <c r="DJ44" i="6" s="1"/>
  <c r="DE44" i="6"/>
  <c r="DB44" i="6"/>
  <c r="DA44" i="6"/>
  <c r="CB44" i="6"/>
  <c r="BR44" i="6"/>
  <c r="BP44" i="6"/>
  <c r="BL44" i="6"/>
  <c r="BH44" i="6"/>
  <c r="BD44" i="6"/>
  <c r="AZ44" i="6"/>
  <c r="AX44" i="6"/>
  <c r="AV44" i="6"/>
  <c r="AU44" i="6"/>
  <c r="BV44" i="6" s="1"/>
  <c r="AS44" i="6"/>
  <c r="M44" i="6"/>
  <c r="K44" i="6"/>
  <c r="CN44" i="6" s="1"/>
  <c r="J44" i="6"/>
  <c r="N44" i="6" s="1"/>
  <c r="H44" i="6"/>
  <c r="G44" i="6"/>
  <c r="CZ44" i="6" s="1"/>
  <c r="F44" i="6"/>
  <c r="CX44" i="6" s="1"/>
  <c r="A44" i="6"/>
  <c r="DT43" i="6"/>
  <c r="DP43" i="6"/>
  <c r="DO43" i="6"/>
  <c r="DH43" i="6"/>
  <c r="DG43" i="6" s="1"/>
  <c r="DE43" i="6"/>
  <c r="DB43" i="6"/>
  <c r="DA43" i="6"/>
  <c r="CB43" i="6"/>
  <c r="BR43" i="6"/>
  <c r="BP43" i="6"/>
  <c r="BL43" i="6"/>
  <c r="BH43" i="6"/>
  <c r="BD43" i="6"/>
  <c r="AZ43" i="6"/>
  <c r="AX43" i="6"/>
  <c r="AV43" i="6"/>
  <c r="AU43" i="6"/>
  <c r="BV43" i="6" s="1"/>
  <c r="AS43" i="6"/>
  <c r="M43" i="6"/>
  <c r="K43" i="6"/>
  <c r="CN43" i="6" s="1"/>
  <c r="J43" i="6"/>
  <c r="L43" i="6" s="1"/>
  <c r="H43" i="6"/>
  <c r="G43" i="6"/>
  <c r="BI43" i="6" s="1"/>
  <c r="F43" i="6"/>
  <c r="CX43" i="6" s="1"/>
  <c r="A43" i="6"/>
  <c r="DT42" i="6"/>
  <c r="DP42" i="6"/>
  <c r="DO42" i="6"/>
  <c r="DH42" i="6"/>
  <c r="DJ42" i="6" s="1"/>
  <c r="DE42" i="6"/>
  <c r="DB42" i="6"/>
  <c r="DA42" i="6"/>
  <c r="CB42" i="6"/>
  <c r="BR42" i="6"/>
  <c r="BP42" i="6"/>
  <c r="BL42" i="6"/>
  <c r="BH42" i="6"/>
  <c r="BD42" i="6"/>
  <c r="AZ42" i="6"/>
  <c r="AX42" i="6"/>
  <c r="AV42" i="6"/>
  <c r="AU42" i="6"/>
  <c r="BV42" i="6" s="1"/>
  <c r="AS42" i="6"/>
  <c r="M42" i="6"/>
  <c r="K42" i="6"/>
  <c r="CN42" i="6" s="1"/>
  <c r="J42" i="6"/>
  <c r="N42" i="6" s="1"/>
  <c r="H42" i="6"/>
  <c r="G42" i="6"/>
  <c r="BI42" i="6" s="1"/>
  <c r="F42" i="6"/>
  <c r="CX42" i="6" s="1"/>
  <c r="A42" i="6"/>
  <c r="DT41" i="6"/>
  <c r="DP41" i="6"/>
  <c r="DO41" i="6"/>
  <c r="DH41" i="6"/>
  <c r="DJ41" i="6" s="1"/>
  <c r="DE41" i="6"/>
  <c r="DB41" i="6"/>
  <c r="DA41" i="6"/>
  <c r="CB41" i="6"/>
  <c r="BR41" i="6"/>
  <c r="BP41" i="6"/>
  <c r="BL41" i="6"/>
  <c r="BH41" i="6"/>
  <c r="BD41" i="6"/>
  <c r="AZ41" i="6"/>
  <c r="AX41" i="6"/>
  <c r="AV41" i="6"/>
  <c r="AU41" i="6"/>
  <c r="BV41" i="6" s="1"/>
  <c r="AS41" i="6"/>
  <c r="M41" i="6"/>
  <c r="K41" i="6"/>
  <c r="CN41" i="6" s="1"/>
  <c r="J41" i="6"/>
  <c r="N41" i="6" s="1"/>
  <c r="H41" i="6"/>
  <c r="G41" i="6"/>
  <c r="CZ41" i="6" s="1"/>
  <c r="F41" i="6"/>
  <c r="CX41" i="6" s="1"/>
  <c r="A41" i="6"/>
  <c r="DT16" i="6"/>
  <c r="DP16" i="6"/>
  <c r="DO16" i="6"/>
  <c r="DH16" i="6"/>
  <c r="DG16" i="6" s="1"/>
  <c r="DE16" i="6"/>
  <c r="DB16" i="6"/>
  <c r="DA16" i="6"/>
  <c r="CB16" i="6"/>
  <c r="BR16" i="6"/>
  <c r="BP16" i="6"/>
  <c r="BL16" i="6"/>
  <c r="BH16" i="6"/>
  <c r="BD16" i="6"/>
  <c r="AZ16" i="6"/>
  <c r="AX16" i="6"/>
  <c r="AV16" i="6"/>
  <c r="AU16" i="6"/>
  <c r="BV16" i="6" s="1"/>
  <c r="AS16" i="6"/>
  <c r="M16" i="6"/>
  <c r="K16" i="6"/>
  <c r="CN16" i="6" s="1"/>
  <c r="J16" i="6"/>
  <c r="D16" i="6" s="1"/>
  <c r="H16" i="6"/>
  <c r="G16" i="6"/>
  <c r="BI16" i="6" s="1"/>
  <c r="F16" i="6"/>
  <c r="CX16" i="6" s="1"/>
  <c r="A16" i="6"/>
  <c r="DT15" i="6"/>
  <c r="DP15" i="6"/>
  <c r="DO15" i="6"/>
  <c r="DH15" i="6"/>
  <c r="DJ15" i="6" s="1"/>
  <c r="DE15" i="6"/>
  <c r="DB15" i="6"/>
  <c r="DA15" i="6"/>
  <c r="CB15" i="6"/>
  <c r="BR15" i="6"/>
  <c r="BP15" i="6"/>
  <c r="BL15" i="6"/>
  <c r="BH15" i="6"/>
  <c r="BD15" i="6"/>
  <c r="AZ15" i="6"/>
  <c r="AX15" i="6"/>
  <c r="AV15" i="6"/>
  <c r="AU15" i="6"/>
  <c r="BV15" i="6" s="1"/>
  <c r="AS15" i="6"/>
  <c r="M15" i="6"/>
  <c r="K15" i="6"/>
  <c r="CN15" i="6" s="1"/>
  <c r="J15" i="6"/>
  <c r="N15" i="6" s="1"/>
  <c r="H15" i="6"/>
  <c r="G15" i="6"/>
  <c r="BI15" i="6" s="1"/>
  <c r="F15" i="6"/>
  <c r="CX15" i="6" s="1"/>
  <c r="A15" i="6"/>
  <c r="DT14" i="6"/>
  <c r="DP14" i="6"/>
  <c r="DO14" i="6"/>
  <c r="DH14" i="6"/>
  <c r="DJ14" i="6" s="1"/>
  <c r="DE14" i="6"/>
  <c r="DB14" i="6"/>
  <c r="DA14" i="6"/>
  <c r="CB14" i="6"/>
  <c r="BR14" i="6"/>
  <c r="BP14" i="6"/>
  <c r="BL14" i="6"/>
  <c r="BH14" i="6"/>
  <c r="BD14" i="6"/>
  <c r="AZ14" i="6"/>
  <c r="AX14" i="6"/>
  <c r="AV14" i="6"/>
  <c r="AU14" i="6"/>
  <c r="BV14" i="6" s="1"/>
  <c r="AS14" i="6"/>
  <c r="M14" i="6"/>
  <c r="K14" i="6"/>
  <c r="CN14" i="6" s="1"/>
  <c r="J14" i="6"/>
  <c r="N14" i="6" s="1"/>
  <c r="H14" i="6"/>
  <c r="G14" i="6"/>
  <c r="CZ14" i="6" s="1"/>
  <c r="F14" i="6"/>
  <c r="CX14" i="6" s="1"/>
  <c r="A14" i="6"/>
  <c r="DT13" i="6"/>
  <c r="DP13" i="6"/>
  <c r="DO13" i="6"/>
  <c r="DH13" i="6"/>
  <c r="DG13" i="6" s="1"/>
  <c r="DE13" i="6"/>
  <c r="DB13" i="6"/>
  <c r="DA13" i="6"/>
  <c r="CB13" i="6"/>
  <c r="BR13" i="6"/>
  <c r="BP13" i="6"/>
  <c r="BL13" i="6"/>
  <c r="BH13" i="6"/>
  <c r="BD13" i="6"/>
  <c r="AZ13" i="6"/>
  <c r="AX13" i="6"/>
  <c r="AV13" i="6"/>
  <c r="AU13" i="6"/>
  <c r="BV13" i="6" s="1"/>
  <c r="AS13" i="6"/>
  <c r="M13" i="6"/>
  <c r="K13" i="6"/>
  <c r="CN13" i="6" s="1"/>
  <c r="J13" i="6"/>
  <c r="D13" i="6" s="1"/>
  <c r="H13" i="6"/>
  <c r="G13" i="6"/>
  <c r="BI13" i="6" s="1"/>
  <c r="F13" i="6"/>
  <c r="CX13" i="6" s="1"/>
  <c r="A13" i="6"/>
  <c r="DT12" i="6"/>
  <c r="DP12" i="6"/>
  <c r="DO12" i="6"/>
  <c r="DH12" i="6"/>
  <c r="DJ12" i="6" s="1"/>
  <c r="DE12" i="6"/>
  <c r="DB12" i="6"/>
  <c r="DA12" i="6"/>
  <c r="CB12" i="6"/>
  <c r="BR12" i="6"/>
  <c r="BP12" i="6"/>
  <c r="BL12" i="6"/>
  <c r="BH12" i="6"/>
  <c r="BD12" i="6"/>
  <c r="AZ12" i="6"/>
  <c r="AX12" i="6"/>
  <c r="AV12" i="6"/>
  <c r="AU12" i="6"/>
  <c r="BV12" i="6" s="1"/>
  <c r="AS12" i="6"/>
  <c r="M12" i="6"/>
  <c r="K12" i="6"/>
  <c r="CN12" i="6" s="1"/>
  <c r="J12" i="6"/>
  <c r="N12" i="6" s="1"/>
  <c r="H12" i="6"/>
  <c r="G12" i="6"/>
  <c r="BI12" i="6" s="1"/>
  <c r="F12" i="6"/>
  <c r="CX12" i="6" s="1"/>
  <c r="A12" i="6"/>
  <c r="DT11" i="6"/>
  <c r="DP11" i="6"/>
  <c r="DO11" i="6"/>
  <c r="DH11" i="6"/>
  <c r="DJ11" i="6" s="1"/>
  <c r="DE11" i="6"/>
  <c r="DB11" i="6"/>
  <c r="DA11" i="6"/>
  <c r="CB11" i="6"/>
  <c r="BR11" i="6"/>
  <c r="BP11" i="6"/>
  <c r="BL11" i="6"/>
  <c r="BH11" i="6"/>
  <c r="BD11" i="6"/>
  <c r="AZ11" i="6"/>
  <c r="AX11" i="6"/>
  <c r="AV11" i="6"/>
  <c r="AU11" i="6"/>
  <c r="BV11" i="6" s="1"/>
  <c r="AS11" i="6"/>
  <c r="M11" i="6"/>
  <c r="K11" i="6"/>
  <c r="CN11" i="6" s="1"/>
  <c r="J11" i="6"/>
  <c r="N11" i="6" s="1"/>
  <c r="H11" i="6"/>
  <c r="G11" i="6"/>
  <c r="CZ11" i="6" s="1"/>
  <c r="F11" i="6"/>
  <c r="CX11" i="6" s="1"/>
  <c r="A11" i="6"/>
  <c r="DT10" i="6"/>
  <c r="DP10" i="6"/>
  <c r="DO10" i="6"/>
  <c r="DH10" i="6"/>
  <c r="DG10" i="6" s="1"/>
  <c r="DE10" i="6"/>
  <c r="DB10" i="6"/>
  <c r="DA10" i="6"/>
  <c r="CB10" i="6"/>
  <c r="BR10" i="6"/>
  <c r="BP10" i="6"/>
  <c r="BL10" i="6"/>
  <c r="BH10" i="6"/>
  <c r="BD10" i="6"/>
  <c r="AZ10" i="6"/>
  <c r="AX10" i="6"/>
  <c r="AV10" i="6"/>
  <c r="AU10" i="6"/>
  <c r="BV10" i="6" s="1"/>
  <c r="AS10" i="6"/>
  <c r="M10" i="6"/>
  <c r="K10" i="6"/>
  <c r="CN10" i="6" s="1"/>
  <c r="J10" i="6"/>
  <c r="BS10" i="6" s="1"/>
  <c r="H10" i="6"/>
  <c r="G10" i="6"/>
  <c r="BI10" i="6" s="1"/>
  <c r="F10" i="6"/>
  <c r="CX10" i="6" s="1"/>
  <c r="A10" i="6"/>
  <c r="DT9" i="6"/>
  <c r="DP9" i="6"/>
  <c r="DO9" i="6"/>
  <c r="DH9" i="6"/>
  <c r="DJ9" i="6" s="1"/>
  <c r="DE9" i="6"/>
  <c r="DB9" i="6"/>
  <c r="DA9" i="6"/>
  <c r="CB9" i="6"/>
  <c r="BR9" i="6"/>
  <c r="BP9" i="6"/>
  <c r="BL9" i="6"/>
  <c r="BH9" i="6"/>
  <c r="BD9" i="6"/>
  <c r="AZ9" i="6"/>
  <c r="AX9" i="6"/>
  <c r="AV9" i="6"/>
  <c r="AU9" i="6"/>
  <c r="BV9" i="6" s="1"/>
  <c r="AS9" i="6"/>
  <c r="M9" i="6"/>
  <c r="K9" i="6"/>
  <c r="CN9" i="6" s="1"/>
  <c r="J9" i="6"/>
  <c r="N9" i="6" s="1"/>
  <c r="H9" i="6"/>
  <c r="G9" i="6"/>
  <c r="BI9" i="6" s="1"/>
  <c r="F9" i="6"/>
  <c r="CX9" i="6" s="1"/>
  <c r="A9" i="6"/>
  <c r="DT8" i="6"/>
  <c r="DP8" i="6"/>
  <c r="DO8" i="6"/>
  <c r="DH8" i="6"/>
  <c r="DJ8" i="6" s="1"/>
  <c r="DE8" i="6"/>
  <c r="DB8" i="6"/>
  <c r="DA8" i="6"/>
  <c r="CB8" i="6"/>
  <c r="BR8" i="6"/>
  <c r="BP8" i="6"/>
  <c r="BL8" i="6"/>
  <c r="BH8" i="6"/>
  <c r="BD8" i="6"/>
  <c r="AZ8" i="6"/>
  <c r="AX8" i="6"/>
  <c r="AV8" i="6"/>
  <c r="AU8" i="6"/>
  <c r="BV8" i="6" s="1"/>
  <c r="AS8" i="6"/>
  <c r="M8" i="6"/>
  <c r="K8" i="6"/>
  <c r="CN8" i="6" s="1"/>
  <c r="J8" i="6"/>
  <c r="N8" i="6" s="1"/>
  <c r="H8" i="6"/>
  <c r="G8" i="6"/>
  <c r="CZ8" i="6" s="1"/>
  <c r="F8" i="6"/>
  <c r="CX8" i="6" s="1"/>
  <c r="A8" i="6"/>
  <c r="DT7" i="6"/>
  <c r="DP7" i="6"/>
  <c r="DO7" i="6"/>
  <c r="DH7" i="6"/>
  <c r="DG7" i="6" s="1"/>
  <c r="DE7" i="6"/>
  <c r="DB7" i="6"/>
  <c r="DA7" i="6"/>
  <c r="CB7" i="6"/>
  <c r="BR7" i="6"/>
  <c r="BP7" i="6"/>
  <c r="BL7" i="6"/>
  <c r="BH7" i="6"/>
  <c r="BD7" i="6"/>
  <c r="AZ7" i="6"/>
  <c r="AX7" i="6"/>
  <c r="AV7" i="6"/>
  <c r="AU7" i="6"/>
  <c r="BV7" i="6" s="1"/>
  <c r="AS7" i="6"/>
  <c r="M7" i="6"/>
  <c r="K7" i="6"/>
  <c r="CN7" i="6" s="1"/>
  <c r="J7" i="6"/>
  <c r="BS7" i="6" s="1"/>
  <c r="H7" i="6"/>
  <c r="G7" i="6"/>
  <c r="BI7" i="6" s="1"/>
  <c r="F7" i="6"/>
  <c r="CX7" i="6" s="1"/>
  <c r="A7" i="6"/>
  <c r="DH6" i="6"/>
  <c r="DH5" i="6"/>
  <c r="CO36" i="6" l="1"/>
  <c r="CG33" i="6"/>
  <c r="CG24" i="6"/>
  <c r="CO34" i="6"/>
  <c r="CG21" i="6"/>
  <c r="BG10" i="6"/>
  <c r="BE10" i="6"/>
  <c r="BF10" i="6" s="1"/>
  <c r="BE42" i="6"/>
  <c r="BF42" i="6" s="1"/>
  <c r="BG42" i="6"/>
  <c r="BE54" i="6"/>
  <c r="BF54" i="6" s="1"/>
  <c r="BG54" i="6"/>
  <c r="BG43" i="6"/>
  <c r="BE43" i="6"/>
  <c r="BF43" i="6" s="1"/>
  <c r="BE55" i="6"/>
  <c r="BF55" i="6" s="1"/>
  <c r="BG55" i="6"/>
  <c r="BG8" i="6"/>
  <c r="BE8" i="6"/>
  <c r="BF8" i="6" s="1"/>
  <c r="BG44" i="6"/>
  <c r="BE44" i="6"/>
  <c r="BF44" i="6" s="1"/>
  <c r="BE56" i="6"/>
  <c r="BF56" i="6" s="1"/>
  <c r="BG56" i="6"/>
  <c r="BE9" i="6"/>
  <c r="BF9" i="6" s="1"/>
  <c r="BG9" i="6"/>
  <c r="BG45" i="6"/>
  <c r="BE45" i="6"/>
  <c r="BF45" i="6" s="1"/>
  <c r="BG57" i="6"/>
  <c r="BE57" i="6"/>
  <c r="BF57" i="6" s="1"/>
  <c r="BG11" i="6"/>
  <c r="BE11" i="6"/>
  <c r="BF11" i="6" s="1"/>
  <c r="BE47" i="6"/>
  <c r="BF47" i="6" s="1"/>
  <c r="BG47" i="6"/>
  <c r="BG59" i="6"/>
  <c r="BE59" i="6"/>
  <c r="BF59" i="6" s="1"/>
  <c r="BG46" i="6"/>
  <c r="BE46" i="6"/>
  <c r="BF46" i="6" s="1"/>
  <c r="BE12" i="6"/>
  <c r="BF12" i="6" s="1"/>
  <c r="BG12" i="6"/>
  <c r="BG48" i="6"/>
  <c r="BE48" i="6"/>
  <c r="BF48" i="6" s="1"/>
  <c r="BG60" i="6"/>
  <c r="BE60" i="6"/>
  <c r="BF60" i="6" s="1"/>
  <c r="BE13" i="6"/>
  <c r="BF13" i="6" s="1"/>
  <c r="BG13" i="6"/>
  <c r="BE49" i="6"/>
  <c r="BF49" i="6" s="1"/>
  <c r="BG49" i="6"/>
  <c r="BE61" i="6"/>
  <c r="BF61" i="6" s="1"/>
  <c r="BG61" i="6"/>
  <c r="BG14" i="6"/>
  <c r="BE14" i="6"/>
  <c r="BF14" i="6" s="1"/>
  <c r="BE50" i="6"/>
  <c r="BF50" i="6" s="1"/>
  <c r="BG50" i="6"/>
  <c r="BE62" i="6"/>
  <c r="BF62" i="6" s="1"/>
  <c r="BG62" i="6"/>
  <c r="BG15" i="6"/>
  <c r="BE15" i="6"/>
  <c r="BF15" i="6" s="1"/>
  <c r="BG51" i="6"/>
  <c r="BE51" i="6"/>
  <c r="BF51" i="6" s="1"/>
  <c r="BG63" i="6"/>
  <c r="BE63" i="6"/>
  <c r="BF63" i="6" s="1"/>
  <c r="BG58" i="6"/>
  <c r="BE58" i="6"/>
  <c r="BF58" i="6" s="1"/>
  <c r="BE16" i="6"/>
  <c r="BF16" i="6" s="1"/>
  <c r="BG16" i="6"/>
  <c r="BE52" i="6"/>
  <c r="BF52" i="6" s="1"/>
  <c r="BG52" i="6"/>
  <c r="BE64" i="6"/>
  <c r="BF64" i="6" s="1"/>
  <c r="BG64" i="6"/>
  <c r="BE41" i="6"/>
  <c r="BF41" i="6" s="1"/>
  <c r="BG41" i="6"/>
  <c r="BE53" i="6"/>
  <c r="BF53" i="6" s="1"/>
  <c r="BG53" i="6"/>
  <c r="BE7" i="6"/>
  <c r="BG7" i="6"/>
  <c r="L16" i="6"/>
  <c r="DI46" i="6"/>
  <c r="CM12" i="6"/>
  <c r="DG49" i="6"/>
  <c r="CZ13" i="6"/>
  <c r="D43" i="6"/>
  <c r="BA52" i="6"/>
  <c r="L49" i="6"/>
  <c r="BS44" i="6"/>
  <c r="L46" i="6"/>
  <c r="CJ46" i="6"/>
  <c r="BA44" i="6"/>
  <c r="CJ42" i="6"/>
  <c r="DS42" i="6" s="1"/>
  <c r="BA51" i="6"/>
  <c r="D15" i="6"/>
  <c r="BA42" i="6"/>
  <c r="DI42" i="6"/>
  <c r="D46" i="6"/>
  <c r="DQ14" i="6"/>
  <c r="DG52" i="6"/>
  <c r="CW54" i="6"/>
  <c r="BS41" i="6"/>
  <c r="L63" i="6"/>
  <c r="D9" i="6"/>
  <c r="CM55" i="6"/>
  <c r="BA60" i="6"/>
  <c r="BA15" i="6"/>
  <c r="CW14" i="6"/>
  <c r="BA48" i="6"/>
  <c r="DQ12" i="6"/>
  <c r="BA41" i="6"/>
  <c r="D49" i="6"/>
  <c r="L15" i="6"/>
  <c r="CJ52" i="6"/>
  <c r="DS52" i="6" s="1"/>
  <c r="BS60" i="6"/>
  <c r="DG46" i="6"/>
  <c r="DG9" i="6"/>
  <c r="CM10" i="6"/>
  <c r="CW10" i="6"/>
  <c r="L14" i="6"/>
  <c r="BS14" i="6"/>
  <c r="N52" i="6"/>
  <c r="BS52" i="6"/>
  <c r="D57" i="6"/>
  <c r="L59" i="6"/>
  <c r="DI61" i="6"/>
  <c r="DG15" i="6"/>
  <c r="DJ61" i="6"/>
  <c r="DQ9" i="6"/>
  <c r="DI15" i="6"/>
  <c r="CM16" i="6"/>
  <c r="CM49" i="6"/>
  <c r="BA54" i="6"/>
  <c r="L56" i="6"/>
  <c r="DQ57" i="6"/>
  <c r="L60" i="6"/>
  <c r="CZ7" i="6"/>
  <c r="BS9" i="6"/>
  <c r="CW12" i="6"/>
  <c r="L41" i="6"/>
  <c r="BA45" i="6"/>
  <c r="D52" i="6"/>
  <c r="D14" i="6"/>
  <c r="D42" i="6"/>
  <c r="L57" i="6"/>
  <c r="CW9" i="6"/>
  <c r="DI14" i="6"/>
  <c r="CJ61" i="6"/>
  <c r="DS61" i="6" s="1"/>
  <c r="D63" i="6"/>
  <c r="CM41" i="6"/>
  <c r="BA49" i="6"/>
  <c r="DI52" i="6"/>
  <c r="L54" i="6"/>
  <c r="CW57" i="6"/>
  <c r="D7" i="6"/>
  <c r="D11" i="6"/>
  <c r="DG12" i="6"/>
  <c r="CJ15" i="6"/>
  <c r="CW41" i="6"/>
  <c r="CW44" i="6"/>
  <c r="BA46" i="6"/>
  <c r="DJ49" i="6"/>
  <c r="BS54" i="6"/>
  <c r="BJ53" i="6"/>
  <c r="BK53" i="6"/>
  <c r="BK47" i="6"/>
  <c r="BJ47" i="6"/>
  <c r="BK50" i="6"/>
  <c r="BJ50" i="6"/>
  <c r="L8" i="6"/>
  <c r="DQ8" i="6"/>
  <c r="CZ10" i="6"/>
  <c r="DI12" i="6"/>
  <c r="L13" i="6"/>
  <c r="BS13" i="6"/>
  <c r="L53" i="6"/>
  <c r="DI55" i="6"/>
  <c r="CZ56" i="6"/>
  <c r="N58" i="6"/>
  <c r="BS58" i="6"/>
  <c r="BA61" i="6"/>
  <c r="BA63" i="6"/>
  <c r="CJ64" i="6"/>
  <c r="DS64" i="6" s="1"/>
  <c r="CJ9" i="6"/>
  <c r="BS8" i="6"/>
  <c r="CM9" i="6"/>
  <c r="DI11" i="6"/>
  <c r="L12" i="6"/>
  <c r="BA14" i="6"/>
  <c r="D41" i="6"/>
  <c r="DG42" i="6"/>
  <c r="N46" i="6"/>
  <c r="CZ47" i="6"/>
  <c r="N49" i="6"/>
  <c r="CZ50" i="6"/>
  <c r="L55" i="6"/>
  <c r="DJ55" i="6"/>
  <c r="L62" i="6"/>
  <c r="D10" i="6"/>
  <c r="BS12" i="6"/>
  <c r="CM13" i="6"/>
  <c r="D44" i="6"/>
  <c r="DQ45" i="6"/>
  <c r="DQ48" i="6"/>
  <c r="DQ51" i="6"/>
  <c r="CJ58" i="6"/>
  <c r="DS58" i="6" s="1"/>
  <c r="CZ62" i="6"/>
  <c r="CJ49" i="6"/>
  <c r="DS49" i="6" s="1"/>
  <c r="CZ53" i="6"/>
  <c r="N55" i="6"/>
  <c r="BS55" i="6"/>
  <c r="CM58" i="6"/>
  <c r="L7" i="6"/>
  <c r="CW8" i="6"/>
  <c r="BA9" i="6"/>
  <c r="L11" i="6"/>
  <c r="DQ11" i="6"/>
  <c r="CJ12" i="6"/>
  <c r="DS12" i="6" s="1"/>
  <c r="BS15" i="6"/>
  <c r="CZ16" i="6"/>
  <c r="DI41" i="6"/>
  <c r="L42" i="6"/>
  <c r="CM43" i="6"/>
  <c r="DI44" i="6"/>
  <c r="L45" i="6"/>
  <c r="CM46" i="6"/>
  <c r="L48" i="6"/>
  <c r="L51" i="6"/>
  <c r="DQ54" i="6"/>
  <c r="D58" i="6"/>
  <c r="L61" i="6"/>
  <c r="BA64" i="6"/>
  <c r="DG64" i="6"/>
  <c r="DQ7" i="6"/>
  <c r="CM8" i="6"/>
  <c r="BS11" i="6"/>
  <c r="DQ15" i="6"/>
  <c r="BS42" i="6"/>
  <c r="CZ43" i="6"/>
  <c r="BS45" i="6"/>
  <c r="BS48" i="6"/>
  <c r="BS51" i="6"/>
  <c r="CM52" i="6"/>
  <c r="CJ55" i="6"/>
  <c r="DS55" i="6" s="1"/>
  <c r="BA11" i="6"/>
  <c r="DQ42" i="6"/>
  <c r="E52" i="6"/>
  <c r="CV52" i="6" s="1"/>
  <c r="BA58" i="6"/>
  <c r="N61" i="6"/>
  <c r="BS61" i="6"/>
  <c r="DI64" i="6"/>
  <c r="BA8" i="6"/>
  <c r="DQ10" i="6"/>
  <c r="CM11" i="6"/>
  <c r="D12" i="6"/>
  <c r="CM15" i="6"/>
  <c r="DQ41" i="6"/>
  <c r="DQ44" i="6"/>
  <c r="CW45" i="6"/>
  <c r="CW48" i="6"/>
  <c r="CW51" i="6"/>
  <c r="CX52" i="6"/>
  <c r="DG58" i="6"/>
  <c r="CM7" i="6"/>
  <c r="CW7" i="6"/>
  <c r="DI9" i="6"/>
  <c r="L10" i="6"/>
  <c r="CW11" i="6"/>
  <c r="BA12" i="6"/>
  <c r="CW15" i="6"/>
  <c r="CM42" i="6"/>
  <c r="D8" i="6"/>
  <c r="DI8" i="6"/>
  <c r="L9" i="6"/>
  <c r="CM14" i="6"/>
  <c r="CW42" i="6"/>
  <c r="L47" i="6"/>
  <c r="L50" i="6"/>
  <c r="BA55" i="6"/>
  <c r="DI58" i="6"/>
  <c r="CZ59" i="6"/>
  <c r="CM44" i="6"/>
  <c r="BA57" i="6"/>
  <c r="N64" i="6"/>
  <c r="BS64" i="6"/>
  <c r="BJ59" i="6"/>
  <c r="BK59" i="6"/>
  <c r="BJ56" i="6"/>
  <c r="BK56" i="6"/>
  <c r="BJ62" i="6"/>
  <c r="BK62" i="6"/>
  <c r="CW47" i="6"/>
  <c r="DQ47" i="6"/>
  <c r="CM48" i="6"/>
  <c r="DI48" i="6"/>
  <c r="D50" i="6"/>
  <c r="CW50" i="6"/>
  <c r="DQ50" i="6"/>
  <c r="CM51" i="6"/>
  <c r="DI51" i="6"/>
  <c r="D53" i="6"/>
  <c r="CW53" i="6"/>
  <c r="DQ53" i="6"/>
  <c r="CM54" i="6"/>
  <c r="DI54" i="6"/>
  <c r="D56" i="6"/>
  <c r="CW56" i="6"/>
  <c r="DQ56" i="6"/>
  <c r="CM57" i="6"/>
  <c r="DI57" i="6"/>
  <c r="D59" i="6"/>
  <c r="CW59" i="6"/>
  <c r="DQ59" i="6"/>
  <c r="CM60" i="6"/>
  <c r="DI60" i="6"/>
  <c r="D62" i="6"/>
  <c r="CW62" i="6"/>
  <c r="DQ62" i="6"/>
  <c r="CM63" i="6"/>
  <c r="DI63" i="6"/>
  <c r="CM45" i="6"/>
  <c r="DI45" i="6"/>
  <c r="D47" i="6"/>
  <c r="N45" i="6"/>
  <c r="BI45" i="6"/>
  <c r="DJ45" i="6"/>
  <c r="E47" i="6"/>
  <c r="CV47" i="6" s="1"/>
  <c r="N48" i="6"/>
  <c r="BI48" i="6"/>
  <c r="DJ48" i="6"/>
  <c r="E50" i="6"/>
  <c r="CV50" i="6" s="1"/>
  <c r="N51" i="6"/>
  <c r="BI51" i="6"/>
  <c r="DJ51" i="6"/>
  <c r="E53" i="6"/>
  <c r="CV53" i="6" s="1"/>
  <c r="N54" i="6"/>
  <c r="BI54" i="6"/>
  <c r="DJ54" i="6"/>
  <c r="E56" i="6"/>
  <c r="CV56" i="6" s="1"/>
  <c r="N57" i="6"/>
  <c r="BI57" i="6"/>
  <c r="DJ57" i="6"/>
  <c r="E59" i="6"/>
  <c r="CV59" i="6" s="1"/>
  <c r="N60" i="6"/>
  <c r="BI60" i="6"/>
  <c r="DJ60" i="6"/>
  <c r="E62" i="6"/>
  <c r="CV62" i="6" s="1"/>
  <c r="N63" i="6"/>
  <c r="BI63" i="6"/>
  <c r="DJ63" i="6"/>
  <c r="BA47" i="6"/>
  <c r="BS47" i="6"/>
  <c r="BA50" i="6"/>
  <c r="BS50" i="6"/>
  <c r="BA53" i="6"/>
  <c r="BS53" i="6"/>
  <c r="BA56" i="6"/>
  <c r="BS56" i="6"/>
  <c r="BA59" i="6"/>
  <c r="BS59" i="6"/>
  <c r="BA62" i="6"/>
  <c r="BS62" i="6"/>
  <c r="L64" i="6"/>
  <c r="CW60" i="6"/>
  <c r="DQ60" i="6"/>
  <c r="CM61" i="6"/>
  <c r="CW63" i="6"/>
  <c r="DQ63" i="6"/>
  <c r="CM64" i="6"/>
  <c r="E45" i="6"/>
  <c r="CV45" i="6" s="1"/>
  <c r="BI46" i="6"/>
  <c r="E48" i="6"/>
  <c r="CV48" i="6" s="1"/>
  <c r="BI49" i="6"/>
  <c r="E51" i="6"/>
  <c r="CV51" i="6" s="1"/>
  <c r="BI52" i="6"/>
  <c r="E54" i="6"/>
  <c r="CV54" i="6" s="1"/>
  <c r="BI55" i="6"/>
  <c r="E57" i="6"/>
  <c r="CV57" i="6" s="1"/>
  <c r="BI58" i="6"/>
  <c r="E60" i="6"/>
  <c r="CV60" i="6" s="1"/>
  <c r="BI61" i="6"/>
  <c r="E63" i="6"/>
  <c r="CV63" i="6" s="1"/>
  <c r="BI64" i="6"/>
  <c r="CJ47" i="6"/>
  <c r="DS47" i="6" s="1"/>
  <c r="DG47" i="6"/>
  <c r="CJ50" i="6"/>
  <c r="DS50" i="6" s="1"/>
  <c r="DG50" i="6"/>
  <c r="CJ53" i="6"/>
  <c r="DS53" i="6" s="1"/>
  <c r="DG53" i="6"/>
  <c r="CJ56" i="6"/>
  <c r="DS56" i="6" s="1"/>
  <c r="DG56" i="6"/>
  <c r="CJ59" i="6"/>
  <c r="DS59" i="6" s="1"/>
  <c r="DG59" i="6"/>
  <c r="CJ62" i="6"/>
  <c r="DS62" i="6" s="1"/>
  <c r="DG62" i="6"/>
  <c r="CW46" i="6"/>
  <c r="DQ46" i="6"/>
  <c r="CM47" i="6"/>
  <c r="DI47" i="6"/>
  <c r="CW49" i="6"/>
  <c r="DQ49" i="6"/>
  <c r="CM50" i="6"/>
  <c r="DI50" i="6"/>
  <c r="CW52" i="6"/>
  <c r="CM53" i="6"/>
  <c r="DI53" i="6"/>
  <c r="CW55" i="6"/>
  <c r="DQ55" i="6"/>
  <c r="CM56" i="6"/>
  <c r="DI56" i="6"/>
  <c r="CW58" i="6"/>
  <c r="DQ58" i="6"/>
  <c r="CM59" i="6"/>
  <c r="DI59" i="6"/>
  <c r="CW61" i="6"/>
  <c r="DQ61" i="6"/>
  <c r="CM62" i="6"/>
  <c r="DI62" i="6"/>
  <c r="CW64" i="6"/>
  <c r="DQ64" i="6"/>
  <c r="E46" i="6"/>
  <c r="CV46" i="6" s="1"/>
  <c r="E49" i="6"/>
  <c r="CV49" i="6" s="1"/>
  <c r="E55" i="6"/>
  <c r="CV55" i="6" s="1"/>
  <c r="E58" i="6"/>
  <c r="CV58" i="6" s="1"/>
  <c r="E61" i="6"/>
  <c r="CV61" i="6" s="1"/>
  <c r="E64" i="6"/>
  <c r="CV64" i="6" s="1"/>
  <c r="CJ45" i="6"/>
  <c r="DS45" i="6" s="1"/>
  <c r="CJ48" i="6"/>
  <c r="DS48" i="6" s="1"/>
  <c r="CJ51" i="6"/>
  <c r="DS51" i="6" s="1"/>
  <c r="CJ54" i="6"/>
  <c r="DS54" i="6" s="1"/>
  <c r="CJ57" i="6"/>
  <c r="DS57" i="6" s="1"/>
  <c r="CJ60" i="6"/>
  <c r="DS60" i="6" s="1"/>
  <c r="CJ63" i="6"/>
  <c r="DS63" i="6" s="1"/>
  <c r="BK16" i="6"/>
  <c r="BJ16" i="6"/>
  <c r="BK43" i="6"/>
  <c r="BJ43" i="6"/>
  <c r="BK7" i="6"/>
  <c r="BJ7" i="6"/>
  <c r="BJ42" i="6"/>
  <c r="BK42" i="6"/>
  <c r="BJ12" i="6"/>
  <c r="BK12" i="6"/>
  <c r="BK13" i="6"/>
  <c r="BJ13" i="6"/>
  <c r="BK10" i="6"/>
  <c r="BJ10" i="6"/>
  <c r="BJ15" i="6"/>
  <c r="BK15" i="6"/>
  <c r="BJ9" i="6"/>
  <c r="BK9" i="6"/>
  <c r="DI7" i="6"/>
  <c r="DI10" i="6"/>
  <c r="N7" i="6"/>
  <c r="DJ7" i="6"/>
  <c r="E9" i="6"/>
  <c r="CV9" i="6" s="1"/>
  <c r="N10" i="6"/>
  <c r="DJ10" i="6"/>
  <c r="E12" i="6"/>
  <c r="CV12" i="6" s="1"/>
  <c r="N13" i="6"/>
  <c r="DJ13" i="6"/>
  <c r="E15" i="6"/>
  <c r="CV15" i="6" s="1"/>
  <c r="N16" i="6"/>
  <c r="DJ16" i="6"/>
  <c r="E42" i="6"/>
  <c r="CV42" i="6" s="1"/>
  <c r="N43" i="6"/>
  <c r="DJ43" i="6"/>
  <c r="DI43" i="6"/>
  <c r="CJ8" i="6"/>
  <c r="DS8" i="6" s="1"/>
  <c r="DG8" i="6"/>
  <c r="CZ9" i="6"/>
  <c r="CJ11" i="6"/>
  <c r="DS11" i="6" s="1"/>
  <c r="DG11" i="6"/>
  <c r="CZ12" i="6"/>
  <c r="CJ14" i="6"/>
  <c r="DS14" i="6" s="1"/>
  <c r="DG14" i="6"/>
  <c r="CZ15" i="6"/>
  <c r="CJ41" i="6"/>
  <c r="DS41" i="6" s="1"/>
  <c r="DG41" i="6"/>
  <c r="CZ42" i="6"/>
  <c r="CJ44" i="6"/>
  <c r="DS44" i="6" s="1"/>
  <c r="DG44" i="6"/>
  <c r="DI13" i="6"/>
  <c r="DI16" i="6"/>
  <c r="L44" i="6"/>
  <c r="CW13" i="6"/>
  <c r="DQ13" i="6"/>
  <c r="CW16" i="6"/>
  <c r="DQ16" i="6"/>
  <c r="CW43" i="6"/>
  <c r="DQ43" i="6"/>
  <c r="E7" i="6"/>
  <c r="CV7" i="6" s="1"/>
  <c r="BI8" i="6"/>
  <c r="E10" i="6"/>
  <c r="CV10" i="6" s="1"/>
  <c r="BI11" i="6"/>
  <c r="E13" i="6"/>
  <c r="CV13" i="6" s="1"/>
  <c r="BI14" i="6"/>
  <c r="E16" i="6"/>
  <c r="CV16" i="6" s="1"/>
  <c r="BI41" i="6"/>
  <c r="E43" i="6"/>
  <c r="CV43" i="6" s="1"/>
  <c r="BI44" i="6"/>
  <c r="BA7" i="6"/>
  <c r="BA10" i="6"/>
  <c r="BA13" i="6"/>
  <c r="BA16" i="6"/>
  <c r="BS16" i="6"/>
  <c r="BA43" i="6"/>
  <c r="BS43" i="6"/>
  <c r="E8" i="6"/>
  <c r="CV8" i="6" s="1"/>
  <c r="E11" i="6"/>
  <c r="CV11" i="6" s="1"/>
  <c r="E14" i="6"/>
  <c r="CV14" i="6" s="1"/>
  <c r="E41" i="6"/>
  <c r="CV41" i="6" s="1"/>
  <c r="E44" i="6"/>
  <c r="CV44" i="6" s="1"/>
  <c r="CJ7" i="6"/>
  <c r="DS7" i="6" s="1"/>
  <c r="CJ10" i="6"/>
  <c r="DS10" i="6" s="1"/>
  <c r="CJ13" i="6"/>
  <c r="DS13" i="6" s="1"/>
  <c r="CJ16" i="6"/>
  <c r="DS16" i="6" s="1"/>
  <c r="CJ43" i="6"/>
  <c r="DS43" i="6" s="1"/>
  <c r="CK46" i="6" l="1"/>
  <c r="CO46" i="6" s="1"/>
  <c r="DS46" i="6"/>
  <c r="CK9" i="6"/>
  <c r="CO9" i="6" s="1"/>
  <c r="DS9" i="6"/>
  <c r="CK15" i="6"/>
  <c r="CO15" i="6" s="1"/>
  <c r="DS15" i="6"/>
  <c r="CK42" i="6"/>
  <c r="CO42" i="6" s="1"/>
  <c r="CK12" i="6"/>
  <c r="CO12" i="6" s="1"/>
  <c r="CK55" i="6"/>
  <c r="CO55" i="6" s="1"/>
  <c r="CK49" i="6"/>
  <c r="CO49" i="6" s="1"/>
  <c r="CK61" i="6"/>
  <c r="CO61" i="6" s="1"/>
  <c r="CK64" i="6"/>
  <c r="CO64" i="6" s="1"/>
  <c r="CK58" i="6"/>
  <c r="CO58" i="6" s="1"/>
  <c r="CK52" i="6"/>
  <c r="CO52" i="6" s="1"/>
  <c r="CK60" i="6"/>
  <c r="CO60" i="6" s="1"/>
  <c r="BK60" i="6"/>
  <c r="BJ60" i="6"/>
  <c r="BK55" i="6"/>
  <c r="BJ55" i="6"/>
  <c r="BK48" i="6"/>
  <c r="BJ48" i="6"/>
  <c r="CK59" i="6"/>
  <c r="CO59" i="6" s="1"/>
  <c r="CK47" i="6"/>
  <c r="CG47" i="6" s="1"/>
  <c r="CK57" i="6"/>
  <c r="CG57" i="6" s="1"/>
  <c r="BK57" i="6"/>
  <c r="BJ57" i="6"/>
  <c r="CK63" i="6"/>
  <c r="CO63" i="6" s="1"/>
  <c r="CK54" i="6"/>
  <c r="CG54" i="6" s="1"/>
  <c r="CK45" i="6"/>
  <c r="CO45" i="6" s="1"/>
  <c r="BK64" i="6"/>
  <c r="BJ64" i="6"/>
  <c r="BK52" i="6"/>
  <c r="BJ52" i="6"/>
  <c r="BK63" i="6"/>
  <c r="BJ63" i="6"/>
  <c r="CK56" i="6"/>
  <c r="CO56" i="6" s="1"/>
  <c r="BK54" i="6"/>
  <c r="BJ54" i="6"/>
  <c r="BK45" i="6"/>
  <c r="BJ45" i="6"/>
  <c r="CK53" i="6"/>
  <c r="CG53" i="6" s="1"/>
  <c r="BK61" i="6"/>
  <c r="BJ61" i="6"/>
  <c r="BK46" i="6"/>
  <c r="BJ46" i="6"/>
  <c r="BK49" i="6"/>
  <c r="BJ49" i="6"/>
  <c r="BK51" i="6"/>
  <c r="BJ51" i="6"/>
  <c r="BK58" i="6"/>
  <c r="BJ58" i="6"/>
  <c r="CK51" i="6"/>
  <c r="CO51" i="6" s="1"/>
  <c r="CK62" i="6"/>
  <c r="CO62" i="6" s="1"/>
  <c r="CK50" i="6"/>
  <c r="CO50" i="6" s="1"/>
  <c r="CK48" i="6"/>
  <c r="CO48" i="6" s="1"/>
  <c r="CK13" i="6"/>
  <c r="CO13" i="6" s="1"/>
  <c r="BK14" i="6"/>
  <c r="BJ14" i="6"/>
  <c r="CK14" i="6"/>
  <c r="CO14" i="6" s="1"/>
  <c r="CK44" i="6"/>
  <c r="CO44" i="6" s="1"/>
  <c r="CK16" i="6"/>
  <c r="CO16" i="6" s="1"/>
  <c r="BK8" i="6"/>
  <c r="BJ8" i="6"/>
  <c r="CK10" i="6"/>
  <c r="CG10" i="6" s="1"/>
  <c r="CK7" i="6"/>
  <c r="CO7" i="6" s="1"/>
  <c r="BK11" i="6"/>
  <c r="BJ11" i="6"/>
  <c r="CK11" i="6"/>
  <c r="CO11" i="6" s="1"/>
  <c r="CK8" i="6"/>
  <c r="CO8" i="6" s="1"/>
  <c r="BK44" i="6"/>
  <c r="BJ44" i="6"/>
  <c r="CK43" i="6"/>
  <c r="CO43" i="6" s="1"/>
  <c r="BK41" i="6"/>
  <c r="BJ41" i="6"/>
  <c r="CK41" i="6"/>
  <c r="CO41" i="6" s="1"/>
  <c r="CG46" i="6" l="1"/>
  <c r="CG9" i="6"/>
  <c r="CG15" i="6"/>
  <c r="CG42" i="6"/>
  <c r="CG12" i="6"/>
  <c r="CG64" i="6"/>
  <c r="CG45" i="6"/>
  <c r="CG61" i="6"/>
  <c r="CG8" i="6"/>
  <c r="CG58" i="6"/>
  <c r="CG55" i="6"/>
  <c r="CG51" i="6"/>
  <c r="CG50" i="6"/>
  <c r="CG44" i="6"/>
  <c r="CG13" i="6"/>
  <c r="CG59" i="6"/>
  <c r="CG62" i="6"/>
  <c r="CG16" i="6"/>
  <c r="CG48" i="6"/>
  <c r="CG43" i="6"/>
  <c r="CG7" i="6"/>
  <c r="CG11" i="6"/>
  <c r="CG63" i="6"/>
  <c r="CG60" i="6"/>
  <c r="CG52" i="6"/>
  <c r="CG41" i="6"/>
  <c r="CG56" i="6"/>
  <c r="CG49" i="6"/>
  <c r="CG14" i="6"/>
  <c r="CO10" i="6"/>
  <c r="CO57" i="6"/>
  <c r="CO54" i="6"/>
  <c r="CO47" i="6"/>
  <c r="CO53" i="6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1" i="13"/>
  <c r="D32" i="13"/>
  <c r="D33" i="13"/>
  <c r="D34" i="13"/>
  <c r="D35" i="13"/>
  <c r="D36" i="13"/>
  <c r="D37" i="13"/>
  <c r="D38" i="13"/>
  <c r="D39" i="13"/>
  <c r="D40" i="13"/>
  <c r="D41" i="13"/>
  <c r="D42" i="13"/>
  <c r="D43" i="13"/>
  <c r="D44" i="13"/>
  <c r="D45" i="13"/>
  <c r="D46" i="13"/>
  <c r="D47" i="13"/>
  <c r="D48" i="13"/>
  <c r="D49" i="13"/>
  <c r="D50" i="13"/>
  <c r="D51" i="13"/>
  <c r="D52" i="13"/>
  <c r="D53" i="13"/>
  <c r="D54" i="13"/>
  <c r="D5" i="13"/>
  <c r="M6" i="8"/>
  <c r="M7" i="8"/>
  <c r="M8" i="8"/>
  <c r="M9" i="8"/>
  <c r="M10" i="8"/>
  <c r="M11" i="8"/>
  <c r="M12" i="8"/>
  <c r="M13" i="8"/>
  <c r="M14" i="8"/>
  <c r="M15" i="8"/>
  <c r="M16" i="8"/>
  <c r="M17" i="8"/>
  <c r="M18" i="8"/>
  <c r="M19" i="8"/>
  <c r="M20" i="8"/>
  <c r="M21" i="8"/>
  <c r="M22" i="8"/>
  <c r="M23" i="8"/>
  <c r="M24" i="8"/>
  <c r="M25" i="8"/>
  <c r="M26" i="8"/>
  <c r="M27" i="8"/>
  <c r="M28" i="8"/>
  <c r="M29" i="8"/>
  <c r="M30" i="8"/>
  <c r="M31" i="8"/>
  <c r="M32" i="8"/>
  <c r="M33" i="8"/>
  <c r="M34" i="8"/>
  <c r="M35" i="8"/>
  <c r="M36" i="8"/>
  <c r="M37" i="8"/>
  <c r="M38" i="8"/>
  <c r="M39" i="8"/>
  <c r="M40" i="8"/>
  <c r="M41" i="8"/>
  <c r="M42" i="8"/>
  <c r="M43" i="8"/>
  <c r="M44" i="8"/>
  <c r="M45" i="8"/>
  <c r="M46" i="8"/>
  <c r="M47" i="8"/>
  <c r="M48" i="8"/>
  <c r="M49" i="8"/>
  <c r="M50" i="8"/>
  <c r="M51" i="8"/>
  <c r="M52" i="8"/>
  <c r="M53" i="8"/>
  <c r="M54" i="8"/>
  <c r="M5" i="8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C54" i="13"/>
  <c r="E54" i="13"/>
  <c r="A54" i="13"/>
  <c r="E53" i="13"/>
  <c r="A53" i="13"/>
  <c r="E52" i="13"/>
  <c r="A52" i="13"/>
  <c r="E51" i="13"/>
  <c r="A51" i="13"/>
  <c r="E50" i="13"/>
  <c r="A50" i="13"/>
  <c r="E49" i="13"/>
  <c r="A49" i="13"/>
  <c r="E48" i="13"/>
  <c r="A48" i="13"/>
  <c r="E47" i="13"/>
  <c r="A47" i="13"/>
  <c r="E46" i="13"/>
  <c r="A46" i="13"/>
  <c r="E45" i="13"/>
  <c r="A45" i="13"/>
  <c r="E44" i="13"/>
  <c r="A44" i="13"/>
  <c r="E43" i="13"/>
  <c r="A43" i="13"/>
  <c r="E42" i="13"/>
  <c r="A42" i="13"/>
  <c r="E41" i="13"/>
  <c r="A41" i="13"/>
  <c r="E40" i="13"/>
  <c r="A40" i="13"/>
  <c r="E39" i="13"/>
  <c r="A39" i="13"/>
  <c r="E38" i="13"/>
  <c r="A38" i="13"/>
  <c r="E37" i="13"/>
  <c r="A37" i="13"/>
  <c r="E36" i="13"/>
  <c r="A36" i="13"/>
  <c r="E35" i="13"/>
  <c r="A35" i="13"/>
  <c r="E34" i="13"/>
  <c r="A34" i="13"/>
  <c r="E33" i="13"/>
  <c r="A33" i="13"/>
  <c r="E32" i="13"/>
  <c r="A32" i="13"/>
  <c r="E31" i="13"/>
  <c r="A31" i="13"/>
  <c r="E30" i="13"/>
  <c r="A30" i="13"/>
  <c r="E29" i="13"/>
  <c r="A29" i="13"/>
  <c r="E28" i="13"/>
  <c r="A28" i="13"/>
  <c r="E27" i="13"/>
  <c r="A27" i="13"/>
  <c r="E26" i="13"/>
  <c r="A26" i="13"/>
  <c r="E25" i="13"/>
  <c r="A25" i="13"/>
  <c r="E24" i="13"/>
  <c r="A24" i="13"/>
  <c r="E23" i="13"/>
  <c r="A23" i="13"/>
  <c r="E22" i="13"/>
  <c r="A22" i="13"/>
  <c r="E21" i="13"/>
  <c r="A21" i="13"/>
  <c r="E20" i="13"/>
  <c r="A20" i="13"/>
  <c r="E19" i="13"/>
  <c r="A19" i="13"/>
  <c r="E18" i="13"/>
  <c r="A18" i="13"/>
  <c r="E17" i="13"/>
  <c r="A17" i="13"/>
  <c r="E16" i="13"/>
  <c r="A16" i="13"/>
  <c r="E15" i="13"/>
  <c r="A15" i="13"/>
  <c r="E14" i="13"/>
  <c r="A14" i="13"/>
  <c r="E13" i="13"/>
  <c r="A13" i="13"/>
  <c r="E12" i="13"/>
  <c r="A12" i="13"/>
  <c r="E11" i="13"/>
  <c r="A11" i="13"/>
  <c r="E10" i="13"/>
  <c r="A10" i="13"/>
  <c r="E9" i="13"/>
  <c r="A9" i="13"/>
  <c r="E8" i="13"/>
  <c r="A8" i="13"/>
  <c r="E7" i="13"/>
  <c r="A7" i="13"/>
  <c r="E6" i="13"/>
  <c r="A6" i="13"/>
  <c r="E5" i="13"/>
  <c r="A5" i="13"/>
  <c r="C7" i="11" l="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J5" i="6" l="1"/>
  <c r="C5" i="13" l="1"/>
  <c r="C5" i="11"/>
  <c r="D5" i="12"/>
  <c r="D54" i="12"/>
  <c r="C54" i="12"/>
  <c r="A54" i="12"/>
  <c r="D53" i="12"/>
  <c r="C53" i="12"/>
  <c r="A53" i="12"/>
  <c r="D52" i="12"/>
  <c r="C52" i="12"/>
  <c r="A52" i="12"/>
  <c r="D51" i="12"/>
  <c r="C51" i="12"/>
  <c r="A51" i="12"/>
  <c r="D50" i="12"/>
  <c r="C50" i="12"/>
  <c r="A50" i="12"/>
  <c r="D49" i="12"/>
  <c r="C49" i="12"/>
  <c r="A49" i="12"/>
  <c r="D48" i="12"/>
  <c r="C48" i="12"/>
  <c r="A48" i="12"/>
  <c r="D47" i="12"/>
  <c r="C47" i="12"/>
  <c r="A47" i="12"/>
  <c r="D46" i="12"/>
  <c r="C46" i="12"/>
  <c r="A46" i="12"/>
  <c r="D45" i="12"/>
  <c r="C45" i="12"/>
  <c r="A45" i="12"/>
  <c r="D44" i="12"/>
  <c r="C44" i="12"/>
  <c r="A44" i="12"/>
  <c r="D43" i="12"/>
  <c r="C43" i="12"/>
  <c r="A43" i="12"/>
  <c r="D42" i="12"/>
  <c r="C42" i="12"/>
  <c r="A42" i="12"/>
  <c r="D41" i="12"/>
  <c r="C41" i="12"/>
  <c r="A41" i="12"/>
  <c r="D40" i="12"/>
  <c r="C40" i="12"/>
  <c r="A40" i="12"/>
  <c r="D39" i="12"/>
  <c r="C39" i="12"/>
  <c r="A39" i="12"/>
  <c r="D38" i="12"/>
  <c r="C38" i="12"/>
  <c r="A38" i="12"/>
  <c r="D37" i="12"/>
  <c r="C37" i="12"/>
  <c r="A37" i="12"/>
  <c r="D36" i="12"/>
  <c r="C36" i="12"/>
  <c r="A36" i="12"/>
  <c r="D35" i="12"/>
  <c r="C35" i="12"/>
  <c r="A35" i="12"/>
  <c r="D34" i="12"/>
  <c r="C34" i="12"/>
  <c r="A34" i="12"/>
  <c r="D33" i="12"/>
  <c r="C33" i="12"/>
  <c r="A33" i="12"/>
  <c r="D32" i="12"/>
  <c r="C32" i="12"/>
  <c r="A32" i="12"/>
  <c r="D31" i="12"/>
  <c r="C31" i="12"/>
  <c r="A31" i="12"/>
  <c r="D30" i="12"/>
  <c r="C30" i="12"/>
  <c r="A30" i="12"/>
  <c r="D29" i="12"/>
  <c r="C29" i="12"/>
  <c r="A29" i="12"/>
  <c r="D28" i="12"/>
  <c r="C28" i="12"/>
  <c r="A28" i="12"/>
  <c r="D27" i="12"/>
  <c r="C27" i="12"/>
  <c r="A27" i="12"/>
  <c r="D26" i="12"/>
  <c r="C26" i="12"/>
  <c r="A26" i="12"/>
  <c r="D25" i="12"/>
  <c r="C25" i="12"/>
  <c r="A25" i="12"/>
  <c r="D24" i="12"/>
  <c r="C24" i="12"/>
  <c r="A24" i="12"/>
  <c r="D23" i="12"/>
  <c r="C23" i="12"/>
  <c r="A23" i="12"/>
  <c r="D22" i="12"/>
  <c r="C22" i="12"/>
  <c r="A22" i="12"/>
  <c r="D21" i="12"/>
  <c r="C21" i="12"/>
  <c r="A21" i="12"/>
  <c r="D20" i="12"/>
  <c r="C20" i="12"/>
  <c r="A20" i="12"/>
  <c r="D19" i="12"/>
  <c r="C19" i="12"/>
  <c r="A19" i="12"/>
  <c r="D18" i="12"/>
  <c r="C18" i="12"/>
  <c r="A18" i="12"/>
  <c r="D17" i="12"/>
  <c r="C17" i="12"/>
  <c r="A17" i="12"/>
  <c r="D16" i="12"/>
  <c r="C16" i="12"/>
  <c r="A16" i="12"/>
  <c r="D15" i="12"/>
  <c r="C15" i="12"/>
  <c r="A15" i="12"/>
  <c r="D14" i="12"/>
  <c r="C14" i="12"/>
  <c r="A14" i="12"/>
  <c r="D13" i="12"/>
  <c r="C13" i="12"/>
  <c r="A13" i="12"/>
  <c r="D12" i="12"/>
  <c r="C12" i="12"/>
  <c r="A12" i="12"/>
  <c r="D11" i="12"/>
  <c r="C11" i="12"/>
  <c r="A11" i="12"/>
  <c r="D10" i="12"/>
  <c r="C10" i="12"/>
  <c r="A10" i="12"/>
  <c r="D9" i="12"/>
  <c r="C9" i="12"/>
  <c r="A9" i="12"/>
  <c r="D8" i="12"/>
  <c r="C8" i="12"/>
  <c r="A8" i="12"/>
  <c r="D7" i="12"/>
  <c r="C7" i="12"/>
  <c r="A7" i="12"/>
  <c r="C6" i="12"/>
  <c r="A6" i="12"/>
  <c r="C5" i="12"/>
  <c r="A5" i="12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K15" i="12" l="1"/>
  <c r="G15" i="12"/>
  <c r="I15" i="12" s="1"/>
  <c r="J15" i="12" s="1"/>
  <c r="K35" i="12"/>
  <c r="G35" i="12"/>
  <c r="I35" i="12" s="1"/>
  <c r="J35" i="12" s="1"/>
  <c r="G39" i="12"/>
  <c r="I39" i="12" s="1"/>
  <c r="J39" i="12" s="1"/>
  <c r="K39" i="12"/>
  <c r="K43" i="12"/>
  <c r="G43" i="12"/>
  <c r="I43" i="12" s="1"/>
  <c r="J43" i="12" s="1"/>
  <c r="K47" i="12"/>
  <c r="G47" i="12"/>
  <c r="I47" i="12" s="1"/>
  <c r="J47" i="12" s="1"/>
  <c r="K51" i="12"/>
  <c r="G51" i="12"/>
  <c r="I51" i="12" s="1"/>
  <c r="J51" i="12" s="1"/>
  <c r="K11" i="12"/>
  <c r="G11" i="12"/>
  <c r="I11" i="12" s="1"/>
  <c r="J11" i="12" s="1"/>
  <c r="K27" i="12"/>
  <c r="G27" i="12"/>
  <c r="I27" i="12" s="1"/>
  <c r="J27" i="12" s="1"/>
  <c r="G16" i="12"/>
  <c r="I16" i="12" s="1"/>
  <c r="J16" i="12" s="1"/>
  <c r="K16" i="12"/>
  <c r="K20" i="12"/>
  <c r="G20" i="12"/>
  <c r="I20" i="12" s="1"/>
  <c r="J20" i="12" s="1"/>
  <c r="K32" i="12"/>
  <c r="G32" i="12"/>
  <c r="I32" i="12" s="1"/>
  <c r="J32" i="12" s="1"/>
  <c r="G36" i="12"/>
  <c r="I36" i="12" s="1"/>
  <c r="J36" i="12" s="1"/>
  <c r="K36" i="12"/>
  <c r="G40" i="12"/>
  <c r="I40" i="12" s="1"/>
  <c r="J40" i="12" s="1"/>
  <c r="K40" i="12"/>
  <c r="K44" i="12"/>
  <c r="G44" i="12"/>
  <c r="I44" i="12" s="1"/>
  <c r="J44" i="12" s="1"/>
  <c r="K48" i="12"/>
  <c r="G48" i="12"/>
  <c r="I48" i="12" s="1"/>
  <c r="J48" i="12" s="1"/>
  <c r="G52" i="12"/>
  <c r="I52" i="12" s="1"/>
  <c r="J52" i="12" s="1"/>
  <c r="K52" i="12"/>
  <c r="K7" i="12"/>
  <c r="G7" i="12"/>
  <c r="I7" i="12" s="1"/>
  <c r="J7" i="12" s="1"/>
  <c r="K24" i="12"/>
  <c r="G24" i="12"/>
  <c r="I24" i="12" s="1"/>
  <c r="J24" i="12" s="1"/>
  <c r="K23" i="12"/>
  <c r="G23" i="12"/>
  <c r="I23" i="12" s="1"/>
  <c r="J23" i="12" s="1"/>
  <c r="K12" i="12"/>
  <c r="G12" i="12"/>
  <c r="I12" i="12" s="1"/>
  <c r="J12" i="12" s="1"/>
  <c r="G28" i="12"/>
  <c r="I28" i="12" s="1"/>
  <c r="J28" i="12" s="1"/>
  <c r="K28" i="12"/>
  <c r="K19" i="12"/>
  <c r="G19" i="12"/>
  <c r="I19" i="12" s="1"/>
  <c r="J19" i="12" s="1"/>
  <c r="G13" i="12"/>
  <c r="I13" i="12" s="1"/>
  <c r="J13" i="12" s="1"/>
  <c r="K13" i="12"/>
  <c r="G25" i="12"/>
  <c r="I25" i="12" s="1"/>
  <c r="J25" i="12" s="1"/>
  <c r="K25" i="12"/>
  <c r="G29" i="12"/>
  <c r="I29" i="12" s="1"/>
  <c r="J29" i="12" s="1"/>
  <c r="K29" i="12"/>
  <c r="K33" i="12"/>
  <c r="G33" i="12"/>
  <c r="I33" i="12" s="1"/>
  <c r="J33" i="12" s="1"/>
  <c r="K37" i="12"/>
  <c r="G37" i="12"/>
  <c r="I37" i="12" s="1"/>
  <c r="J37" i="12" s="1"/>
  <c r="G41" i="12"/>
  <c r="I41" i="12" s="1"/>
  <c r="J41" i="12" s="1"/>
  <c r="K41" i="12"/>
  <c r="K45" i="12"/>
  <c r="G45" i="12"/>
  <c r="I45" i="12" s="1"/>
  <c r="J45" i="12" s="1"/>
  <c r="K49" i="12"/>
  <c r="G49" i="12"/>
  <c r="I49" i="12" s="1"/>
  <c r="J49" i="12" s="1"/>
  <c r="G53" i="12"/>
  <c r="I53" i="12" s="1"/>
  <c r="J53" i="12" s="1"/>
  <c r="K53" i="12"/>
  <c r="K21" i="12"/>
  <c r="G21" i="12"/>
  <c r="I21" i="12" s="1"/>
  <c r="J21" i="12" s="1"/>
  <c r="G17" i="12"/>
  <c r="I17" i="12" s="1"/>
  <c r="J17" i="12" s="1"/>
  <c r="K17" i="12"/>
  <c r="K5" i="12"/>
  <c r="G5" i="12"/>
  <c r="I2" i="12" s="1"/>
  <c r="K10" i="12"/>
  <c r="G10" i="12"/>
  <c r="I10" i="12" s="1"/>
  <c r="J10" i="12" s="1"/>
  <c r="G14" i="12"/>
  <c r="I14" i="12" s="1"/>
  <c r="J14" i="12" s="1"/>
  <c r="K14" i="12"/>
  <c r="K18" i="12"/>
  <c r="G18" i="12"/>
  <c r="I18" i="12" s="1"/>
  <c r="J18" i="12" s="1"/>
  <c r="K22" i="12"/>
  <c r="G22" i="12"/>
  <c r="I22" i="12" s="1"/>
  <c r="J22" i="12" s="1"/>
  <c r="K26" i="12"/>
  <c r="G26" i="12"/>
  <c r="I26" i="12" s="1"/>
  <c r="J26" i="12" s="1"/>
  <c r="K30" i="12"/>
  <c r="G30" i="12"/>
  <c r="I30" i="12" s="1"/>
  <c r="J30" i="12" s="1"/>
  <c r="K34" i="12"/>
  <c r="G34" i="12"/>
  <c r="I34" i="12" s="1"/>
  <c r="J34" i="12" s="1"/>
  <c r="K38" i="12"/>
  <c r="G38" i="12"/>
  <c r="I38" i="12" s="1"/>
  <c r="J38" i="12" s="1"/>
  <c r="K42" i="12"/>
  <c r="G42" i="12"/>
  <c r="I42" i="12" s="1"/>
  <c r="J42" i="12" s="1"/>
  <c r="K46" i="12"/>
  <c r="G46" i="12"/>
  <c r="I46" i="12" s="1"/>
  <c r="J46" i="12" s="1"/>
  <c r="G50" i="12"/>
  <c r="I50" i="12" s="1"/>
  <c r="J50" i="12" s="1"/>
  <c r="K50" i="12"/>
  <c r="K54" i="12"/>
  <c r="G54" i="12"/>
  <c r="I54" i="12" s="1"/>
  <c r="J54" i="12" s="1"/>
  <c r="K9" i="12"/>
  <c r="G9" i="12"/>
  <c r="I9" i="12" s="1"/>
  <c r="J9" i="12" s="1"/>
  <c r="K31" i="12"/>
  <c r="G31" i="12"/>
  <c r="I31" i="12" s="1"/>
  <c r="J31" i="12" s="1"/>
  <c r="K8" i="12"/>
  <c r="G8" i="12"/>
  <c r="I8" i="12" s="1"/>
  <c r="J8" i="12" s="1"/>
  <c r="K6" i="12"/>
  <c r="G6" i="12"/>
  <c r="I6" i="12" s="1"/>
  <c r="J6" i="12" s="1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F44" i="8"/>
  <c r="F45" i="8"/>
  <c r="F46" i="8"/>
  <c r="F47" i="8"/>
  <c r="F48" i="8"/>
  <c r="F49" i="8"/>
  <c r="F50" i="8"/>
  <c r="F51" i="8"/>
  <c r="F52" i="8"/>
  <c r="F53" i="8"/>
  <c r="F54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H6" i="6"/>
  <c r="H5" i="6"/>
  <c r="DB6" i="6"/>
  <c r="DB5" i="6"/>
  <c r="DA6" i="6"/>
  <c r="DA5" i="6"/>
  <c r="DE6" i="6"/>
  <c r="DE5" i="6"/>
  <c r="BP6" i="6"/>
  <c r="BP5" i="6"/>
  <c r="BL5" i="6"/>
  <c r="AZ6" i="6"/>
  <c r="AZ5" i="6"/>
  <c r="AU6" i="6"/>
  <c r="BV6" i="6" s="1"/>
  <c r="AU5" i="6"/>
  <c r="BV5" i="6" s="1"/>
  <c r="G6" i="6"/>
  <c r="BI6" i="6" s="1"/>
  <c r="J6" i="6"/>
  <c r="K6" i="6"/>
  <c r="M6" i="6"/>
  <c r="M5" i="6"/>
  <c r="K5" i="6"/>
  <c r="F5" i="6"/>
  <c r="C6" i="13" l="1"/>
  <c r="C6" i="11"/>
  <c r="BG5" i="6"/>
  <c r="BE5" i="6"/>
  <c r="BG6" i="6"/>
  <c r="BE6" i="6"/>
  <c r="J37" i="8"/>
  <c r="I37" i="8"/>
  <c r="I48" i="8"/>
  <c r="J48" i="8"/>
  <c r="J36" i="8"/>
  <c r="I36" i="8"/>
  <c r="J24" i="8"/>
  <c r="I24" i="8"/>
  <c r="I12" i="8"/>
  <c r="J12" i="8"/>
  <c r="J49" i="8"/>
  <c r="I49" i="8"/>
  <c r="I46" i="8"/>
  <c r="J46" i="8"/>
  <c r="J34" i="8"/>
  <c r="I34" i="8"/>
  <c r="J22" i="8"/>
  <c r="I22" i="8"/>
  <c r="I10" i="8"/>
  <c r="J10" i="8"/>
  <c r="J35" i="8"/>
  <c r="I35" i="8"/>
  <c r="J11" i="8"/>
  <c r="I11" i="8"/>
  <c r="I45" i="8"/>
  <c r="J45" i="8"/>
  <c r="J21" i="8"/>
  <c r="I21" i="8"/>
  <c r="I9" i="8"/>
  <c r="J9" i="8"/>
  <c r="J23" i="8"/>
  <c r="I23" i="8"/>
  <c r="J33" i="8"/>
  <c r="I33" i="8"/>
  <c r="J44" i="8"/>
  <c r="I44" i="8"/>
  <c r="J32" i="8"/>
  <c r="I32" i="8"/>
  <c r="J20" i="8"/>
  <c r="I20" i="8"/>
  <c r="J8" i="8"/>
  <c r="I8" i="8"/>
  <c r="J47" i="8"/>
  <c r="I47" i="8"/>
  <c r="J43" i="8"/>
  <c r="I43" i="8"/>
  <c r="J31" i="8"/>
  <c r="I31" i="8"/>
  <c r="J19" i="8"/>
  <c r="I19" i="8"/>
  <c r="J7" i="8"/>
  <c r="I7" i="8"/>
  <c r="J54" i="8"/>
  <c r="I54" i="8"/>
  <c r="J42" i="8"/>
  <c r="I42" i="8"/>
  <c r="I30" i="8"/>
  <c r="J30" i="8"/>
  <c r="J18" i="8"/>
  <c r="I18" i="8"/>
  <c r="I13" i="8"/>
  <c r="J13" i="8"/>
  <c r="J53" i="8"/>
  <c r="I53" i="8"/>
  <c r="J41" i="8"/>
  <c r="I41" i="8"/>
  <c r="J17" i="8"/>
  <c r="I17" i="8"/>
  <c r="J29" i="8"/>
  <c r="I29" i="8"/>
  <c r="J52" i="8"/>
  <c r="I52" i="8"/>
  <c r="J40" i="8"/>
  <c r="I40" i="8"/>
  <c r="J28" i="8"/>
  <c r="I28" i="8"/>
  <c r="J16" i="8"/>
  <c r="I16" i="8"/>
  <c r="J51" i="8"/>
  <c r="I51" i="8"/>
  <c r="J27" i="8"/>
  <c r="I27" i="8"/>
  <c r="I25" i="8"/>
  <c r="J25" i="8"/>
  <c r="J39" i="8"/>
  <c r="I39" i="8"/>
  <c r="J15" i="8"/>
  <c r="I15" i="8"/>
  <c r="J50" i="8"/>
  <c r="I50" i="8"/>
  <c r="J38" i="8"/>
  <c r="I38" i="8"/>
  <c r="J26" i="8"/>
  <c r="I26" i="8"/>
  <c r="J14" i="8"/>
  <c r="I14" i="8"/>
  <c r="I5" i="12"/>
  <c r="J5" i="12" s="1"/>
  <c r="N6" i="6"/>
  <c r="D6" i="12"/>
  <c r="E5" i="8"/>
  <c r="E6" i="8"/>
  <c r="N5" i="6"/>
  <c r="J6" i="8"/>
  <c r="I6" i="8"/>
  <c r="J5" i="8"/>
  <c r="I5" i="8"/>
  <c r="D5" i="8"/>
  <c r="D6" i="8"/>
  <c r="CJ5" i="6"/>
  <c r="DS5" i="6" s="1"/>
  <c r="CJ6" i="6"/>
  <c r="DS6" i="6" s="1"/>
  <c r="F5" i="8"/>
  <c r="F6" i="8"/>
  <c r="BJ6" i="6"/>
  <c r="BK6" i="6"/>
  <c r="L6" i="6"/>
  <c r="L5" i="6"/>
  <c r="CK5" i="6" l="1"/>
  <c r="CO5" i="6" s="1"/>
  <c r="CK6" i="6"/>
  <c r="CO6" i="6" s="1"/>
  <c r="D5" i="6"/>
  <c r="CB5" i="6"/>
  <c r="BD5" i="6"/>
  <c r="AV5" i="6"/>
  <c r="AS5" i="6"/>
  <c r="CG5" i="6" l="1"/>
  <c r="CG6" i="6"/>
  <c r="G5" i="6"/>
  <c r="BI5" i="6" s="1"/>
  <c r="BK5" i="6" l="1"/>
  <c r="BJ5" i="6"/>
  <c r="D6" i="6"/>
  <c r="A54" i="11" l="1"/>
  <c r="A53" i="11"/>
  <c r="A52" i="11"/>
  <c r="A51" i="11"/>
  <c r="A50" i="11"/>
  <c r="A49" i="11"/>
  <c r="A48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9" i="11"/>
  <c r="A8" i="11"/>
  <c r="A7" i="11"/>
  <c r="A6" i="11"/>
  <c r="A5" i="11"/>
  <c r="CU53" i="7" l="1"/>
  <c r="DT6" i="6"/>
  <c r="DP6" i="6"/>
  <c r="DO6" i="6"/>
  <c r="DJ6" i="6"/>
  <c r="DI6" i="6"/>
  <c r="DG6" i="6"/>
  <c r="CN6" i="6"/>
  <c r="CM6" i="6"/>
  <c r="BS6" i="6"/>
  <c r="BR6" i="6"/>
  <c r="BL6" i="6"/>
  <c r="BH6" i="6"/>
  <c r="AX6" i="6"/>
  <c r="CZ6" i="6"/>
  <c r="A6" i="6"/>
  <c r="BA5" i="6"/>
  <c r="CB6" i="6" l="1"/>
  <c r="BD6" i="6"/>
  <c r="AS6" i="6"/>
  <c r="AV6" i="6"/>
  <c r="F6" i="6"/>
  <c r="E6" i="6" s="1"/>
  <c r="CV6" i="6" s="1"/>
  <c r="BA6" i="6" l="1"/>
  <c r="DQ6" i="6"/>
  <c r="CW6" i="6"/>
  <c r="BF6" i="6"/>
  <c r="CX6" i="6"/>
  <c r="BF5" i="6"/>
  <c r="A15" i="8" l="1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14" i="8"/>
  <c r="A13" i="8"/>
  <c r="A12" i="8"/>
  <c r="A11" i="8"/>
  <c r="A10" i="8"/>
  <c r="A9" i="8"/>
  <c r="A8" i="8"/>
  <c r="A7" i="8"/>
  <c r="A6" i="8"/>
  <c r="A5" i="8"/>
  <c r="CZ5" i="6" l="1"/>
  <c r="DT5" i="6" l="1"/>
  <c r="DO5" i="6"/>
  <c r="DP5" i="6"/>
  <c r="DJ5" i="6"/>
  <c r="DI5" i="6"/>
  <c r="DG5" i="6"/>
  <c r="CN5" i="6" l="1"/>
  <c r="CM5" i="6"/>
  <c r="BS5" i="6"/>
  <c r="BR5" i="6"/>
  <c r="BH5" i="6" l="1"/>
  <c r="AX5" i="6" l="1"/>
  <c r="A5" i="6" l="1"/>
  <c r="DQ5" i="6" l="1"/>
  <c r="CW5" i="6" l="1"/>
  <c r="CX5" i="6"/>
  <c r="E5" i="6"/>
  <c r="CV5" i="6" s="1"/>
  <c r="BF7" i="6" l="1"/>
</calcChain>
</file>

<file path=xl/comments1.xml><?xml version="1.0" encoding="utf-8"?>
<comments xmlns="http://schemas.openxmlformats.org/spreadsheetml/2006/main">
  <authors>
    <author>Boff Arthur</author>
  </authors>
  <commentList>
    <comment ref="BM1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DESCRIÇÃO DA CODIFICAÇÃO ADOTADA:
</t>
        </r>
        <r>
          <rPr>
            <b/>
            <sz val="9"/>
            <color indexed="81"/>
            <rFont val="Segoe UI"/>
            <family val="2"/>
          </rPr>
          <t xml:space="preserve">CONV.  +  {X/Y} / {UMA/UMB} + {L1/L2}
</t>
        </r>
        <r>
          <rPr>
            <sz val="9"/>
            <color indexed="81"/>
            <rFont val="Segoe UI"/>
            <family val="2"/>
          </rPr>
          <t xml:space="preserve">CONV → DESCRIÇÃO PADRÃO
X/Y→ VALOR X OU Y DA UMA OU UMB
UMA/UMB→UNIDADE DE MEDIDA A OU UNIDADE DE MEDIDA B
L1/L2→ LINHA SAP 1 OU LINHA SAP 2
</t>
        </r>
      </text>
    </comment>
  </commentList>
</comments>
</file>

<file path=xl/comments2.xml><?xml version="1.0" encoding="utf-8"?>
<comments xmlns="http://schemas.openxmlformats.org/spreadsheetml/2006/main">
  <authors>
    <author>Boff Arthur</author>
  </authors>
  <commentList>
    <comment ref="I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TEMPO DE SETUP GERAL DA MÁQUINA</t>
        </r>
      </text>
    </comment>
    <comment ref="K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SEMPRE EM SEGUNDOS</t>
        </r>
      </text>
    </comment>
  </commentList>
</comments>
</file>

<file path=xl/connections.xml><?xml version="1.0" encoding="utf-8"?>
<connections xmlns="http://schemas.openxmlformats.org/spreadsheetml/2006/main">
  <connection id="1" keepAlive="1" name="Consulta - Estrutura P01" description="Conexão com a consulta 'Estrutura P01' na pasta de trabalho." type="5" refreshedVersion="6" saveData="1">
    <dbPr connection="Provider=Microsoft.Mashup.OleDb.1;Data Source=$Workbook$;Location=Estrutura P01;Extended Properties=&quot;&quot;" command="SELECT * FROM [Estrutura P01]"/>
  </connection>
</connections>
</file>

<file path=xl/sharedStrings.xml><?xml version="1.0" encoding="utf-8"?>
<sst xmlns="http://schemas.openxmlformats.org/spreadsheetml/2006/main" count="4295" uniqueCount="1095">
  <si>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</si>
  <si>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</si>
  <si>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</si>
  <si>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</si>
  <si>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</si>
  <si>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</si>
  <si>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</si>
  <si>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</si>
  <si>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</si>
  <si>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</si>
  <si>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</si>
  <si>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</si>
  <si>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</si>
  <si>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</si>
  <si>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</si>
  <si>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</si>
  <si>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</si>
  <si>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</si>
  <si>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</si>
  <si>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</si>
  <si>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</si>
  <si>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</si>
  <si>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</si>
  <si>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</si>
  <si>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</si>
  <si>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</si>
  <si>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</si>
  <si>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</si>
  <si>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</si>
  <si>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</si>
  <si>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</si>
  <si>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</si>
  <si>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</si>
  <si>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</si>
  <si>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</si>
  <si>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</si>
  <si>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</si>
  <si>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</si>
  <si>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</si>
  <si>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</si>
  <si>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</si>
  <si>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</si>
  <si>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</si>
  <si>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</si>
  <si>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</si>
  <si>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</si>
  <si>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</si>
  <si>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</si>
  <si>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</si>
  <si>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</si>
  <si>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</si>
  <si>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</si>
  <si>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</si>
  <si>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</si>
  <si>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</si>
  <si>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</si>
  <si>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</si>
  <si>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</si>
  <si>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</si>
  <si>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</si>
  <si>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</si>
  <si>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</si>
  <si>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</si>
  <si>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</si>
  <si>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</si>
  <si>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</si>
  <si>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</si>
  <si>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</si>
  <si>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</si>
  <si>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</si>
  <si>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</si>
  <si>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</si>
  <si>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</si>
  <si>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</si>
  <si>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</si>
  <si>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</si>
  <si>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</si>
  <si>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</si>
  <si>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</si>
  <si>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</si>
  <si>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</si>
  <si>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</si>
  <si>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</si>
  <si>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</si>
  <si>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</si>
  <si>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</si>
  <si>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</si>
  <si>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</si>
  <si>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</si>
  <si>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</si>
  <si>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</si>
  <si>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</si>
  <si>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</si>
  <si>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</si>
  <si>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</si>
  <si>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</si>
  <si>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cmbRMMG1-MBRSH</t>
  </si>
  <si>
    <t>SETOR INDUSTRIAL</t>
  </si>
  <si>
    <t>cmbRMMG1-MTART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</si>
  <si>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</si>
  <si>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</si>
  <si>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</si>
  <si>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</si>
  <si>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</si>
  <si>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</si>
  <si>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</si>
  <si>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</si>
  <si>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</si>
  <si>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</si>
  <si>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</si>
  <si>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</si>
  <si>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</si>
  <si>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</si>
  <si>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</si>
  <si>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</si>
  <si>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</si>
  <si>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</si>
  <si>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</si>
  <si>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</si>
  <si>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</si>
  <si>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</si>
  <si>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</si>
  <si>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</si>
  <si>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</si>
  <si>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</si>
  <si>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</si>
  <si>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</si>
  <si>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</si>
  <si>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</si>
  <si>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</si>
  <si>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</si>
  <si>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</si>
  <si>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</si>
  <si>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</si>
  <si>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</si>
  <si>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</si>
  <si>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</si>
  <si>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</si>
  <si>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</si>
  <si>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</si>
  <si>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</si>
  <si>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</si>
  <si>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</si>
  <si>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</si>
  <si>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</si>
  <si>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</si>
  <si>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</si>
  <si>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</si>
  <si>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</si>
  <si>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</si>
  <si>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</si>
  <si>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</si>
  <si>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</si>
  <si>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</si>
  <si>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</si>
  <si>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</si>
  <si>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ctxtRMMG1-WERKS</t>
  </si>
  <si>
    <t>ctxtRMMG1-VKORG</t>
  </si>
  <si>
    <t>ctxtRMMG1-LGORT</t>
  </si>
  <si>
    <t>ORG. DE VENDAS</t>
  </si>
  <si>
    <t>ctxtRMMG1-VTWEG</t>
  </si>
  <si>
    <t>ctxtRMMG1-LGNUM</t>
  </si>
  <si>
    <t>N° DO DEPOSITO</t>
  </si>
  <si>
    <t>txtMAKT-MAKTX</t>
  </si>
  <si>
    <t>ctxtMARA-MEINS</t>
  </si>
  <si>
    <t>UNID. MED. BÁSICA</t>
  </si>
  <si>
    <t>ctxtMARA-MATKL</t>
  </si>
  <si>
    <t>GRP DE MERCADORIA</t>
  </si>
  <si>
    <t>txtMARA-BISMT</t>
  </si>
  <si>
    <t>CÓDIGO PRD</t>
  </si>
  <si>
    <t>NIVEIS ORG.</t>
  </si>
  <si>
    <t>ctxtMARA-SPART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</si>
  <si>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</si>
  <si>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</si>
  <si>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</si>
  <si>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</si>
  <si>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</si>
  <si>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</si>
  <si>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</si>
  <si>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</si>
  <si>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</si>
  <si>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</si>
  <si>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</si>
  <si>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</si>
  <si>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ctxtMARA-PRDHA</t>
  </si>
  <si>
    <t>HIERAR. DE PROD.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</si>
  <si>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</si>
  <si>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</si>
  <si>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</si>
  <si>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</si>
  <si>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</si>
  <si>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</si>
  <si>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</si>
  <si>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</si>
  <si>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</si>
  <si>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</si>
  <si>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</si>
  <si>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</si>
  <si>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</si>
  <si>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</si>
  <si>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</si>
  <si>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</si>
  <si>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</si>
  <si>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</si>
  <si>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</si>
  <si>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</si>
  <si>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</si>
  <si>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</si>
  <si>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</si>
  <si>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</si>
  <si>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</si>
  <si>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</si>
  <si>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</si>
  <si>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</si>
  <si>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</si>
  <si>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</si>
  <si>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</si>
  <si>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</si>
  <si>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</si>
  <si>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</si>
  <si>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</si>
  <si>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</si>
  <si>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</si>
  <si>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</si>
  <si>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</si>
  <si>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</si>
  <si>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</si>
  <si>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</si>
  <si>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</si>
  <si>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</si>
  <si>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</si>
  <si>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</si>
  <si>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</si>
  <si>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</si>
  <si>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</si>
  <si>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</si>
  <si>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</si>
  <si>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</si>
  <si>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</si>
  <si>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</si>
  <si>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</si>
  <si>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</si>
  <si>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</si>
  <si>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</si>
  <si>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</si>
  <si>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</si>
  <si>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</si>
  <si>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</si>
  <si>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</si>
  <si>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</si>
  <si>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</si>
  <si>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</si>
  <si>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</si>
  <si>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</si>
  <si>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</si>
  <si>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</si>
  <si>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</si>
  <si>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</si>
  <si>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</si>
  <si>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</si>
  <si>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</si>
  <si>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</si>
  <si>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</si>
  <si>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</si>
  <si>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</si>
  <si>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</si>
  <si>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</si>
  <si>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</si>
  <si>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</si>
  <si>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</si>
  <si>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</si>
  <si>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</si>
  <si>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</si>
  <si>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</si>
  <si>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</si>
  <si>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</si>
  <si>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</si>
  <si>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</si>
  <si>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</si>
  <si>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</si>
  <si>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</si>
  <si>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</si>
  <si>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</si>
  <si>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</si>
  <si>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</si>
  <si>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</si>
  <si>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</si>
  <si>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</si>
  <si>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ctxtMARA-MSTAE</t>
  </si>
  <si>
    <t>STATUS MATERIAL</t>
  </si>
  <si>
    <t>ctxtMARA-MSTDE</t>
  </si>
  <si>
    <t>DATA DE VALIDADE DO STATUS</t>
  </si>
  <si>
    <t>STATUS DE MATERIAL</t>
  </si>
  <si>
    <t>BLOQUEADO</t>
  </si>
  <si>
    <t>txtMARA-BRGEW</t>
  </si>
  <si>
    <t>PESO LIQUIDO</t>
  </si>
  <si>
    <t>txtMARA-NTGEW</t>
  </si>
  <si>
    <t>ctxtMARA-GEWEI</t>
  </si>
  <si>
    <t>UNIDADE DE PESO</t>
  </si>
  <si>
    <t>KG</t>
  </si>
  <si>
    <t>ctxtMARA-VOLEH</t>
  </si>
  <si>
    <t>UNIDADE DE VOLUME</t>
  </si>
  <si>
    <t>txtMARA-GROES</t>
  </si>
  <si>
    <t>TAMANHO/DIMENSÃO</t>
  </si>
  <si>
    <t>txtSMEINH-UMREN[0,1]</t>
  </si>
  <si>
    <t>txtSMEINH-UMREN[0,2]</t>
  </si>
  <si>
    <t>ctxtSMEINH-MEINH[1,1]</t>
  </si>
  <si>
    <t>CONV. X L1</t>
  </si>
  <si>
    <t>CONV. X L2</t>
  </si>
  <si>
    <t>CONV. UMA L1</t>
  </si>
  <si>
    <t>ctxtSMEINH-MEINH[1,2]</t>
  </si>
  <si>
    <t>CONV. UMA L2</t>
  </si>
  <si>
    <t>txtSMEINH-UMREZ[4,1]</t>
  </si>
  <si>
    <t>CONV. Y L1</t>
  </si>
  <si>
    <t>txtSMEINH-UMREZ[4,2]</t>
  </si>
  <si>
    <t>CONV. Y L2</t>
  </si>
  <si>
    <t>CONV. UMB L1</t>
  </si>
  <si>
    <t>CONV. UMB L2</t>
  </si>
  <si>
    <t>NÃO UTILIZADA</t>
  </si>
  <si>
    <t>CARACTERISTICA</t>
  </si>
  <si>
    <t>CONVERSÃO DADOS BÁSICOS</t>
  </si>
  <si>
    <t>COMPRIMENTO (mm)</t>
  </si>
  <si>
    <t>txtMARA-NORMT</t>
  </si>
  <si>
    <t>NORMA DE FABRICAÇÃO</t>
  </si>
  <si>
    <t>NBR 6591</t>
  </si>
  <si>
    <t>ASTM A500</t>
  </si>
  <si>
    <t>ctxtMVKE-VRKME</t>
  </si>
  <si>
    <t>UNI. DE VENDA</t>
  </si>
  <si>
    <t>ctxtMARA-MSTAV</t>
  </si>
  <si>
    <t>ctxtMARA-MSTDV</t>
  </si>
  <si>
    <t>STATUS DE VENDA</t>
  </si>
  <si>
    <t>VALIDADE DO STS DE VENDA</t>
  </si>
  <si>
    <t>ctxtMVKE-DWERK</t>
  </si>
  <si>
    <t>CENTRO FORNECEDOR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</si>
  <si>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</si>
  <si>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</si>
  <si>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</si>
  <si>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</si>
  <si>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</si>
  <si>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</si>
  <si>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</si>
  <si>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</si>
  <si>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</si>
  <si>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</si>
  <si>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</si>
  <si>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</si>
  <si>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</si>
  <si>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</si>
  <si>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</si>
  <si>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</si>
  <si>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</si>
  <si>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</si>
  <si>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</si>
  <si>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</si>
  <si>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</si>
  <si>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</si>
  <si>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</si>
  <si>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</si>
  <si>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</si>
  <si>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</si>
  <si>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</si>
  <si>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</si>
  <si>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ctxtMVKE-VERSG</t>
  </si>
  <si>
    <t>GRP ESTAT.MAT</t>
  </si>
  <si>
    <t>ctxtMVKE-KONDM</t>
  </si>
  <si>
    <t>GRP DE MAT</t>
  </si>
  <si>
    <t>ctxtMVKE-KTGRM</t>
  </si>
  <si>
    <t>GRP CLASS.CONT</t>
  </si>
  <si>
    <t>chkMARA-XCHPF</t>
  </si>
  <si>
    <t>ADMIN LOT OBRIG</t>
  </si>
  <si>
    <t>ctxtMARC-MTVFP</t>
  </si>
  <si>
    <t>VERIFICAR DISP.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</si>
  <si>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</si>
  <si>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</si>
  <si>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</si>
  <si>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</si>
  <si>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</si>
  <si>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</si>
  <si>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</si>
  <si>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</si>
  <si>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</si>
  <si>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</si>
  <si>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</si>
  <si>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</si>
  <si>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ctxtMARA-TRAGR</t>
  </si>
  <si>
    <t>GRP TRNSP</t>
  </si>
  <si>
    <t>ctxtMARC-LADGR</t>
  </si>
  <si>
    <t>GRP CARREG.</t>
  </si>
  <si>
    <t>ctxtMARC-STEUC</t>
  </si>
  <si>
    <t>NCM</t>
  </si>
  <si>
    <t>ctxtMARC-HERKL</t>
  </si>
  <si>
    <t>PAÍS DE ORIGEM</t>
  </si>
  <si>
    <t>BR</t>
  </si>
  <si>
    <t>ctxtMARC-INDUS</t>
  </si>
  <si>
    <t>MATERIAL CFOP</t>
  </si>
  <si>
    <t>ctxtMARC-EKGRP</t>
  </si>
  <si>
    <t>GRP DE COMP.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</si>
  <si>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</si>
  <si>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</si>
  <si>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</si>
  <si>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</si>
  <si>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</si>
  <si>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</si>
  <si>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</si>
  <si>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</si>
  <si>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</si>
  <si>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</si>
  <si>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</si>
  <si>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</si>
  <si>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</si>
  <si>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</si>
  <si>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ctxtMARC-DISMM</t>
  </si>
  <si>
    <t>ctxtMARC-DISPO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</si>
  <si>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</si>
  <si>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</si>
  <si>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</si>
  <si>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</si>
  <si>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</si>
  <si>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</si>
  <si>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</si>
  <si>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</si>
  <si>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</si>
  <si>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</si>
  <si>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</si>
  <si>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</si>
  <si>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</si>
  <si>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</si>
  <si>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ctxtMARC-DISLS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</si>
  <si>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</si>
  <si>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</si>
  <si>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</si>
  <si>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</si>
  <si>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</si>
  <si>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</si>
  <si>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</si>
  <si>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</si>
  <si>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</si>
  <si>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</si>
  <si>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</si>
  <si>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</si>
  <si>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</si>
  <si>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</si>
  <si>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</si>
  <si>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</si>
  <si>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</si>
  <si>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</si>
  <si>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</si>
  <si>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</si>
  <si>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</si>
  <si>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</si>
  <si>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</si>
  <si>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</si>
  <si>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</si>
  <si>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</si>
  <si>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</si>
  <si>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</si>
  <si>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</si>
  <si>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</si>
  <si>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</si>
  <si>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</si>
  <si>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</si>
  <si>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</si>
  <si>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</si>
  <si>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</si>
  <si>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</si>
  <si>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</si>
  <si>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</si>
  <si>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</si>
  <si>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</si>
  <si>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</si>
  <si>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</si>
  <si>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</si>
  <si>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</si>
  <si>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</si>
  <si>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</si>
  <si>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</si>
  <si>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</si>
  <si>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</si>
  <si>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</si>
  <si>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</si>
  <si>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</si>
  <si>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</si>
  <si>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</si>
  <si>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</si>
  <si>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</si>
  <si>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</si>
  <si>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</si>
  <si>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</si>
  <si>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</si>
  <si>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</si>
  <si>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chkMARC-KZKUP</t>
  </si>
  <si>
    <t>COPRODUTO</t>
  </si>
  <si>
    <t>ctxtMARC-BESKZ</t>
  </si>
  <si>
    <t>TIPO DE SUPRIMENTO</t>
  </si>
  <si>
    <t>ctxtMARC-KZECH</t>
  </si>
  <si>
    <t>ENTRADA DE LOTES</t>
  </si>
  <si>
    <t>E</t>
  </si>
  <si>
    <t>Fabricação própria</t>
  </si>
  <si>
    <t>F</t>
  </si>
  <si>
    <t>Suprimento externo</t>
  </si>
  <si>
    <t>ctxtMARC-SOBSL</t>
  </si>
  <si>
    <t>SUPRIMENTO ESPECIAL</t>
  </si>
  <si>
    <t>SUBCONTRATADO</t>
  </si>
  <si>
    <t>TRANSFERENCIA</t>
  </si>
  <si>
    <t>FABRICAÇÃO INTERNA</t>
  </si>
  <si>
    <t>ctxtMARC-LGPRO</t>
  </si>
  <si>
    <t>ctxtMARC-LGFSB</t>
  </si>
  <si>
    <t>DEP. PROD. EXTER.</t>
  </si>
  <si>
    <t>DEP. DE PRODUÇÃO</t>
  </si>
  <si>
    <t>txtMARC-PLIFZ</t>
  </si>
  <si>
    <t>PRAZO DE ENTREGA</t>
  </si>
  <si>
    <t>txtMARC-WEBAZ</t>
  </si>
  <si>
    <t>TEMPO PCDMT</t>
  </si>
  <si>
    <t>ctxtMARC-FHORI</t>
  </si>
  <si>
    <t>CHAVE DE PRAZOS</t>
  </si>
  <si>
    <t>000</t>
  </si>
  <si>
    <t>ctxtMARC-STRGR</t>
  </si>
  <si>
    <t>GRP DE ESTRAT</t>
  </si>
  <si>
    <t>ctxtMARC-VRMOD</t>
  </si>
  <si>
    <t>MODO COMPENSA.</t>
  </si>
  <si>
    <t>txtMARC-VINT1</t>
  </si>
  <si>
    <t>INT.COMP.REGRESS.</t>
  </si>
  <si>
    <t>txtMARC-VINT2</t>
  </si>
  <si>
    <t>INT.COMP.PROGRESS.</t>
  </si>
  <si>
    <t>ctxtMARC-STDPD</t>
  </si>
  <si>
    <t>MAT.CONFIGURAVEL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</si>
  <si>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</si>
  <si>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</si>
  <si>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</si>
  <si>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</si>
  <si>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</si>
  <si>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</si>
  <si>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</si>
  <si>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</si>
  <si>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</si>
  <si>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</si>
  <si>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</si>
  <si>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</si>
  <si>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</si>
  <si>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</si>
  <si>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</si>
  <si>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</si>
  <si>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</si>
  <si>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</si>
  <si>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</si>
  <si>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</si>
  <si>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</si>
  <si>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</si>
  <si>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</si>
  <si>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</si>
  <si>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</si>
  <si>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</si>
  <si>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</si>
  <si>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</si>
  <si>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</si>
  <si>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</si>
  <si>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</si>
  <si>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</si>
  <si>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</si>
  <si>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</si>
  <si>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</si>
  <si>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</si>
  <si>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</si>
  <si>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</si>
  <si>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</si>
  <si>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</si>
  <si>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</si>
  <si>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</si>
  <si>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</si>
  <si>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</si>
  <si>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</si>
  <si>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</si>
  <si>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</si>
  <si>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</si>
  <si>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</si>
  <si>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</si>
  <si>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</si>
  <si>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</si>
  <si>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</si>
  <si>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</si>
  <si>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</si>
  <si>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</si>
  <si>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</si>
  <si>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</si>
  <si>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</si>
  <si>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</si>
  <si>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</si>
  <si>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</si>
  <si>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</si>
  <si>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</si>
  <si>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</si>
  <si>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</si>
  <si>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</si>
  <si>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</si>
  <si>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</si>
  <si>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</si>
  <si>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</si>
  <si>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</si>
  <si>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</si>
  <si>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</si>
  <si>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</si>
  <si>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</si>
  <si>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</si>
  <si>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</si>
  <si>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</si>
  <si>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</si>
  <si>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</si>
  <si>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</si>
  <si>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</si>
  <si>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</si>
  <si>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</si>
  <si>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</si>
  <si>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</si>
  <si>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</si>
  <si>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</si>
  <si>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</si>
  <si>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</si>
  <si>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</si>
  <si>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</si>
  <si>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</si>
  <si>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</si>
  <si>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</si>
  <si>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</si>
  <si>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</si>
  <si>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</si>
  <si>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</si>
  <si>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</si>
  <si>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</si>
  <si>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</si>
  <si>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</si>
  <si>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</si>
  <si>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</si>
  <si>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</si>
  <si>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</si>
  <si>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</si>
  <si>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</si>
  <si>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</si>
  <si>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</si>
  <si>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ORDEM DE VENDA APO</t>
  </si>
  <si>
    <t>PÇS POR AMARRADO</t>
  </si>
  <si>
    <t>TOL. COMPRIMENTO +</t>
  </si>
  <si>
    <t>TOL. COMPRIMENTO -</t>
  </si>
  <si>
    <t>COMPRIMENTO</t>
  </si>
  <si>
    <t>VÁLIDO DESDE</t>
  </si>
  <si>
    <t>VÁLIDO ATÉ</t>
  </si>
  <si>
    <t>ctxtMKAL-VERID[0,0]</t>
  </si>
  <si>
    <t>txtMKAL-TEXT1[1,0]</t>
  </si>
  <si>
    <t>MÁQUINA VER. 1</t>
  </si>
  <si>
    <t>VERSÃO PRODUÇÃO 1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</si>
  <si>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</si>
  <si>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</si>
  <si>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</si>
  <si>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</si>
  <si>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</si>
  <si>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</si>
  <si>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</si>
  <si>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</si>
  <si>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</si>
  <si>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</si>
  <si>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</si>
  <si>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</si>
  <si>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</si>
  <si>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</si>
  <si>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</si>
  <si>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</si>
  <si>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</si>
  <si>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</si>
  <si>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</si>
  <si>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</si>
  <si>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</si>
  <si>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</si>
  <si>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</si>
  <si>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</si>
  <si>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</si>
  <si>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</si>
  <si>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</si>
  <si>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</si>
  <si>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</si>
  <si>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</si>
  <si>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</si>
  <si>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</si>
  <si>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</si>
  <si>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</si>
  <si>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</si>
  <si>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</si>
  <si>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</si>
  <si>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</si>
  <si>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</si>
  <si>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</si>
  <si>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</si>
  <si>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</si>
  <si>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</si>
  <si>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</si>
  <si>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</si>
  <si>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</si>
  <si>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</si>
  <si>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</si>
  <si>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</si>
  <si>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</si>
  <si>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</si>
  <si>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</si>
  <si>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</si>
  <si>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</si>
  <si>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</si>
  <si>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</si>
  <si>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</si>
  <si>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</si>
  <si>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</si>
  <si>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</si>
  <si>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</si>
  <si>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</si>
  <si>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</si>
  <si>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</si>
  <si>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</si>
  <si>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</si>
  <si>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</si>
  <si>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</si>
  <si>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</si>
  <si>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</si>
  <si>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</si>
  <si>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</si>
  <si>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</si>
  <si>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</si>
  <si>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</si>
  <si>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</si>
  <si>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</si>
  <si>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</si>
  <si>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</si>
  <si>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ctxtMKAL-ADATU[2,0]</t>
  </si>
  <si>
    <t>ctxtMKAL-BDATU[3,0]</t>
  </si>
  <si>
    <t>chkMARC-UEETK</t>
  </si>
  <si>
    <t>ILIMITADO</t>
  </si>
  <si>
    <t>ctxtMARC-SFCPF</t>
  </si>
  <si>
    <t>PERFIL DE PRODUÇÃO</t>
  </si>
  <si>
    <t>txtMLGN-LHMG1</t>
  </si>
  <si>
    <t>QUANTIDADE MAC</t>
  </si>
  <si>
    <t>ctxtMLGN-LHME1</t>
  </si>
  <si>
    <t>U.M. MAC</t>
  </si>
  <si>
    <t>ctxtMBEW-BKLAS</t>
  </si>
  <si>
    <t>CLASSE CONTABIL</t>
  </si>
  <si>
    <t>txtCKMMAT_DISPLAY-PEINH_1</t>
  </si>
  <si>
    <t>UNIDADE DE PREÇO</t>
  </si>
  <si>
    <t>chkMBEW-OWNPR</t>
  </si>
  <si>
    <t>PROD. INTERNA</t>
  </si>
  <si>
    <t>txtMBEW-BWPEI</t>
  </si>
  <si>
    <t>ctxtMBEW-MTUSE</t>
  </si>
  <si>
    <t>UTILIZ. MATERIAL</t>
  </si>
  <si>
    <t>ctxtMBEW-MTORG</t>
  </si>
  <si>
    <t>ORIGEM MATERIAL</t>
  </si>
  <si>
    <t>chkMARC-NCOST</t>
  </si>
  <si>
    <t>NÃO CALCULAR CUSTOS</t>
  </si>
  <si>
    <t>txtMARC-LOSGR</t>
  </si>
  <si>
    <t>TAM.LOT.CAL.CUSTOS</t>
  </si>
  <si>
    <t>ctxtMVKE-MTPOS</t>
  </si>
  <si>
    <t>GRP.CTGR.ITEM</t>
  </si>
  <si>
    <t>NORM</t>
  </si>
  <si>
    <t>ctxtMARA-MTPOS_MARA</t>
  </si>
  <si>
    <t>GRP.CTGR.GER.ITEM</t>
  </si>
  <si>
    <t>ITENS</t>
  </si>
  <si>
    <t>TUBOS</t>
  </si>
  <si>
    <t>NBR 6355</t>
  </si>
  <si>
    <t>PERFIS</t>
  </si>
  <si>
    <t>NBR 8261</t>
  </si>
  <si>
    <t>NBR 5580</t>
  </si>
  <si>
    <t>NBR 5590</t>
  </si>
  <si>
    <t>PJT</t>
  </si>
  <si>
    <t>STS</t>
  </si>
  <si>
    <t>Código P01</t>
  </si>
  <si>
    <t>Descrição P01</t>
  </si>
  <si>
    <t>Modelo</t>
  </si>
  <si>
    <t>Descrição do Modelo</t>
  </si>
  <si>
    <t>Centro</t>
  </si>
  <si>
    <t>Comprimento
Final</t>
  </si>
  <si>
    <t>Peso Kg/m</t>
  </si>
  <si>
    <t>KG/PC</t>
  </si>
  <si>
    <t>GrPMerc.</t>
  </si>
  <si>
    <t>Unidade de Venda</t>
  </si>
  <si>
    <t>Peças por 
Amarrado</t>
  </si>
  <si>
    <t>Centro de trabalho</t>
  </si>
  <si>
    <t>Tempo
Setup</t>
  </si>
  <si>
    <t>Tempo de
Operação</t>
  </si>
  <si>
    <t>Perda de 
Processo</t>
  </si>
  <si>
    <t>Comprimento 
do Multiplo</t>
  </si>
  <si>
    <t>Perda em Kg para fabricar 1000 peças do tubo cortado (perda inerente)</t>
  </si>
  <si>
    <t>Quantidade em metros para fabricar 1000 peças + perda de processo</t>
  </si>
  <si>
    <t>Quantidade em peças para fabricar 1000 peças + perda de processo</t>
  </si>
  <si>
    <t>DADOS AO</t>
  </si>
  <si>
    <t>Espessura nominal</t>
  </si>
  <si>
    <t>Laminação</t>
  </si>
  <si>
    <t>MTH?
MTL?</t>
  </si>
  <si>
    <t>Espessura Mínima</t>
  </si>
  <si>
    <t>Espessura Máxima</t>
  </si>
  <si>
    <t>Máquina</t>
  </si>
  <si>
    <t>Mapa/Plano de montagem</t>
  </si>
  <si>
    <t>Velocidade
(m/hr)</t>
  </si>
  <si>
    <t>Nave</t>
  </si>
  <si>
    <t>Tempo de 
pré-instalação</t>
  </si>
  <si>
    <t>Sucata (m)</t>
  </si>
  <si>
    <t>Perda (%)</t>
  </si>
  <si>
    <t>Largura da tira</t>
  </si>
  <si>
    <t>Bobina
 configuravel?</t>
  </si>
  <si>
    <t>Largura ideal</t>
  </si>
  <si>
    <t>Velocidade
3000 até 4999</t>
  </si>
  <si>
    <t>Velocidade
5000 até 8000</t>
  </si>
  <si>
    <t>Velocidade
8001 até 14000</t>
  </si>
  <si>
    <t>DADOS LNP</t>
  </si>
  <si>
    <t>Cliente</t>
  </si>
  <si>
    <t xml:space="preserve">Preço de terceirização </t>
  </si>
  <si>
    <t>MFER</t>
  </si>
  <si>
    <t>Tipo de Material PROF</t>
  </si>
  <si>
    <t>Geometria CHAR</t>
  </si>
  <si>
    <t>Espessura CHAR</t>
  </si>
  <si>
    <t>Raspagem Interna?</t>
  </si>
  <si>
    <t>Metalização?</t>
  </si>
  <si>
    <t>K00_P_0581</t>
  </si>
  <si>
    <t>CHAVE</t>
  </si>
  <si>
    <t>K00_P_0582</t>
  </si>
  <si>
    <t>MAX BOL &amp; BOM</t>
  </si>
  <si>
    <t>K00_P_TRIM_0581</t>
  </si>
  <si>
    <t>K00_P_TRIM_0582</t>
  </si>
  <si>
    <t>Total</t>
  </si>
  <si>
    <t>MC0350612</t>
  </si>
  <si>
    <t>PC</t>
  </si>
  <si>
    <t>MC0350512</t>
  </si>
  <si>
    <t>ctxtRMPKR-MATNR</t>
  </si>
  <si>
    <t>ctxtRMPKR-WERKS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</si>
  <si>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</si>
  <si>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</si>
  <si>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</si>
  <si>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</si>
  <si>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</si>
  <si>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</si>
  <si>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</si>
  <si>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</si>
  <si>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</si>
  <si>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</si>
  <si>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</si>
  <si>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</si>
  <si>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</si>
  <si>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</si>
  <si>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</si>
  <si>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</si>
  <si>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</si>
  <si>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</si>
  <si>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</si>
  <si>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</si>
  <si>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</si>
  <si>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</si>
  <si>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</si>
  <si>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</si>
  <si>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</si>
  <si>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</si>
  <si>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</si>
  <si>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</si>
  <si>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</si>
  <si>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</si>
  <si>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</si>
  <si>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</si>
  <si>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</si>
  <si>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</si>
  <si>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</si>
  <si>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</si>
  <si>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</si>
  <si>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</si>
  <si>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</si>
  <si>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</si>
  <si>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</si>
  <si>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</si>
  <si>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</si>
  <si>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</si>
  <si>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</si>
  <si>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</si>
  <si>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</si>
  <si>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</si>
  <si>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</si>
  <si>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</si>
  <si>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</si>
  <si>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</si>
  <si>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</si>
  <si>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</si>
  <si>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</si>
  <si>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</si>
  <si>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</si>
  <si>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</si>
  <si>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</si>
  <si>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</si>
  <si>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</si>
  <si>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</si>
  <si>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</si>
  <si>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</si>
  <si>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</si>
  <si>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</si>
  <si>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</si>
  <si>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</si>
  <si>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</si>
  <si>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</si>
  <si>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</si>
  <si>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Hierarquia 1</t>
  </si>
  <si>
    <t>Hierarquia 2</t>
  </si>
  <si>
    <t>Hierarquia 3</t>
  </si>
  <si>
    <t>Hierarquia 4</t>
  </si>
  <si>
    <t>Hierarquia 5</t>
  </si>
  <si>
    <t>Hierarquia Final</t>
  </si>
  <si>
    <t>N° SAP da Bitola</t>
  </si>
  <si>
    <t>Bitola de Produção
          Descrição</t>
  </si>
  <si>
    <t>DADOS VARIANT</t>
  </si>
  <si>
    <t>LIBERADO</t>
  </si>
  <si>
    <t>DIRETÓRIO PARA SALVAR O RELATÓRIO FINAL</t>
  </si>
  <si>
    <t>LOG DE ALTERAÇÃO</t>
  </si>
  <si>
    <t>ctxtMBEW-HRKFT</t>
  </si>
  <si>
    <t>GRUPO DE ORIGEM</t>
  </si>
  <si>
    <t>ctxtRMMG1-MTART</t>
  </si>
  <si>
    <t>ctxtMARC-WERKS</t>
  </si>
  <si>
    <t>CÓDIGO NA MM01</t>
  </si>
  <si>
    <t>CENTRO NA ZM01</t>
  </si>
  <si>
    <t>TIPO DE MATERIAL NA ZM01</t>
  </si>
  <si>
    <t>Chave LNTR</t>
  </si>
  <si>
    <t>Centro de Produção</t>
  </si>
  <si>
    <t>Depósito de produção</t>
  </si>
  <si>
    <t>Canal de Distribuição</t>
  </si>
  <si>
    <t>Setor de Atividade</t>
  </si>
  <si>
    <t>Níveis Organizacionais SAP</t>
  </si>
  <si>
    <t>Não utilizado para itens AO</t>
  </si>
  <si>
    <t>ctxtRMCLF-CLASS[0,0]</t>
  </si>
  <si>
    <t>CLASSE DE AVALIAÇÃO</t>
  </si>
  <si>
    <t>Z_ANARB_058X</t>
  </si>
  <si>
    <t>ESPESSURA NOMINAL</t>
  </si>
  <si>
    <t>ctxtRCTMS-MWERT[1,2]-1</t>
  </si>
  <si>
    <t>ctxtRCTMS-MWERT[1,3]-1</t>
  </si>
  <si>
    <t>ITEM ORDEM DE VENDA APO</t>
  </si>
  <si>
    <t>ctxtRCTMS-MWERT[1,8]-1</t>
  </si>
  <si>
    <t>N° ETIQUETA MANUTENÇÃO</t>
  </si>
  <si>
    <t>COMPRIMENTO COMPONENTE</t>
  </si>
  <si>
    <t>ctxtRCTMS-MWERT[1,7]-2</t>
  </si>
  <si>
    <t>DADOS VARIANTE</t>
  </si>
  <si>
    <t>ctxtRCTMS-MWERT[1,8]-2</t>
  </si>
  <si>
    <t>ctxtRCTMS-MWERT[1,9]-2</t>
  </si>
  <si>
    <t>ctxtRCTMS-MWERT[1,14]-1</t>
  </si>
  <si>
    <t>ctxtRCTMS-MWERT[1,6]-2</t>
  </si>
  <si>
    <t>ctxtRCTMS-MWERT[1,2]-4</t>
  </si>
  <si>
    <t>VERSÃO DE PRODUÇÃO</t>
  </si>
  <si>
    <t>WORKCENTERS P01</t>
  </si>
  <si>
    <t>Planta</t>
  </si>
  <si>
    <t>Centro Trabalho</t>
  </si>
  <si>
    <t>Descrição</t>
  </si>
  <si>
    <t>Nomenclatura para ROTEIROS</t>
  </si>
  <si>
    <t>Form. de Tubos 01</t>
  </si>
  <si>
    <t>Form. de Tubos 02</t>
  </si>
  <si>
    <t>Form. de Tubos 03</t>
  </si>
  <si>
    <t>Form. de Tubos 04</t>
  </si>
  <si>
    <t>Form. de Tubos 05</t>
  </si>
  <si>
    <t>Form. de Tubos 06</t>
  </si>
  <si>
    <t>Perfiladeira 01</t>
  </si>
  <si>
    <t>Perfiladeira 02</t>
  </si>
  <si>
    <t>Perfiladeira 03</t>
  </si>
  <si>
    <t>Corte Reto_C6</t>
  </si>
  <si>
    <t>Corte Reto_C7</t>
  </si>
  <si>
    <t>Slitter S01</t>
  </si>
  <si>
    <t>Standard (Slitter)</t>
  </si>
  <si>
    <t>Slitter S02</t>
  </si>
  <si>
    <t>Subcontratação 0581</t>
  </si>
  <si>
    <t>Acessórios Purlins_AP01</t>
  </si>
  <si>
    <t>Corte Reto_C5</t>
  </si>
  <si>
    <t>Célula Jonh Deere_CJD1</t>
  </si>
  <si>
    <t>Corte Laser_CL1</t>
  </si>
  <si>
    <t>Corte Laser_CL2</t>
  </si>
  <si>
    <t>Célula de Operações Especiais_COE1</t>
  </si>
  <si>
    <t>Calandra Tauring_CT1</t>
  </si>
  <si>
    <t>Calandra Calfran_CT2</t>
  </si>
  <si>
    <t>Dobra Tubos CNC_DT3</t>
  </si>
  <si>
    <t>Dobra Tubos CNC_DT4</t>
  </si>
  <si>
    <t>Corte Laser_L3D1</t>
  </si>
  <si>
    <t>OS_MD1</t>
  </si>
  <si>
    <t>Multidobra_MD1</t>
  </si>
  <si>
    <t>Célula de Solda_CS01</t>
  </si>
  <si>
    <t>Perfiladeira Purlins</t>
  </si>
  <si>
    <t>Formadora 07</t>
  </si>
  <si>
    <t>Formadora de Telhas OND</t>
  </si>
  <si>
    <t>Formadora de Telhas TP40</t>
  </si>
  <si>
    <t>Formadora de Telhas TP25</t>
  </si>
  <si>
    <t>Subcontratação 0582</t>
  </si>
  <si>
    <t>txtMARC-DZEIT</t>
  </si>
  <si>
    <t>TEMPO DE PROD. INTER.</t>
  </si>
  <si>
    <t>PESO BRUTO (kg/PC)</t>
  </si>
  <si>
    <t>ctxtRC27M-MATNR</t>
  </si>
  <si>
    <t>ctxtRC27M-WERKS</t>
  </si>
  <si>
    <t>ctxtPLPOD-ARBPL[2,0]</t>
  </si>
  <si>
    <t>txtPLPOD-LTXA1[6,0]</t>
  </si>
  <si>
    <t>DESCRI. CENTRO DE TR.</t>
  </si>
  <si>
    <t>CHAVE CENTRO DE TR.</t>
  </si>
  <si>
    <t>ctxtPLPOD-STEUS[4,0]</t>
  </si>
  <si>
    <t>CHAVE DE CONTROLE</t>
  </si>
  <si>
    <t>PP01</t>
  </si>
  <si>
    <t>txtPLPOD-BMSCH[14,0]</t>
  </si>
  <si>
    <t>QUANTIDADE BÁSICA</t>
  </si>
  <si>
    <t>txtPLPOD-VGW01[16,0]</t>
  </si>
  <si>
    <t>TEMPO DE PREPARAÇÃO</t>
  </si>
  <si>
    <t>ctxtPLPOD-VGE01[17,0]</t>
  </si>
  <si>
    <t>UNIDADE DE TEMPO</t>
  </si>
  <si>
    <t>S</t>
  </si>
  <si>
    <t>txtPLPOD-VGW02[19,0]</t>
  </si>
  <si>
    <t>TEMPO DE OPERAÇÃO</t>
  </si>
  <si>
    <t>ctxtRC29N-MATNR</t>
  </si>
  <si>
    <t>ctxtRC29N-WERKS</t>
  </si>
  <si>
    <t>ctxtRC29N-STLAN</t>
  </si>
  <si>
    <t>LT ALTERNATIVA</t>
  </si>
  <si>
    <t>ctxtRC29P-POSTP[1,0]</t>
  </si>
  <si>
    <t>CHAVE DE COMPONENTE</t>
  </si>
  <si>
    <t>L</t>
  </si>
  <si>
    <t>ctxtRC29P-IDNRK[2,0]</t>
  </si>
  <si>
    <t>COMPONENTE 1</t>
  </si>
  <si>
    <t>ctxtRC29P-IDNRK[2,1]</t>
  </si>
  <si>
    <t>txtRC29P-MENGE[4,0]</t>
  </si>
  <si>
    <t>QTD. COMP. 1</t>
  </si>
  <si>
    <t>txtRC29P-MENGE[4,1]</t>
  </si>
  <si>
    <t>QTD SUCATA</t>
  </si>
  <si>
    <t>Column56</t>
  </si>
  <si>
    <t>Column58</t>
  </si>
  <si>
    <t>Column60</t>
  </si>
  <si>
    <t>Column62</t>
  </si>
  <si>
    <t>S7000608</t>
  </si>
  <si>
    <t>SUCATA (AO)</t>
  </si>
  <si>
    <t>UNI. COMP. 1</t>
  </si>
  <si>
    <t>Código do componente</t>
  </si>
  <si>
    <t>ctxtMKAL-MATNR</t>
  </si>
  <si>
    <t>ctxtMKAL-WERKS</t>
  </si>
  <si>
    <t>ctxtMKAL_EXPAND-PLNNR[18,0]</t>
  </si>
  <si>
    <t>ctxtMKAL_EXPAND-ADATU[10,0]</t>
  </si>
  <si>
    <t>ctxtMKAL_EXPAND-BDATU[11,0]</t>
  </si>
  <si>
    <t>ctxtMKAL_EXPAND-STLAL[15,0]</t>
  </si>
  <si>
    <t>ctxtMKAL_EXPAND-STLAN[16,0]</t>
  </si>
  <si>
    <t>cmbMKAL_EXPAND-PLNTY[20,0]</t>
  </si>
  <si>
    <t>GRP. PLANEJAMENTO</t>
  </si>
  <si>
    <t>DATA ATUAL DE VALIDADE</t>
  </si>
  <si>
    <t>DATA MÁXIMA DE VALIDADE</t>
  </si>
  <si>
    <t>UTIL. LT ALTERNATIVA</t>
  </si>
  <si>
    <t>TIPO DE ROTEIRO</t>
  </si>
  <si>
    <t>GRP ROTEIRO</t>
  </si>
  <si>
    <t>31.12.9999</t>
  </si>
  <si>
    <t>PPAN</t>
  </si>
  <si>
    <t>NEW</t>
  </si>
  <si>
    <t>7306.61.00</t>
  </si>
  <si>
    <t/>
  </si>
  <si>
    <t>Produto Acabado</t>
  </si>
  <si>
    <t>Industria</t>
  </si>
  <si>
    <t>Z:\Projetos\PROJETOS ESPECIAIS\PJT 2326 (CNH)\Estrutura</t>
  </si>
  <si>
    <t>Comum</t>
  </si>
  <si>
    <t>Meincol 2</t>
  </si>
  <si>
    <t>Z:\Projetos\PROJETOS ESPECIAIS\PJT 2568 (METHAL COMPANY)\Estrutura\2022-03-21_AB_Estrutura P01 (PJT 2568 METHAL COMPANY).xlsm</t>
  </si>
  <si>
    <t>Descrição CAM</t>
  </si>
  <si>
    <t>Enrijecedor Superior (mm)</t>
  </si>
  <si>
    <t>Enrijecedor Inferior (mm)</t>
  </si>
  <si>
    <t>Aba Superior (mm)</t>
  </si>
  <si>
    <t>Aba Inferior (mm)</t>
  </si>
  <si>
    <t>DIM 1 (mm)</t>
  </si>
  <si>
    <t>DIM 2 (mm)</t>
  </si>
  <si>
    <t>DIM 3 (mm)</t>
  </si>
  <si>
    <t>Alavanca 1 (mm)</t>
  </si>
  <si>
    <t>Alavanca 2 (mm)</t>
  </si>
  <si>
    <t>DADOS PURLINS</t>
  </si>
  <si>
    <t>2568.1.1</t>
  </si>
  <si>
    <t>TUBO L2D RET 100X150X4,75X2300 266842617</t>
  </si>
  <si>
    <t>40,137</t>
  </si>
  <si>
    <t>520101000204</t>
  </si>
  <si>
    <t>TUBO 6</t>
  </si>
  <si>
    <t>128</t>
  </si>
  <si>
    <t>M059974004750</t>
  </si>
  <si>
    <t>1308,825-</t>
  </si>
  <si>
    <t>2545,0500000000002</t>
  </si>
  <si>
    <t>1072</t>
  </si>
  <si>
    <t>TUBO RET 100X150X4,75X BQD</t>
  </si>
  <si>
    <t>K059974</t>
  </si>
  <si>
    <t>82,891999999999996</t>
  </si>
  <si>
    <t>510101000128</t>
  </si>
  <si>
    <t>L059974</t>
  </si>
  <si>
    <t>Meincol 1</t>
  </si>
  <si>
    <t>Semi-Fini. Goods</t>
  </si>
  <si>
    <t>#Bobina</t>
  </si>
  <si>
    <t>Perfil Purlins</t>
  </si>
  <si>
    <t>Conjunto Soldado</t>
  </si>
  <si>
    <t>Multiplo&lt;Final</t>
  </si>
  <si>
    <t>Tubo/Perfil Agregado</t>
  </si>
  <si>
    <t>Tubo/Perfil Conformado</t>
  </si>
  <si>
    <t>Componente Comprado</t>
  </si>
  <si>
    <t>M058210001229</t>
  </si>
  <si>
    <t>Material M059974004750 não está atualizado no centro 0582</t>
  </si>
  <si>
    <t>OS_L3D2</t>
  </si>
  <si>
    <t>4464 Corte Laser L3D2</t>
  </si>
  <si>
    <t>4462 Corte Laser 03</t>
  </si>
  <si>
    <t>4463 Corte Laser 04</t>
  </si>
  <si>
    <t>OS_CL3</t>
  </si>
  <si>
    <t>OS_CL4</t>
  </si>
  <si>
    <t>Corte Laser_L3D2</t>
  </si>
  <si>
    <t>Corte Laser_CL3</t>
  </si>
  <si>
    <t>Corte Laser_CL4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</si>
</sst>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i/>
      <u/>
      <sz val="10"/>
      <color theme="1"/>
      <name val="voestalpine"/>
      <family val="2"/>
    </font>
    <font>
      <b/>
      <sz val="14"/>
      <color theme="0"/>
      <name val="voestalpine"/>
      <family val="2"/>
    </font>
  </fonts>
  <fills count="1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</borders>
  <cellStyleXfs count="12">
    <xf numFmtId="0" fontId="0" fillId="0" borderId="0"/>
    <xf numFmtId="0" fontId="1" fillId="0" borderId="0"/>
    <xf numFmtId="0" fontId="2" fillId="9" borderId="9">
      <alignment horizontal="center" vertical="center"/>
    </xf>
    <xf numFmtId="0" fontId="2" fillId="3" borderId="9" applyNumberFormat="0" applyProtection="0">
      <alignment horizontal="center" vertical="center"/>
      <protection locked="0"/>
    </xf>
    <xf numFmtId="49" fontId="2" fillId="5" borderId="9" applyNumberFormat="0">
      <alignment horizontal="center" vertical="center"/>
    </xf>
    <xf numFmtId="0" fontId="2" fillId="10" borderId="9">
      <alignment horizontal="center" vertical="center"/>
      <protection locked="0"/>
    </xf>
    <xf numFmtId="0" fontId="2" fillId="7" borderId="9" applyNumberFormat="0" applyProtection="0">
      <alignment horizontal="center" vertical="center"/>
      <protection locked="0"/>
    </xf>
    <xf numFmtId="0" fontId="4" fillId="2" borderId="2">
      <alignment horizontal="center" vertical="center"/>
    </xf>
    <xf numFmtId="0" fontId="2" fillId="6" borderId="9">
      <alignment horizontal="center" vertical="center"/>
    </xf>
    <xf numFmtId="0" fontId="2" fillId="8" borderId="9">
      <alignment horizontal="center" vertical="center"/>
      <protection locked="0"/>
    </xf>
    <xf numFmtId="0" fontId="4" fillId="4" borderId="2">
      <alignment horizontal="center" vertical="center"/>
    </xf>
    <xf numFmtId="0" fontId="12" fillId="11" borderId="0">
      <alignment horizontal="center" vertical="center"/>
    </xf>
  </cellStyleXfs>
  <cellXfs count="95">
    <xf numFmtId="0" fontId="0" fillId="0" borderId="0" xfId="0"/>
    <xf numFmtId="0" fontId="2" fillId="0" borderId="0" xfId="0" applyFont="1" applyAlignment="1">
      <alignment vertical="center"/>
    </xf>
    <xf numFmtId="0" fontId="4" fillId="2" borderId="0" xfId="0" applyFont="1" applyFill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2" borderId="0" xfId="0" applyFont="1" applyFill="1" applyAlignment="1">
      <alignment horizontal="right" vertical="center"/>
    </xf>
    <xf numFmtId="0" fontId="6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49" fontId="2" fillId="3" borderId="3" xfId="0" applyNumberFormat="1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2" fillId="3" borderId="3" xfId="0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49" fontId="2" fillId="3" borderId="3" xfId="0" applyNumberFormat="1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 wrapText="1"/>
    </xf>
    <xf numFmtId="0" fontId="4" fillId="2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0" fillId="0" borderId="0" xfId="0" applyNumberFormat="1"/>
    <xf numFmtId="0" fontId="0" fillId="0" borderId="0" xfId="0" applyNumberFormat="1" applyAlignment="1">
      <alignment wrapText="1"/>
    </xf>
    <xf numFmtId="0" fontId="4" fillId="2" borderId="0" xfId="0" applyFont="1" applyFill="1" applyAlignment="1">
      <alignment horizontal="left" vertical="center"/>
    </xf>
    <xf numFmtId="0" fontId="4" fillId="2" borderId="0" xfId="0" applyFont="1" applyFill="1" applyAlignment="1">
      <alignment vertical="center"/>
    </xf>
    <xf numFmtId="0" fontId="2" fillId="3" borderId="4" xfId="0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7" borderId="4" xfId="0" applyFont="1" applyFill="1" applyBorder="1" applyAlignment="1">
      <alignment horizontal="center" vertical="center"/>
    </xf>
    <xf numFmtId="14" fontId="2" fillId="6" borderId="4" xfId="0" applyNumberFormat="1" applyFont="1" applyFill="1" applyBorder="1" applyAlignment="1">
      <alignment horizontal="center" vertical="center"/>
    </xf>
    <xf numFmtId="14" fontId="2" fillId="0" borderId="4" xfId="0" applyNumberFormat="1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49" fontId="2" fillId="6" borderId="4" xfId="0" applyNumberFormat="1" applyFont="1" applyFill="1" applyBorder="1" applyAlignment="1">
      <alignment horizontal="center" vertical="center"/>
    </xf>
    <xf numFmtId="49" fontId="2" fillId="0" borderId="4" xfId="0" applyNumberFormat="1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49" fontId="4" fillId="5" borderId="6" xfId="0" applyNumberFormat="1" applyFont="1" applyFill="1" applyBorder="1" applyAlignment="1">
      <alignment horizontal="left" vertical="center"/>
    </xf>
    <xf numFmtId="49" fontId="4" fillId="5" borderId="7" xfId="0" applyNumberFormat="1" applyFont="1" applyFill="1" applyBorder="1" applyAlignment="1">
      <alignment horizontal="left" vertical="center"/>
    </xf>
    <xf numFmtId="49" fontId="4" fillId="5" borderId="8" xfId="0" applyNumberFormat="1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center" vertical="center"/>
    </xf>
    <xf numFmtId="49" fontId="0" fillId="0" borderId="0" xfId="0" applyNumberFormat="1"/>
    <xf numFmtId="49" fontId="2" fillId="5" borderId="6" xfId="0" applyNumberFormat="1" applyFont="1" applyFill="1" applyBorder="1" applyAlignment="1">
      <alignment horizontal="left" vertical="center"/>
    </xf>
    <xf numFmtId="49" fontId="2" fillId="5" borderId="7" xfId="0" applyNumberFormat="1" applyFont="1" applyFill="1" applyBorder="1" applyAlignment="1">
      <alignment horizontal="left" vertical="center"/>
    </xf>
    <xf numFmtId="49" fontId="2" fillId="5" borderId="8" xfId="0" applyNumberFormat="1" applyFont="1" applyFill="1" applyBorder="1" applyAlignment="1">
      <alignment horizontal="left" vertical="center"/>
    </xf>
    <xf numFmtId="11" fontId="2" fillId="0" borderId="0" xfId="0" applyNumberFormat="1" applyFont="1" applyAlignment="1">
      <alignment horizontal="center" vertical="center"/>
    </xf>
    <xf numFmtId="11" fontId="2" fillId="0" borderId="0" xfId="0" applyNumberFormat="1" applyFont="1" applyAlignment="1">
      <alignment horizontal="left" vertical="center"/>
    </xf>
    <xf numFmtId="0" fontId="4" fillId="2" borderId="0" xfId="0" applyFont="1" applyFill="1" applyBorder="1" applyAlignment="1">
      <alignment horizontal="center" vertical="center"/>
    </xf>
    <xf numFmtId="0" fontId="2" fillId="6" borderId="4" xfId="0" applyNumberFormat="1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 wrapText="1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2" fillId="8" borderId="4" xfId="0" applyFont="1" applyFill="1" applyBorder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49" fontId="4" fillId="8" borderId="0" xfId="0" applyNumberFormat="1" applyFont="1" applyFill="1" applyAlignment="1">
      <alignment horizontal="center" vertical="center"/>
    </xf>
    <xf numFmtId="49" fontId="4" fillId="8" borderId="0" xfId="0" applyNumberFormat="1" applyFont="1" applyFill="1" applyAlignment="1">
      <alignment horizontal="right" vertical="center"/>
    </xf>
    <xf numFmtId="49" fontId="2" fillId="8" borderId="4" xfId="0" applyNumberFormat="1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3" fillId="2" borderId="0" xfId="1" applyFont="1" applyFill="1" applyBorder="1" applyAlignment="1">
      <alignment horizontal="center" vertical="center" wrapText="1"/>
    </xf>
    <xf numFmtId="0" fontId="2" fillId="0" borderId="0" xfId="1" applyFont="1" applyAlignment="1">
      <alignment horizontal="center" vertical="center"/>
    </xf>
    <xf numFmtId="0" fontId="2" fillId="6" borderId="4" xfId="0" applyFont="1" applyFill="1" applyBorder="1" applyAlignment="1">
      <alignment horizontal="left" vertical="center"/>
    </xf>
    <xf numFmtId="0" fontId="2" fillId="3" borderId="4" xfId="0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2" fillId="7" borderId="4" xfId="0" applyNumberFormat="1" applyFont="1" applyFill="1" applyBorder="1" applyAlignment="1">
      <alignment horizontal="center" vertical="center"/>
    </xf>
    <xf numFmtId="0" fontId="2" fillId="0" borderId="4" xfId="0" applyNumberFormat="1" applyFont="1" applyFill="1" applyBorder="1" applyAlignment="1">
      <alignment horizontal="center" vertical="center"/>
    </xf>
    <xf numFmtId="0" fontId="2" fillId="6" borderId="9" xfId="8">
      <alignment horizontal="center" vertical="center"/>
    </xf>
    <xf numFmtId="0" fontId="4" fillId="2" borderId="0" xfId="0" applyFont="1" applyFill="1" applyAlignment="1">
      <alignment horizontal="center" vertical="center" wrapText="1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1" applyFont="1" applyFill="1" applyBorder="1" applyAlignment="1">
      <alignment horizontal="center" vertical="center" wrapText="1"/>
    </xf>
  </cellXfs>
  <cellStyles count="12">
    <cellStyle name="Dados Chave" xfId="2"/>
    <cellStyle name="Dados Editáveis" xfId="3"/>
    <cellStyle name="Dados Fixos" xfId="4"/>
    <cellStyle name="Dados Obrigatórios com validação DDs" xfId="5"/>
    <cellStyle name="Dados Opcionais" xfId="6"/>
    <cellStyle name="Fixos" xfId="7"/>
    <cellStyle name="Fórmulas" xfId="8"/>
    <cellStyle name="Normal" xfId="0" builtinId="0" customBuiltin="1"/>
    <cellStyle name="Normal 2" xfId="1"/>
    <cellStyle name="Script" xfId="9"/>
    <cellStyle name="Subtítulos" xfId="10"/>
    <cellStyle name="Títulos" xfId="11"/>
  </cellStyles>
  <dxfs count="20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4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4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color theme="0" tint="-0.14996795556505021"/>
      </font>
    </dxf>
    <dxf>
      <font>
        <color theme="0" tint="-0.14996795556505021"/>
      </font>
    </dxf>
    <dxf>
      <numFmt numFmtId="30" formatCode="@"/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206"/>
      <tableStyleElement type="headerRow" dxfId="20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ZM01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ZM01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ZM01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ZM01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3</xdr:col>
          <xdr:colOff>66675</xdr:colOff>
          <xdr:row>0</xdr:row>
          <xdr:rowOff>295275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Abrir Seleção de Transferência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DadosExternos_1" backgroundRefresh="0" connectionId="1" autoFormatId="0" applyNumberFormats="0" applyBorderFormats="0" applyFontFormats="1" applyPatternFormats="1" applyAlignmentFormats="0" applyWidthHeightFormats="0">
  <queryTableRefresh preserveSortFilterLayout="0" nextId="81">
    <queryTableFields count="80">
      <queryTableField id="1" name="PJT" tableColumnId="91"/>
      <queryTableField id="2" name="STS" tableColumnId="92"/>
      <queryTableField id="3" name="Código P01" tableColumnId="93"/>
      <queryTableField id="4" name="Descrição P01" tableColumnId="94"/>
      <queryTableField id="5" name="Modelo" tableColumnId="95"/>
      <queryTableField id="6" name="Descrição do Modelo" tableColumnId="96"/>
      <queryTableField id="7" name="Centro" tableColumnId="97"/>
      <queryTableField id="8" name="Comprimento_x000a_Final" tableColumnId="98"/>
      <queryTableField id="9" name="Peso Kg/m" tableColumnId="99"/>
      <queryTableField id="10" name="KG/PC" tableColumnId="100"/>
      <queryTableField id="11" name="Hierarquia 1" tableColumnId="101"/>
      <queryTableField id="12" name="Hierarquia 2" tableColumnId="102"/>
      <queryTableField id="13" name="Hierarquia 3" tableColumnId="103"/>
      <queryTableField id="14" name="Hierarquia 4" tableColumnId="104"/>
      <queryTableField id="15" name="Hierarquia 5" tableColumnId="105"/>
      <queryTableField id="16" name="Hierarquia Final" tableColumnId="106"/>
      <queryTableField id="17" name="GrPMerc." tableColumnId="107"/>
      <queryTableField id="18" name="Bitola de Produção_x000a_          Descrição" tableColumnId="108"/>
      <queryTableField id="19" name="N° SAP da Bitola" tableColumnId="109"/>
      <queryTableField id="20" name="Unidade de Venda" tableColumnId="110"/>
      <queryTableField id="21" name="NCM" tableColumnId="111"/>
      <queryTableField id="22" name="Peças por _x000a_Amarrado" tableColumnId="112"/>
      <queryTableField id="23" name="Centro de trabalho" tableColumnId="113"/>
      <queryTableField id="24" name="Tempo_x000a_Setup" tableColumnId="114"/>
      <queryTableField id="25" name="Tempo de_x000a_Operação" tableColumnId="115"/>
      <queryTableField id="26" name="Perda de _x000a_Processo" tableColumnId="116"/>
      <queryTableField id="27" name="Código do componente" tableColumnId="117"/>
      <queryTableField id="28" name="Comprimento _x000a_do Multiplo" tableColumnId="118"/>
      <queryTableField id="29" name="Perda em Kg para fabricar 1000 peças do tubo cortado (perda inerente)" tableColumnId="119"/>
      <queryTableField id="30" name="Quantidade em metros para fabricar 1000 peças + perda de processo" tableColumnId="120"/>
      <queryTableField id="31" name="Quantidade em peças para fabricar 1000 peças + perda de processo" tableColumnId="121"/>
      <queryTableField id="32" name="DADOS AO" tableColumnId="122"/>
      <queryTableField id="33" name="Chave LNTR" tableColumnId="123"/>
      <queryTableField id="34" name="Espessura nominal" tableColumnId="124"/>
      <queryTableField id="35" name="Laminação" tableColumnId="125"/>
      <queryTableField id="36" name="MTH?_x000a_MTL?" tableColumnId="126"/>
      <queryTableField id="37" name="Espessura Mínima" tableColumnId="127"/>
      <queryTableField id="38" name="Espessura Máxima" tableColumnId="128"/>
      <queryTableField id="39" name="Máquina" tableColumnId="129"/>
      <queryTableField id="40" name="Mapa/Plano de montagem" tableColumnId="130"/>
      <queryTableField id="41" name="Velocidade_x000a_(m/hr)" tableColumnId="131"/>
      <queryTableField id="42" name="Nave" tableColumnId="132"/>
      <queryTableField id="43" name="Tempo de _x000a_pré-instalação" tableColumnId="133"/>
      <queryTableField id="44" name="Sucata (m)" tableColumnId="134"/>
      <queryTableField id="45" name="Perda (%)" tableColumnId="135"/>
      <queryTableField id="46" name="Largura da tira" tableColumnId="136"/>
      <queryTableField id="47" name="Bobina_x000a_ configuravel?" tableColumnId="137"/>
      <queryTableField id="48" name="Largura ideal" tableColumnId="138"/>
      <queryTableField id="49" name="Velocidade_x000a_3000 até 4999" tableColumnId="139"/>
      <queryTableField id="50" name="Velocidade_x000a_5000 até 8000" tableColumnId="140"/>
      <queryTableField id="51" name="Velocidade_x000a_8001 até 14000" tableColumnId="141"/>
      <queryTableField id="52" name="DADOS LNP" tableColumnId="142"/>
      <queryTableField id="53" name="Cliente" tableColumnId="143"/>
      <queryTableField id="54" name="Preço de terceirização " tableColumnId="144"/>
      <queryTableField id="55" name="Centro de Produção" tableColumnId="145"/>
      <queryTableField id="56" name="Column56" tableColumnId="146"/>
      <queryTableField id="57" name="Depósito de produção" tableColumnId="147"/>
      <queryTableField id="58" name="Column58" tableColumnId="148"/>
      <queryTableField id="59" name="Canal de Distribuição" tableColumnId="149"/>
      <queryTableField id="60" name="Column60" tableColumnId="150"/>
      <queryTableField id="61" name="Setor de Atividade" tableColumnId="151"/>
      <queryTableField id="62" name="Column62" tableColumnId="152"/>
      <queryTableField id="63" name="Níveis Organizacionais SAP" tableColumnId="153"/>
      <queryTableField id="64" name="Tipo de Material PROF" tableColumnId="154"/>
      <queryTableField id="65" name="Geometria CHAR" tableColumnId="155"/>
      <queryTableField id="66" name="Espessura CHAR" tableColumnId="156"/>
      <queryTableField id="67" name="Raspagem Interna?" tableColumnId="157"/>
      <queryTableField id="68" name="Metalização?" tableColumnId="158"/>
      <queryTableField id="69" name="DADOS VARIANT" tableColumnId="159"/>
      <queryTableField id="70" name="Descrição CAM" tableColumnId="160"/>
      <queryTableField id="71" name="Enrijecedor Superior (mm)" tableColumnId="161"/>
      <queryTableField id="72" name="Enrijecedor Inferior (mm)" tableColumnId="162"/>
      <queryTableField id="73" name="Aba Superior (mm)" tableColumnId="163"/>
      <queryTableField id="74" name="Aba Inferior (mm)" tableColumnId="164"/>
      <queryTableField id="75" name="DIM 1 (mm)" tableColumnId="165"/>
      <queryTableField id="76" name="DIM 2 (mm)" tableColumnId="166"/>
      <queryTableField id="77" name="DIM 3 (mm)" tableColumnId="167"/>
      <queryTableField id="78" name="Alavanca 1 (mm)" tableColumnId="168"/>
      <queryTableField id="79" name="Alavanca 2 (mm)" tableColumnId="169"/>
      <queryTableField id="80" name="DADOS PURLINS" tableColumnId="17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Estrutura_P01" displayName="Estrutura_P01" ref="A1:CB11" tableType="queryTable" totalsRowCount="1">
  <autoFilter ref="A1:CB10">
    <filterColumn colId="1">
      <filters>
        <filter val="NEW"/>
      </filters>
    </filterColumn>
  </autoFilter>
  <tableColumns count="80">
    <tableColumn id="91" uniqueName="91" name="PJT" totalsRowLabel="Total" queryTableFieldId="1"/>
    <tableColumn id="92" uniqueName="92" name="STS" queryTableFieldId="2"/>
    <tableColumn id="93" uniqueName="93" name="Código P01" queryTableFieldId="3"/>
    <tableColumn id="94" uniqueName="94" name="Descrição P01" queryTableFieldId="4"/>
    <tableColumn id="95" uniqueName="95" name="Modelo" queryTableFieldId="5"/>
    <tableColumn id="96" uniqueName="96" name="Descrição do Modelo" queryTableFieldId="6"/>
    <tableColumn id="97" uniqueName="97" name="Centro" queryTableFieldId="7"/>
    <tableColumn id="98" uniqueName="98" name="Comprimento_x000a_Final" queryTableFieldId="8"/>
    <tableColumn id="99" uniqueName="99" name="Peso Kg/m" queryTableFieldId="9"/>
    <tableColumn id="100" uniqueName="100" name="KG/PC" queryTableFieldId="10"/>
    <tableColumn id="101" uniqueName="101" name="Hierarquia 1" queryTableFieldId="11"/>
    <tableColumn id="102" uniqueName="102" name="Hierarquia 2" queryTableFieldId="12"/>
    <tableColumn id="103" uniqueName="103" name="Hierarquia 3" queryTableFieldId="13"/>
    <tableColumn id="104" uniqueName="104" name="Hierarquia 4" queryTableFieldId="14"/>
    <tableColumn id="105" uniqueName="105" name="Hierarquia 5" queryTableFieldId="15"/>
    <tableColumn id="106" uniqueName="106" name="Hierarquia Final" queryTableFieldId="16"/>
    <tableColumn id="107" uniqueName="107" name="GrPMerc." queryTableFieldId="17"/>
    <tableColumn id="108" uniqueName="108" name="Bitola de Produção_x000a_          Descrição" queryTableFieldId="18"/>
    <tableColumn id="109" uniqueName="109" name="N° SAP da Bitola" queryTableFieldId="19"/>
    <tableColumn id="110" uniqueName="110" name="Unidade de Venda" queryTableFieldId="20"/>
    <tableColumn id="111" uniqueName="111" name="NCM" queryTableFieldId="21"/>
    <tableColumn id="112" uniqueName="112" name="Peças por _x000a_Amarrado" queryTableFieldId="22"/>
    <tableColumn id="113" uniqueName="113" name="Centro de trabalho" queryTableFieldId="23"/>
    <tableColumn id="114" uniqueName="114" name="Tempo_x000a_Setup" queryTableFieldId="24"/>
    <tableColumn id="115" uniqueName="115" name="Tempo de_x000a_Operação" queryTableFieldId="25"/>
    <tableColumn id="116" uniqueName="116" name="Perda de _x000a_Processo" queryTableFieldId="26"/>
    <tableColumn id="117" uniqueName="117" name="Código do componente" queryTableFieldId="27"/>
    <tableColumn id="118" uniqueName="118" name="Comprimento _x000a_do Multiplo" queryTableFieldId="28"/>
    <tableColumn id="119" uniqueName="119" name="Perda em Kg para fabricar 1000 peças do tubo cortado (perda inerente)" queryTableFieldId="29"/>
    <tableColumn id="120" uniqueName="120" name="Quantidade em metros para fabricar 1000 peças + perda de processo" queryTableFieldId="30"/>
    <tableColumn id="121" uniqueName="121" name="Quantidade em peças para fabricar 1000 peças + perda de processo" queryTableFieldId="31"/>
    <tableColumn id="122" uniqueName="122" name="DADOS AO" queryTableFieldId="32"/>
    <tableColumn id="123" uniqueName="123" name="Chave LNTR" queryTableFieldId="33"/>
    <tableColumn id="124" uniqueName="124" name="Espessura nominal" queryTableFieldId="34"/>
    <tableColumn id="125" uniqueName="125" name="Laminação" queryTableFieldId="35"/>
    <tableColumn id="126" uniqueName="126" name="MTH?_x000a_MTL?" queryTableFieldId="36"/>
    <tableColumn id="127" uniqueName="127" name="Espessura Mínima" queryTableFieldId="37"/>
    <tableColumn id="128" uniqueName="128" name="Espessura Máxima" queryTableFieldId="38"/>
    <tableColumn id="129" uniqueName="129" name="Máquina" queryTableFieldId="39"/>
    <tableColumn id="130" uniqueName="130" name="Mapa/Plano de montagem" queryTableFieldId="40"/>
    <tableColumn id="131" uniqueName="131" name="Velocidade_x000a_(m/hr)" queryTableFieldId="41"/>
    <tableColumn id="132" uniqueName="132" name="Nave" queryTableFieldId="42"/>
    <tableColumn id="133" uniqueName="133" name="Tempo de _x000a_pré-instalação" queryTableFieldId="43"/>
    <tableColumn id="134" uniqueName="134" name="Sucata (m)" queryTableFieldId="44"/>
    <tableColumn id="135" uniqueName="135" name="Perda (%)" queryTableFieldId="45"/>
    <tableColumn id="136" uniqueName="136" name="Largura da tira" queryTableFieldId="46"/>
    <tableColumn id="137" uniqueName="137" name="Bobina_x000a_ configuravel?" queryTableFieldId="47"/>
    <tableColumn id="138" uniqueName="138" name="Largura ideal" queryTableFieldId="48"/>
    <tableColumn id="139" uniqueName="139" name="Velocidade_x000a_3000 até 4999" queryTableFieldId="49"/>
    <tableColumn id="140" uniqueName="140" name="Velocidade_x000a_5000 até 8000" queryTableFieldId="50"/>
    <tableColumn id="141" uniqueName="141" name="Velocidade_x000a_8001 até 14000" queryTableFieldId="51"/>
    <tableColumn id="142" uniqueName="142" name="DADOS LNP" queryTableFieldId="52"/>
    <tableColumn id="143" uniqueName="143" name="Cliente" queryTableFieldId="53"/>
    <tableColumn id="144" uniqueName="144" name="Preço de terceirização " queryTableFieldId="54"/>
    <tableColumn id="145" uniqueName="145" name="Centro de Produção" queryTableFieldId="55" dataDxfId="5"/>
    <tableColumn id="146" uniqueName="146" name="Column56" queryTableFieldId="56"/>
    <tableColumn id="147" uniqueName="147" name="Depósito de produção" queryTableFieldId="57"/>
    <tableColumn id="148" uniqueName="148" name="Column58" queryTableFieldId="58"/>
    <tableColumn id="149" uniqueName="149" name="Canal de Distribuição" queryTableFieldId="59"/>
    <tableColumn id="150" uniqueName="150" name="Column60" queryTableFieldId="60"/>
    <tableColumn id="151" uniqueName="151" name="Setor de Atividade" queryTableFieldId="61"/>
    <tableColumn id="152" uniqueName="152" name="Column62" queryTableFieldId="62"/>
    <tableColumn id="153" uniqueName="153" name="Níveis Organizacionais SAP" queryTableFieldId="63"/>
    <tableColumn id="154" uniqueName="154" name="Tipo de Material PROF" queryTableFieldId="64"/>
    <tableColumn id="155" uniqueName="155" name="Geometria CHAR" queryTableFieldId="65"/>
    <tableColumn id="156" uniqueName="156" name="Espessura CHAR" queryTableFieldId="66"/>
    <tableColumn id="157" uniqueName="157" name="Raspagem Interna?" queryTableFieldId="67"/>
    <tableColumn id="158" uniqueName="158" name="Metalização?" queryTableFieldId="68"/>
    <tableColumn id="159" uniqueName="159" name="DADOS VARIANT" queryTableFieldId="69"/>
    <tableColumn id="160" uniqueName="160" name="Descrição CAM" queryTableFieldId="70"/>
    <tableColumn id="161" uniqueName="161" name="Enrijecedor Superior (mm)" queryTableFieldId="71"/>
    <tableColumn id="162" uniqueName="162" name="Enrijecedor Inferior (mm)" queryTableFieldId="72"/>
    <tableColumn id="163" uniqueName="163" name="Aba Superior (mm)" queryTableFieldId="73"/>
    <tableColumn id="164" uniqueName="164" name="Aba Inferior (mm)" queryTableFieldId="74"/>
    <tableColumn id="165" uniqueName="165" name="DIM 1 (mm)" queryTableFieldId="75"/>
    <tableColumn id="166" uniqueName="166" name="DIM 2 (mm)" queryTableFieldId="76"/>
    <tableColumn id="167" uniqueName="167" name="DIM 3 (mm)" queryTableFieldId="77"/>
    <tableColumn id="168" uniqueName="168" name="Alavanca 1 (mm)" queryTableFieldId="78"/>
    <tableColumn id="169" uniqueName="169" name="Alavanca 2 (mm)" queryTableFieldId="79"/>
    <tableColumn id="170" uniqueName="170" name="DADOS PURLINS" totalsRowFunction="count" queryTableFieldId="80"/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table" Target="../tables/table2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DZ64"/>
  <sheetViews>
    <sheetView showGridLines="0" showRowColHeaders="0" tabSelected="1" workbookViewId="0">
      <pane xSplit="3" ySplit="4" topLeftCell="DZ5" activePane="bottomRight" state="frozen"/>
      <selection pane="topRight" activeCell="D1" sqref="D1"/>
      <selection pane="bottomLeft" activeCell="A5" sqref="A5"/>
      <selection pane="bottomRight" activeCell="DZ5" sqref="DZ5"/>
    </sheetView>
  </sheetViews>
  <sheetFormatPr defaultRowHeight="12.75" outlineLevelCol="1" x14ac:dyDescent="0.2"/>
  <cols>
    <col min="1" max="1" width="11.7109375" style="7" customWidth="1"/>
    <col min="2" max="2" width="18.5703125" style="6" customWidth="1"/>
    <col min="3" max="3" width="44" style="6" customWidth="1"/>
    <col min="4" max="4" width="19.85546875" style="6" hidden="1" customWidth="1"/>
    <col min="5" max="5" width="26.28515625" style="6" hidden="1" customWidth="1"/>
    <col min="6" max="6" width="18.42578125" style="6" customWidth="1"/>
    <col min="7" max="7" width="19.85546875" style="6" customWidth="1"/>
    <col min="8" max="9" width="18.7109375" style="6" hidden="1" customWidth="1"/>
    <col min="10" max="11" width="18.140625" style="6" hidden="1" customWidth="1" outlineLevel="1"/>
    <col min="12" max="12" width="18.5703125" style="6" hidden="1" customWidth="1" outlineLevel="1"/>
    <col min="13" max="13" width="23.42578125" style="6" hidden="1" customWidth="1" outlineLevel="1"/>
    <col min="14" max="14" width="18.85546875" style="6" hidden="1" customWidth="1" outlineLevel="1"/>
    <col min="15" max="15" width="11.7109375" style="6" customWidth="1" collapsed="1"/>
    <col min="16" max="17" width="15" style="6" hidden="1" customWidth="1" outlineLevel="1"/>
    <col min="18" max="18" width="12.28515625" style="6" hidden="1" customWidth="1" outlineLevel="1"/>
    <col min="19" max="20" width="21.7109375" style="6" hidden="1" customWidth="1" outlineLevel="1"/>
    <col min="21" max="21" width="22.28515625" style="6" hidden="1" customWidth="1" outlineLevel="1"/>
    <col min="22" max="22" width="28.140625" style="6" hidden="1" customWidth="1" outlineLevel="1"/>
    <col min="23" max="23" width="8.7109375" style="6" hidden="1" customWidth="1" outlineLevel="1"/>
    <col min="24" max="24" width="28.140625" style="6" hidden="1" customWidth="1" outlineLevel="1"/>
    <col min="25" max="30" width="9.140625" style="6" hidden="1" customWidth="1" outlineLevel="1"/>
    <col min="31" max="31" width="26.42578125" style="6" hidden="1" customWidth="1" outlineLevel="1"/>
    <col min="32" max="33" width="26.5703125" style="6" hidden="1" customWidth="1" outlineLevel="1"/>
    <col min="34" max="35" width="26.85546875" style="6" hidden="1" customWidth="1" outlineLevel="1"/>
    <col min="36" max="36" width="25.85546875" style="6" hidden="1" customWidth="1" outlineLevel="1"/>
    <col min="37" max="38" width="15" style="6" hidden="1" customWidth="1" outlineLevel="1"/>
    <col min="39" max="40" width="17.5703125" style="6" hidden="1" customWidth="1" outlineLevel="1"/>
    <col min="41" max="42" width="9.140625" style="6" hidden="1" customWidth="1" outlineLevel="1"/>
    <col min="43" max="43" width="19.140625" style="6" customWidth="1" collapsed="1"/>
    <col min="44" max="44" width="18.28515625" style="6" hidden="1" customWidth="1"/>
    <col min="45" max="45" width="20.140625" style="6" customWidth="1"/>
    <col min="46" max="46" width="14.85546875" style="6" customWidth="1"/>
    <col min="47" max="47" width="19.42578125" style="6" customWidth="1"/>
    <col min="48" max="49" width="17" style="6" customWidth="1"/>
    <col min="50" max="50" width="28.5703125" style="6" hidden="1" customWidth="1"/>
    <col min="51" max="51" width="23.28515625" style="6" hidden="1" customWidth="1"/>
    <col min="52" max="52" width="18.7109375" style="6" customWidth="1"/>
    <col min="53" max="53" width="16" style="6" hidden="1" customWidth="1"/>
    <col min="54" max="54" width="17" style="6" hidden="1" customWidth="1"/>
    <col min="55" max="55" width="20" style="6" hidden="1" customWidth="1"/>
    <col min="56" max="56" width="21.42578125" style="6" customWidth="1"/>
    <col min="57" max="57" width="22" style="6" hidden="1" customWidth="1" outlineLevel="1"/>
    <col min="58" max="58" width="22.42578125" style="6" hidden="1" customWidth="1" outlineLevel="1"/>
    <col min="59" max="59" width="21.7109375" style="6" hidden="1" customWidth="1" outlineLevel="1"/>
    <col min="60" max="60" width="14" style="6" hidden="1" customWidth="1" outlineLevel="1"/>
    <col min="61" max="61" width="22" style="6" hidden="1" customWidth="1" outlineLevel="1"/>
    <col min="62" max="62" width="22.42578125" style="6" hidden="1" customWidth="1" outlineLevel="1"/>
    <col min="63" max="63" width="21.7109375" style="6" hidden="1" customWidth="1" outlineLevel="1"/>
    <col min="64" max="64" width="14" style="6" hidden="1" customWidth="1" outlineLevel="1"/>
    <col min="65" max="65" width="28.5703125" style="6" customWidth="1" collapsed="1"/>
    <col min="66" max="67" width="23.140625" style="6" hidden="1" customWidth="1"/>
    <col min="68" max="68" width="16.42578125" style="6" customWidth="1"/>
    <col min="69" max="69" width="17" style="6" customWidth="1"/>
    <col min="70" max="70" width="26.28515625" style="6" hidden="1" customWidth="1"/>
    <col min="71" max="71" width="21.140625" style="6" hidden="1" customWidth="1"/>
    <col min="72" max="72" width="16" style="6" hidden="1" customWidth="1"/>
    <col min="73" max="73" width="17.5703125" style="6" hidden="1" customWidth="1"/>
    <col min="74" max="74" width="16.5703125" style="6" hidden="1" customWidth="1"/>
    <col min="75" max="75" width="16.42578125" style="6" hidden="1" customWidth="1"/>
    <col min="76" max="76" width="17.42578125" style="6" hidden="1" customWidth="1"/>
    <col min="77" max="78" width="16.42578125" style="6" hidden="1" customWidth="1"/>
    <col min="79" max="79" width="16.7109375" style="6" hidden="1" customWidth="1"/>
    <col min="80" max="80" width="16.28515625" style="6" customWidth="1"/>
    <col min="81" max="81" width="16.28515625" style="6" hidden="1" customWidth="1"/>
    <col min="82" max="82" width="16.42578125" style="6" hidden="1" customWidth="1"/>
    <col min="83" max="83" width="16.140625" style="6" customWidth="1"/>
    <col min="84" max="84" width="16.7109375" style="6" customWidth="1"/>
    <col min="85" max="85" width="17.5703125" style="6" customWidth="1"/>
    <col min="86" max="86" width="19.85546875" style="6" customWidth="1"/>
    <col min="87" max="87" width="16.140625" style="6" hidden="1" customWidth="1"/>
    <col min="88" max="88" width="20.140625" style="6" customWidth="1"/>
    <col min="89" max="89" width="21.7109375" style="6" customWidth="1"/>
    <col min="90" max="90" width="18.28515625" style="6" hidden="1" customWidth="1"/>
    <col min="91" max="91" width="18.7109375" style="6" hidden="1" customWidth="1"/>
    <col min="92" max="92" width="17.7109375" style="6" hidden="1" customWidth="1"/>
    <col min="93" max="93" width="18.85546875" style="6" customWidth="1"/>
    <col min="94" max="94" width="15.85546875" style="6" hidden="1" customWidth="1"/>
    <col min="95" max="95" width="17.7109375" style="6" hidden="1" customWidth="1"/>
    <col min="96" max="96" width="16.140625" style="6" hidden="1" customWidth="1"/>
    <col min="97" max="97" width="18.140625" style="6" hidden="1" customWidth="1"/>
    <col min="98" max="98" width="19.140625" style="6" hidden="1" customWidth="1"/>
    <col min="99" max="99" width="20.7109375" style="6" hidden="1" customWidth="1"/>
    <col min="100" max="100" width="19.7109375" style="6" customWidth="1"/>
    <col min="101" max="101" width="23.7109375" style="6" hidden="1" customWidth="1" outlineLevel="1"/>
    <col min="102" max="102" width="31.85546875" style="6" hidden="1" customWidth="1" outlineLevel="1"/>
    <col min="103" max="103" width="26.140625" style="6" hidden="1" customWidth="1" outlineLevel="1"/>
    <col min="104" max="104" width="23.7109375" style="6" hidden="1" customWidth="1" outlineLevel="1"/>
    <col min="105" max="105" width="28.28515625" style="6" hidden="1" customWidth="1" outlineLevel="1"/>
    <col min="106" max="106" width="23.7109375" style="6" hidden="1" customWidth="1" outlineLevel="1"/>
    <col min="107" max="108" width="33" style="6" hidden="1" customWidth="1" outlineLevel="1"/>
    <col min="109" max="109" width="31.140625" style="6" hidden="1" customWidth="1" outlineLevel="1"/>
    <col min="110" max="110" width="17.42578125" style="6" customWidth="1" collapsed="1"/>
    <col min="111" max="111" width="20.5703125" style="6" customWidth="1" outlineLevel="1"/>
    <col min="112" max="112" width="18.5703125" style="6" customWidth="1" outlineLevel="1"/>
    <col min="113" max="113" width="20.7109375" style="6" customWidth="1" outlineLevel="1"/>
    <col min="114" max="114" width="20.5703125" style="6" customWidth="1" outlineLevel="1"/>
    <col min="115" max="115" width="22.7109375" style="6" customWidth="1"/>
    <col min="116" max="116" width="15.85546875" style="6" customWidth="1"/>
    <col min="117" max="117" width="20.5703125" style="6" customWidth="1"/>
    <col min="118" max="118" width="22.42578125" style="6" customWidth="1"/>
    <col min="119" max="119" width="17.85546875" style="6" customWidth="1"/>
    <col min="120" max="120" width="16.7109375" style="6" customWidth="1"/>
    <col min="121" max="121" width="17.42578125" style="6" customWidth="1"/>
    <col min="122" max="122" width="28.5703125" style="6" customWidth="1"/>
    <col min="123" max="123" width="17.42578125" style="6" customWidth="1"/>
    <col min="124" max="124" width="18.5703125" style="6" customWidth="1"/>
    <col min="125" max="125" width="16.7109375" style="6" customWidth="1"/>
    <col min="126" max="127" width="17.7109375" style="6" customWidth="1"/>
    <col min="128" max="128" width="23" style="6" customWidth="1"/>
    <col min="129" max="129" width="20.85546875" style="6" hidden="1" customWidth="1"/>
    <col min="130" max="130" width="75.7109375" style="1" customWidth="1"/>
    <col min="131" max="131" width="22" style="1" customWidth="1"/>
    <col min="132" max="16384" width="9.140625" style="1"/>
  </cols>
  <sheetData>
    <row r="1" spans="1:130" s="73" customFormat="1" x14ac:dyDescent="0.2">
      <c r="A1" s="7" t="s">
        <v>28</v>
      </c>
      <c r="O1" s="93" t="s">
        <v>170</v>
      </c>
      <c r="AQ1" s="93" t="s">
        <v>127</v>
      </c>
      <c r="BC1" s="73" t="s">
        <v>319</v>
      </c>
      <c r="BM1" s="91" t="s">
        <v>320</v>
      </c>
      <c r="BN1" s="91" t="s">
        <v>922</v>
      </c>
      <c r="BO1" s="72"/>
      <c r="DF1" s="93" t="s">
        <v>934</v>
      </c>
      <c r="DK1" s="91" t="s">
        <v>940</v>
      </c>
    </row>
    <row r="2" spans="1:130" s="41" customFormat="1" x14ac:dyDescent="0.2">
      <c r="A2" s="7"/>
      <c r="B2" s="40"/>
      <c r="C2" s="73"/>
      <c r="D2" s="73"/>
      <c r="E2" s="73"/>
      <c r="F2" s="73">
        <v>64</v>
      </c>
      <c r="G2" s="73">
        <v>8</v>
      </c>
      <c r="H2" s="73"/>
      <c r="I2" s="73"/>
      <c r="J2" s="73">
        <v>55</v>
      </c>
      <c r="K2" s="73">
        <v>57</v>
      </c>
      <c r="L2" s="73"/>
      <c r="M2" s="73">
        <v>59</v>
      </c>
      <c r="N2" s="73"/>
      <c r="O2" s="9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73"/>
      <c r="AK2" s="73"/>
      <c r="AL2" s="73"/>
      <c r="AM2" s="73"/>
      <c r="AN2" s="73"/>
      <c r="AO2" s="73"/>
      <c r="AP2" s="73"/>
      <c r="AQ2" s="93"/>
      <c r="AR2" s="73"/>
      <c r="AS2" s="73">
        <v>17</v>
      </c>
      <c r="AT2" s="73"/>
      <c r="AU2" s="73">
        <v>61</v>
      </c>
      <c r="AV2" s="73">
        <v>16</v>
      </c>
      <c r="AW2" s="73"/>
      <c r="AX2" s="73"/>
      <c r="AY2" s="73"/>
      <c r="AZ2" s="73">
        <v>10</v>
      </c>
      <c r="BA2" s="73"/>
      <c r="BB2" s="73"/>
      <c r="BC2" s="73" t="s">
        <v>318</v>
      </c>
      <c r="BD2" s="73">
        <v>18</v>
      </c>
      <c r="BE2" s="73"/>
      <c r="BF2" s="73"/>
      <c r="BG2" s="73"/>
      <c r="BH2" s="73"/>
      <c r="BI2" s="73"/>
      <c r="BJ2" s="73"/>
      <c r="BK2" s="73"/>
      <c r="BL2" s="73"/>
      <c r="BM2" s="91"/>
      <c r="BN2" s="91"/>
      <c r="BO2" s="72"/>
      <c r="BP2" s="73">
        <v>20</v>
      </c>
      <c r="BQ2" s="73"/>
      <c r="BR2" s="73"/>
      <c r="BS2" s="73"/>
      <c r="BT2" s="73"/>
      <c r="BU2" s="73"/>
      <c r="BV2" s="73"/>
      <c r="BW2" s="73"/>
      <c r="BX2" s="73"/>
      <c r="BY2" s="73"/>
      <c r="BZ2" s="73"/>
      <c r="CA2" s="73"/>
      <c r="CB2" s="73">
        <v>21</v>
      </c>
      <c r="CC2" s="73"/>
      <c r="CD2" s="73"/>
      <c r="CE2" s="73"/>
      <c r="CF2" s="73"/>
      <c r="CG2" s="73"/>
      <c r="CH2" s="73"/>
      <c r="CI2" s="73"/>
      <c r="CJ2" s="73"/>
      <c r="CK2" s="73"/>
      <c r="CL2" s="73"/>
      <c r="CM2" s="73"/>
      <c r="CN2" s="73"/>
      <c r="CO2" s="73"/>
      <c r="CP2" s="73"/>
      <c r="CQ2" s="73"/>
      <c r="CR2" s="73"/>
      <c r="CS2" s="73"/>
      <c r="CT2" s="73"/>
      <c r="CU2" s="73"/>
      <c r="CV2" s="73"/>
      <c r="CW2" s="73"/>
      <c r="CX2" s="73"/>
      <c r="CY2" s="73"/>
      <c r="CZ2" s="73"/>
      <c r="DA2" s="73">
        <v>28</v>
      </c>
      <c r="DB2" s="73">
        <v>22</v>
      </c>
      <c r="DC2" s="73"/>
      <c r="DD2" s="73"/>
      <c r="DE2" s="73">
        <v>66</v>
      </c>
      <c r="DF2" s="93"/>
      <c r="DG2" s="73"/>
      <c r="DH2" s="73">
        <v>23</v>
      </c>
      <c r="DI2" s="73"/>
      <c r="DJ2" s="73"/>
      <c r="DK2" s="91"/>
      <c r="DL2" s="73"/>
      <c r="DM2" s="73"/>
      <c r="DN2" s="73"/>
      <c r="DO2" s="73"/>
      <c r="DP2" s="73"/>
      <c r="DQ2" s="73">
        <v>61</v>
      </c>
      <c r="DR2" s="73"/>
      <c r="DS2" s="73"/>
      <c r="DT2" s="73"/>
      <c r="DU2" s="73"/>
      <c r="DV2" s="73"/>
      <c r="DW2" s="73"/>
      <c r="DX2" s="73"/>
      <c r="DY2" s="73"/>
    </row>
    <row r="3" spans="1:130" s="9" customFormat="1" ht="15" customHeight="1" x14ac:dyDescent="0.2">
      <c r="A3" s="7" t="s">
        <v>29</v>
      </c>
      <c r="B3" s="4" t="s">
        <v>94</v>
      </c>
      <c r="C3" s="16" t="s">
        <v>163</v>
      </c>
      <c r="D3" s="70" t="s">
        <v>912</v>
      </c>
      <c r="E3" s="70" t="s">
        <v>911</v>
      </c>
      <c r="F3" s="74" t="s">
        <v>98</v>
      </c>
      <c r="G3" s="18"/>
      <c r="H3" s="70" t="s">
        <v>94</v>
      </c>
      <c r="I3" s="13" t="s">
        <v>96</v>
      </c>
      <c r="J3" s="74" t="s">
        <v>156</v>
      </c>
      <c r="K3" s="74" t="s">
        <v>158</v>
      </c>
      <c r="L3" s="74" t="s">
        <v>157</v>
      </c>
      <c r="M3" s="74" t="s">
        <v>160</v>
      </c>
      <c r="N3" s="13" t="s">
        <v>161</v>
      </c>
      <c r="O3" s="16"/>
      <c r="P3" s="92" t="s">
        <v>155</v>
      </c>
      <c r="Q3" s="92"/>
      <c r="R3" s="92"/>
      <c r="S3" s="92"/>
      <c r="T3" s="92"/>
      <c r="U3" s="92"/>
      <c r="V3" s="92"/>
      <c r="W3" s="92"/>
      <c r="X3" s="92"/>
      <c r="Y3" s="92"/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13"/>
      <c r="AR3" s="16" t="s">
        <v>164</v>
      </c>
      <c r="AS3" s="16" t="s">
        <v>166</v>
      </c>
      <c r="AT3" s="16" t="s">
        <v>168</v>
      </c>
      <c r="AU3" s="16" t="s">
        <v>171</v>
      </c>
      <c r="AV3" s="16" t="s">
        <v>184</v>
      </c>
      <c r="AW3" s="16" t="s">
        <v>288</v>
      </c>
      <c r="AX3" s="16" t="s">
        <v>290</v>
      </c>
      <c r="AY3" s="29" t="s">
        <v>756</v>
      </c>
      <c r="AZ3" s="16" t="s">
        <v>294</v>
      </c>
      <c r="BA3" s="16" t="s">
        <v>296</v>
      </c>
      <c r="BB3" s="16" t="s">
        <v>297</v>
      </c>
      <c r="BC3" s="16" t="s">
        <v>300</v>
      </c>
      <c r="BD3" s="16" t="s">
        <v>302</v>
      </c>
      <c r="BE3" s="18" t="s">
        <v>304</v>
      </c>
      <c r="BF3" s="18" t="s">
        <v>306</v>
      </c>
      <c r="BG3" s="18" t="s">
        <v>312</v>
      </c>
      <c r="BH3" s="18"/>
      <c r="BI3" s="18" t="s">
        <v>305</v>
      </c>
      <c r="BJ3" s="18" t="s">
        <v>310</v>
      </c>
      <c r="BK3" s="18" t="s">
        <v>314</v>
      </c>
      <c r="BL3" s="18"/>
      <c r="BM3" s="18"/>
      <c r="BN3" s="18" t="s">
        <v>322</v>
      </c>
      <c r="BO3" s="74" t="s">
        <v>923</v>
      </c>
      <c r="BP3" s="21" t="s">
        <v>326</v>
      </c>
      <c r="BQ3" s="21" t="s">
        <v>328</v>
      </c>
      <c r="BR3" s="21" t="s">
        <v>329</v>
      </c>
      <c r="BS3" s="21" t="s">
        <v>332</v>
      </c>
      <c r="BT3" s="21" t="s">
        <v>362</v>
      </c>
      <c r="BU3" s="21" t="s">
        <v>364</v>
      </c>
      <c r="BV3" s="21" t="s">
        <v>366</v>
      </c>
      <c r="BW3" s="29" t="s">
        <v>753</v>
      </c>
      <c r="BX3" s="21" t="s">
        <v>368</v>
      </c>
      <c r="BY3" s="21" t="s">
        <v>370</v>
      </c>
      <c r="BZ3" s="21" t="s">
        <v>384</v>
      </c>
      <c r="CA3" s="21" t="s">
        <v>386</v>
      </c>
      <c r="CB3" s="21" t="s">
        <v>388</v>
      </c>
      <c r="CC3" s="21" t="s">
        <v>390</v>
      </c>
      <c r="CD3" s="21" t="s">
        <v>393</v>
      </c>
      <c r="CE3" s="21" t="s">
        <v>395</v>
      </c>
      <c r="CF3" s="21" t="s">
        <v>411</v>
      </c>
      <c r="CG3" s="21" t="s">
        <v>412</v>
      </c>
      <c r="CH3" s="21" t="s">
        <v>427</v>
      </c>
      <c r="CI3" s="21" t="s">
        <v>490</v>
      </c>
      <c r="CJ3" s="21" t="s">
        <v>492</v>
      </c>
      <c r="CK3" s="21" t="s">
        <v>500</v>
      </c>
      <c r="CL3" s="21" t="s">
        <v>494</v>
      </c>
      <c r="CM3" s="21" t="s">
        <v>505</v>
      </c>
      <c r="CN3" s="21" t="s">
        <v>506</v>
      </c>
      <c r="CO3" s="21" t="s">
        <v>509</v>
      </c>
      <c r="CP3" s="21" t="s">
        <v>511</v>
      </c>
      <c r="CQ3" s="21" t="s">
        <v>513</v>
      </c>
      <c r="CR3" s="21" t="s">
        <v>516</v>
      </c>
      <c r="CS3" s="21" t="s">
        <v>518</v>
      </c>
      <c r="CT3" s="21" t="s">
        <v>520</v>
      </c>
      <c r="CU3" s="21" t="s">
        <v>522</v>
      </c>
      <c r="CV3" s="21" t="s">
        <v>524</v>
      </c>
      <c r="CW3" s="74" t="s">
        <v>927</v>
      </c>
      <c r="CX3" s="74" t="s">
        <v>928</v>
      </c>
      <c r="CY3" s="74" t="s">
        <v>937</v>
      </c>
      <c r="CZ3" s="74" t="s">
        <v>938</v>
      </c>
      <c r="DA3" s="74" t="s">
        <v>933</v>
      </c>
      <c r="DB3" s="74" t="s">
        <v>930</v>
      </c>
      <c r="DC3" s="74" t="s">
        <v>935</v>
      </c>
      <c r="DD3" s="74" t="s">
        <v>936</v>
      </c>
      <c r="DE3" s="74" t="s">
        <v>939</v>
      </c>
      <c r="DF3" s="24"/>
      <c r="DG3" s="27" t="s">
        <v>645</v>
      </c>
      <c r="DH3" s="27" t="s">
        <v>646</v>
      </c>
      <c r="DI3" s="27" t="s">
        <v>728</v>
      </c>
      <c r="DJ3" s="27" t="s">
        <v>729</v>
      </c>
      <c r="DK3" s="33"/>
      <c r="DL3" s="27" t="s">
        <v>730</v>
      </c>
      <c r="DM3" s="27" t="s">
        <v>732</v>
      </c>
      <c r="DN3" s="74" t="s">
        <v>981</v>
      </c>
      <c r="DO3" s="27" t="s">
        <v>734</v>
      </c>
      <c r="DP3" s="27" t="s">
        <v>736</v>
      </c>
      <c r="DQ3" s="74" t="s">
        <v>738</v>
      </c>
      <c r="DR3" s="27" t="s">
        <v>740</v>
      </c>
      <c r="DS3" s="57" t="s">
        <v>742</v>
      </c>
      <c r="DT3" s="27" t="s">
        <v>744</v>
      </c>
      <c r="DU3" s="27" t="s">
        <v>745</v>
      </c>
      <c r="DV3" s="63" t="s">
        <v>747</v>
      </c>
      <c r="DW3" s="63" t="s">
        <v>909</v>
      </c>
      <c r="DX3" s="27" t="s">
        <v>749</v>
      </c>
      <c r="DY3" s="27" t="s">
        <v>751</v>
      </c>
      <c r="DZ3" s="54" t="s">
        <v>32</v>
      </c>
    </row>
    <row r="4" spans="1:130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914</v>
      </c>
      <c r="E4" s="14" t="s">
        <v>915</v>
      </c>
      <c r="F4" s="14" t="s">
        <v>99</v>
      </c>
      <c r="G4" s="14" t="s">
        <v>321</v>
      </c>
      <c r="H4" s="3" t="s">
        <v>913</v>
      </c>
      <c r="I4" s="14" t="s">
        <v>97</v>
      </c>
      <c r="J4" s="14" t="s">
        <v>0</v>
      </c>
      <c r="K4" s="14" t="s">
        <v>1</v>
      </c>
      <c r="L4" s="14" t="s">
        <v>159</v>
      </c>
      <c r="M4" s="14" t="s">
        <v>2</v>
      </c>
      <c r="N4" s="14" t="s">
        <v>162</v>
      </c>
      <c r="O4" s="14"/>
      <c r="P4" s="14" t="s">
        <v>128</v>
      </c>
      <c r="Q4" s="14" t="s">
        <v>129</v>
      </c>
      <c r="R4" s="14" t="s">
        <v>130</v>
      </c>
      <c r="S4" s="14" t="s">
        <v>131</v>
      </c>
      <c r="T4" s="14" t="s">
        <v>132</v>
      </c>
      <c r="U4" s="14" t="s">
        <v>133</v>
      </c>
      <c r="V4" s="14" t="s">
        <v>134</v>
      </c>
      <c r="W4" s="14" t="s">
        <v>135</v>
      </c>
      <c r="X4" s="14" t="s">
        <v>136</v>
      </c>
      <c r="Y4" s="14" t="s">
        <v>137</v>
      </c>
      <c r="Z4" s="14" t="s">
        <v>138</v>
      </c>
      <c r="AA4" s="14" t="s">
        <v>139</v>
      </c>
      <c r="AB4" s="14" t="s">
        <v>140</v>
      </c>
      <c r="AC4" s="14" t="s">
        <v>141</v>
      </c>
      <c r="AD4" s="14" t="s">
        <v>142</v>
      </c>
      <c r="AE4" s="14" t="s">
        <v>143</v>
      </c>
      <c r="AF4" s="14" t="s">
        <v>144</v>
      </c>
      <c r="AG4" s="14" t="s">
        <v>145</v>
      </c>
      <c r="AH4" s="14" t="s">
        <v>146</v>
      </c>
      <c r="AI4" s="14" t="s">
        <v>147</v>
      </c>
      <c r="AJ4" s="14" t="s">
        <v>148</v>
      </c>
      <c r="AK4" s="14" t="s">
        <v>149</v>
      </c>
      <c r="AL4" s="14" t="s">
        <v>150</v>
      </c>
      <c r="AM4" s="14" t="s">
        <v>151</v>
      </c>
      <c r="AN4" s="14" t="s">
        <v>152</v>
      </c>
      <c r="AO4" s="14" t="s">
        <v>153</v>
      </c>
      <c r="AP4" s="14" t="s">
        <v>154</v>
      </c>
      <c r="AQ4" s="14"/>
      <c r="AR4" s="14" t="s">
        <v>165</v>
      </c>
      <c r="AS4" s="14" t="s">
        <v>167</v>
      </c>
      <c r="AT4" s="14" t="s">
        <v>169</v>
      </c>
      <c r="AU4" s="14" t="s">
        <v>172</v>
      </c>
      <c r="AV4" s="14" t="s">
        <v>185</v>
      </c>
      <c r="AW4" s="14" t="s">
        <v>289</v>
      </c>
      <c r="AX4" s="14" t="s">
        <v>291</v>
      </c>
      <c r="AY4" s="14" t="s">
        <v>757</v>
      </c>
      <c r="AZ4" s="14" t="s">
        <v>983</v>
      </c>
      <c r="BA4" s="14" t="s">
        <v>295</v>
      </c>
      <c r="BB4" s="14" t="s">
        <v>298</v>
      </c>
      <c r="BC4" s="14" t="s">
        <v>301</v>
      </c>
      <c r="BD4" s="14" t="s">
        <v>303</v>
      </c>
      <c r="BE4" s="14" t="s">
        <v>307</v>
      </c>
      <c r="BF4" s="14" t="s">
        <v>309</v>
      </c>
      <c r="BG4" s="14" t="s">
        <v>313</v>
      </c>
      <c r="BH4" s="14" t="s">
        <v>316</v>
      </c>
      <c r="BI4" s="14" t="s">
        <v>308</v>
      </c>
      <c r="BJ4" s="14" t="s">
        <v>311</v>
      </c>
      <c r="BK4" s="14" t="s">
        <v>315</v>
      </c>
      <c r="BL4" s="14" t="s">
        <v>317</v>
      </c>
      <c r="BM4" s="14"/>
      <c r="BN4" s="14"/>
      <c r="BO4" s="14" t="s">
        <v>924</v>
      </c>
      <c r="BP4" s="14" t="s">
        <v>327</v>
      </c>
      <c r="BQ4" s="14" t="s">
        <v>330</v>
      </c>
      <c r="BR4" s="14" t="s">
        <v>331</v>
      </c>
      <c r="BS4" s="14" t="s">
        <v>333</v>
      </c>
      <c r="BT4" s="14" t="s">
        <v>363</v>
      </c>
      <c r="BU4" s="14" t="s">
        <v>365</v>
      </c>
      <c r="BV4" s="14" t="s">
        <v>367</v>
      </c>
      <c r="BW4" s="14" t="s">
        <v>754</v>
      </c>
      <c r="BX4" s="14" t="s">
        <v>369</v>
      </c>
      <c r="BY4" s="14" t="s">
        <v>371</v>
      </c>
      <c r="BZ4" s="14" t="s">
        <v>385</v>
      </c>
      <c r="CA4" s="14" t="s">
        <v>387</v>
      </c>
      <c r="CB4" s="14" t="s">
        <v>389</v>
      </c>
      <c r="CC4" s="14" t="s">
        <v>391</v>
      </c>
      <c r="CD4" s="14" t="s">
        <v>394</v>
      </c>
      <c r="CE4" s="14" t="s">
        <v>396</v>
      </c>
      <c r="CF4" s="14" t="s">
        <v>33</v>
      </c>
      <c r="CG4" s="14" t="s">
        <v>413</v>
      </c>
      <c r="CH4" s="14" t="s">
        <v>428</v>
      </c>
      <c r="CI4" s="14" t="s">
        <v>491</v>
      </c>
      <c r="CJ4" s="14" t="s">
        <v>493</v>
      </c>
      <c r="CK4" s="14" t="s">
        <v>501</v>
      </c>
      <c r="CL4" s="14" t="s">
        <v>495</v>
      </c>
      <c r="CM4" s="14" t="s">
        <v>508</v>
      </c>
      <c r="CN4" s="14" t="s">
        <v>507</v>
      </c>
      <c r="CO4" s="14" t="s">
        <v>510</v>
      </c>
      <c r="CP4" s="14" t="s">
        <v>512</v>
      </c>
      <c r="CQ4" s="14" t="s">
        <v>514</v>
      </c>
      <c r="CR4" s="14" t="s">
        <v>517</v>
      </c>
      <c r="CS4" s="14" t="s">
        <v>519</v>
      </c>
      <c r="CT4" s="14" t="s">
        <v>521</v>
      </c>
      <c r="CU4" s="14" t="s">
        <v>523</v>
      </c>
      <c r="CV4" s="14" t="s">
        <v>525</v>
      </c>
      <c r="CW4" s="14" t="s">
        <v>638</v>
      </c>
      <c r="CX4" s="14" t="s">
        <v>929</v>
      </c>
      <c r="CY4" s="14" t="s">
        <v>931</v>
      </c>
      <c r="CZ4" s="14" t="s">
        <v>642</v>
      </c>
      <c r="DA4" s="14" t="s">
        <v>932</v>
      </c>
      <c r="DB4" s="14" t="s">
        <v>639</v>
      </c>
      <c r="DC4" s="14" t="s">
        <v>640</v>
      </c>
      <c r="DD4" s="14" t="s">
        <v>641</v>
      </c>
      <c r="DE4" s="14" t="s">
        <v>926</v>
      </c>
      <c r="DF4" s="14"/>
      <c r="DG4" s="14" t="s">
        <v>648</v>
      </c>
      <c r="DH4" s="14" t="s">
        <v>647</v>
      </c>
      <c r="DI4" s="14" t="s">
        <v>643</v>
      </c>
      <c r="DJ4" s="14" t="s">
        <v>644</v>
      </c>
      <c r="DK4" s="14"/>
      <c r="DL4" s="14" t="s">
        <v>731</v>
      </c>
      <c r="DM4" s="14" t="s">
        <v>733</v>
      </c>
      <c r="DN4" s="14" t="s">
        <v>982</v>
      </c>
      <c r="DO4" s="14" t="s">
        <v>735</v>
      </c>
      <c r="DP4" s="14" t="s">
        <v>737</v>
      </c>
      <c r="DQ4" s="14" t="s">
        <v>739</v>
      </c>
      <c r="DR4" s="14" t="s">
        <v>741</v>
      </c>
      <c r="DS4" s="14" t="s">
        <v>743</v>
      </c>
      <c r="DT4" s="14" t="s">
        <v>741</v>
      </c>
      <c r="DU4" s="14" t="s">
        <v>746</v>
      </c>
      <c r="DV4" s="14" t="s">
        <v>748</v>
      </c>
      <c r="DW4" s="14" t="s">
        <v>910</v>
      </c>
      <c r="DX4" s="14" t="s">
        <v>750</v>
      </c>
      <c r="DY4" s="14" t="s">
        <v>752</v>
      </c>
      <c r="DZ4" s="5" t="s">
        <v>908</v>
      </c>
    </row>
    <row r="5" spans="1:130" x14ac:dyDescent="0.2">
      <c r="A5" s="7" t="str">
        <f>"Execução "&amp;ROW()-4</f>
        <v>Execução 1</v>
      </c>
      <c r="B5" s="79"/>
      <c r="C5" s="85"/>
      <c r="D5" s="71" t="str">
        <f>IF(J5="","",J5)</f>
        <v/>
      </c>
      <c r="E5" s="71" t="str">
        <f>IF(F5="","",F5)</f>
        <v/>
      </c>
      <c r="F5" s="43" t="str">
        <f>IF(IFERROR(INDEX(Consulta!$A:$DN,MATCH('ZM01'!$C5,Consulta!$D:$D,0),'ZM01'!F$2),"")=0,"",IFERROR(INDEX(Consulta!$A:$DN,MATCH('ZM01'!$C5,Consulta!$D:$D,0),'ZM01'!F$2),""))</f>
        <v/>
      </c>
      <c r="G5" s="43" t="str">
        <f>IF(IFERROR(INDEX(Consulta!$A:$DN,MATCH('ZM01'!$C5,Consulta!$D:$D,0),'ZM01'!G$2),"")=0,"",IFERROR(INDEX(Consulta!$A:$DN,MATCH('ZM01'!$C5,Consulta!$D:$D,0),'ZM01'!G$2),""))</f>
        <v/>
      </c>
      <c r="H5" s="43" t="str">
        <f>IF(B5="","",B5)</f>
        <v/>
      </c>
      <c r="I5" s="44" t="s">
        <v>100</v>
      </c>
      <c r="J5" s="43" t="str">
        <f>IF(IFERROR(INDEX(Consulta!$A:$DN,MATCH('ZM01'!$C5,Consulta!$D:$D,0),'ZM01'!J$2),"")=0,"",IFERROR(INDEX(Consulta!$A:$DN,MATCH('ZM01'!$C5,Consulta!$D:$D,0),'ZM01'!J$2),""))</f>
        <v/>
      </c>
      <c r="K5" s="43" t="str">
        <f>IF(IFERROR(INDEX(Consulta!$A:$DN,MATCH('ZM01'!$C5,Consulta!$D:$D,0),'ZM01'!K$2),"")=0,"",IFERROR(INDEX(Consulta!$A:$DN,MATCH('ZM01'!$C5,Consulta!$D:$D,0),'ZM01'!K$2),""))</f>
        <v/>
      </c>
      <c r="L5" s="43" t="str">
        <f>J5</f>
        <v/>
      </c>
      <c r="M5" s="43" t="str">
        <f>IF(IFERROR(INDEX(Consulta!$A:$DN,MATCH('ZM01'!$C5,Consulta!$D:$D,0),'ZM01'!M$2),"")=0,"",IFERROR(INDEX(Consulta!$A:$DN,MATCH('ZM01'!$C5,Consulta!$D:$D,0),'ZM01'!M$2),""))</f>
        <v/>
      </c>
      <c r="N5" s="43" t="str">
        <f>RIGHT(J5,3)</f>
        <v/>
      </c>
      <c r="P5" s="45" t="s">
        <v>101</v>
      </c>
      <c r="Q5" s="45" t="s">
        <v>102</v>
      </c>
      <c r="R5" s="45" t="s">
        <v>103</v>
      </c>
      <c r="S5" s="45" t="s">
        <v>104</v>
      </c>
      <c r="T5" s="45" t="s">
        <v>105</v>
      </c>
      <c r="U5" s="45" t="s">
        <v>106</v>
      </c>
      <c r="V5" s="45" t="s">
        <v>107</v>
      </c>
      <c r="W5" s="45" t="s">
        <v>109</v>
      </c>
      <c r="X5" s="45" t="s">
        <v>110</v>
      </c>
      <c r="Y5" s="45"/>
      <c r="Z5" s="45"/>
      <c r="AA5" s="45" t="s">
        <v>112</v>
      </c>
      <c r="AB5" s="45" t="s">
        <v>113</v>
      </c>
      <c r="AC5" s="45" t="s">
        <v>114</v>
      </c>
      <c r="AD5" s="45" t="s">
        <v>115</v>
      </c>
      <c r="AE5" s="45" t="s">
        <v>117</v>
      </c>
      <c r="AF5" s="45" t="s">
        <v>118</v>
      </c>
      <c r="AG5" s="45" t="s">
        <v>119</v>
      </c>
      <c r="AH5" s="45" t="s">
        <v>120</v>
      </c>
      <c r="AI5" s="45" t="s">
        <v>121</v>
      </c>
      <c r="AJ5" s="45" t="s">
        <v>122</v>
      </c>
      <c r="AK5" s="45" t="s">
        <v>123</v>
      </c>
      <c r="AL5" s="45" t="s">
        <v>124</v>
      </c>
      <c r="AM5" s="45" t="s">
        <v>125</v>
      </c>
      <c r="AN5" s="45" t="s">
        <v>126</v>
      </c>
      <c r="AO5" s="45"/>
      <c r="AP5" s="45"/>
      <c r="AR5" s="44" t="s">
        <v>822</v>
      </c>
      <c r="AS5" s="43" t="str">
        <f>IF(IFERROR(INDEX(Consulta!$A:$DN,MATCH('ZM01'!$C5,Consulta!$D:$D,0),'ZM01'!AS$2),"")=0,"",IFERROR(INDEX(Consulta!$A:$DN,MATCH('ZM01'!$C5,Consulta!$D:$D,0),'ZM01'!AS$2),""))</f>
        <v/>
      </c>
      <c r="AT5" s="45"/>
      <c r="AU5" s="43" t="str">
        <f>IF(IFERROR(INDEX(Consulta!$A:$DN,MATCH('ZM01'!$C5,Consulta!$D:$D,0),'ZM01'!AU$2),"")=0,"",IFERROR(INDEX(Consulta!$A:$DN,MATCH('ZM01'!$C5,Consulta!$D:$D,0),'ZM01'!AU$2),""))</f>
        <v/>
      </c>
      <c r="AV5" s="43" t="str">
        <f>IF(IFERROR(INDEX(Consulta!$A:$DN,MATCH('ZM01'!$C5,Consulta!$D:$D,0),'ZM01'!AV$2),"")=0,"",IFERROR(INDEX(Consulta!$A:$DN,MATCH('ZM01'!$C5,Consulta!$D:$D,0),'ZM01'!AV$2),""))</f>
        <v/>
      </c>
      <c r="AW5" s="45"/>
      <c r="AX5" s="46" t="str">
        <f ca="1">IF(AW5&lt;&gt;0,TEXT(TODAY(),"DD.MM.AAAA"),"")</f>
        <v/>
      </c>
      <c r="AY5" s="47" t="s">
        <v>755</v>
      </c>
      <c r="AZ5" s="43" t="str">
        <f>IF(IFERROR(ROUND(INDEX(Consulta!$A:$DN,MATCH('ZM01'!$C5,Consulta!$D:$D,0),'ZM01'!AZ$2),3),"")=0,"",IFERROR(ROUND(INDEX(Consulta!$A:$DN,MATCH('ZM01'!$C5,Consulta!$D:$D,0),'ZM01'!AZ$2),3),""))</f>
        <v/>
      </c>
      <c r="BA5" s="43" t="str">
        <f>IFERROR(IF(AZ5&lt;&gt;0,ROUND(AZ5,3),""),"")</f>
        <v/>
      </c>
      <c r="BB5" s="48" t="s">
        <v>299</v>
      </c>
      <c r="BC5" s="48"/>
      <c r="BD5" s="43" t="str">
        <f>IF(IFERROR(INDEX(Consulta!$A:$DN,MATCH('ZM01'!$C5,Consulta!$D:$D,0),'ZM01'!BD$2),"")=0,"",IFERROR(INDEX(Consulta!$A:$DN,MATCH('ZM01'!$C5,Consulta!$D:$D,0),'ZM01'!BD$2),""))</f>
        <v/>
      </c>
      <c r="BE5" s="43" t="str">
        <f t="shared" ref="BE5:BE64" si="0">IFERROR(IF(LEN(ROUND(AZ5,3)*1000)&gt;5,ROUND(AZ5,2)*100,ROUND(AZ5,3)*1000),"")</f>
        <v/>
      </c>
      <c r="BF5" s="43" t="str">
        <f>IF(BE5="","",BB5)</f>
        <v/>
      </c>
      <c r="BG5" s="43" t="str">
        <f t="shared" ref="BG5:BG64" si="1">IFERROR(IF(LEN(ROUND(AZ5,3)*1000)&gt;5,100,1000),"")</f>
        <v/>
      </c>
      <c r="BH5" s="43" t="str">
        <f>AR5</f>
        <v>PC</v>
      </c>
      <c r="BI5" s="43" t="str">
        <f>G5</f>
        <v/>
      </c>
      <c r="BJ5" s="43" t="str">
        <f>IF(BI5="","","M")</f>
        <v/>
      </c>
      <c r="BK5" s="43" t="str">
        <f>IF(BI5="","",1000)</f>
        <v/>
      </c>
      <c r="BL5" s="43" t="str">
        <f>AR5</f>
        <v>PC</v>
      </c>
      <c r="BN5" s="44"/>
      <c r="BO5" s="44" t="s">
        <v>925</v>
      </c>
      <c r="BP5" s="43" t="str">
        <f>IF(OR(IFERROR(INDEX(Consulta!$A:$DN,MATCH('ZM01'!$C5,Consulta!$D:$D,0),'ZM01'!BP$2),"")=0,IFERROR(INDEX(Consulta!$A:$DN,MATCH('ZM01'!$C5,Consulta!$D:$D,0),'ZM01'!BP$2),"")=AR5),"",IFERROR(INDEX(Consulta!$A:$DN,MATCH('ZM01'!$C5,Consulta!$D:$D,0),'ZM01'!BP$2),""))</f>
        <v/>
      </c>
      <c r="BQ5" s="45">
        <v>99</v>
      </c>
      <c r="BR5" s="46" t="str">
        <f ca="1">IF(BQ5&lt;&gt;0,TEXT(TODAY(),"DD.MM.AAAA"),"")</f>
        <v>24.05.2022</v>
      </c>
      <c r="BS5" s="49" t="str">
        <f>J5</f>
        <v/>
      </c>
      <c r="BT5" s="50">
        <v>1</v>
      </c>
      <c r="BU5" s="50" t="s">
        <v>194</v>
      </c>
      <c r="BV5" s="90" t="str">
        <f>IF(AU5="68","20","01")</f>
        <v>01</v>
      </c>
      <c r="BW5" s="50" t="s">
        <v>755</v>
      </c>
      <c r="BX5" s="44">
        <v>1</v>
      </c>
      <c r="BY5" s="44" t="s">
        <v>372</v>
      </c>
      <c r="BZ5" s="50" t="s">
        <v>197</v>
      </c>
      <c r="CA5" s="50" t="s">
        <v>197</v>
      </c>
      <c r="CB5" s="43" t="str">
        <f>IF(IFERROR(INDEX(Consulta!$A:$DN,MATCH('ZM01'!$C5,Consulta!$D:$D,0),'ZM01'!CB$2),"")=0,"",IFERROR(INDEX(Consulta!$A:$DN,MATCH('ZM01'!$C5,Consulta!$D:$D,0),'ZM01'!CB$2),""))</f>
        <v/>
      </c>
      <c r="CC5" s="44" t="s">
        <v>392</v>
      </c>
      <c r="CD5" s="50">
        <v>0</v>
      </c>
      <c r="CE5" s="45" t="s">
        <v>403</v>
      </c>
      <c r="CF5" s="45" t="s">
        <v>84</v>
      </c>
      <c r="CG5" s="43" t="str">
        <f>IF(AND(CJ5="F",CK5="30"),"999",RIGHT(J5,3))</f>
        <v/>
      </c>
      <c r="CH5" s="45" t="s">
        <v>430</v>
      </c>
      <c r="CI5" s="44">
        <v>0</v>
      </c>
      <c r="CJ5" s="43" t="str">
        <f>IF(LEFT(DH5,3)="SUB","F","E")</f>
        <v>E</v>
      </c>
      <c r="CK5" s="43" t="str">
        <f>IF(AND(CJ5="F",LEFT(DH5,3)="SUB"),"30",IF(CJ5="F","Z1",""))</f>
        <v/>
      </c>
      <c r="CL5" s="44">
        <v>2</v>
      </c>
      <c r="CM5" s="49" t="str">
        <f>K5</f>
        <v/>
      </c>
      <c r="CN5" s="49" t="str">
        <f>K5</f>
        <v/>
      </c>
      <c r="CO5" s="43" t="str">
        <f>IF(AND(CJ5="F",CK5="Z1"),1,IF(CJ5="F",15,""))</f>
        <v/>
      </c>
      <c r="CP5" s="44">
        <v>1</v>
      </c>
      <c r="CQ5" s="50" t="s">
        <v>515</v>
      </c>
      <c r="CR5" s="44" t="s">
        <v>372</v>
      </c>
      <c r="CS5" s="44">
        <v>2</v>
      </c>
      <c r="CT5" s="44">
        <v>42</v>
      </c>
      <c r="CU5" s="44">
        <v>10</v>
      </c>
      <c r="CV5" s="43" t="str">
        <f>IF(E5="DFER","K00_DP_"&amp;J5,"K00_AO_"&amp;J5)</f>
        <v>K00_AO_</v>
      </c>
      <c r="CW5" s="43" t="str">
        <f>IF(OR(F5="MFER",F5="KMAT"),"INITIAL",IF(OR(F5="FERT",F5="HAWZ"),"0000999999",""))</f>
        <v/>
      </c>
      <c r="CX5" s="43" t="str">
        <f>IF(OR(F5="MFER",F5="KMAT"),"INIT",IF(OR(F5="FERT",F5="HAWZ"),"999999",""))</f>
        <v/>
      </c>
      <c r="CY5" s="44">
        <v>1</v>
      </c>
      <c r="CZ5" s="43" t="str">
        <f>IF(G5=0,"",G5)</f>
        <v/>
      </c>
      <c r="DA5" s="43" t="str">
        <f>IF(IFERROR(INDEX(Consulta!$A:$DN,MATCH('ZM01'!$C5,Consulta!$D:$D,0),'ZM01'!DA$2),"")=0,"",IFERROR(INDEX(Consulta!$A:$DN,MATCH('ZM01'!$C5,Consulta!$D:$D,0),'ZM01'!DA$2),""))</f>
        <v/>
      </c>
      <c r="DB5" s="43" t="str">
        <f>IF(IFERROR(INDEX(Consulta!$A:$DN,MATCH('ZM01'!$C5,Consulta!$D:$D,0),'ZM01'!DB$2),"")=0,"",IFERROR(INDEX(Consulta!$A:$DN,MATCH('ZM01'!$C5,Consulta!$D:$D,0),'ZM01'!DB$2),""))</f>
        <v/>
      </c>
      <c r="DC5" s="45">
        <v>0</v>
      </c>
      <c r="DD5" s="45">
        <v>0</v>
      </c>
      <c r="DE5" s="43" t="str">
        <f>IF(IFERROR(INDEX(Consulta!$A:$DN,MATCH('ZM01'!$C5,Consulta!$D:$D,0),'ZM01'!DE$2),"")=0,"",IFERROR(TEXT(VALUE(INDEX(Consulta!$A:$DN,MATCH('ZM01'!$C5,Consulta!$D:$D,0),'ZM01'!DE$2))/100,"0,00"),""))</f>
        <v/>
      </c>
      <c r="DG5" s="43">
        <f>IF(DH5&lt;&gt;0,1,"")</f>
        <v>1</v>
      </c>
      <c r="DH5" s="43" t="str">
        <f>IF(IFERROR(INDEX(Consulta!$A:$DN,MATCH('ZM01'!$C5,Consulta!$D:$D,0),'ZM01'!DH$2),"")=0,"",IFERROR(VLOOKUP(INDEX(Consulta!$A:$DN,MATCH('ZM01'!$C5,Consulta!$D:$D,0),'ZM01'!DH$2),'Listas de Dados'!BU:BW,3,0),""))</f>
        <v/>
      </c>
      <c r="DI5" s="43" t="str">
        <f ca="1">IF(DH5&lt;&gt;0,TEXT(TODAY(),"dd.mm.aaaa"),"")</f>
        <v>24.05.2022</v>
      </c>
      <c r="DJ5" s="43" t="str">
        <f>IF(DH5&lt;&gt;0,"31.12.9999","")</f>
        <v>31.12.9999</v>
      </c>
      <c r="DL5" s="44">
        <v>1</v>
      </c>
      <c r="DM5" s="44" t="s">
        <v>1039</v>
      </c>
      <c r="DN5" s="44">
        <v>1</v>
      </c>
      <c r="DO5" s="43">
        <f>IF(OR(AR5="M",AR5="KG"),0.01,1)</f>
        <v>1</v>
      </c>
      <c r="DP5" s="43" t="str">
        <f>AR5</f>
        <v>PC</v>
      </c>
      <c r="DQ5" s="43" t="str">
        <f>IF(OR(F5="MFER",F5="KMAT",F5="DFER",F5="FERT"),7925,"")</f>
        <v/>
      </c>
      <c r="DR5" s="44">
        <v>100</v>
      </c>
      <c r="DS5" s="71">
        <f>IF(CJ5="F",IF(AND(CK5=30,CK5="Z1"),1,0),1)</f>
        <v>1</v>
      </c>
      <c r="DT5" s="43">
        <f>DR5</f>
        <v>100</v>
      </c>
      <c r="DU5" s="44">
        <v>1</v>
      </c>
      <c r="DV5" s="44">
        <v>0</v>
      </c>
      <c r="DW5" s="44" t="s">
        <v>826</v>
      </c>
      <c r="DX5" s="45">
        <v>0</v>
      </c>
      <c r="DY5" s="44">
        <v>100</v>
      </c>
      <c r="DZ5" s="60"/>
    </row>
    <row r="6" spans="1:130" x14ac:dyDescent="0.2">
      <c r="A6" s="7" t="str">
        <f t="shared" ref="A6:A64" si="2">"Execução "&amp;ROW()-4</f>
        <v>Execução 2</v>
      </c>
      <c r="B6" s="75"/>
      <c r="C6" s="85"/>
      <c r="D6" s="71" t="str">
        <f t="shared" ref="D6:D7" si="3">IF(J6="","",J6)</f>
        <v/>
      </c>
      <c r="E6" s="71" t="str">
        <f t="shared" ref="E6:E7" si="4">IF(F6="","",F6)</f>
        <v/>
      </c>
      <c r="F6" s="43" t="str">
        <f>IF(IFERROR(INDEX(Consulta!$A:$DN,MATCH('ZM01'!$C6,Consulta!$D:$D,0),'ZM01'!F$2),"")=0,"",IFERROR(INDEX(Consulta!$A:$DN,MATCH('ZM01'!$C6,Consulta!$D:$D,0),'ZM01'!F$2),""))</f>
        <v/>
      </c>
      <c r="G6" s="43" t="str">
        <f>IF(IFERROR(INDEX(Consulta!$A:$DN,MATCH('ZM01'!$C6,Consulta!$D:$D,0),'ZM01'!G$2),"")=0,"",IFERROR(INDEX(Consulta!$A:$DN,MATCH('ZM01'!$C6,Consulta!$D:$D,0),'ZM01'!G$2),""))</f>
        <v/>
      </c>
      <c r="H6" s="43" t="str">
        <f>IF(B6="","",B6)</f>
        <v/>
      </c>
      <c r="I6" s="44" t="s">
        <v>100</v>
      </c>
      <c r="J6" s="43" t="str">
        <f>IF(IFERROR(INDEX(Consulta!$A:$DN,MATCH('ZM01'!$C6,Consulta!$D:$D,0),'ZM01'!J$2),"")=0,"",IFERROR(INDEX(Consulta!$A:$DN,MATCH('ZM01'!$C6,Consulta!$D:$D,0),'ZM01'!J$2),""))</f>
        <v/>
      </c>
      <c r="K6" s="43" t="str">
        <f>IF(IFERROR(INDEX(Consulta!$A:$DN,MATCH('ZM01'!$C6,Consulta!$D:$D,0),'ZM01'!K$2),"")=0,"",IFERROR(INDEX(Consulta!$A:$DN,MATCH('ZM01'!$C6,Consulta!$D:$D,0),'ZM01'!K$2),""))</f>
        <v/>
      </c>
      <c r="L6" s="43" t="str">
        <f t="shared" ref="L6:L7" si="5">J6</f>
        <v/>
      </c>
      <c r="M6" s="43" t="str">
        <f>IF(IFERROR(INDEX(Consulta!$A:$DN,MATCH('ZM01'!$C6,Consulta!$D:$D,0),'ZM01'!M$2),"")=0,"",IFERROR(INDEX(Consulta!$A:$DN,MATCH('ZM01'!$C6,Consulta!$D:$D,0),'ZM01'!M$2),""))</f>
        <v/>
      </c>
      <c r="N6" s="43" t="str">
        <f t="shared" ref="N6:N7" si="6">RIGHT(J6,3)</f>
        <v/>
      </c>
      <c r="P6" s="45" t="s">
        <v>101</v>
      </c>
      <c r="Q6" s="45" t="s">
        <v>102</v>
      </c>
      <c r="R6" s="45" t="s">
        <v>103</v>
      </c>
      <c r="S6" s="45" t="s">
        <v>104</v>
      </c>
      <c r="T6" s="45" t="s">
        <v>105</v>
      </c>
      <c r="U6" s="45" t="s">
        <v>106</v>
      </c>
      <c r="V6" s="45" t="s">
        <v>107</v>
      </c>
      <c r="W6" s="45" t="s">
        <v>109</v>
      </c>
      <c r="X6" s="45" t="s">
        <v>110</v>
      </c>
      <c r="Y6" s="45"/>
      <c r="Z6" s="45"/>
      <c r="AA6" s="45" t="s">
        <v>112</v>
      </c>
      <c r="AB6" s="45" t="s">
        <v>113</v>
      </c>
      <c r="AC6" s="45" t="s">
        <v>114</v>
      </c>
      <c r="AD6" s="45" t="s">
        <v>115</v>
      </c>
      <c r="AE6" s="45" t="s">
        <v>117</v>
      </c>
      <c r="AF6" s="45" t="s">
        <v>118</v>
      </c>
      <c r="AG6" s="45" t="s">
        <v>119</v>
      </c>
      <c r="AH6" s="45" t="s">
        <v>120</v>
      </c>
      <c r="AI6" s="45" t="s">
        <v>121</v>
      </c>
      <c r="AJ6" s="45" t="s">
        <v>122</v>
      </c>
      <c r="AK6" s="45" t="s">
        <v>123</v>
      </c>
      <c r="AL6" s="45" t="s">
        <v>124</v>
      </c>
      <c r="AM6" s="45" t="s">
        <v>125</v>
      </c>
      <c r="AN6" s="45" t="s">
        <v>126</v>
      </c>
      <c r="AO6" s="45"/>
      <c r="AP6" s="45"/>
      <c r="AR6" s="44" t="s">
        <v>822</v>
      </c>
      <c r="AS6" s="43" t="str">
        <f>IF(IFERROR(INDEX(Consulta!$A:$DN,MATCH('ZM01'!$C6,Consulta!$D:$D,0),'ZM01'!AS$2),"")=0,"",IFERROR(INDEX(Consulta!$A:$DN,MATCH('ZM01'!$C6,Consulta!$D:$D,0),'ZM01'!AS$2),""))</f>
        <v/>
      </c>
      <c r="AT6" s="45"/>
      <c r="AU6" s="43" t="str">
        <f>IF(IFERROR(INDEX(Consulta!$A:$DN,MATCH('ZM01'!$C6,Consulta!$D:$D,0),'ZM01'!AU$2),"")=0,"",IFERROR(INDEX(Consulta!$A:$DN,MATCH('ZM01'!$C6,Consulta!$D:$D,0),'ZM01'!AU$2),""))</f>
        <v/>
      </c>
      <c r="AV6" s="43" t="str">
        <f>IF(IFERROR(INDEX(Consulta!$A:$DN,MATCH('ZM01'!$C6,Consulta!$D:$D,0),'ZM01'!AV$2),"")=0,"",IFERROR(INDEX(Consulta!$A:$DN,MATCH('ZM01'!$C6,Consulta!$D:$D,0),'ZM01'!AV$2),""))</f>
        <v/>
      </c>
      <c r="AW6" s="45"/>
      <c r="AX6" s="46" t="str">
        <f t="shared" ref="AX6:AX7" ca="1" si="7">IF(AW6&lt;&gt;0,TEXT(TODAY(),"DD.MM.AAAA"),"")</f>
        <v/>
      </c>
      <c r="AY6" s="47" t="s">
        <v>755</v>
      </c>
      <c r="AZ6" s="43" t="str">
        <f>IF(IFERROR(ROUND(INDEX(Consulta!$A:$DN,MATCH('ZM01'!$C6,Consulta!$D:$D,0),'ZM01'!AZ$2),3),"")=0,"",IFERROR(ROUND(INDEX(Consulta!$A:$DN,MATCH('ZM01'!$C6,Consulta!$D:$D,0),'ZM01'!AZ$2),3),""))</f>
        <v/>
      </c>
      <c r="BA6" s="43" t="str">
        <f t="shared" ref="BA6:BA7" si="8">IFERROR(IF(AZ6&lt;&gt;0,ROUND(AZ6,3),""),"")</f>
        <v/>
      </c>
      <c r="BB6" s="48" t="s">
        <v>299</v>
      </c>
      <c r="BC6" s="48"/>
      <c r="BD6" s="43" t="str">
        <f>IF(IFERROR(INDEX(Consulta!$A:$DN,MATCH('ZM01'!$C6,Consulta!$D:$D,0),'ZM01'!BD$2),"")=0,"",IFERROR(INDEX(Consulta!$A:$DN,MATCH('ZM01'!$C6,Consulta!$D:$D,0),'ZM01'!BD$2),""))</f>
        <v/>
      </c>
      <c r="BE6" s="43" t="str">
        <f t="shared" si="0"/>
        <v/>
      </c>
      <c r="BF6" s="43" t="str">
        <f t="shared" ref="BF6:BF7" si="9">IF(BE6="","",BB6)</f>
        <v/>
      </c>
      <c r="BG6" s="43" t="str">
        <f t="shared" si="1"/>
        <v/>
      </c>
      <c r="BH6" s="43" t="str">
        <f t="shared" ref="BH6:BH7" si="10">AR6</f>
        <v>PC</v>
      </c>
      <c r="BI6" s="43" t="str">
        <f>G6</f>
        <v/>
      </c>
      <c r="BJ6" s="43" t="str">
        <f>IF(BI6="","","M")</f>
        <v/>
      </c>
      <c r="BK6" s="43" t="str">
        <f>IF(BI6="","",1000)</f>
        <v/>
      </c>
      <c r="BL6" s="43" t="str">
        <f t="shared" ref="BL6:BL7" si="11">AR6</f>
        <v>PC</v>
      </c>
      <c r="BN6" s="44"/>
      <c r="BO6" s="44" t="s">
        <v>925</v>
      </c>
      <c r="BP6" s="43" t="str">
        <f>IF(OR(IFERROR(INDEX(Consulta!$A:$DN,MATCH('ZM01'!$C6,Consulta!$D:$D,0),'ZM01'!BP$2),"")=0,IFERROR(INDEX(Consulta!$A:$DN,MATCH('ZM01'!$C6,Consulta!$D:$D,0),'ZM01'!BP$2),"")=AR6),"",IFERROR(INDEX(Consulta!$A:$DN,MATCH('ZM01'!$C6,Consulta!$D:$D,0),'ZM01'!BP$2),""))</f>
        <v/>
      </c>
      <c r="BQ6" s="45">
        <v>99</v>
      </c>
      <c r="BR6" s="46" t="str">
        <f t="shared" ref="BR6:BR7" ca="1" si="12">IF(BQ6&lt;&gt;0,TEXT(TODAY(),"DD.MM.AAAA"),"")</f>
        <v>24.05.2022</v>
      </c>
      <c r="BS6" s="49" t="str">
        <f t="shared" ref="BS6:BS7" si="13">J6</f>
        <v/>
      </c>
      <c r="BT6" s="50">
        <v>1</v>
      </c>
      <c r="BU6" s="50" t="s">
        <v>194</v>
      </c>
      <c r="BV6" s="90" t="str">
        <f t="shared" ref="BV6:BV64" si="14">IF(AU6="68","20","01")</f>
        <v>01</v>
      </c>
      <c r="BW6" s="50" t="s">
        <v>755</v>
      </c>
      <c r="BX6" s="44">
        <v>1</v>
      </c>
      <c r="BY6" s="44" t="s">
        <v>372</v>
      </c>
      <c r="BZ6" s="50" t="s">
        <v>197</v>
      </c>
      <c r="CA6" s="50" t="s">
        <v>197</v>
      </c>
      <c r="CB6" s="43" t="str">
        <f>IF(IFERROR(INDEX(Consulta!$A:$DN,MATCH('ZM01'!$C6,Consulta!$D:$D,0),'ZM01'!CB$2),"")=0,"",IFERROR(INDEX(Consulta!$A:$DN,MATCH('ZM01'!$C6,Consulta!$D:$D,0),'ZM01'!CB$2),""))</f>
        <v/>
      </c>
      <c r="CC6" s="44" t="s">
        <v>392</v>
      </c>
      <c r="CD6" s="50">
        <v>0</v>
      </c>
      <c r="CE6" s="45" t="s">
        <v>403</v>
      </c>
      <c r="CF6" s="45" t="s">
        <v>84</v>
      </c>
      <c r="CG6" s="43" t="str">
        <f t="shared" ref="CG6:CG64" si="15">IF(AND(CJ6="F",CK6="30"),"999",RIGHT(J6,3))</f>
        <v/>
      </c>
      <c r="CH6" s="45" t="s">
        <v>430</v>
      </c>
      <c r="CI6" s="44">
        <v>0</v>
      </c>
      <c r="CJ6" s="43" t="str">
        <f>IF(LEFT(DH6,3)="SUB","F","E")</f>
        <v>E</v>
      </c>
      <c r="CK6" s="43" t="str">
        <f>IF(AND(CJ6="F",LEFT(DH6,3)="SUB"),"30",IF(CJ6="F","Z1",""))</f>
        <v/>
      </c>
      <c r="CL6" s="44">
        <v>2</v>
      </c>
      <c r="CM6" s="49" t="str">
        <f t="shared" ref="CM6:CM7" si="16">K6</f>
        <v/>
      </c>
      <c r="CN6" s="49" t="str">
        <f t="shared" ref="CN6:CN7" si="17">K6</f>
        <v/>
      </c>
      <c r="CO6" s="43" t="str">
        <f>IF(AND(CJ6="F",CK6="Z1"),1,IF(CJ6="F",15,""))</f>
        <v/>
      </c>
      <c r="CP6" s="44">
        <v>1</v>
      </c>
      <c r="CQ6" s="50" t="s">
        <v>515</v>
      </c>
      <c r="CR6" s="44" t="s">
        <v>372</v>
      </c>
      <c r="CS6" s="44">
        <v>2</v>
      </c>
      <c r="CT6" s="44">
        <v>42</v>
      </c>
      <c r="CU6" s="44">
        <v>10</v>
      </c>
      <c r="CV6" s="43" t="str">
        <f>IF(E6="DFER","K00_DP_"&amp;J6,"K00_AO_"&amp;J6)</f>
        <v>K00_AO_</v>
      </c>
      <c r="CW6" s="43" t="str">
        <f>IF(OR(F6="MFER",F6="KMAT"),"INITIAL",IF(OR(F6="FERT",F6="HAWZ"),"0000999999",""))</f>
        <v/>
      </c>
      <c r="CX6" s="43" t="str">
        <f>IF(OR(F6="MFER",F6="KMAT"),"INIT",IF(OR(F6="FERT",F6="HAWZ"),"999999",""))</f>
        <v/>
      </c>
      <c r="CY6" s="44">
        <v>1</v>
      </c>
      <c r="CZ6" s="43" t="str">
        <f>IF(G6=0,"",G6)</f>
        <v/>
      </c>
      <c r="DA6" s="43" t="str">
        <f>IF(IFERROR(INDEX(Consulta!$A:$DN,MATCH('ZM01'!$C6,Consulta!$D:$D,0),'ZM01'!DA$2),"")=0,"",IFERROR(INDEX(Consulta!$A:$DN,MATCH('ZM01'!$C6,Consulta!$D:$D,0),'ZM01'!DA$2),""))</f>
        <v/>
      </c>
      <c r="DB6" s="43" t="str">
        <f>IF(IFERROR(INDEX(Consulta!$A:$DN,MATCH('ZM01'!$C6,Consulta!$D:$D,0),'ZM01'!DB$2),"")=0,"",IFERROR(INDEX(Consulta!$A:$DN,MATCH('ZM01'!$C6,Consulta!$D:$D,0),'ZM01'!DB$2),""))</f>
        <v/>
      </c>
      <c r="DC6" s="45">
        <v>0</v>
      </c>
      <c r="DD6" s="45">
        <v>0</v>
      </c>
      <c r="DE6" s="43" t="str">
        <f>IF(IFERROR(INDEX(Consulta!$A:$DN,MATCH('ZM01'!$C6,Consulta!$D:$D,0),'ZM01'!DE$2),"")=0,"",IFERROR(TEXT(VALUE(INDEX(Consulta!$A:$DN,MATCH('ZM01'!$C6,Consulta!$D:$D,0),'ZM01'!DE$2))/100,"0,00"),""))</f>
        <v/>
      </c>
      <c r="DG6" s="43">
        <f t="shared" ref="DG6:DG7" si="18">IF(DH6&lt;&gt;0,1,"")</f>
        <v>1</v>
      </c>
      <c r="DH6" s="43" t="str">
        <f>IF(IFERROR(INDEX(Consulta!$A:$DN,MATCH('ZM01'!$C6,Consulta!$D:$D,0),'ZM01'!DH$2),"")=0,"",IFERROR(VLOOKUP(INDEX(Consulta!$A:$DN,MATCH('ZM01'!$C6,Consulta!$D:$D,0),'ZM01'!DH$2),'Listas de Dados'!BU:BW,3,0),""))</f>
        <v/>
      </c>
      <c r="DI6" s="43" t="str">
        <f t="shared" ref="DI6:DI7" ca="1" si="19">IF(DH6&lt;&gt;0,TEXT(TODAY(),"dd.mm.aaaa"),"")</f>
        <v>24.05.2022</v>
      </c>
      <c r="DJ6" s="43" t="str">
        <f t="shared" ref="DJ6:DJ7" si="20">IF(DH6&lt;&gt;0,"31.12.9999","")</f>
        <v>31.12.9999</v>
      </c>
      <c r="DL6" s="44">
        <v>1</v>
      </c>
      <c r="DM6" s="44" t="s">
        <v>1039</v>
      </c>
      <c r="DN6" s="44">
        <v>1</v>
      </c>
      <c r="DO6" s="43">
        <f>IF(OR(AR6="M",AR6="KG"),0.01,1)</f>
        <v>1</v>
      </c>
      <c r="DP6" s="43" t="str">
        <f>AR6</f>
        <v>PC</v>
      </c>
      <c r="DQ6" s="43" t="str">
        <f>IF(OR(F6="MFER",F6="KMAT",F6="DFER",F6="FERT"),7925,"")</f>
        <v/>
      </c>
      <c r="DR6" s="44">
        <v>100</v>
      </c>
      <c r="DS6" s="71">
        <f t="shared" ref="DS6:DS64" si="21">IF(CJ6="F",IF(AND(CK6=30,CK6="Z1"),1,0),1)</f>
        <v>1</v>
      </c>
      <c r="DT6" s="43">
        <f t="shared" ref="DT6:DT7" si="22">DR6</f>
        <v>100</v>
      </c>
      <c r="DU6" s="44">
        <v>1</v>
      </c>
      <c r="DV6" s="44">
        <v>0</v>
      </c>
      <c r="DW6" s="44" t="s">
        <v>826</v>
      </c>
      <c r="DX6" s="45">
        <v>0</v>
      </c>
      <c r="DY6" s="44">
        <v>100</v>
      </c>
      <c r="DZ6" s="61"/>
    </row>
    <row r="7" spans="1:130" x14ac:dyDescent="0.2">
      <c r="A7" s="7" t="str">
        <f t="shared" si="2"/>
        <v>Execução 3</v>
      </c>
      <c r="B7" s="79"/>
      <c r="C7" s="85"/>
      <c r="D7" s="71" t="str">
        <f t="shared" si="3"/>
        <v/>
      </c>
      <c r="E7" s="71" t="str">
        <f t="shared" si="4"/>
        <v/>
      </c>
      <c r="F7" s="43" t="str">
        <f>IF(IFERROR(INDEX(Consulta!$A:$DN,MATCH('ZM01'!$C7,Consulta!$D:$D,0),'ZM01'!F$2),"")=0,"",IFERROR(INDEX(Consulta!$A:$DN,MATCH('ZM01'!$C7,Consulta!$D:$D,0),'ZM01'!F$2),""))</f>
        <v/>
      </c>
      <c r="G7" s="43" t="str">
        <f>IF(IFERROR(INDEX(Consulta!$A:$DN,MATCH('ZM01'!$C7,Consulta!$D:$D,0),'ZM01'!G$2),"")=0,"",IFERROR(INDEX(Consulta!$A:$DN,MATCH('ZM01'!$C7,Consulta!$D:$D,0),'ZM01'!G$2),""))</f>
        <v/>
      </c>
      <c r="H7" s="43" t="str">
        <f t="shared" ref="H7:H64" si="23">IF(B7="","",B7)</f>
        <v/>
      </c>
      <c r="I7" s="44" t="s">
        <v>100</v>
      </c>
      <c r="J7" s="43" t="str">
        <f>IF(IFERROR(INDEX(Consulta!$A:$DN,MATCH('ZM01'!$C7,Consulta!$D:$D,0),'ZM01'!J$2),"")=0,"",IFERROR(INDEX(Consulta!$A:$DN,MATCH('ZM01'!$C7,Consulta!$D:$D,0),'ZM01'!J$2),""))</f>
        <v/>
      </c>
      <c r="K7" s="43" t="str">
        <f>IF(IFERROR(INDEX(Consulta!$A:$DN,MATCH('ZM01'!$C7,Consulta!$D:$D,0),'ZM01'!K$2),"")=0,"",IFERROR(INDEX(Consulta!$A:$DN,MATCH('ZM01'!$C7,Consulta!$D:$D,0),'ZM01'!K$2),""))</f>
        <v/>
      </c>
      <c r="L7" s="43" t="str">
        <f t="shared" si="5"/>
        <v/>
      </c>
      <c r="M7" s="43" t="str">
        <f>IF(IFERROR(INDEX(Consulta!$A:$DN,MATCH('ZM01'!$C7,Consulta!$D:$D,0),'ZM01'!M$2),"")=0,"",IFERROR(INDEX(Consulta!$A:$DN,MATCH('ZM01'!$C7,Consulta!$D:$D,0),'ZM01'!M$2),""))</f>
        <v/>
      </c>
      <c r="N7" s="43" t="str">
        <f t="shared" si="6"/>
        <v/>
      </c>
      <c r="P7" s="45" t="s">
        <v>101</v>
      </c>
      <c r="Q7" s="45" t="s">
        <v>102</v>
      </c>
      <c r="R7" s="45" t="s">
        <v>103</v>
      </c>
      <c r="S7" s="45" t="s">
        <v>104</v>
      </c>
      <c r="T7" s="45" t="s">
        <v>105</v>
      </c>
      <c r="U7" s="45" t="s">
        <v>106</v>
      </c>
      <c r="V7" s="45" t="s">
        <v>107</v>
      </c>
      <c r="W7" s="45" t="s">
        <v>109</v>
      </c>
      <c r="X7" s="45" t="s">
        <v>110</v>
      </c>
      <c r="Y7" s="45"/>
      <c r="Z7" s="45"/>
      <c r="AA7" s="45" t="s">
        <v>112</v>
      </c>
      <c r="AB7" s="45" t="s">
        <v>113</v>
      </c>
      <c r="AC7" s="45" t="s">
        <v>114</v>
      </c>
      <c r="AD7" s="45" t="s">
        <v>115</v>
      </c>
      <c r="AE7" s="45" t="s">
        <v>117</v>
      </c>
      <c r="AF7" s="45" t="s">
        <v>118</v>
      </c>
      <c r="AG7" s="45" t="s">
        <v>119</v>
      </c>
      <c r="AH7" s="45" t="s">
        <v>120</v>
      </c>
      <c r="AI7" s="45" t="s">
        <v>121</v>
      </c>
      <c r="AJ7" s="45" t="s">
        <v>122</v>
      </c>
      <c r="AK7" s="45" t="s">
        <v>123</v>
      </c>
      <c r="AL7" s="45" t="s">
        <v>124</v>
      </c>
      <c r="AM7" s="45" t="s">
        <v>125</v>
      </c>
      <c r="AN7" s="45" t="s">
        <v>126</v>
      </c>
      <c r="AO7" s="45"/>
      <c r="AP7" s="45"/>
      <c r="AR7" s="44" t="s">
        <v>822</v>
      </c>
      <c r="AS7" s="43" t="str">
        <f>IF(IFERROR(INDEX(Consulta!$A:$DN,MATCH('ZM01'!$C7,Consulta!$D:$D,0),'ZM01'!AS$2),"")=0,"",IFERROR(INDEX(Consulta!$A:$DN,MATCH('ZM01'!$C7,Consulta!$D:$D,0),'ZM01'!AS$2),""))</f>
        <v/>
      </c>
      <c r="AT7" s="45"/>
      <c r="AU7" s="43" t="str">
        <f>IF(IFERROR(INDEX(Consulta!$A:$DN,MATCH('ZM01'!$C7,Consulta!$D:$D,0),'ZM01'!AU$2),"")=0,"",IFERROR(INDEX(Consulta!$A:$DN,MATCH('ZM01'!$C7,Consulta!$D:$D,0),'ZM01'!AU$2),""))</f>
        <v/>
      </c>
      <c r="AV7" s="43" t="str">
        <f>IF(IFERROR(INDEX(Consulta!$A:$DN,MATCH('ZM01'!$C7,Consulta!$D:$D,0),'ZM01'!AV$2),"")=0,"",IFERROR(INDEX(Consulta!$A:$DN,MATCH('ZM01'!$C7,Consulta!$D:$D,0),'ZM01'!AV$2),""))</f>
        <v/>
      </c>
      <c r="AW7" s="45"/>
      <c r="AX7" s="46" t="str">
        <f t="shared" ca="1" si="7"/>
        <v/>
      </c>
      <c r="AY7" s="47" t="s">
        <v>755</v>
      </c>
      <c r="AZ7" s="43" t="str">
        <f>IF(IFERROR(ROUND(INDEX(Consulta!$A:$DN,MATCH('ZM01'!$C7,Consulta!$D:$D,0),'ZM01'!AZ$2),3),"")=0,"",IFERROR(ROUND(INDEX(Consulta!$A:$DN,MATCH('ZM01'!$C7,Consulta!$D:$D,0),'ZM01'!AZ$2),3),""))</f>
        <v/>
      </c>
      <c r="BA7" s="43" t="str">
        <f t="shared" si="8"/>
        <v/>
      </c>
      <c r="BB7" s="48" t="s">
        <v>299</v>
      </c>
      <c r="BC7" s="48"/>
      <c r="BD7" s="43" t="str">
        <f>IF(IFERROR(INDEX(Consulta!$A:$DN,MATCH('ZM01'!$C7,Consulta!$D:$D,0),'ZM01'!BD$2),"")=0,"",IFERROR(INDEX(Consulta!$A:$DN,MATCH('ZM01'!$C7,Consulta!$D:$D,0),'ZM01'!BD$2),""))</f>
        <v/>
      </c>
      <c r="BE7" s="43" t="str">
        <f>IFERROR(IF(LEN(ROUND(AZ7,3)*1000)&gt;5,ROUND(AZ7,2)*100,ROUND(AZ7,3)*1000),"")</f>
        <v/>
      </c>
      <c r="BF7" s="43" t="str">
        <f t="shared" si="9"/>
        <v/>
      </c>
      <c r="BG7" s="43" t="str">
        <f>IFERROR(IF(LEN(ROUND(AZ7,3)*1000)&gt;5,100,1000),"")</f>
        <v/>
      </c>
      <c r="BH7" s="43" t="str">
        <f t="shared" si="10"/>
        <v>PC</v>
      </c>
      <c r="BI7" s="43" t="str">
        <f t="shared" ref="BI7:BI64" si="24">G7</f>
        <v/>
      </c>
      <c r="BJ7" s="43" t="str">
        <f t="shared" ref="BJ7:BJ64" si="25">IF(BI7="","","M")</f>
        <v/>
      </c>
      <c r="BK7" s="43" t="str">
        <f t="shared" ref="BK7:BK64" si="26">IF(BI7="","",1000)</f>
        <v/>
      </c>
      <c r="BL7" s="43" t="str">
        <f t="shared" si="11"/>
        <v>PC</v>
      </c>
      <c r="BN7" s="44"/>
      <c r="BO7" s="44" t="s">
        <v>925</v>
      </c>
      <c r="BP7" s="43" t="str">
        <f>IF(OR(IFERROR(INDEX(Consulta!$A:$DN,MATCH('ZM01'!$C7,Consulta!$D:$D,0),'ZM01'!BP$2),"")=0,IFERROR(INDEX(Consulta!$A:$DN,MATCH('ZM01'!$C7,Consulta!$D:$D,0),'ZM01'!BP$2),"")=AR7),"",IFERROR(INDEX(Consulta!$A:$DN,MATCH('ZM01'!$C7,Consulta!$D:$D,0),'ZM01'!BP$2),""))</f>
        <v/>
      </c>
      <c r="BQ7" s="45">
        <v>99</v>
      </c>
      <c r="BR7" s="46" t="str">
        <f t="shared" ca="1" si="12"/>
        <v>24.05.2022</v>
      </c>
      <c r="BS7" s="49" t="str">
        <f t="shared" si="13"/>
        <v/>
      </c>
      <c r="BT7" s="50">
        <v>1</v>
      </c>
      <c r="BU7" s="50" t="s">
        <v>194</v>
      </c>
      <c r="BV7" s="90" t="str">
        <f t="shared" si="14"/>
        <v>01</v>
      </c>
      <c r="BW7" s="50" t="s">
        <v>755</v>
      </c>
      <c r="BX7" s="44">
        <v>1</v>
      </c>
      <c r="BY7" s="44" t="s">
        <v>372</v>
      </c>
      <c r="BZ7" s="50" t="s">
        <v>197</v>
      </c>
      <c r="CA7" s="50" t="s">
        <v>197</v>
      </c>
      <c r="CB7" s="43" t="str">
        <f>IF(IFERROR(INDEX(Consulta!$A:$DN,MATCH('ZM01'!$C7,Consulta!$D:$D,0),'ZM01'!CB$2),"")=0,"",IFERROR(INDEX(Consulta!$A:$DN,MATCH('ZM01'!$C7,Consulta!$D:$D,0),'ZM01'!CB$2),""))</f>
        <v/>
      </c>
      <c r="CC7" s="44" t="s">
        <v>392</v>
      </c>
      <c r="CD7" s="50">
        <v>0</v>
      </c>
      <c r="CE7" s="45" t="s">
        <v>403</v>
      </c>
      <c r="CF7" s="45" t="s">
        <v>84</v>
      </c>
      <c r="CG7" s="43" t="str">
        <f t="shared" si="15"/>
        <v/>
      </c>
      <c r="CH7" s="45" t="s">
        <v>430</v>
      </c>
      <c r="CI7" s="44">
        <v>0</v>
      </c>
      <c r="CJ7" s="43" t="str">
        <f t="shared" ref="CJ7:CJ64" si="27">IF(LEFT(DH7,3)="SUB","F","E")</f>
        <v>E</v>
      </c>
      <c r="CK7" s="43" t="str">
        <f t="shared" ref="CK7:CK64" si="28">IF(AND(CJ7="F",LEFT(DH7,3)="SUB"),"30",IF(CJ7="F","Z1",""))</f>
        <v/>
      </c>
      <c r="CL7" s="44">
        <v>2</v>
      </c>
      <c r="CM7" s="49" t="str">
        <f t="shared" si="16"/>
        <v/>
      </c>
      <c r="CN7" s="49" t="str">
        <f t="shared" si="17"/>
        <v/>
      </c>
      <c r="CO7" s="43" t="str">
        <f t="shared" ref="CO7:CO64" si="29">IF(AND(CJ7="F",CK7="Z1"),1,IF(CJ7="F",15,""))</f>
        <v/>
      </c>
      <c r="CP7" s="44">
        <v>1</v>
      </c>
      <c r="CQ7" s="50" t="s">
        <v>515</v>
      </c>
      <c r="CR7" s="44" t="s">
        <v>372</v>
      </c>
      <c r="CS7" s="44">
        <v>2</v>
      </c>
      <c r="CT7" s="44">
        <v>42</v>
      </c>
      <c r="CU7" s="44">
        <v>10</v>
      </c>
      <c r="CV7" s="43" t="str">
        <f t="shared" ref="CV7:CV64" si="30">IF(E7="DFER","K00_DP_"&amp;J7,"K00_AO_"&amp;J7)</f>
        <v>K00_AO_</v>
      </c>
      <c r="CW7" s="43" t="str">
        <f t="shared" ref="CW7:CW64" si="31">IF(OR(F7="MFER",F7="KMAT"),"INITIAL",IF(OR(F7="FERT",F7="HAWZ"),"0000999999",""))</f>
        <v/>
      </c>
      <c r="CX7" s="43" t="str">
        <f t="shared" ref="CX7:CX64" si="32">IF(OR(F7="MFER",F7="KMAT"),"INIT",IF(OR(F7="FERT",F7="HAWZ"),"999999",""))</f>
        <v/>
      </c>
      <c r="CY7" s="44">
        <v>1</v>
      </c>
      <c r="CZ7" s="43" t="str">
        <f t="shared" ref="CZ7:CZ64" si="33">IF(G7=0,"",G7)</f>
        <v/>
      </c>
      <c r="DA7" s="43" t="str">
        <f>IF(IFERROR(INDEX(Consulta!$A:$DN,MATCH('ZM01'!$C7,Consulta!$D:$D,0),'ZM01'!DA$2),"")=0,"",IFERROR(INDEX(Consulta!$A:$DN,MATCH('ZM01'!$C7,Consulta!$D:$D,0),'ZM01'!DA$2),""))</f>
        <v/>
      </c>
      <c r="DB7" s="43" t="str">
        <f>IF(IFERROR(INDEX(Consulta!$A:$DN,MATCH('ZM01'!$C7,Consulta!$D:$D,0),'ZM01'!DB$2),"")=0,"",IFERROR(INDEX(Consulta!$A:$DN,MATCH('ZM01'!$C7,Consulta!$D:$D,0),'ZM01'!DB$2),""))</f>
        <v/>
      </c>
      <c r="DC7" s="45">
        <v>0</v>
      </c>
      <c r="DD7" s="45">
        <v>0</v>
      </c>
      <c r="DE7" s="43" t="str">
        <f>IF(IFERROR(INDEX(Consulta!$A:$DN,MATCH('ZM01'!$C7,Consulta!$D:$D,0),'ZM01'!DE$2),"")=0,"",IFERROR(TEXT(VALUE(INDEX(Consulta!$A:$DN,MATCH('ZM01'!$C7,Consulta!$D:$D,0),'ZM01'!DE$2))/100,"0,00"),""))</f>
        <v/>
      </c>
      <c r="DG7" s="43">
        <f t="shared" si="18"/>
        <v>1</v>
      </c>
      <c r="DH7" s="43" t="str">
        <f>IF(IFERROR(INDEX(Consulta!$A:$DN,MATCH('ZM01'!$C7,Consulta!$D:$D,0),'ZM01'!DH$2),"")=0,"",IFERROR(VLOOKUP(INDEX(Consulta!$A:$DN,MATCH('ZM01'!$C7,Consulta!$D:$D,0),'ZM01'!DH$2),'Listas de Dados'!BU:BW,3,0),""))</f>
        <v/>
      </c>
      <c r="DI7" s="43" t="str">
        <f t="shared" ca="1" si="19"/>
        <v>24.05.2022</v>
      </c>
      <c r="DJ7" s="43" t="str">
        <f t="shared" si="20"/>
        <v>31.12.9999</v>
      </c>
      <c r="DL7" s="44">
        <v>1</v>
      </c>
      <c r="DM7" s="44" t="s">
        <v>1039</v>
      </c>
      <c r="DN7" s="44">
        <v>1</v>
      </c>
      <c r="DO7" s="43">
        <f t="shared" ref="DO7:DO64" si="34">IF(OR(AR7="M",AR7="KG"),0.01,1)</f>
        <v>1</v>
      </c>
      <c r="DP7" s="43" t="str">
        <f t="shared" ref="DP7:DP64" si="35">AR7</f>
        <v>PC</v>
      </c>
      <c r="DQ7" s="43" t="str">
        <f t="shared" ref="DQ7:DQ64" si="36">IF(OR(F7="MFER",F7="KMAT",F7="DFER",F7="FERT"),7925,"")</f>
        <v/>
      </c>
      <c r="DR7" s="44">
        <v>100</v>
      </c>
      <c r="DS7" s="71">
        <f t="shared" si="21"/>
        <v>1</v>
      </c>
      <c r="DT7" s="43">
        <f t="shared" si="22"/>
        <v>100</v>
      </c>
      <c r="DU7" s="44">
        <v>1</v>
      </c>
      <c r="DV7" s="44">
        <v>0</v>
      </c>
      <c r="DW7" s="44" t="s">
        <v>826</v>
      </c>
      <c r="DX7" s="45">
        <v>0</v>
      </c>
      <c r="DY7" s="44">
        <v>100</v>
      </c>
      <c r="DZ7" s="60"/>
    </row>
    <row r="8" spans="1:130" x14ac:dyDescent="0.2">
      <c r="A8" s="7" t="str">
        <f t="shared" si="2"/>
        <v>Execução 4</v>
      </c>
      <c r="B8" s="75"/>
      <c r="C8" s="85"/>
      <c r="D8" s="71" t="str">
        <f t="shared" ref="D8:D64" si="37">IF(J8="","",J8)</f>
        <v/>
      </c>
      <c r="E8" s="71" t="str">
        <f t="shared" ref="E8:E64" si="38">IF(F8="","",F8)</f>
        <v/>
      </c>
      <c r="F8" s="43" t="str">
        <f>IF(IFERROR(INDEX(Consulta!$A:$DN,MATCH('ZM01'!$C8,Consulta!$D:$D,0),'ZM01'!F$2),"")=0,"",IFERROR(INDEX(Consulta!$A:$DN,MATCH('ZM01'!$C8,Consulta!$D:$D,0),'ZM01'!F$2),""))</f>
        <v/>
      </c>
      <c r="G8" s="43" t="str">
        <f>IF(IFERROR(INDEX(Consulta!$A:$DN,MATCH('ZM01'!$C8,Consulta!$D:$D,0),'ZM01'!G$2),"")=0,"",IFERROR(INDEX(Consulta!$A:$DN,MATCH('ZM01'!$C8,Consulta!$D:$D,0),'ZM01'!G$2),""))</f>
        <v/>
      </c>
      <c r="H8" s="43" t="str">
        <f t="shared" si="23"/>
        <v/>
      </c>
      <c r="I8" s="44" t="s">
        <v>100</v>
      </c>
      <c r="J8" s="43" t="str">
        <f>IF(IFERROR(INDEX(Consulta!$A:$DN,MATCH('ZM01'!$C8,Consulta!$D:$D,0),'ZM01'!J$2),"")=0,"",IFERROR(INDEX(Consulta!$A:$DN,MATCH('ZM01'!$C8,Consulta!$D:$D,0),'ZM01'!J$2),""))</f>
        <v/>
      </c>
      <c r="K8" s="43" t="str">
        <f>IF(IFERROR(INDEX(Consulta!$A:$DN,MATCH('ZM01'!$C8,Consulta!$D:$D,0),'ZM01'!K$2),"")=0,"",IFERROR(INDEX(Consulta!$A:$DN,MATCH('ZM01'!$C8,Consulta!$D:$D,0),'ZM01'!K$2),""))</f>
        <v/>
      </c>
      <c r="L8" s="43" t="str">
        <f t="shared" ref="L8:L64" si="39">J8</f>
        <v/>
      </c>
      <c r="M8" s="43" t="str">
        <f>IF(IFERROR(INDEX(Consulta!$A:$DN,MATCH('ZM01'!$C8,Consulta!$D:$D,0),'ZM01'!M$2),"")=0,"",IFERROR(INDEX(Consulta!$A:$DN,MATCH('ZM01'!$C8,Consulta!$D:$D,0),'ZM01'!M$2),""))</f>
        <v/>
      </c>
      <c r="N8" s="43" t="str">
        <f t="shared" ref="N8:N64" si="40">RIGHT(J8,3)</f>
        <v/>
      </c>
      <c r="P8" s="45" t="s">
        <v>101</v>
      </c>
      <c r="Q8" s="45" t="s">
        <v>102</v>
      </c>
      <c r="R8" s="45" t="s">
        <v>103</v>
      </c>
      <c r="S8" s="45" t="s">
        <v>104</v>
      </c>
      <c r="T8" s="45" t="s">
        <v>105</v>
      </c>
      <c r="U8" s="45" t="s">
        <v>106</v>
      </c>
      <c r="V8" s="45" t="s">
        <v>107</v>
      </c>
      <c r="W8" s="45" t="s">
        <v>109</v>
      </c>
      <c r="X8" s="45" t="s">
        <v>110</v>
      </c>
      <c r="Y8" s="45"/>
      <c r="Z8" s="45"/>
      <c r="AA8" s="45" t="s">
        <v>112</v>
      </c>
      <c r="AB8" s="45" t="s">
        <v>113</v>
      </c>
      <c r="AC8" s="45" t="s">
        <v>114</v>
      </c>
      <c r="AD8" s="45" t="s">
        <v>115</v>
      </c>
      <c r="AE8" s="45" t="s">
        <v>117</v>
      </c>
      <c r="AF8" s="45" t="s">
        <v>118</v>
      </c>
      <c r="AG8" s="45" t="s">
        <v>119</v>
      </c>
      <c r="AH8" s="45" t="s">
        <v>120</v>
      </c>
      <c r="AI8" s="45" t="s">
        <v>121</v>
      </c>
      <c r="AJ8" s="45" t="s">
        <v>122</v>
      </c>
      <c r="AK8" s="45" t="s">
        <v>123</v>
      </c>
      <c r="AL8" s="45" t="s">
        <v>124</v>
      </c>
      <c r="AM8" s="45" t="s">
        <v>125</v>
      </c>
      <c r="AN8" s="45" t="s">
        <v>126</v>
      </c>
      <c r="AO8" s="45"/>
      <c r="AP8" s="45"/>
      <c r="AR8" s="44" t="s">
        <v>822</v>
      </c>
      <c r="AS8" s="43" t="str">
        <f>IF(IFERROR(INDEX(Consulta!$A:$DN,MATCH('ZM01'!$C8,Consulta!$D:$D,0),'ZM01'!AS$2),"")=0,"",IFERROR(INDEX(Consulta!$A:$DN,MATCH('ZM01'!$C8,Consulta!$D:$D,0),'ZM01'!AS$2),""))</f>
        <v/>
      </c>
      <c r="AT8" s="45"/>
      <c r="AU8" s="43" t="str">
        <f>IF(IFERROR(INDEX(Consulta!$A:$DN,MATCH('ZM01'!$C8,Consulta!$D:$D,0),'ZM01'!AU$2),"")=0,"",IFERROR(INDEX(Consulta!$A:$DN,MATCH('ZM01'!$C8,Consulta!$D:$D,0),'ZM01'!AU$2),""))</f>
        <v/>
      </c>
      <c r="AV8" s="43" t="str">
        <f>IF(IFERROR(INDEX(Consulta!$A:$DN,MATCH('ZM01'!$C8,Consulta!$D:$D,0),'ZM01'!AV$2),"")=0,"",IFERROR(INDEX(Consulta!$A:$DN,MATCH('ZM01'!$C8,Consulta!$D:$D,0),'ZM01'!AV$2),""))</f>
        <v/>
      </c>
      <c r="AW8" s="45"/>
      <c r="AX8" s="46" t="str">
        <f t="shared" ref="AX8:AX64" ca="1" si="41">IF(AW8&lt;&gt;0,TEXT(TODAY(),"DD.MM.AAAA"),"")</f>
        <v/>
      </c>
      <c r="AY8" s="47" t="s">
        <v>755</v>
      </c>
      <c r="AZ8" s="43" t="str">
        <f>IF(IFERROR(ROUND(INDEX(Consulta!$A:$DN,MATCH('ZM01'!$C8,Consulta!$D:$D,0),'ZM01'!AZ$2),3),"")=0,"",IFERROR(ROUND(INDEX(Consulta!$A:$DN,MATCH('ZM01'!$C8,Consulta!$D:$D,0),'ZM01'!AZ$2),3),""))</f>
        <v/>
      </c>
      <c r="BA8" s="43" t="str">
        <f t="shared" ref="BA8:BA64" si="42">IFERROR(IF(AZ8&lt;&gt;0,ROUND(AZ8,3),""),"")</f>
        <v/>
      </c>
      <c r="BB8" s="48" t="s">
        <v>299</v>
      </c>
      <c r="BC8" s="48"/>
      <c r="BD8" s="43" t="str">
        <f>IF(IFERROR(INDEX(Consulta!$A:$DN,MATCH('ZM01'!$C8,Consulta!$D:$D,0),'ZM01'!BD$2),"")=0,"",IFERROR(INDEX(Consulta!$A:$DN,MATCH('ZM01'!$C8,Consulta!$D:$D,0),'ZM01'!BD$2),""))</f>
        <v/>
      </c>
      <c r="BE8" s="43" t="str">
        <f t="shared" si="0"/>
        <v/>
      </c>
      <c r="BF8" s="43" t="str">
        <f t="shared" ref="BF8:BF64" si="43">IF(BE8="","",BB8)</f>
        <v/>
      </c>
      <c r="BG8" s="43" t="str">
        <f t="shared" si="1"/>
        <v/>
      </c>
      <c r="BH8" s="43" t="str">
        <f t="shared" ref="BH8:BH64" si="44">AR8</f>
        <v>PC</v>
      </c>
      <c r="BI8" s="43" t="str">
        <f t="shared" si="24"/>
        <v/>
      </c>
      <c r="BJ8" s="43" t="str">
        <f t="shared" si="25"/>
        <v/>
      </c>
      <c r="BK8" s="43" t="str">
        <f t="shared" si="26"/>
        <v/>
      </c>
      <c r="BL8" s="43" t="str">
        <f t="shared" ref="BL8:BL64" si="45">AR8</f>
        <v>PC</v>
      </c>
      <c r="BN8" s="44"/>
      <c r="BO8" s="44" t="s">
        <v>925</v>
      </c>
      <c r="BP8" s="43" t="str">
        <f>IF(OR(IFERROR(INDEX(Consulta!$A:$DN,MATCH('ZM01'!$C8,Consulta!$D:$D,0),'ZM01'!BP$2),"")=0,IFERROR(INDEX(Consulta!$A:$DN,MATCH('ZM01'!$C8,Consulta!$D:$D,0),'ZM01'!BP$2),"")=AR8),"",IFERROR(INDEX(Consulta!$A:$DN,MATCH('ZM01'!$C8,Consulta!$D:$D,0),'ZM01'!BP$2),""))</f>
        <v/>
      </c>
      <c r="BQ8" s="45">
        <v>99</v>
      </c>
      <c r="BR8" s="46" t="str">
        <f t="shared" ref="BR8:BR64" ca="1" si="46">IF(BQ8&lt;&gt;0,TEXT(TODAY(),"DD.MM.AAAA"),"")</f>
        <v>24.05.2022</v>
      </c>
      <c r="BS8" s="49" t="str">
        <f t="shared" ref="BS8:BS64" si="47">J8</f>
        <v/>
      </c>
      <c r="BT8" s="50">
        <v>1</v>
      </c>
      <c r="BU8" s="50" t="s">
        <v>194</v>
      </c>
      <c r="BV8" s="90" t="str">
        <f t="shared" si="14"/>
        <v>01</v>
      </c>
      <c r="BW8" s="50" t="s">
        <v>755</v>
      </c>
      <c r="BX8" s="44">
        <v>1</v>
      </c>
      <c r="BY8" s="44" t="s">
        <v>372</v>
      </c>
      <c r="BZ8" s="50" t="s">
        <v>197</v>
      </c>
      <c r="CA8" s="50" t="s">
        <v>197</v>
      </c>
      <c r="CB8" s="43" t="str">
        <f>IF(IFERROR(INDEX(Consulta!$A:$DN,MATCH('ZM01'!$C8,Consulta!$D:$D,0),'ZM01'!CB$2),"")=0,"",IFERROR(INDEX(Consulta!$A:$DN,MATCH('ZM01'!$C8,Consulta!$D:$D,0),'ZM01'!CB$2),""))</f>
        <v/>
      </c>
      <c r="CC8" s="44" t="s">
        <v>392</v>
      </c>
      <c r="CD8" s="50">
        <v>0</v>
      </c>
      <c r="CE8" s="45" t="s">
        <v>403</v>
      </c>
      <c r="CF8" s="45" t="s">
        <v>84</v>
      </c>
      <c r="CG8" s="43" t="str">
        <f t="shared" si="15"/>
        <v/>
      </c>
      <c r="CH8" s="45" t="s">
        <v>430</v>
      </c>
      <c r="CI8" s="44">
        <v>0</v>
      </c>
      <c r="CJ8" s="43" t="str">
        <f t="shared" si="27"/>
        <v>E</v>
      </c>
      <c r="CK8" s="43" t="str">
        <f t="shared" si="28"/>
        <v/>
      </c>
      <c r="CL8" s="44">
        <v>2</v>
      </c>
      <c r="CM8" s="49" t="str">
        <f t="shared" ref="CM8:CM64" si="48">K8</f>
        <v/>
      </c>
      <c r="CN8" s="49" t="str">
        <f t="shared" ref="CN8:CN64" si="49">K8</f>
        <v/>
      </c>
      <c r="CO8" s="43" t="str">
        <f t="shared" si="29"/>
        <v/>
      </c>
      <c r="CP8" s="44">
        <v>1</v>
      </c>
      <c r="CQ8" s="50" t="s">
        <v>515</v>
      </c>
      <c r="CR8" s="44" t="s">
        <v>372</v>
      </c>
      <c r="CS8" s="44">
        <v>2</v>
      </c>
      <c r="CT8" s="44">
        <v>42</v>
      </c>
      <c r="CU8" s="44">
        <v>10</v>
      </c>
      <c r="CV8" s="43" t="str">
        <f t="shared" si="30"/>
        <v>K00_AO_</v>
      </c>
      <c r="CW8" s="43" t="str">
        <f t="shared" si="31"/>
        <v/>
      </c>
      <c r="CX8" s="43" t="str">
        <f t="shared" si="32"/>
        <v/>
      </c>
      <c r="CY8" s="44">
        <v>1</v>
      </c>
      <c r="CZ8" s="43" t="str">
        <f t="shared" si="33"/>
        <v/>
      </c>
      <c r="DA8" s="43" t="str">
        <f>IF(IFERROR(INDEX(Consulta!$A:$DN,MATCH('ZM01'!$C8,Consulta!$D:$D,0),'ZM01'!DA$2),"")=0,"",IFERROR(INDEX(Consulta!$A:$DN,MATCH('ZM01'!$C8,Consulta!$D:$D,0),'ZM01'!DA$2),""))</f>
        <v/>
      </c>
      <c r="DB8" s="43" t="str">
        <f>IF(IFERROR(INDEX(Consulta!$A:$DN,MATCH('ZM01'!$C8,Consulta!$D:$D,0),'ZM01'!DB$2),"")=0,"",IFERROR(INDEX(Consulta!$A:$DN,MATCH('ZM01'!$C8,Consulta!$D:$D,0),'ZM01'!DB$2),""))</f>
        <v/>
      </c>
      <c r="DC8" s="45">
        <v>0</v>
      </c>
      <c r="DD8" s="45">
        <v>0</v>
      </c>
      <c r="DE8" s="43" t="str">
        <f>IF(IFERROR(INDEX(Consulta!$A:$DN,MATCH('ZM01'!$C8,Consulta!$D:$D,0),'ZM01'!DE$2),"")=0,"",IFERROR(TEXT(VALUE(INDEX(Consulta!$A:$DN,MATCH('ZM01'!$C8,Consulta!$D:$D,0),'ZM01'!DE$2))/100,"0,00"),""))</f>
        <v/>
      </c>
      <c r="DG8" s="43">
        <f t="shared" ref="DG8:DG64" si="50">IF(DH8&lt;&gt;0,1,"")</f>
        <v>1</v>
      </c>
      <c r="DH8" s="43" t="str">
        <f>IF(IFERROR(INDEX(Consulta!$A:$DN,MATCH('ZM01'!$C8,Consulta!$D:$D,0),'ZM01'!DH$2),"")=0,"",IFERROR(VLOOKUP(INDEX(Consulta!$A:$DN,MATCH('ZM01'!$C8,Consulta!$D:$D,0),'ZM01'!DH$2),'Listas de Dados'!BU:BW,3,0),""))</f>
        <v/>
      </c>
      <c r="DI8" s="43" t="str">
        <f t="shared" ref="DI8:DI64" ca="1" si="51">IF(DH8&lt;&gt;0,TEXT(TODAY(),"dd.mm.aaaa"),"")</f>
        <v>24.05.2022</v>
      </c>
      <c r="DJ8" s="43" t="str">
        <f t="shared" ref="DJ8:DJ64" si="52">IF(DH8&lt;&gt;0,"31.12.9999","")</f>
        <v>31.12.9999</v>
      </c>
      <c r="DL8" s="44">
        <v>1</v>
      </c>
      <c r="DM8" s="44" t="s">
        <v>1039</v>
      </c>
      <c r="DN8" s="44">
        <v>1</v>
      </c>
      <c r="DO8" s="43">
        <f t="shared" si="34"/>
        <v>1</v>
      </c>
      <c r="DP8" s="43" t="str">
        <f t="shared" si="35"/>
        <v>PC</v>
      </c>
      <c r="DQ8" s="43" t="str">
        <f t="shared" si="36"/>
        <v/>
      </c>
      <c r="DR8" s="44">
        <v>100</v>
      </c>
      <c r="DS8" s="71">
        <f t="shared" si="21"/>
        <v>1</v>
      </c>
      <c r="DT8" s="43">
        <f t="shared" ref="DT8:DT64" si="53">DR8</f>
        <v>100</v>
      </c>
      <c r="DU8" s="44">
        <v>1</v>
      </c>
      <c r="DV8" s="44">
        <v>0</v>
      </c>
      <c r="DW8" s="44" t="s">
        <v>826</v>
      </c>
      <c r="DX8" s="45">
        <v>0</v>
      </c>
      <c r="DY8" s="44">
        <v>100</v>
      </c>
      <c r="DZ8" s="61"/>
    </row>
    <row r="9" spans="1:130" x14ac:dyDescent="0.2">
      <c r="A9" s="7" t="str">
        <f t="shared" si="2"/>
        <v>Execução 5</v>
      </c>
      <c r="B9" s="79"/>
      <c r="C9" s="85"/>
      <c r="D9" s="71" t="str">
        <f t="shared" si="37"/>
        <v/>
      </c>
      <c r="E9" s="71" t="str">
        <f t="shared" si="38"/>
        <v/>
      </c>
      <c r="F9" s="43" t="str">
        <f>IF(IFERROR(INDEX(Consulta!$A:$DN,MATCH('ZM01'!$C9,Consulta!$D:$D,0),'ZM01'!F$2),"")=0,"",IFERROR(INDEX(Consulta!$A:$DN,MATCH('ZM01'!$C9,Consulta!$D:$D,0),'ZM01'!F$2),""))</f>
        <v/>
      </c>
      <c r="G9" s="43" t="str">
        <f>IF(IFERROR(INDEX(Consulta!$A:$DN,MATCH('ZM01'!$C9,Consulta!$D:$D,0),'ZM01'!G$2),"")=0,"",IFERROR(INDEX(Consulta!$A:$DN,MATCH('ZM01'!$C9,Consulta!$D:$D,0),'ZM01'!G$2),""))</f>
        <v/>
      </c>
      <c r="H9" s="43" t="str">
        <f t="shared" si="23"/>
        <v/>
      </c>
      <c r="I9" s="44" t="s">
        <v>100</v>
      </c>
      <c r="J9" s="43" t="str">
        <f>IF(IFERROR(INDEX(Consulta!$A:$DN,MATCH('ZM01'!$C9,Consulta!$D:$D,0),'ZM01'!J$2),"")=0,"",IFERROR(INDEX(Consulta!$A:$DN,MATCH('ZM01'!$C9,Consulta!$D:$D,0),'ZM01'!J$2),""))</f>
        <v/>
      </c>
      <c r="K9" s="43" t="str">
        <f>IF(IFERROR(INDEX(Consulta!$A:$DN,MATCH('ZM01'!$C9,Consulta!$D:$D,0),'ZM01'!K$2),"")=0,"",IFERROR(INDEX(Consulta!$A:$DN,MATCH('ZM01'!$C9,Consulta!$D:$D,0),'ZM01'!K$2),""))</f>
        <v/>
      </c>
      <c r="L9" s="43" t="str">
        <f t="shared" si="39"/>
        <v/>
      </c>
      <c r="M9" s="43" t="str">
        <f>IF(IFERROR(INDEX(Consulta!$A:$DN,MATCH('ZM01'!$C9,Consulta!$D:$D,0),'ZM01'!M$2),"")=0,"",IFERROR(INDEX(Consulta!$A:$DN,MATCH('ZM01'!$C9,Consulta!$D:$D,0),'ZM01'!M$2),""))</f>
        <v/>
      </c>
      <c r="N9" s="43" t="str">
        <f t="shared" si="40"/>
        <v/>
      </c>
      <c r="P9" s="45" t="s">
        <v>101</v>
      </c>
      <c r="Q9" s="45" t="s">
        <v>102</v>
      </c>
      <c r="R9" s="45" t="s">
        <v>103</v>
      </c>
      <c r="S9" s="45" t="s">
        <v>104</v>
      </c>
      <c r="T9" s="45" t="s">
        <v>105</v>
      </c>
      <c r="U9" s="45" t="s">
        <v>106</v>
      </c>
      <c r="V9" s="45" t="s">
        <v>107</v>
      </c>
      <c r="W9" s="45" t="s">
        <v>109</v>
      </c>
      <c r="X9" s="45" t="s">
        <v>110</v>
      </c>
      <c r="Y9" s="45"/>
      <c r="Z9" s="45"/>
      <c r="AA9" s="45" t="s">
        <v>112</v>
      </c>
      <c r="AB9" s="45" t="s">
        <v>113</v>
      </c>
      <c r="AC9" s="45" t="s">
        <v>114</v>
      </c>
      <c r="AD9" s="45" t="s">
        <v>115</v>
      </c>
      <c r="AE9" s="45" t="s">
        <v>117</v>
      </c>
      <c r="AF9" s="45" t="s">
        <v>118</v>
      </c>
      <c r="AG9" s="45" t="s">
        <v>119</v>
      </c>
      <c r="AH9" s="45" t="s">
        <v>120</v>
      </c>
      <c r="AI9" s="45" t="s">
        <v>121</v>
      </c>
      <c r="AJ9" s="45" t="s">
        <v>122</v>
      </c>
      <c r="AK9" s="45" t="s">
        <v>123</v>
      </c>
      <c r="AL9" s="45" t="s">
        <v>124</v>
      </c>
      <c r="AM9" s="45" t="s">
        <v>125</v>
      </c>
      <c r="AN9" s="45" t="s">
        <v>126</v>
      </c>
      <c r="AO9" s="45"/>
      <c r="AP9" s="45"/>
      <c r="AR9" s="44" t="s">
        <v>822</v>
      </c>
      <c r="AS9" s="43" t="str">
        <f>IF(IFERROR(INDEX(Consulta!$A:$DN,MATCH('ZM01'!$C9,Consulta!$D:$D,0),'ZM01'!AS$2),"")=0,"",IFERROR(INDEX(Consulta!$A:$DN,MATCH('ZM01'!$C9,Consulta!$D:$D,0),'ZM01'!AS$2),""))</f>
        <v/>
      </c>
      <c r="AT9" s="45"/>
      <c r="AU9" s="43" t="str">
        <f>IF(IFERROR(INDEX(Consulta!$A:$DN,MATCH('ZM01'!$C9,Consulta!$D:$D,0),'ZM01'!AU$2),"")=0,"",IFERROR(INDEX(Consulta!$A:$DN,MATCH('ZM01'!$C9,Consulta!$D:$D,0),'ZM01'!AU$2),""))</f>
        <v/>
      </c>
      <c r="AV9" s="43" t="str">
        <f>IF(IFERROR(INDEX(Consulta!$A:$DN,MATCH('ZM01'!$C9,Consulta!$D:$D,0),'ZM01'!AV$2),"")=0,"",IFERROR(INDEX(Consulta!$A:$DN,MATCH('ZM01'!$C9,Consulta!$D:$D,0),'ZM01'!AV$2),""))</f>
        <v/>
      </c>
      <c r="AW9" s="45"/>
      <c r="AX9" s="46" t="str">
        <f t="shared" ca="1" si="41"/>
        <v/>
      </c>
      <c r="AY9" s="47" t="s">
        <v>755</v>
      </c>
      <c r="AZ9" s="43" t="str">
        <f>IF(IFERROR(ROUND(INDEX(Consulta!$A:$DN,MATCH('ZM01'!$C9,Consulta!$D:$D,0),'ZM01'!AZ$2),3),"")=0,"",IFERROR(ROUND(INDEX(Consulta!$A:$DN,MATCH('ZM01'!$C9,Consulta!$D:$D,0),'ZM01'!AZ$2),3),""))</f>
        <v/>
      </c>
      <c r="BA9" s="43" t="str">
        <f t="shared" si="42"/>
        <v/>
      </c>
      <c r="BB9" s="48" t="s">
        <v>299</v>
      </c>
      <c r="BC9" s="48"/>
      <c r="BD9" s="43" t="str">
        <f>IF(IFERROR(INDEX(Consulta!$A:$DN,MATCH('ZM01'!$C9,Consulta!$D:$D,0),'ZM01'!BD$2),"")=0,"",IFERROR(INDEX(Consulta!$A:$DN,MATCH('ZM01'!$C9,Consulta!$D:$D,0),'ZM01'!BD$2),""))</f>
        <v/>
      </c>
      <c r="BE9" s="43" t="str">
        <f t="shared" si="0"/>
        <v/>
      </c>
      <c r="BF9" s="43" t="str">
        <f t="shared" si="43"/>
        <v/>
      </c>
      <c r="BG9" s="43" t="str">
        <f t="shared" si="1"/>
        <v/>
      </c>
      <c r="BH9" s="43" t="str">
        <f t="shared" si="44"/>
        <v>PC</v>
      </c>
      <c r="BI9" s="43" t="str">
        <f t="shared" si="24"/>
        <v/>
      </c>
      <c r="BJ9" s="43" t="str">
        <f t="shared" si="25"/>
        <v/>
      </c>
      <c r="BK9" s="43" t="str">
        <f t="shared" si="26"/>
        <v/>
      </c>
      <c r="BL9" s="43" t="str">
        <f t="shared" si="45"/>
        <v>PC</v>
      </c>
      <c r="BN9" s="44"/>
      <c r="BO9" s="44" t="s">
        <v>925</v>
      </c>
      <c r="BP9" s="43" t="str">
        <f>IF(OR(IFERROR(INDEX(Consulta!$A:$DN,MATCH('ZM01'!$C9,Consulta!$D:$D,0),'ZM01'!BP$2),"")=0,IFERROR(INDEX(Consulta!$A:$DN,MATCH('ZM01'!$C9,Consulta!$D:$D,0),'ZM01'!BP$2),"")=AR9),"",IFERROR(INDEX(Consulta!$A:$DN,MATCH('ZM01'!$C9,Consulta!$D:$D,0),'ZM01'!BP$2),""))</f>
        <v/>
      </c>
      <c r="BQ9" s="45">
        <v>99</v>
      </c>
      <c r="BR9" s="46" t="str">
        <f t="shared" ca="1" si="46"/>
        <v>24.05.2022</v>
      </c>
      <c r="BS9" s="49" t="str">
        <f t="shared" si="47"/>
        <v/>
      </c>
      <c r="BT9" s="50">
        <v>1</v>
      </c>
      <c r="BU9" s="50" t="s">
        <v>194</v>
      </c>
      <c r="BV9" s="90" t="str">
        <f t="shared" si="14"/>
        <v>01</v>
      </c>
      <c r="BW9" s="50" t="s">
        <v>755</v>
      </c>
      <c r="BX9" s="44">
        <v>1</v>
      </c>
      <c r="BY9" s="44" t="s">
        <v>372</v>
      </c>
      <c r="BZ9" s="50" t="s">
        <v>197</v>
      </c>
      <c r="CA9" s="50" t="s">
        <v>197</v>
      </c>
      <c r="CB9" s="43" t="str">
        <f>IF(IFERROR(INDEX(Consulta!$A:$DN,MATCH('ZM01'!$C9,Consulta!$D:$D,0),'ZM01'!CB$2),"")=0,"",IFERROR(INDEX(Consulta!$A:$DN,MATCH('ZM01'!$C9,Consulta!$D:$D,0),'ZM01'!CB$2),""))</f>
        <v/>
      </c>
      <c r="CC9" s="44" t="s">
        <v>392</v>
      </c>
      <c r="CD9" s="50">
        <v>0</v>
      </c>
      <c r="CE9" s="45" t="s">
        <v>403</v>
      </c>
      <c r="CF9" s="45" t="s">
        <v>84</v>
      </c>
      <c r="CG9" s="43" t="str">
        <f t="shared" si="15"/>
        <v/>
      </c>
      <c r="CH9" s="45" t="s">
        <v>430</v>
      </c>
      <c r="CI9" s="44">
        <v>0</v>
      </c>
      <c r="CJ9" s="43" t="str">
        <f t="shared" si="27"/>
        <v>E</v>
      </c>
      <c r="CK9" s="43" t="str">
        <f t="shared" si="28"/>
        <v/>
      </c>
      <c r="CL9" s="44">
        <v>2</v>
      </c>
      <c r="CM9" s="49" t="str">
        <f t="shared" si="48"/>
        <v/>
      </c>
      <c r="CN9" s="49" t="str">
        <f t="shared" si="49"/>
        <v/>
      </c>
      <c r="CO9" s="43" t="str">
        <f t="shared" si="29"/>
        <v/>
      </c>
      <c r="CP9" s="44">
        <v>1</v>
      </c>
      <c r="CQ9" s="50" t="s">
        <v>515</v>
      </c>
      <c r="CR9" s="44" t="s">
        <v>372</v>
      </c>
      <c r="CS9" s="44">
        <v>2</v>
      </c>
      <c r="CT9" s="44">
        <v>42</v>
      </c>
      <c r="CU9" s="44">
        <v>10</v>
      </c>
      <c r="CV9" s="43" t="str">
        <f t="shared" si="30"/>
        <v>K00_AO_</v>
      </c>
      <c r="CW9" s="43" t="str">
        <f t="shared" si="31"/>
        <v/>
      </c>
      <c r="CX9" s="43" t="str">
        <f t="shared" si="32"/>
        <v/>
      </c>
      <c r="CY9" s="44">
        <v>1</v>
      </c>
      <c r="CZ9" s="43" t="str">
        <f t="shared" si="33"/>
        <v/>
      </c>
      <c r="DA9" s="43" t="str">
        <f>IF(IFERROR(INDEX(Consulta!$A:$DN,MATCH('ZM01'!$C9,Consulta!$D:$D,0),'ZM01'!DA$2),"")=0,"",IFERROR(INDEX(Consulta!$A:$DN,MATCH('ZM01'!$C9,Consulta!$D:$D,0),'ZM01'!DA$2),""))</f>
        <v/>
      </c>
      <c r="DB9" s="43" t="str">
        <f>IF(IFERROR(INDEX(Consulta!$A:$DN,MATCH('ZM01'!$C9,Consulta!$D:$D,0),'ZM01'!DB$2),"")=0,"",IFERROR(INDEX(Consulta!$A:$DN,MATCH('ZM01'!$C9,Consulta!$D:$D,0),'ZM01'!DB$2),""))</f>
        <v/>
      </c>
      <c r="DC9" s="45">
        <v>0</v>
      </c>
      <c r="DD9" s="45">
        <v>0</v>
      </c>
      <c r="DE9" s="43" t="str">
        <f>IF(IFERROR(INDEX(Consulta!$A:$DN,MATCH('ZM01'!$C9,Consulta!$D:$D,0),'ZM01'!DE$2),"")=0,"",IFERROR(TEXT(VALUE(INDEX(Consulta!$A:$DN,MATCH('ZM01'!$C9,Consulta!$D:$D,0),'ZM01'!DE$2))/100,"0,00"),""))</f>
        <v/>
      </c>
      <c r="DG9" s="43">
        <f t="shared" si="50"/>
        <v>1</v>
      </c>
      <c r="DH9" s="43" t="str">
        <f>IF(IFERROR(INDEX(Consulta!$A:$DN,MATCH('ZM01'!$C9,Consulta!$D:$D,0),'ZM01'!DH$2),"")=0,"",IFERROR(VLOOKUP(INDEX(Consulta!$A:$DN,MATCH('ZM01'!$C9,Consulta!$D:$D,0),'ZM01'!DH$2),'Listas de Dados'!BU:BW,3,0),""))</f>
        <v/>
      </c>
      <c r="DI9" s="43" t="str">
        <f t="shared" ca="1" si="51"/>
        <v>24.05.2022</v>
      </c>
      <c r="DJ9" s="43" t="str">
        <f t="shared" si="52"/>
        <v>31.12.9999</v>
      </c>
      <c r="DL9" s="44">
        <v>1</v>
      </c>
      <c r="DM9" s="44" t="s">
        <v>1039</v>
      </c>
      <c r="DN9" s="44">
        <v>1</v>
      </c>
      <c r="DO9" s="43">
        <f t="shared" si="34"/>
        <v>1</v>
      </c>
      <c r="DP9" s="43" t="str">
        <f t="shared" si="35"/>
        <v>PC</v>
      </c>
      <c r="DQ9" s="43" t="str">
        <f t="shared" si="36"/>
        <v/>
      </c>
      <c r="DR9" s="44">
        <v>100</v>
      </c>
      <c r="DS9" s="71">
        <f t="shared" si="21"/>
        <v>1</v>
      </c>
      <c r="DT9" s="43">
        <f t="shared" si="53"/>
        <v>100</v>
      </c>
      <c r="DU9" s="44">
        <v>1</v>
      </c>
      <c r="DV9" s="44">
        <v>0</v>
      </c>
      <c r="DW9" s="44" t="s">
        <v>826</v>
      </c>
      <c r="DX9" s="45">
        <v>0</v>
      </c>
      <c r="DY9" s="44">
        <v>100</v>
      </c>
      <c r="DZ9" s="60"/>
    </row>
    <row r="10" spans="1:130" x14ac:dyDescent="0.2">
      <c r="A10" s="7" t="str">
        <f t="shared" si="2"/>
        <v>Execução 6</v>
      </c>
      <c r="B10" s="75"/>
      <c r="C10" s="85"/>
      <c r="D10" s="71" t="str">
        <f t="shared" si="37"/>
        <v/>
      </c>
      <c r="E10" s="71" t="str">
        <f t="shared" si="38"/>
        <v/>
      </c>
      <c r="F10" s="43" t="str">
        <f>IF(IFERROR(INDEX(Consulta!$A:$DN,MATCH('ZM01'!$C10,Consulta!$D:$D,0),'ZM01'!F$2),"")=0,"",IFERROR(INDEX(Consulta!$A:$DN,MATCH('ZM01'!$C10,Consulta!$D:$D,0),'ZM01'!F$2),""))</f>
        <v/>
      </c>
      <c r="G10" s="43" t="str">
        <f>IF(IFERROR(INDEX(Consulta!$A:$DN,MATCH('ZM01'!$C10,Consulta!$D:$D,0),'ZM01'!G$2),"")=0,"",IFERROR(INDEX(Consulta!$A:$DN,MATCH('ZM01'!$C10,Consulta!$D:$D,0),'ZM01'!G$2),""))</f>
        <v/>
      </c>
      <c r="H10" s="43" t="str">
        <f t="shared" si="23"/>
        <v/>
      </c>
      <c r="I10" s="44" t="s">
        <v>100</v>
      </c>
      <c r="J10" s="43" t="str">
        <f>IF(IFERROR(INDEX(Consulta!$A:$DN,MATCH('ZM01'!$C10,Consulta!$D:$D,0),'ZM01'!J$2),"")=0,"",IFERROR(INDEX(Consulta!$A:$DN,MATCH('ZM01'!$C10,Consulta!$D:$D,0),'ZM01'!J$2),""))</f>
        <v/>
      </c>
      <c r="K10" s="43" t="str">
        <f>IF(IFERROR(INDEX(Consulta!$A:$DN,MATCH('ZM01'!$C10,Consulta!$D:$D,0),'ZM01'!K$2),"")=0,"",IFERROR(INDEX(Consulta!$A:$DN,MATCH('ZM01'!$C10,Consulta!$D:$D,0),'ZM01'!K$2),""))</f>
        <v/>
      </c>
      <c r="L10" s="43" t="str">
        <f t="shared" si="39"/>
        <v/>
      </c>
      <c r="M10" s="43" t="str">
        <f>IF(IFERROR(INDEX(Consulta!$A:$DN,MATCH('ZM01'!$C10,Consulta!$D:$D,0),'ZM01'!M$2),"")=0,"",IFERROR(INDEX(Consulta!$A:$DN,MATCH('ZM01'!$C10,Consulta!$D:$D,0),'ZM01'!M$2),""))</f>
        <v/>
      </c>
      <c r="N10" s="43" t="str">
        <f t="shared" si="40"/>
        <v/>
      </c>
      <c r="P10" s="45" t="s">
        <v>101</v>
      </c>
      <c r="Q10" s="45" t="s">
        <v>102</v>
      </c>
      <c r="R10" s="45" t="s">
        <v>103</v>
      </c>
      <c r="S10" s="45" t="s">
        <v>104</v>
      </c>
      <c r="T10" s="45" t="s">
        <v>105</v>
      </c>
      <c r="U10" s="45" t="s">
        <v>106</v>
      </c>
      <c r="V10" s="45" t="s">
        <v>107</v>
      </c>
      <c r="W10" s="45" t="s">
        <v>109</v>
      </c>
      <c r="X10" s="45" t="s">
        <v>110</v>
      </c>
      <c r="Y10" s="45"/>
      <c r="Z10" s="45"/>
      <c r="AA10" s="45" t="s">
        <v>112</v>
      </c>
      <c r="AB10" s="45" t="s">
        <v>113</v>
      </c>
      <c r="AC10" s="45" t="s">
        <v>114</v>
      </c>
      <c r="AD10" s="45" t="s">
        <v>115</v>
      </c>
      <c r="AE10" s="45" t="s">
        <v>117</v>
      </c>
      <c r="AF10" s="45" t="s">
        <v>118</v>
      </c>
      <c r="AG10" s="45" t="s">
        <v>119</v>
      </c>
      <c r="AH10" s="45" t="s">
        <v>120</v>
      </c>
      <c r="AI10" s="45" t="s">
        <v>121</v>
      </c>
      <c r="AJ10" s="45" t="s">
        <v>122</v>
      </c>
      <c r="AK10" s="45" t="s">
        <v>123</v>
      </c>
      <c r="AL10" s="45" t="s">
        <v>124</v>
      </c>
      <c r="AM10" s="45" t="s">
        <v>125</v>
      </c>
      <c r="AN10" s="45" t="s">
        <v>126</v>
      </c>
      <c r="AO10" s="45"/>
      <c r="AP10" s="45"/>
      <c r="AR10" s="44" t="s">
        <v>822</v>
      </c>
      <c r="AS10" s="43" t="str">
        <f>IF(IFERROR(INDEX(Consulta!$A:$DN,MATCH('ZM01'!$C10,Consulta!$D:$D,0),'ZM01'!AS$2),"")=0,"",IFERROR(INDEX(Consulta!$A:$DN,MATCH('ZM01'!$C10,Consulta!$D:$D,0),'ZM01'!AS$2),""))</f>
        <v/>
      </c>
      <c r="AT10" s="45"/>
      <c r="AU10" s="43" t="str">
        <f>IF(IFERROR(INDEX(Consulta!$A:$DN,MATCH('ZM01'!$C10,Consulta!$D:$D,0),'ZM01'!AU$2),"")=0,"",IFERROR(INDEX(Consulta!$A:$DN,MATCH('ZM01'!$C10,Consulta!$D:$D,0),'ZM01'!AU$2),""))</f>
        <v/>
      </c>
      <c r="AV10" s="43" t="str">
        <f>IF(IFERROR(INDEX(Consulta!$A:$DN,MATCH('ZM01'!$C10,Consulta!$D:$D,0),'ZM01'!AV$2),"")=0,"",IFERROR(INDEX(Consulta!$A:$DN,MATCH('ZM01'!$C10,Consulta!$D:$D,0),'ZM01'!AV$2),""))</f>
        <v/>
      </c>
      <c r="AW10" s="45"/>
      <c r="AX10" s="46" t="str">
        <f t="shared" ca="1" si="41"/>
        <v/>
      </c>
      <c r="AY10" s="47" t="s">
        <v>755</v>
      </c>
      <c r="AZ10" s="43" t="str">
        <f>IF(IFERROR(ROUND(INDEX(Consulta!$A:$DN,MATCH('ZM01'!$C10,Consulta!$D:$D,0),'ZM01'!AZ$2),3),"")=0,"",IFERROR(ROUND(INDEX(Consulta!$A:$DN,MATCH('ZM01'!$C10,Consulta!$D:$D,0),'ZM01'!AZ$2),3),""))</f>
        <v/>
      </c>
      <c r="BA10" s="43" t="str">
        <f t="shared" si="42"/>
        <v/>
      </c>
      <c r="BB10" s="48" t="s">
        <v>299</v>
      </c>
      <c r="BC10" s="48"/>
      <c r="BD10" s="43" t="str">
        <f>IF(IFERROR(INDEX(Consulta!$A:$DN,MATCH('ZM01'!$C10,Consulta!$D:$D,0),'ZM01'!BD$2),"")=0,"",IFERROR(INDEX(Consulta!$A:$DN,MATCH('ZM01'!$C10,Consulta!$D:$D,0),'ZM01'!BD$2),""))</f>
        <v/>
      </c>
      <c r="BE10" s="43" t="str">
        <f t="shared" si="0"/>
        <v/>
      </c>
      <c r="BF10" s="43" t="str">
        <f t="shared" si="43"/>
        <v/>
      </c>
      <c r="BG10" s="43" t="str">
        <f t="shared" si="1"/>
        <v/>
      </c>
      <c r="BH10" s="43" t="str">
        <f t="shared" si="44"/>
        <v>PC</v>
      </c>
      <c r="BI10" s="43" t="str">
        <f t="shared" si="24"/>
        <v/>
      </c>
      <c r="BJ10" s="43" t="str">
        <f t="shared" si="25"/>
        <v/>
      </c>
      <c r="BK10" s="43" t="str">
        <f t="shared" si="26"/>
        <v/>
      </c>
      <c r="BL10" s="43" t="str">
        <f t="shared" si="45"/>
        <v>PC</v>
      </c>
      <c r="BN10" s="44"/>
      <c r="BO10" s="44" t="s">
        <v>925</v>
      </c>
      <c r="BP10" s="43" t="str">
        <f>IF(OR(IFERROR(INDEX(Consulta!$A:$DN,MATCH('ZM01'!$C10,Consulta!$D:$D,0),'ZM01'!BP$2),"")=0,IFERROR(INDEX(Consulta!$A:$DN,MATCH('ZM01'!$C10,Consulta!$D:$D,0),'ZM01'!BP$2),"")=AR10),"",IFERROR(INDEX(Consulta!$A:$DN,MATCH('ZM01'!$C10,Consulta!$D:$D,0),'ZM01'!BP$2),""))</f>
        <v/>
      </c>
      <c r="BQ10" s="45">
        <v>99</v>
      </c>
      <c r="BR10" s="46" t="str">
        <f t="shared" ca="1" si="46"/>
        <v>24.05.2022</v>
      </c>
      <c r="BS10" s="49" t="str">
        <f t="shared" si="47"/>
        <v/>
      </c>
      <c r="BT10" s="50">
        <v>1</v>
      </c>
      <c r="BU10" s="50" t="s">
        <v>194</v>
      </c>
      <c r="BV10" s="90" t="str">
        <f t="shared" si="14"/>
        <v>01</v>
      </c>
      <c r="BW10" s="50" t="s">
        <v>755</v>
      </c>
      <c r="BX10" s="44">
        <v>1</v>
      </c>
      <c r="BY10" s="44" t="s">
        <v>372</v>
      </c>
      <c r="BZ10" s="50" t="s">
        <v>197</v>
      </c>
      <c r="CA10" s="50" t="s">
        <v>197</v>
      </c>
      <c r="CB10" s="43" t="str">
        <f>IF(IFERROR(INDEX(Consulta!$A:$DN,MATCH('ZM01'!$C10,Consulta!$D:$D,0),'ZM01'!CB$2),"")=0,"",IFERROR(INDEX(Consulta!$A:$DN,MATCH('ZM01'!$C10,Consulta!$D:$D,0),'ZM01'!CB$2),""))</f>
        <v/>
      </c>
      <c r="CC10" s="44" t="s">
        <v>392</v>
      </c>
      <c r="CD10" s="50">
        <v>0</v>
      </c>
      <c r="CE10" s="45" t="s">
        <v>403</v>
      </c>
      <c r="CF10" s="45" t="s">
        <v>84</v>
      </c>
      <c r="CG10" s="43" t="str">
        <f t="shared" si="15"/>
        <v/>
      </c>
      <c r="CH10" s="45" t="s">
        <v>430</v>
      </c>
      <c r="CI10" s="44">
        <v>0</v>
      </c>
      <c r="CJ10" s="43" t="str">
        <f t="shared" si="27"/>
        <v>E</v>
      </c>
      <c r="CK10" s="43" t="str">
        <f t="shared" si="28"/>
        <v/>
      </c>
      <c r="CL10" s="44">
        <v>2</v>
      </c>
      <c r="CM10" s="49" t="str">
        <f t="shared" si="48"/>
        <v/>
      </c>
      <c r="CN10" s="49" t="str">
        <f t="shared" si="49"/>
        <v/>
      </c>
      <c r="CO10" s="43" t="str">
        <f t="shared" si="29"/>
        <v/>
      </c>
      <c r="CP10" s="44">
        <v>1</v>
      </c>
      <c r="CQ10" s="50" t="s">
        <v>515</v>
      </c>
      <c r="CR10" s="44" t="s">
        <v>372</v>
      </c>
      <c r="CS10" s="44">
        <v>2</v>
      </c>
      <c r="CT10" s="44">
        <v>42</v>
      </c>
      <c r="CU10" s="44">
        <v>10</v>
      </c>
      <c r="CV10" s="43" t="str">
        <f t="shared" si="30"/>
        <v>K00_AO_</v>
      </c>
      <c r="CW10" s="43" t="str">
        <f t="shared" si="31"/>
        <v/>
      </c>
      <c r="CX10" s="43" t="str">
        <f t="shared" si="32"/>
        <v/>
      </c>
      <c r="CY10" s="44">
        <v>1</v>
      </c>
      <c r="CZ10" s="43" t="str">
        <f t="shared" si="33"/>
        <v/>
      </c>
      <c r="DA10" s="43" t="str">
        <f>IF(IFERROR(INDEX(Consulta!$A:$DN,MATCH('ZM01'!$C10,Consulta!$D:$D,0),'ZM01'!DA$2),"")=0,"",IFERROR(INDEX(Consulta!$A:$DN,MATCH('ZM01'!$C10,Consulta!$D:$D,0),'ZM01'!DA$2),""))</f>
        <v/>
      </c>
      <c r="DB10" s="43" t="str">
        <f>IF(IFERROR(INDEX(Consulta!$A:$DN,MATCH('ZM01'!$C10,Consulta!$D:$D,0),'ZM01'!DB$2),"")=0,"",IFERROR(INDEX(Consulta!$A:$DN,MATCH('ZM01'!$C10,Consulta!$D:$D,0),'ZM01'!DB$2),""))</f>
        <v/>
      </c>
      <c r="DC10" s="45">
        <v>0</v>
      </c>
      <c r="DD10" s="45">
        <v>0</v>
      </c>
      <c r="DE10" s="43" t="str">
        <f>IF(IFERROR(INDEX(Consulta!$A:$DN,MATCH('ZM01'!$C10,Consulta!$D:$D,0),'ZM01'!DE$2),"")=0,"",IFERROR(TEXT(VALUE(INDEX(Consulta!$A:$DN,MATCH('ZM01'!$C10,Consulta!$D:$D,0),'ZM01'!DE$2))/100,"0,00"),""))</f>
        <v/>
      </c>
      <c r="DG10" s="43">
        <f t="shared" si="50"/>
        <v>1</v>
      </c>
      <c r="DH10" s="43" t="str">
        <f>IF(IFERROR(INDEX(Consulta!$A:$DN,MATCH('ZM01'!$C10,Consulta!$D:$D,0),'ZM01'!DH$2),"")=0,"",IFERROR(VLOOKUP(INDEX(Consulta!$A:$DN,MATCH('ZM01'!$C10,Consulta!$D:$D,0),'ZM01'!DH$2),'Listas de Dados'!BU:BW,3,0),""))</f>
        <v/>
      </c>
      <c r="DI10" s="43" t="str">
        <f t="shared" ca="1" si="51"/>
        <v>24.05.2022</v>
      </c>
      <c r="DJ10" s="43" t="str">
        <f t="shared" si="52"/>
        <v>31.12.9999</v>
      </c>
      <c r="DL10" s="44">
        <v>1</v>
      </c>
      <c r="DM10" s="44" t="s">
        <v>1039</v>
      </c>
      <c r="DN10" s="44">
        <v>1</v>
      </c>
      <c r="DO10" s="43">
        <f t="shared" si="34"/>
        <v>1</v>
      </c>
      <c r="DP10" s="43" t="str">
        <f t="shared" si="35"/>
        <v>PC</v>
      </c>
      <c r="DQ10" s="43" t="str">
        <f t="shared" si="36"/>
        <v/>
      </c>
      <c r="DR10" s="44">
        <v>100</v>
      </c>
      <c r="DS10" s="71">
        <f t="shared" si="21"/>
        <v>1</v>
      </c>
      <c r="DT10" s="43">
        <f t="shared" si="53"/>
        <v>100</v>
      </c>
      <c r="DU10" s="44">
        <v>1</v>
      </c>
      <c r="DV10" s="44">
        <v>0</v>
      </c>
      <c r="DW10" s="44" t="s">
        <v>826</v>
      </c>
      <c r="DX10" s="45">
        <v>0</v>
      </c>
      <c r="DY10" s="44">
        <v>100</v>
      </c>
      <c r="DZ10" s="61"/>
    </row>
    <row r="11" spans="1:130" x14ac:dyDescent="0.2">
      <c r="A11" s="7" t="str">
        <f t="shared" si="2"/>
        <v>Execução 7</v>
      </c>
      <c r="B11" s="79"/>
      <c r="C11" s="85"/>
      <c r="D11" s="71" t="str">
        <f t="shared" si="37"/>
        <v/>
      </c>
      <c r="E11" s="71" t="str">
        <f t="shared" si="38"/>
        <v/>
      </c>
      <c r="F11" s="43" t="str">
        <f>IF(IFERROR(INDEX(Consulta!$A:$DN,MATCH('ZM01'!$C11,Consulta!$D:$D,0),'ZM01'!F$2),"")=0,"",IFERROR(INDEX(Consulta!$A:$DN,MATCH('ZM01'!$C11,Consulta!$D:$D,0),'ZM01'!F$2),""))</f>
        <v/>
      </c>
      <c r="G11" s="43" t="str">
        <f>IF(IFERROR(INDEX(Consulta!$A:$DN,MATCH('ZM01'!$C11,Consulta!$D:$D,0),'ZM01'!G$2),"")=0,"",IFERROR(INDEX(Consulta!$A:$DN,MATCH('ZM01'!$C11,Consulta!$D:$D,0),'ZM01'!G$2),""))</f>
        <v/>
      </c>
      <c r="H11" s="43" t="str">
        <f t="shared" si="23"/>
        <v/>
      </c>
      <c r="I11" s="44" t="s">
        <v>100</v>
      </c>
      <c r="J11" s="43" t="str">
        <f>IF(IFERROR(INDEX(Consulta!$A:$DN,MATCH('ZM01'!$C11,Consulta!$D:$D,0),'ZM01'!J$2),"")=0,"",IFERROR(INDEX(Consulta!$A:$DN,MATCH('ZM01'!$C11,Consulta!$D:$D,0),'ZM01'!J$2),""))</f>
        <v/>
      </c>
      <c r="K11" s="43" t="str">
        <f>IF(IFERROR(INDEX(Consulta!$A:$DN,MATCH('ZM01'!$C11,Consulta!$D:$D,0),'ZM01'!K$2),"")=0,"",IFERROR(INDEX(Consulta!$A:$DN,MATCH('ZM01'!$C11,Consulta!$D:$D,0),'ZM01'!K$2),""))</f>
        <v/>
      </c>
      <c r="L11" s="43" t="str">
        <f t="shared" si="39"/>
        <v/>
      </c>
      <c r="M11" s="43" t="str">
        <f>IF(IFERROR(INDEX(Consulta!$A:$DN,MATCH('ZM01'!$C11,Consulta!$D:$D,0),'ZM01'!M$2),"")=0,"",IFERROR(INDEX(Consulta!$A:$DN,MATCH('ZM01'!$C11,Consulta!$D:$D,0),'ZM01'!M$2),""))</f>
        <v/>
      </c>
      <c r="N11" s="43" t="str">
        <f t="shared" si="40"/>
        <v/>
      </c>
      <c r="P11" s="45" t="s">
        <v>101</v>
      </c>
      <c r="Q11" s="45" t="s">
        <v>102</v>
      </c>
      <c r="R11" s="45" t="s">
        <v>103</v>
      </c>
      <c r="S11" s="45" t="s">
        <v>104</v>
      </c>
      <c r="T11" s="45" t="s">
        <v>105</v>
      </c>
      <c r="U11" s="45" t="s">
        <v>106</v>
      </c>
      <c r="V11" s="45" t="s">
        <v>107</v>
      </c>
      <c r="W11" s="45" t="s">
        <v>109</v>
      </c>
      <c r="X11" s="45" t="s">
        <v>110</v>
      </c>
      <c r="Y11" s="45"/>
      <c r="Z11" s="45"/>
      <c r="AA11" s="45" t="s">
        <v>112</v>
      </c>
      <c r="AB11" s="45" t="s">
        <v>113</v>
      </c>
      <c r="AC11" s="45" t="s">
        <v>114</v>
      </c>
      <c r="AD11" s="45" t="s">
        <v>115</v>
      </c>
      <c r="AE11" s="45" t="s">
        <v>117</v>
      </c>
      <c r="AF11" s="45" t="s">
        <v>118</v>
      </c>
      <c r="AG11" s="45" t="s">
        <v>119</v>
      </c>
      <c r="AH11" s="45" t="s">
        <v>120</v>
      </c>
      <c r="AI11" s="45" t="s">
        <v>121</v>
      </c>
      <c r="AJ11" s="45" t="s">
        <v>122</v>
      </c>
      <c r="AK11" s="45" t="s">
        <v>123</v>
      </c>
      <c r="AL11" s="45" t="s">
        <v>124</v>
      </c>
      <c r="AM11" s="45" t="s">
        <v>125</v>
      </c>
      <c r="AN11" s="45" t="s">
        <v>126</v>
      </c>
      <c r="AO11" s="45"/>
      <c r="AP11" s="45"/>
      <c r="AR11" s="44" t="s">
        <v>822</v>
      </c>
      <c r="AS11" s="43" t="str">
        <f>IF(IFERROR(INDEX(Consulta!$A:$DN,MATCH('ZM01'!$C11,Consulta!$D:$D,0),'ZM01'!AS$2),"")=0,"",IFERROR(INDEX(Consulta!$A:$DN,MATCH('ZM01'!$C11,Consulta!$D:$D,0),'ZM01'!AS$2),""))</f>
        <v/>
      </c>
      <c r="AT11" s="45"/>
      <c r="AU11" s="43" t="str">
        <f>IF(IFERROR(INDEX(Consulta!$A:$DN,MATCH('ZM01'!$C11,Consulta!$D:$D,0),'ZM01'!AU$2),"")=0,"",IFERROR(INDEX(Consulta!$A:$DN,MATCH('ZM01'!$C11,Consulta!$D:$D,0),'ZM01'!AU$2),""))</f>
        <v/>
      </c>
      <c r="AV11" s="43" t="str">
        <f>IF(IFERROR(INDEX(Consulta!$A:$DN,MATCH('ZM01'!$C11,Consulta!$D:$D,0),'ZM01'!AV$2),"")=0,"",IFERROR(INDEX(Consulta!$A:$DN,MATCH('ZM01'!$C11,Consulta!$D:$D,0),'ZM01'!AV$2),""))</f>
        <v/>
      </c>
      <c r="AW11" s="45"/>
      <c r="AX11" s="46" t="str">
        <f t="shared" ca="1" si="41"/>
        <v/>
      </c>
      <c r="AY11" s="47" t="s">
        <v>755</v>
      </c>
      <c r="AZ11" s="43" t="str">
        <f>IF(IFERROR(ROUND(INDEX(Consulta!$A:$DN,MATCH('ZM01'!$C11,Consulta!$D:$D,0),'ZM01'!AZ$2),3),"")=0,"",IFERROR(ROUND(INDEX(Consulta!$A:$DN,MATCH('ZM01'!$C11,Consulta!$D:$D,0),'ZM01'!AZ$2),3),""))</f>
        <v/>
      </c>
      <c r="BA11" s="43" t="str">
        <f t="shared" si="42"/>
        <v/>
      </c>
      <c r="BB11" s="48" t="s">
        <v>299</v>
      </c>
      <c r="BC11" s="48"/>
      <c r="BD11" s="43" t="str">
        <f>IF(IFERROR(INDEX(Consulta!$A:$DN,MATCH('ZM01'!$C11,Consulta!$D:$D,0),'ZM01'!BD$2),"")=0,"",IFERROR(INDEX(Consulta!$A:$DN,MATCH('ZM01'!$C11,Consulta!$D:$D,0),'ZM01'!BD$2),""))</f>
        <v/>
      </c>
      <c r="BE11" s="43" t="str">
        <f t="shared" si="0"/>
        <v/>
      </c>
      <c r="BF11" s="43" t="str">
        <f t="shared" si="43"/>
        <v/>
      </c>
      <c r="BG11" s="43" t="str">
        <f t="shared" si="1"/>
        <v/>
      </c>
      <c r="BH11" s="43" t="str">
        <f t="shared" si="44"/>
        <v>PC</v>
      </c>
      <c r="BI11" s="43" t="str">
        <f t="shared" si="24"/>
        <v/>
      </c>
      <c r="BJ11" s="43" t="str">
        <f t="shared" si="25"/>
        <v/>
      </c>
      <c r="BK11" s="43" t="str">
        <f t="shared" si="26"/>
        <v/>
      </c>
      <c r="BL11" s="43" t="str">
        <f t="shared" si="45"/>
        <v>PC</v>
      </c>
      <c r="BN11" s="44"/>
      <c r="BO11" s="44" t="s">
        <v>925</v>
      </c>
      <c r="BP11" s="43" t="str">
        <f>IF(OR(IFERROR(INDEX(Consulta!$A:$DN,MATCH('ZM01'!$C11,Consulta!$D:$D,0),'ZM01'!BP$2),"")=0,IFERROR(INDEX(Consulta!$A:$DN,MATCH('ZM01'!$C11,Consulta!$D:$D,0),'ZM01'!BP$2),"")=AR11),"",IFERROR(INDEX(Consulta!$A:$DN,MATCH('ZM01'!$C11,Consulta!$D:$D,0),'ZM01'!BP$2),""))</f>
        <v/>
      </c>
      <c r="BQ11" s="45">
        <v>99</v>
      </c>
      <c r="BR11" s="46" t="str">
        <f t="shared" ca="1" si="46"/>
        <v>24.05.2022</v>
      </c>
      <c r="BS11" s="49" t="str">
        <f t="shared" si="47"/>
        <v/>
      </c>
      <c r="BT11" s="50">
        <v>1</v>
      </c>
      <c r="BU11" s="50" t="s">
        <v>194</v>
      </c>
      <c r="BV11" s="90" t="str">
        <f t="shared" si="14"/>
        <v>01</v>
      </c>
      <c r="BW11" s="50" t="s">
        <v>755</v>
      </c>
      <c r="BX11" s="44">
        <v>1</v>
      </c>
      <c r="BY11" s="44" t="s">
        <v>372</v>
      </c>
      <c r="BZ11" s="50" t="s">
        <v>197</v>
      </c>
      <c r="CA11" s="50" t="s">
        <v>197</v>
      </c>
      <c r="CB11" s="43" t="str">
        <f>IF(IFERROR(INDEX(Consulta!$A:$DN,MATCH('ZM01'!$C11,Consulta!$D:$D,0),'ZM01'!CB$2),"")=0,"",IFERROR(INDEX(Consulta!$A:$DN,MATCH('ZM01'!$C11,Consulta!$D:$D,0),'ZM01'!CB$2),""))</f>
        <v/>
      </c>
      <c r="CC11" s="44" t="s">
        <v>392</v>
      </c>
      <c r="CD11" s="50">
        <v>0</v>
      </c>
      <c r="CE11" s="45" t="s">
        <v>403</v>
      </c>
      <c r="CF11" s="45" t="s">
        <v>84</v>
      </c>
      <c r="CG11" s="43" t="str">
        <f t="shared" si="15"/>
        <v/>
      </c>
      <c r="CH11" s="45" t="s">
        <v>430</v>
      </c>
      <c r="CI11" s="44">
        <v>0</v>
      </c>
      <c r="CJ11" s="43" t="str">
        <f t="shared" si="27"/>
        <v>E</v>
      </c>
      <c r="CK11" s="43" t="str">
        <f t="shared" si="28"/>
        <v/>
      </c>
      <c r="CL11" s="44">
        <v>2</v>
      </c>
      <c r="CM11" s="49" t="str">
        <f t="shared" si="48"/>
        <v/>
      </c>
      <c r="CN11" s="49" t="str">
        <f t="shared" si="49"/>
        <v/>
      </c>
      <c r="CO11" s="43" t="str">
        <f t="shared" si="29"/>
        <v/>
      </c>
      <c r="CP11" s="44">
        <v>1</v>
      </c>
      <c r="CQ11" s="50" t="s">
        <v>515</v>
      </c>
      <c r="CR11" s="44" t="s">
        <v>372</v>
      </c>
      <c r="CS11" s="44">
        <v>2</v>
      </c>
      <c r="CT11" s="44">
        <v>42</v>
      </c>
      <c r="CU11" s="44">
        <v>10</v>
      </c>
      <c r="CV11" s="43" t="str">
        <f t="shared" si="30"/>
        <v>K00_AO_</v>
      </c>
      <c r="CW11" s="43" t="str">
        <f t="shared" si="31"/>
        <v/>
      </c>
      <c r="CX11" s="43" t="str">
        <f t="shared" si="32"/>
        <v/>
      </c>
      <c r="CY11" s="44">
        <v>1</v>
      </c>
      <c r="CZ11" s="43" t="str">
        <f t="shared" si="33"/>
        <v/>
      </c>
      <c r="DA11" s="43" t="str">
        <f>IF(IFERROR(INDEX(Consulta!$A:$DN,MATCH('ZM01'!$C11,Consulta!$D:$D,0),'ZM01'!DA$2),"")=0,"",IFERROR(INDEX(Consulta!$A:$DN,MATCH('ZM01'!$C11,Consulta!$D:$D,0),'ZM01'!DA$2),""))</f>
        <v/>
      </c>
      <c r="DB11" s="43" t="str">
        <f>IF(IFERROR(INDEX(Consulta!$A:$DN,MATCH('ZM01'!$C11,Consulta!$D:$D,0),'ZM01'!DB$2),"")=0,"",IFERROR(INDEX(Consulta!$A:$DN,MATCH('ZM01'!$C11,Consulta!$D:$D,0),'ZM01'!DB$2),""))</f>
        <v/>
      </c>
      <c r="DC11" s="45">
        <v>0</v>
      </c>
      <c r="DD11" s="45">
        <v>0</v>
      </c>
      <c r="DE11" s="43" t="str">
        <f>IF(IFERROR(INDEX(Consulta!$A:$DN,MATCH('ZM01'!$C11,Consulta!$D:$D,0),'ZM01'!DE$2),"")=0,"",IFERROR(TEXT(VALUE(INDEX(Consulta!$A:$DN,MATCH('ZM01'!$C11,Consulta!$D:$D,0),'ZM01'!DE$2))/100,"0,00"),""))</f>
        <v/>
      </c>
      <c r="DG11" s="43">
        <f t="shared" si="50"/>
        <v>1</v>
      </c>
      <c r="DH11" s="43" t="str">
        <f>IF(IFERROR(INDEX(Consulta!$A:$DN,MATCH('ZM01'!$C11,Consulta!$D:$D,0),'ZM01'!DH$2),"")=0,"",IFERROR(VLOOKUP(INDEX(Consulta!$A:$DN,MATCH('ZM01'!$C11,Consulta!$D:$D,0),'ZM01'!DH$2),'Listas de Dados'!BU:BW,3,0),""))</f>
        <v/>
      </c>
      <c r="DI11" s="43" t="str">
        <f t="shared" ca="1" si="51"/>
        <v>24.05.2022</v>
      </c>
      <c r="DJ11" s="43" t="str">
        <f t="shared" si="52"/>
        <v>31.12.9999</v>
      </c>
      <c r="DL11" s="44">
        <v>1</v>
      </c>
      <c r="DM11" s="44" t="s">
        <v>1039</v>
      </c>
      <c r="DN11" s="44">
        <v>1</v>
      </c>
      <c r="DO11" s="43">
        <f t="shared" si="34"/>
        <v>1</v>
      </c>
      <c r="DP11" s="43" t="str">
        <f t="shared" si="35"/>
        <v>PC</v>
      </c>
      <c r="DQ11" s="43" t="str">
        <f t="shared" si="36"/>
        <v/>
      </c>
      <c r="DR11" s="44">
        <v>100</v>
      </c>
      <c r="DS11" s="71">
        <f t="shared" si="21"/>
        <v>1</v>
      </c>
      <c r="DT11" s="43">
        <f t="shared" si="53"/>
        <v>100</v>
      </c>
      <c r="DU11" s="44">
        <v>1</v>
      </c>
      <c r="DV11" s="44">
        <v>0</v>
      </c>
      <c r="DW11" s="44" t="s">
        <v>826</v>
      </c>
      <c r="DX11" s="45">
        <v>0</v>
      </c>
      <c r="DY11" s="44">
        <v>100</v>
      </c>
      <c r="DZ11" s="60"/>
    </row>
    <row r="12" spans="1:130" x14ac:dyDescent="0.2">
      <c r="A12" s="7" t="str">
        <f t="shared" si="2"/>
        <v>Execução 8</v>
      </c>
      <c r="B12" s="75"/>
      <c r="C12" s="85"/>
      <c r="D12" s="71" t="str">
        <f t="shared" si="37"/>
        <v/>
      </c>
      <c r="E12" s="71" t="str">
        <f t="shared" si="38"/>
        <v/>
      </c>
      <c r="F12" s="43" t="str">
        <f>IF(IFERROR(INDEX(Consulta!$A:$DN,MATCH('ZM01'!$C12,Consulta!$D:$D,0),'ZM01'!F$2),"")=0,"",IFERROR(INDEX(Consulta!$A:$DN,MATCH('ZM01'!$C12,Consulta!$D:$D,0),'ZM01'!F$2),""))</f>
        <v/>
      </c>
      <c r="G12" s="43" t="str">
        <f>IF(IFERROR(INDEX(Consulta!$A:$DN,MATCH('ZM01'!$C12,Consulta!$D:$D,0),'ZM01'!G$2),"")=0,"",IFERROR(INDEX(Consulta!$A:$DN,MATCH('ZM01'!$C12,Consulta!$D:$D,0),'ZM01'!G$2),""))</f>
        <v/>
      </c>
      <c r="H12" s="43" t="str">
        <f t="shared" si="23"/>
        <v/>
      </c>
      <c r="I12" s="44" t="s">
        <v>100</v>
      </c>
      <c r="J12" s="43" t="str">
        <f>IF(IFERROR(INDEX(Consulta!$A:$DN,MATCH('ZM01'!$C12,Consulta!$D:$D,0),'ZM01'!J$2),"")=0,"",IFERROR(INDEX(Consulta!$A:$DN,MATCH('ZM01'!$C12,Consulta!$D:$D,0),'ZM01'!J$2),""))</f>
        <v/>
      </c>
      <c r="K12" s="43" t="str">
        <f>IF(IFERROR(INDEX(Consulta!$A:$DN,MATCH('ZM01'!$C12,Consulta!$D:$D,0),'ZM01'!K$2),"")=0,"",IFERROR(INDEX(Consulta!$A:$DN,MATCH('ZM01'!$C12,Consulta!$D:$D,0),'ZM01'!K$2),""))</f>
        <v/>
      </c>
      <c r="L12" s="43" t="str">
        <f t="shared" si="39"/>
        <v/>
      </c>
      <c r="M12" s="43" t="str">
        <f>IF(IFERROR(INDEX(Consulta!$A:$DN,MATCH('ZM01'!$C12,Consulta!$D:$D,0),'ZM01'!M$2),"")=0,"",IFERROR(INDEX(Consulta!$A:$DN,MATCH('ZM01'!$C12,Consulta!$D:$D,0),'ZM01'!M$2),""))</f>
        <v/>
      </c>
      <c r="N12" s="43" t="str">
        <f t="shared" si="40"/>
        <v/>
      </c>
      <c r="P12" s="45" t="s">
        <v>101</v>
      </c>
      <c r="Q12" s="45" t="s">
        <v>102</v>
      </c>
      <c r="R12" s="45" t="s">
        <v>103</v>
      </c>
      <c r="S12" s="45" t="s">
        <v>104</v>
      </c>
      <c r="T12" s="45" t="s">
        <v>105</v>
      </c>
      <c r="U12" s="45" t="s">
        <v>106</v>
      </c>
      <c r="V12" s="45" t="s">
        <v>107</v>
      </c>
      <c r="W12" s="45" t="s">
        <v>109</v>
      </c>
      <c r="X12" s="45" t="s">
        <v>110</v>
      </c>
      <c r="Y12" s="45"/>
      <c r="Z12" s="45"/>
      <c r="AA12" s="45" t="s">
        <v>112</v>
      </c>
      <c r="AB12" s="45" t="s">
        <v>113</v>
      </c>
      <c r="AC12" s="45" t="s">
        <v>114</v>
      </c>
      <c r="AD12" s="45" t="s">
        <v>115</v>
      </c>
      <c r="AE12" s="45" t="s">
        <v>117</v>
      </c>
      <c r="AF12" s="45" t="s">
        <v>118</v>
      </c>
      <c r="AG12" s="45" t="s">
        <v>119</v>
      </c>
      <c r="AH12" s="45" t="s">
        <v>120</v>
      </c>
      <c r="AI12" s="45" t="s">
        <v>121</v>
      </c>
      <c r="AJ12" s="45" t="s">
        <v>122</v>
      </c>
      <c r="AK12" s="45" t="s">
        <v>123</v>
      </c>
      <c r="AL12" s="45" t="s">
        <v>124</v>
      </c>
      <c r="AM12" s="45" t="s">
        <v>125</v>
      </c>
      <c r="AN12" s="45" t="s">
        <v>126</v>
      </c>
      <c r="AO12" s="45"/>
      <c r="AP12" s="45"/>
      <c r="AR12" s="44" t="s">
        <v>822</v>
      </c>
      <c r="AS12" s="43" t="str">
        <f>IF(IFERROR(INDEX(Consulta!$A:$DN,MATCH('ZM01'!$C12,Consulta!$D:$D,0),'ZM01'!AS$2),"")=0,"",IFERROR(INDEX(Consulta!$A:$DN,MATCH('ZM01'!$C12,Consulta!$D:$D,0),'ZM01'!AS$2),""))</f>
        <v/>
      </c>
      <c r="AT12" s="45"/>
      <c r="AU12" s="43" t="str">
        <f>IF(IFERROR(INDEX(Consulta!$A:$DN,MATCH('ZM01'!$C12,Consulta!$D:$D,0),'ZM01'!AU$2),"")=0,"",IFERROR(INDEX(Consulta!$A:$DN,MATCH('ZM01'!$C12,Consulta!$D:$D,0),'ZM01'!AU$2),""))</f>
        <v/>
      </c>
      <c r="AV12" s="43" t="str">
        <f>IF(IFERROR(INDEX(Consulta!$A:$DN,MATCH('ZM01'!$C12,Consulta!$D:$D,0),'ZM01'!AV$2),"")=0,"",IFERROR(INDEX(Consulta!$A:$DN,MATCH('ZM01'!$C12,Consulta!$D:$D,0),'ZM01'!AV$2),""))</f>
        <v/>
      </c>
      <c r="AW12" s="45"/>
      <c r="AX12" s="46" t="str">
        <f t="shared" ca="1" si="41"/>
        <v/>
      </c>
      <c r="AY12" s="47" t="s">
        <v>755</v>
      </c>
      <c r="AZ12" s="43" t="str">
        <f>IF(IFERROR(ROUND(INDEX(Consulta!$A:$DN,MATCH('ZM01'!$C12,Consulta!$D:$D,0),'ZM01'!AZ$2),3),"")=0,"",IFERROR(ROUND(INDEX(Consulta!$A:$DN,MATCH('ZM01'!$C12,Consulta!$D:$D,0),'ZM01'!AZ$2),3),""))</f>
        <v/>
      </c>
      <c r="BA12" s="43" t="str">
        <f t="shared" si="42"/>
        <v/>
      </c>
      <c r="BB12" s="48" t="s">
        <v>299</v>
      </c>
      <c r="BC12" s="48"/>
      <c r="BD12" s="43" t="str">
        <f>IF(IFERROR(INDEX(Consulta!$A:$DN,MATCH('ZM01'!$C12,Consulta!$D:$D,0),'ZM01'!BD$2),"")=0,"",IFERROR(INDEX(Consulta!$A:$DN,MATCH('ZM01'!$C12,Consulta!$D:$D,0),'ZM01'!BD$2),""))</f>
        <v/>
      </c>
      <c r="BE12" s="43" t="str">
        <f t="shared" si="0"/>
        <v/>
      </c>
      <c r="BF12" s="43" t="str">
        <f t="shared" si="43"/>
        <v/>
      </c>
      <c r="BG12" s="43" t="str">
        <f t="shared" si="1"/>
        <v/>
      </c>
      <c r="BH12" s="43" t="str">
        <f t="shared" si="44"/>
        <v>PC</v>
      </c>
      <c r="BI12" s="43" t="str">
        <f t="shared" si="24"/>
        <v/>
      </c>
      <c r="BJ12" s="43" t="str">
        <f t="shared" si="25"/>
        <v/>
      </c>
      <c r="BK12" s="43" t="str">
        <f t="shared" si="26"/>
        <v/>
      </c>
      <c r="BL12" s="43" t="str">
        <f t="shared" si="45"/>
        <v>PC</v>
      </c>
      <c r="BN12" s="44"/>
      <c r="BO12" s="44" t="s">
        <v>925</v>
      </c>
      <c r="BP12" s="43" t="str">
        <f>IF(OR(IFERROR(INDEX(Consulta!$A:$DN,MATCH('ZM01'!$C12,Consulta!$D:$D,0),'ZM01'!BP$2),"")=0,IFERROR(INDEX(Consulta!$A:$DN,MATCH('ZM01'!$C12,Consulta!$D:$D,0),'ZM01'!BP$2),"")=AR12),"",IFERROR(INDEX(Consulta!$A:$DN,MATCH('ZM01'!$C12,Consulta!$D:$D,0),'ZM01'!BP$2),""))</f>
        <v/>
      </c>
      <c r="BQ12" s="45">
        <v>99</v>
      </c>
      <c r="BR12" s="46" t="str">
        <f t="shared" ca="1" si="46"/>
        <v>24.05.2022</v>
      </c>
      <c r="BS12" s="49" t="str">
        <f t="shared" si="47"/>
        <v/>
      </c>
      <c r="BT12" s="50">
        <v>1</v>
      </c>
      <c r="BU12" s="50" t="s">
        <v>194</v>
      </c>
      <c r="BV12" s="90" t="str">
        <f t="shared" si="14"/>
        <v>01</v>
      </c>
      <c r="BW12" s="50" t="s">
        <v>755</v>
      </c>
      <c r="BX12" s="44">
        <v>1</v>
      </c>
      <c r="BY12" s="44" t="s">
        <v>372</v>
      </c>
      <c r="BZ12" s="50" t="s">
        <v>197</v>
      </c>
      <c r="CA12" s="50" t="s">
        <v>197</v>
      </c>
      <c r="CB12" s="43" t="str">
        <f>IF(IFERROR(INDEX(Consulta!$A:$DN,MATCH('ZM01'!$C12,Consulta!$D:$D,0),'ZM01'!CB$2),"")=0,"",IFERROR(INDEX(Consulta!$A:$DN,MATCH('ZM01'!$C12,Consulta!$D:$D,0),'ZM01'!CB$2),""))</f>
        <v/>
      </c>
      <c r="CC12" s="44" t="s">
        <v>392</v>
      </c>
      <c r="CD12" s="50">
        <v>0</v>
      </c>
      <c r="CE12" s="45" t="s">
        <v>403</v>
      </c>
      <c r="CF12" s="45" t="s">
        <v>84</v>
      </c>
      <c r="CG12" s="43" t="str">
        <f t="shared" si="15"/>
        <v/>
      </c>
      <c r="CH12" s="45" t="s">
        <v>430</v>
      </c>
      <c r="CI12" s="44">
        <v>0</v>
      </c>
      <c r="CJ12" s="43" t="str">
        <f t="shared" si="27"/>
        <v>E</v>
      </c>
      <c r="CK12" s="43" t="str">
        <f t="shared" si="28"/>
        <v/>
      </c>
      <c r="CL12" s="44">
        <v>2</v>
      </c>
      <c r="CM12" s="49" t="str">
        <f t="shared" si="48"/>
        <v/>
      </c>
      <c r="CN12" s="49" t="str">
        <f t="shared" si="49"/>
        <v/>
      </c>
      <c r="CO12" s="43" t="str">
        <f t="shared" si="29"/>
        <v/>
      </c>
      <c r="CP12" s="44">
        <v>1</v>
      </c>
      <c r="CQ12" s="50" t="s">
        <v>515</v>
      </c>
      <c r="CR12" s="44" t="s">
        <v>372</v>
      </c>
      <c r="CS12" s="44">
        <v>2</v>
      </c>
      <c r="CT12" s="44">
        <v>42</v>
      </c>
      <c r="CU12" s="44">
        <v>10</v>
      </c>
      <c r="CV12" s="43" t="str">
        <f t="shared" si="30"/>
        <v>K00_AO_</v>
      </c>
      <c r="CW12" s="43" t="str">
        <f t="shared" si="31"/>
        <v/>
      </c>
      <c r="CX12" s="43" t="str">
        <f t="shared" si="32"/>
        <v/>
      </c>
      <c r="CY12" s="44">
        <v>1</v>
      </c>
      <c r="CZ12" s="43" t="str">
        <f t="shared" si="33"/>
        <v/>
      </c>
      <c r="DA12" s="43" t="str">
        <f>IF(IFERROR(INDEX(Consulta!$A:$DN,MATCH('ZM01'!$C12,Consulta!$D:$D,0),'ZM01'!DA$2),"")=0,"",IFERROR(INDEX(Consulta!$A:$DN,MATCH('ZM01'!$C12,Consulta!$D:$D,0),'ZM01'!DA$2),""))</f>
        <v/>
      </c>
      <c r="DB12" s="43" t="str">
        <f>IF(IFERROR(INDEX(Consulta!$A:$DN,MATCH('ZM01'!$C12,Consulta!$D:$D,0),'ZM01'!DB$2),"")=0,"",IFERROR(INDEX(Consulta!$A:$DN,MATCH('ZM01'!$C12,Consulta!$D:$D,0),'ZM01'!DB$2),""))</f>
        <v/>
      </c>
      <c r="DC12" s="45">
        <v>0</v>
      </c>
      <c r="DD12" s="45">
        <v>0</v>
      </c>
      <c r="DE12" s="43" t="str">
        <f>IF(IFERROR(INDEX(Consulta!$A:$DN,MATCH('ZM01'!$C12,Consulta!$D:$D,0),'ZM01'!DE$2),"")=0,"",IFERROR(TEXT(VALUE(INDEX(Consulta!$A:$DN,MATCH('ZM01'!$C12,Consulta!$D:$D,0),'ZM01'!DE$2))/100,"0,00"),""))</f>
        <v/>
      </c>
      <c r="DG12" s="43">
        <f t="shared" si="50"/>
        <v>1</v>
      </c>
      <c r="DH12" s="43" t="str">
        <f>IF(IFERROR(INDEX(Consulta!$A:$DN,MATCH('ZM01'!$C12,Consulta!$D:$D,0),'ZM01'!DH$2),"")=0,"",IFERROR(VLOOKUP(INDEX(Consulta!$A:$DN,MATCH('ZM01'!$C12,Consulta!$D:$D,0),'ZM01'!DH$2),'Listas de Dados'!BU:BW,3,0),""))</f>
        <v/>
      </c>
      <c r="DI12" s="43" t="str">
        <f t="shared" ca="1" si="51"/>
        <v>24.05.2022</v>
      </c>
      <c r="DJ12" s="43" t="str">
        <f t="shared" si="52"/>
        <v>31.12.9999</v>
      </c>
      <c r="DL12" s="44">
        <v>1</v>
      </c>
      <c r="DM12" s="44" t="s">
        <v>1039</v>
      </c>
      <c r="DN12" s="44">
        <v>1</v>
      </c>
      <c r="DO12" s="43">
        <f t="shared" si="34"/>
        <v>1</v>
      </c>
      <c r="DP12" s="43" t="str">
        <f t="shared" si="35"/>
        <v>PC</v>
      </c>
      <c r="DQ12" s="43" t="str">
        <f t="shared" si="36"/>
        <v/>
      </c>
      <c r="DR12" s="44">
        <v>100</v>
      </c>
      <c r="DS12" s="71">
        <f t="shared" si="21"/>
        <v>1</v>
      </c>
      <c r="DT12" s="43">
        <f t="shared" si="53"/>
        <v>100</v>
      </c>
      <c r="DU12" s="44">
        <v>1</v>
      </c>
      <c r="DV12" s="44">
        <v>0</v>
      </c>
      <c r="DW12" s="44" t="s">
        <v>826</v>
      </c>
      <c r="DX12" s="45">
        <v>0</v>
      </c>
      <c r="DY12" s="44">
        <v>100</v>
      </c>
      <c r="DZ12" s="61"/>
    </row>
    <row r="13" spans="1:130" x14ac:dyDescent="0.2">
      <c r="A13" s="7" t="str">
        <f t="shared" si="2"/>
        <v>Execução 9</v>
      </c>
      <c r="B13" s="79"/>
      <c r="C13" s="85"/>
      <c r="D13" s="71" t="str">
        <f t="shared" si="37"/>
        <v/>
      </c>
      <c r="E13" s="71" t="str">
        <f t="shared" si="38"/>
        <v/>
      </c>
      <c r="F13" s="43" t="str">
        <f>IF(IFERROR(INDEX(Consulta!$A:$DN,MATCH('ZM01'!$C13,Consulta!$D:$D,0),'ZM01'!F$2),"")=0,"",IFERROR(INDEX(Consulta!$A:$DN,MATCH('ZM01'!$C13,Consulta!$D:$D,0),'ZM01'!F$2),""))</f>
        <v/>
      </c>
      <c r="G13" s="43" t="str">
        <f>IF(IFERROR(INDEX(Consulta!$A:$DN,MATCH('ZM01'!$C13,Consulta!$D:$D,0),'ZM01'!G$2),"")=0,"",IFERROR(INDEX(Consulta!$A:$DN,MATCH('ZM01'!$C13,Consulta!$D:$D,0),'ZM01'!G$2),""))</f>
        <v/>
      </c>
      <c r="H13" s="43" t="str">
        <f t="shared" si="23"/>
        <v/>
      </c>
      <c r="I13" s="44" t="s">
        <v>100</v>
      </c>
      <c r="J13" s="43" t="str">
        <f>IF(IFERROR(INDEX(Consulta!$A:$DN,MATCH('ZM01'!$C13,Consulta!$D:$D,0),'ZM01'!J$2),"")=0,"",IFERROR(INDEX(Consulta!$A:$DN,MATCH('ZM01'!$C13,Consulta!$D:$D,0),'ZM01'!J$2),""))</f>
        <v/>
      </c>
      <c r="K13" s="43" t="str">
        <f>IF(IFERROR(INDEX(Consulta!$A:$DN,MATCH('ZM01'!$C13,Consulta!$D:$D,0),'ZM01'!K$2),"")=0,"",IFERROR(INDEX(Consulta!$A:$DN,MATCH('ZM01'!$C13,Consulta!$D:$D,0),'ZM01'!K$2),""))</f>
        <v/>
      </c>
      <c r="L13" s="43" t="str">
        <f t="shared" si="39"/>
        <v/>
      </c>
      <c r="M13" s="43" t="str">
        <f>IF(IFERROR(INDEX(Consulta!$A:$DN,MATCH('ZM01'!$C13,Consulta!$D:$D,0),'ZM01'!M$2),"")=0,"",IFERROR(INDEX(Consulta!$A:$DN,MATCH('ZM01'!$C13,Consulta!$D:$D,0),'ZM01'!M$2),""))</f>
        <v/>
      </c>
      <c r="N13" s="43" t="str">
        <f t="shared" si="40"/>
        <v/>
      </c>
      <c r="P13" s="45" t="s">
        <v>101</v>
      </c>
      <c r="Q13" s="45" t="s">
        <v>102</v>
      </c>
      <c r="R13" s="45" t="s">
        <v>103</v>
      </c>
      <c r="S13" s="45" t="s">
        <v>104</v>
      </c>
      <c r="T13" s="45" t="s">
        <v>105</v>
      </c>
      <c r="U13" s="45" t="s">
        <v>106</v>
      </c>
      <c r="V13" s="45" t="s">
        <v>107</v>
      </c>
      <c r="W13" s="45" t="s">
        <v>109</v>
      </c>
      <c r="X13" s="45" t="s">
        <v>110</v>
      </c>
      <c r="Y13" s="45"/>
      <c r="Z13" s="45"/>
      <c r="AA13" s="45" t="s">
        <v>112</v>
      </c>
      <c r="AB13" s="45" t="s">
        <v>113</v>
      </c>
      <c r="AC13" s="45" t="s">
        <v>114</v>
      </c>
      <c r="AD13" s="45" t="s">
        <v>115</v>
      </c>
      <c r="AE13" s="45" t="s">
        <v>117</v>
      </c>
      <c r="AF13" s="45" t="s">
        <v>118</v>
      </c>
      <c r="AG13" s="45" t="s">
        <v>119</v>
      </c>
      <c r="AH13" s="45" t="s">
        <v>120</v>
      </c>
      <c r="AI13" s="45" t="s">
        <v>121</v>
      </c>
      <c r="AJ13" s="45" t="s">
        <v>122</v>
      </c>
      <c r="AK13" s="45" t="s">
        <v>123</v>
      </c>
      <c r="AL13" s="45" t="s">
        <v>124</v>
      </c>
      <c r="AM13" s="45" t="s">
        <v>125</v>
      </c>
      <c r="AN13" s="45" t="s">
        <v>126</v>
      </c>
      <c r="AO13" s="45"/>
      <c r="AP13" s="45"/>
      <c r="AR13" s="44" t="s">
        <v>822</v>
      </c>
      <c r="AS13" s="43" t="str">
        <f>IF(IFERROR(INDEX(Consulta!$A:$DN,MATCH('ZM01'!$C13,Consulta!$D:$D,0),'ZM01'!AS$2),"")=0,"",IFERROR(INDEX(Consulta!$A:$DN,MATCH('ZM01'!$C13,Consulta!$D:$D,0),'ZM01'!AS$2),""))</f>
        <v/>
      </c>
      <c r="AT13" s="45"/>
      <c r="AU13" s="43" t="str">
        <f>IF(IFERROR(INDEX(Consulta!$A:$DN,MATCH('ZM01'!$C13,Consulta!$D:$D,0),'ZM01'!AU$2),"")=0,"",IFERROR(INDEX(Consulta!$A:$DN,MATCH('ZM01'!$C13,Consulta!$D:$D,0),'ZM01'!AU$2),""))</f>
        <v/>
      </c>
      <c r="AV13" s="43" t="str">
        <f>IF(IFERROR(INDEX(Consulta!$A:$DN,MATCH('ZM01'!$C13,Consulta!$D:$D,0),'ZM01'!AV$2),"")=0,"",IFERROR(INDEX(Consulta!$A:$DN,MATCH('ZM01'!$C13,Consulta!$D:$D,0),'ZM01'!AV$2),""))</f>
        <v/>
      </c>
      <c r="AW13" s="45"/>
      <c r="AX13" s="46" t="str">
        <f t="shared" ca="1" si="41"/>
        <v/>
      </c>
      <c r="AY13" s="47" t="s">
        <v>755</v>
      </c>
      <c r="AZ13" s="43" t="str">
        <f>IF(IFERROR(ROUND(INDEX(Consulta!$A:$DN,MATCH('ZM01'!$C13,Consulta!$D:$D,0),'ZM01'!AZ$2),3),"")=0,"",IFERROR(ROUND(INDEX(Consulta!$A:$DN,MATCH('ZM01'!$C13,Consulta!$D:$D,0),'ZM01'!AZ$2),3),""))</f>
        <v/>
      </c>
      <c r="BA13" s="43" t="str">
        <f t="shared" si="42"/>
        <v/>
      </c>
      <c r="BB13" s="48" t="s">
        <v>299</v>
      </c>
      <c r="BC13" s="48"/>
      <c r="BD13" s="43" t="str">
        <f>IF(IFERROR(INDEX(Consulta!$A:$DN,MATCH('ZM01'!$C13,Consulta!$D:$D,0),'ZM01'!BD$2),"")=0,"",IFERROR(INDEX(Consulta!$A:$DN,MATCH('ZM01'!$C13,Consulta!$D:$D,0),'ZM01'!BD$2),""))</f>
        <v/>
      </c>
      <c r="BE13" s="43" t="str">
        <f t="shared" si="0"/>
        <v/>
      </c>
      <c r="BF13" s="43" t="str">
        <f t="shared" si="43"/>
        <v/>
      </c>
      <c r="BG13" s="43" t="str">
        <f t="shared" si="1"/>
        <v/>
      </c>
      <c r="BH13" s="43" t="str">
        <f t="shared" si="44"/>
        <v>PC</v>
      </c>
      <c r="BI13" s="43" t="str">
        <f t="shared" si="24"/>
        <v/>
      </c>
      <c r="BJ13" s="43" t="str">
        <f t="shared" si="25"/>
        <v/>
      </c>
      <c r="BK13" s="43" t="str">
        <f t="shared" si="26"/>
        <v/>
      </c>
      <c r="BL13" s="43" t="str">
        <f t="shared" si="45"/>
        <v>PC</v>
      </c>
      <c r="BN13" s="44"/>
      <c r="BO13" s="44" t="s">
        <v>925</v>
      </c>
      <c r="BP13" s="43" t="str">
        <f>IF(OR(IFERROR(INDEX(Consulta!$A:$DN,MATCH('ZM01'!$C13,Consulta!$D:$D,0),'ZM01'!BP$2),"")=0,IFERROR(INDEX(Consulta!$A:$DN,MATCH('ZM01'!$C13,Consulta!$D:$D,0),'ZM01'!BP$2),"")=AR13),"",IFERROR(INDEX(Consulta!$A:$DN,MATCH('ZM01'!$C13,Consulta!$D:$D,0),'ZM01'!BP$2),""))</f>
        <v/>
      </c>
      <c r="BQ13" s="45">
        <v>99</v>
      </c>
      <c r="BR13" s="46" t="str">
        <f t="shared" ca="1" si="46"/>
        <v>24.05.2022</v>
      </c>
      <c r="BS13" s="49" t="str">
        <f t="shared" si="47"/>
        <v/>
      </c>
      <c r="BT13" s="50">
        <v>1</v>
      </c>
      <c r="BU13" s="50" t="s">
        <v>194</v>
      </c>
      <c r="BV13" s="90" t="str">
        <f t="shared" si="14"/>
        <v>01</v>
      </c>
      <c r="BW13" s="50" t="s">
        <v>755</v>
      </c>
      <c r="BX13" s="44">
        <v>1</v>
      </c>
      <c r="BY13" s="44" t="s">
        <v>372</v>
      </c>
      <c r="BZ13" s="50" t="s">
        <v>197</v>
      </c>
      <c r="CA13" s="50" t="s">
        <v>197</v>
      </c>
      <c r="CB13" s="43" t="str">
        <f>IF(IFERROR(INDEX(Consulta!$A:$DN,MATCH('ZM01'!$C13,Consulta!$D:$D,0),'ZM01'!CB$2),"")=0,"",IFERROR(INDEX(Consulta!$A:$DN,MATCH('ZM01'!$C13,Consulta!$D:$D,0),'ZM01'!CB$2),""))</f>
        <v/>
      </c>
      <c r="CC13" s="44" t="s">
        <v>392</v>
      </c>
      <c r="CD13" s="50">
        <v>0</v>
      </c>
      <c r="CE13" s="45" t="s">
        <v>403</v>
      </c>
      <c r="CF13" s="45" t="s">
        <v>84</v>
      </c>
      <c r="CG13" s="43" t="str">
        <f t="shared" si="15"/>
        <v/>
      </c>
      <c r="CH13" s="45" t="s">
        <v>430</v>
      </c>
      <c r="CI13" s="44">
        <v>0</v>
      </c>
      <c r="CJ13" s="43" t="str">
        <f t="shared" si="27"/>
        <v>E</v>
      </c>
      <c r="CK13" s="43" t="str">
        <f t="shared" si="28"/>
        <v/>
      </c>
      <c r="CL13" s="44">
        <v>2</v>
      </c>
      <c r="CM13" s="49" t="str">
        <f t="shared" si="48"/>
        <v/>
      </c>
      <c r="CN13" s="49" t="str">
        <f t="shared" si="49"/>
        <v/>
      </c>
      <c r="CO13" s="43" t="str">
        <f t="shared" si="29"/>
        <v/>
      </c>
      <c r="CP13" s="44">
        <v>1</v>
      </c>
      <c r="CQ13" s="50" t="s">
        <v>515</v>
      </c>
      <c r="CR13" s="44" t="s">
        <v>372</v>
      </c>
      <c r="CS13" s="44">
        <v>2</v>
      </c>
      <c r="CT13" s="44">
        <v>42</v>
      </c>
      <c r="CU13" s="44">
        <v>10</v>
      </c>
      <c r="CV13" s="43" t="str">
        <f t="shared" si="30"/>
        <v>K00_AO_</v>
      </c>
      <c r="CW13" s="43" t="str">
        <f t="shared" si="31"/>
        <v/>
      </c>
      <c r="CX13" s="43" t="str">
        <f t="shared" si="32"/>
        <v/>
      </c>
      <c r="CY13" s="44">
        <v>1</v>
      </c>
      <c r="CZ13" s="43" t="str">
        <f t="shared" si="33"/>
        <v/>
      </c>
      <c r="DA13" s="43" t="str">
        <f>IF(IFERROR(INDEX(Consulta!$A:$DN,MATCH('ZM01'!$C13,Consulta!$D:$D,0),'ZM01'!DA$2),"")=0,"",IFERROR(INDEX(Consulta!$A:$DN,MATCH('ZM01'!$C13,Consulta!$D:$D,0),'ZM01'!DA$2),""))</f>
        <v/>
      </c>
      <c r="DB13" s="43" t="str">
        <f>IF(IFERROR(INDEX(Consulta!$A:$DN,MATCH('ZM01'!$C13,Consulta!$D:$D,0),'ZM01'!DB$2),"")=0,"",IFERROR(INDEX(Consulta!$A:$DN,MATCH('ZM01'!$C13,Consulta!$D:$D,0),'ZM01'!DB$2),""))</f>
        <v/>
      </c>
      <c r="DC13" s="45">
        <v>0</v>
      </c>
      <c r="DD13" s="45">
        <v>0</v>
      </c>
      <c r="DE13" s="43" t="str">
        <f>IF(IFERROR(INDEX(Consulta!$A:$DN,MATCH('ZM01'!$C13,Consulta!$D:$D,0),'ZM01'!DE$2),"")=0,"",IFERROR(TEXT(VALUE(INDEX(Consulta!$A:$DN,MATCH('ZM01'!$C13,Consulta!$D:$D,0),'ZM01'!DE$2))/100,"0,00"),""))</f>
        <v/>
      </c>
      <c r="DG13" s="43">
        <f t="shared" si="50"/>
        <v>1</v>
      </c>
      <c r="DH13" s="43" t="str">
        <f>IF(IFERROR(INDEX(Consulta!$A:$DN,MATCH('ZM01'!$C13,Consulta!$D:$D,0),'ZM01'!DH$2),"")=0,"",IFERROR(VLOOKUP(INDEX(Consulta!$A:$DN,MATCH('ZM01'!$C13,Consulta!$D:$D,0),'ZM01'!DH$2),'Listas de Dados'!BU:BW,3,0),""))</f>
        <v/>
      </c>
      <c r="DI13" s="43" t="str">
        <f t="shared" ca="1" si="51"/>
        <v>24.05.2022</v>
      </c>
      <c r="DJ13" s="43" t="str">
        <f t="shared" si="52"/>
        <v>31.12.9999</v>
      </c>
      <c r="DL13" s="44">
        <v>1</v>
      </c>
      <c r="DM13" s="44" t="s">
        <v>1039</v>
      </c>
      <c r="DN13" s="44">
        <v>1</v>
      </c>
      <c r="DO13" s="43">
        <f t="shared" si="34"/>
        <v>1</v>
      </c>
      <c r="DP13" s="43" t="str">
        <f t="shared" si="35"/>
        <v>PC</v>
      </c>
      <c r="DQ13" s="43" t="str">
        <f t="shared" si="36"/>
        <v/>
      </c>
      <c r="DR13" s="44">
        <v>100</v>
      </c>
      <c r="DS13" s="71">
        <f t="shared" si="21"/>
        <v>1</v>
      </c>
      <c r="DT13" s="43">
        <f t="shared" si="53"/>
        <v>100</v>
      </c>
      <c r="DU13" s="44">
        <v>1</v>
      </c>
      <c r="DV13" s="44">
        <v>0</v>
      </c>
      <c r="DW13" s="44" t="s">
        <v>826</v>
      </c>
      <c r="DX13" s="45">
        <v>0</v>
      </c>
      <c r="DY13" s="44">
        <v>100</v>
      </c>
      <c r="DZ13" s="60"/>
    </row>
    <row r="14" spans="1:130" x14ac:dyDescent="0.2">
      <c r="A14" s="7" t="str">
        <f t="shared" si="2"/>
        <v>Execução 10</v>
      </c>
      <c r="B14" s="75"/>
      <c r="C14" s="85"/>
      <c r="D14" s="71" t="str">
        <f t="shared" si="37"/>
        <v/>
      </c>
      <c r="E14" s="71" t="str">
        <f t="shared" si="38"/>
        <v/>
      </c>
      <c r="F14" s="43" t="str">
        <f>IF(IFERROR(INDEX(Consulta!$A:$DN,MATCH('ZM01'!$C14,Consulta!$D:$D,0),'ZM01'!F$2),"")=0,"",IFERROR(INDEX(Consulta!$A:$DN,MATCH('ZM01'!$C14,Consulta!$D:$D,0),'ZM01'!F$2),""))</f>
        <v/>
      </c>
      <c r="G14" s="43" t="str">
        <f>IF(IFERROR(INDEX(Consulta!$A:$DN,MATCH('ZM01'!$C14,Consulta!$D:$D,0),'ZM01'!G$2),"")=0,"",IFERROR(INDEX(Consulta!$A:$DN,MATCH('ZM01'!$C14,Consulta!$D:$D,0),'ZM01'!G$2),""))</f>
        <v/>
      </c>
      <c r="H14" s="43" t="str">
        <f t="shared" si="23"/>
        <v/>
      </c>
      <c r="I14" s="44" t="s">
        <v>100</v>
      </c>
      <c r="J14" s="43" t="str">
        <f>IF(IFERROR(INDEX(Consulta!$A:$DN,MATCH('ZM01'!$C14,Consulta!$D:$D,0),'ZM01'!J$2),"")=0,"",IFERROR(INDEX(Consulta!$A:$DN,MATCH('ZM01'!$C14,Consulta!$D:$D,0),'ZM01'!J$2),""))</f>
        <v/>
      </c>
      <c r="K14" s="43" t="str">
        <f>IF(IFERROR(INDEX(Consulta!$A:$DN,MATCH('ZM01'!$C14,Consulta!$D:$D,0),'ZM01'!K$2),"")=0,"",IFERROR(INDEX(Consulta!$A:$DN,MATCH('ZM01'!$C14,Consulta!$D:$D,0),'ZM01'!K$2),""))</f>
        <v/>
      </c>
      <c r="L14" s="43" t="str">
        <f t="shared" si="39"/>
        <v/>
      </c>
      <c r="M14" s="43" t="str">
        <f>IF(IFERROR(INDEX(Consulta!$A:$DN,MATCH('ZM01'!$C14,Consulta!$D:$D,0),'ZM01'!M$2),"")=0,"",IFERROR(INDEX(Consulta!$A:$DN,MATCH('ZM01'!$C14,Consulta!$D:$D,0),'ZM01'!M$2),""))</f>
        <v/>
      </c>
      <c r="N14" s="43" t="str">
        <f t="shared" si="40"/>
        <v/>
      </c>
      <c r="P14" s="45" t="s">
        <v>101</v>
      </c>
      <c r="Q14" s="45" t="s">
        <v>102</v>
      </c>
      <c r="R14" s="45" t="s">
        <v>103</v>
      </c>
      <c r="S14" s="45" t="s">
        <v>104</v>
      </c>
      <c r="T14" s="45" t="s">
        <v>105</v>
      </c>
      <c r="U14" s="45" t="s">
        <v>106</v>
      </c>
      <c r="V14" s="45" t="s">
        <v>107</v>
      </c>
      <c r="W14" s="45" t="s">
        <v>109</v>
      </c>
      <c r="X14" s="45" t="s">
        <v>110</v>
      </c>
      <c r="Y14" s="45"/>
      <c r="Z14" s="45"/>
      <c r="AA14" s="45" t="s">
        <v>112</v>
      </c>
      <c r="AB14" s="45" t="s">
        <v>113</v>
      </c>
      <c r="AC14" s="45" t="s">
        <v>114</v>
      </c>
      <c r="AD14" s="45" t="s">
        <v>115</v>
      </c>
      <c r="AE14" s="45" t="s">
        <v>117</v>
      </c>
      <c r="AF14" s="45" t="s">
        <v>118</v>
      </c>
      <c r="AG14" s="45" t="s">
        <v>119</v>
      </c>
      <c r="AH14" s="45" t="s">
        <v>120</v>
      </c>
      <c r="AI14" s="45" t="s">
        <v>121</v>
      </c>
      <c r="AJ14" s="45" t="s">
        <v>122</v>
      </c>
      <c r="AK14" s="45" t="s">
        <v>123</v>
      </c>
      <c r="AL14" s="45" t="s">
        <v>124</v>
      </c>
      <c r="AM14" s="45" t="s">
        <v>125</v>
      </c>
      <c r="AN14" s="45" t="s">
        <v>126</v>
      </c>
      <c r="AO14" s="45"/>
      <c r="AP14" s="45"/>
      <c r="AR14" s="44" t="s">
        <v>822</v>
      </c>
      <c r="AS14" s="43" t="str">
        <f>IF(IFERROR(INDEX(Consulta!$A:$DN,MATCH('ZM01'!$C14,Consulta!$D:$D,0),'ZM01'!AS$2),"")=0,"",IFERROR(INDEX(Consulta!$A:$DN,MATCH('ZM01'!$C14,Consulta!$D:$D,0),'ZM01'!AS$2),""))</f>
        <v/>
      </c>
      <c r="AT14" s="45"/>
      <c r="AU14" s="43" t="str">
        <f>IF(IFERROR(INDEX(Consulta!$A:$DN,MATCH('ZM01'!$C14,Consulta!$D:$D,0),'ZM01'!AU$2),"")=0,"",IFERROR(INDEX(Consulta!$A:$DN,MATCH('ZM01'!$C14,Consulta!$D:$D,0),'ZM01'!AU$2),""))</f>
        <v/>
      </c>
      <c r="AV14" s="43" t="str">
        <f>IF(IFERROR(INDEX(Consulta!$A:$DN,MATCH('ZM01'!$C14,Consulta!$D:$D,0),'ZM01'!AV$2),"")=0,"",IFERROR(INDEX(Consulta!$A:$DN,MATCH('ZM01'!$C14,Consulta!$D:$D,0),'ZM01'!AV$2),""))</f>
        <v/>
      </c>
      <c r="AW14" s="45"/>
      <c r="AX14" s="46" t="str">
        <f t="shared" ca="1" si="41"/>
        <v/>
      </c>
      <c r="AY14" s="47" t="s">
        <v>755</v>
      </c>
      <c r="AZ14" s="43" t="str">
        <f>IF(IFERROR(ROUND(INDEX(Consulta!$A:$DN,MATCH('ZM01'!$C14,Consulta!$D:$D,0),'ZM01'!AZ$2),3),"")=0,"",IFERROR(ROUND(INDEX(Consulta!$A:$DN,MATCH('ZM01'!$C14,Consulta!$D:$D,0),'ZM01'!AZ$2),3),""))</f>
        <v/>
      </c>
      <c r="BA14" s="43" t="str">
        <f t="shared" si="42"/>
        <v/>
      </c>
      <c r="BB14" s="48" t="s">
        <v>299</v>
      </c>
      <c r="BC14" s="48"/>
      <c r="BD14" s="43" t="str">
        <f>IF(IFERROR(INDEX(Consulta!$A:$DN,MATCH('ZM01'!$C14,Consulta!$D:$D,0),'ZM01'!BD$2),"")=0,"",IFERROR(INDEX(Consulta!$A:$DN,MATCH('ZM01'!$C14,Consulta!$D:$D,0),'ZM01'!BD$2),""))</f>
        <v/>
      </c>
      <c r="BE14" s="43" t="str">
        <f t="shared" si="0"/>
        <v/>
      </c>
      <c r="BF14" s="43" t="str">
        <f t="shared" si="43"/>
        <v/>
      </c>
      <c r="BG14" s="43" t="str">
        <f t="shared" si="1"/>
        <v/>
      </c>
      <c r="BH14" s="43" t="str">
        <f t="shared" si="44"/>
        <v>PC</v>
      </c>
      <c r="BI14" s="43" t="str">
        <f t="shared" si="24"/>
        <v/>
      </c>
      <c r="BJ14" s="43" t="str">
        <f t="shared" si="25"/>
        <v/>
      </c>
      <c r="BK14" s="43" t="str">
        <f t="shared" si="26"/>
        <v/>
      </c>
      <c r="BL14" s="43" t="str">
        <f t="shared" si="45"/>
        <v>PC</v>
      </c>
      <c r="BN14" s="44"/>
      <c r="BO14" s="44" t="s">
        <v>925</v>
      </c>
      <c r="BP14" s="43" t="str">
        <f>IF(OR(IFERROR(INDEX(Consulta!$A:$DN,MATCH('ZM01'!$C14,Consulta!$D:$D,0),'ZM01'!BP$2),"")=0,IFERROR(INDEX(Consulta!$A:$DN,MATCH('ZM01'!$C14,Consulta!$D:$D,0),'ZM01'!BP$2),"")=AR14),"",IFERROR(INDEX(Consulta!$A:$DN,MATCH('ZM01'!$C14,Consulta!$D:$D,0),'ZM01'!BP$2),""))</f>
        <v/>
      </c>
      <c r="BQ14" s="45">
        <v>99</v>
      </c>
      <c r="BR14" s="46" t="str">
        <f t="shared" ca="1" si="46"/>
        <v>24.05.2022</v>
      </c>
      <c r="BS14" s="49" t="str">
        <f t="shared" si="47"/>
        <v/>
      </c>
      <c r="BT14" s="50">
        <v>1</v>
      </c>
      <c r="BU14" s="50" t="s">
        <v>194</v>
      </c>
      <c r="BV14" s="90" t="str">
        <f t="shared" si="14"/>
        <v>01</v>
      </c>
      <c r="BW14" s="50" t="s">
        <v>755</v>
      </c>
      <c r="BX14" s="44">
        <v>1</v>
      </c>
      <c r="BY14" s="44" t="s">
        <v>372</v>
      </c>
      <c r="BZ14" s="50" t="s">
        <v>197</v>
      </c>
      <c r="CA14" s="50" t="s">
        <v>197</v>
      </c>
      <c r="CB14" s="43" t="str">
        <f>IF(IFERROR(INDEX(Consulta!$A:$DN,MATCH('ZM01'!$C14,Consulta!$D:$D,0),'ZM01'!CB$2),"")=0,"",IFERROR(INDEX(Consulta!$A:$DN,MATCH('ZM01'!$C14,Consulta!$D:$D,0),'ZM01'!CB$2),""))</f>
        <v/>
      </c>
      <c r="CC14" s="44" t="s">
        <v>392</v>
      </c>
      <c r="CD14" s="50">
        <v>0</v>
      </c>
      <c r="CE14" s="45" t="s">
        <v>403</v>
      </c>
      <c r="CF14" s="45" t="s">
        <v>84</v>
      </c>
      <c r="CG14" s="43" t="str">
        <f t="shared" si="15"/>
        <v/>
      </c>
      <c r="CH14" s="45" t="s">
        <v>430</v>
      </c>
      <c r="CI14" s="44">
        <v>0</v>
      </c>
      <c r="CJ14" s="43" t="str">
        <f t="shared" si="27"/>
        <v>E</v>
      </c>
      <c r="CK14" s="43" t="str">
        <f t="shared" si="28"/>
        <v/>
      </c>
      <c r="CL14" s="44">
        <v>2</v>
      </c>
      <c r="CM14" s="49" t="str">
        <f t="shared" si="48"/>
        <v/>
      </c>
      <c r="CN14" s="49" t="str">
        <f t="shared" si="49"/>
        <v/>
      </c>
      <c r="CO14" s="43" t="str">
        <f t="shared" si="29"/>
        <v/>
      </c>
      <c r="CP14" s="44">
        <v>1</v>
      </c>
      <c r="CQ14" s="50" t="s">
        <v>515</v>
      </c>
      <c r="CR14" s="44" t="s">
        <v>372</v>
      </c>
      <c r="CS14" s="44">
        <v>2</v>
      </c>
      <c r="CT14" s="44">
        <v>42</v>
      </c>
      <c r="CU14" s="44">
        <v>10</v>
      </c>
      <c r="CV14" s="43" t="str">
        <f t="shared" si="30"/>
        <v>K00_AO_</v>
      </c>
      <c r="CW14" s="43" t="str">
        <f t="shared" si="31"/>
        <v/>
      </c>
      <c r="CX14" s="43" t="str">
        <f t="shared" si="32"/>
        <v/>
      </c>
      <c r="CY14" s="44">
        <v>1</v>
      </c>
      <c r="CZ14" s="43" t="str">
        <f t="shared" si="33"/>
        <v/>
      </c>
      <c r="DA14" s="43" t="str">
        <f>IF(IFERROR(INDEX(Consulta!$A:$DN,MATCH('ZM01'!$C14,Consulta!$D:$D,0),'ZM01'!DA$2),"")=0,"",IFERROR(INDEX(Consulta!$A:$DN,MATCH('ZM01'!$C14,Consulta!$D:$D,0),'ZM01'!DA$2),""))</f>
        <v/>
      </c>
      <c r="DB14" s="43" t="str">
        <f>IF(IFERROR(INDEX(Consulta!$A:$DN,MATCH('ZM01'!$C14,Consulta!$D:$D,0),'ZM01'!DB$2),"")=0,"",IFERROR(INDEX(Consulta!$A:$DN,MATCH('ZM01'!$C14,Consulta!$D:$D,0),'ZM01'!DB$2),""))</f>
        <v/>
      </c>
      <c r="DC14" s="45">
        <v>0</v>
      </c>
      <c r="DD14" s="45">
        <v>0</v>
      </c>
      <c r="DE14" s="43" t="str">
        <f>IF(IFERROR(INDEX(Consulta!$A:$DN,MATCH('ZM01'!$C14,Consulta!$D:$D,0),'ZM01'!DE$2),"")=0,"",IFERROR(TEXT(VALUE(INDEX(Consulta!$A:$DN,MATCH('ZM01'!$C14,Consulta!$D:$D,0),'ZM01'!DE$2))/100,"0,00"),""))</f>
        <v/>
      </c>
      <c r="DG14" s="43">
        <f t="shared" si="50"/>
        <v>1</v>
      </c>
      <c r="DH14" s="43" t="str">
        <f>IF(IFERROR(INDEX(Consulta!$A:$DN,MATCH('ZM01'!$C14,Consulta!$D:$D,0),'ZM01'!DH$2),"")=0,"",IFERROR(VLOOKUP(INDEX(Consulta!$A:$DN,MATCH('ZM01'!$C14,Consulta!$D:$D,0),'ZM01'!DH$2),'Listas de Dados'!BU:BW,3,0),""))</f>
        <v/>
      </c>
      <c r="DI14" s="43" t="str">
        <f t="shared" ca="1" si="51"/>
        <v>24.05.2022</v>
      </c>
      <c r="DJ14" s="43" t="str">
        <f t="shared" si="52"/>
        <v>31.12.9999</v>
      </c>
      <c r="DL14" s="44">
        <v>1</v>
      </c>
      <c r="DM14" s="44" t="s">
        <v>1039</v>
      </c>
      <c r="DN14" s="44">
        <v>1</v>
      </c>
      <c r="DO14" s="43">
        <f t="shared" si="34"/>
        <v>1</v>
      </c>
      <c r="DP14" s="43" t="str">
        <f t="shared" si="35"/>
        <v>PC</v>
      </c>
      <c r="DQ14" s="43" t="str">
        <f t="shared" si="36"/>
        <v/>
      </c>
      <c r="DR14" s="44">
        <v>100</v>
      </c>
      <c r="DS14" s="71">
        <f t="shared" si="21"/>
        <v>1</v>
      </c>
      <c r="DT14" s="43">
        <f t="shared" si="53"/>
        <v>100</v>
      </c>
      <c r="DU14" s="44">
        <v>1</v>
      </c>
      <c r="DV14" s="44">
        <v>0</v>
      </c>
      <c r="DW14" s="44" t="s">
        <v>826</v>
      </c>
      <c r="DX14" s="45">
        <v>0</v>
      </c>
      <c r="DY14" s="44">
        <v>100</v>
      </c>
      <c r="DZ14" s="61"/>
    </row>
    <row r="15" spans="1:130" x14ac:dyDescent="0.2">
      <c r="A15" s="7" t="str">
        <f t="shared" si="2"/>
        <v>Execução 11</v>
      </c>
      <c r="B15" s="79"/>
      <c r="C15" s="85"/>
      <c r="D15" s="71" t="str">
        <f t="shared" si="37"/>
        <v/>
      </c>
      <c r="E15" s="71" t="str">
        <f t="shared" si="38"/>
        <v/>
      </c>
      <c r="F15" s="43" t="str">
        <f>IF(IFERROR(INDEX(Consulta!$A:$DN,MATCH('ZM01'!$C15,Consulta!$D:$D,0),'ZM01'!F$2),"")=0,"",IFERROR(INDEX(Consulta!$A:$DN,MATCH('ZM01'!$C15,Consulta!$D:$D,0),'ZM01'!F$2),""))</f>
        <v/>
      </c>
      <c r="G15" s="43" t="str">
        <f>IF(IFERROR(INDEX(Consulta!$A:$DN,MATCH('ZM01'!$C15,Consulta!$D:$D,0),'ZM01'!G$2),"")=0,"",IFERROR(INDEX(Consulta!$A:$DN,MATCH('ZM01'!$C15,Consulta!$D:$D,0),'ZM01'!G$2),""))</f>
        <v/>
      </c>
      <c r="H15" s="43" t="str">
        <f t="shared" si="23"/>
        <v/>
      </c>
      <c r="I15" s="44" t="s">
        <v>100</v>
      </c>
      <c r="J15" s="43" t="str">
        <f>IF(IFERROR(INDEX(Consulta!$A:$DN,MATCH('ZM01'!$C15,Consulta!$D:$D,0),'ZM01'!J$2),"")=0,"",IFERROR(INDEX(Consulta!$A:$DN,MATCH('ZM01'!$C15,Consulta!$D:$D,0),'ZM01'!J$2),""))</f>
        <v/>
      </c>
      <c r="K15" s="43" t="str">
        <f>IF(IFERROR(INDEX(Consulta!$A:$DN,MATCH('ZM01'!$C15,Consulta!$D:$D,0),'ZM01'!K$2),"")=0,"",IFERROR(INDEX(Consulta!$A:$DN,MATCH('ZM01'!$C15,Consulta!$D:$D,0),'ZM01'!K$2),""))</f>
        <v/>
      </c>
      <c r="L15" s="43" t="str">
        <f t="shared" si="39"/>
        <v/>
      </c>
      <c r="M15" s="43" t="str">
        <f>IF(IFERROR(INDEX(Consulta!$A:$DN,MATCH('ZM01'!$C15,Consulta!$D:$D,0),'ZM01'!M$2),"")=0,"",IFERROR(INDEX(Consulta!$A:$DN,MATCH('ZM01'!$C15,Consulta!$D:$D,0),'ZM01'!M$2),""))</f>
        <v/>
      </c>
      <c r="N15" s="43" t="str">
        <f t="shared" si="40"/>
        <v/>
      </c>
      <c r="P15" s="45" t="s">
        <v>101</v>
      </c>
      <c r="Q15" s="45" t="s">
        <v>102</v>
      </c>
      <c r="R15" s="45" t="s">
        <v>103</v>
      </c>
      <c r="S15" s="45" t="s">
        <v>104</v>
      </c>
      <c r="T15" s="45" t="s">
        <v>105</v>
      </c>
      <c r="U15" s="45" t="s">
        <v>106</v>
      </c>
      <c r="V15" s="45" t="s">
        <v>107</v>
      </c>
      <c r="W15" s="45" t="s">
        <v>109</v>
      </c>
      <c r="X15" s="45" t="s">
        <v>110</v>
      </c>
      <c r="Y15" s="45"/>
      <c r="Z15" s="45"/>
      <c r="AA15" s="45" t="s">
        <v>112</v>
      </c>
      <c r="AB15" s="45" t="s">
        <v>113</v>
      </c>
      <c r="AC15" s="45" t="s">
        <v>114</v>
      </c>
      <c r="AD15" s="45" t="s">
        <v>115</v>
      </c>
      <c r="AE15" s="45" t="s">
        <v>117</v>
      </c>
      <c r="AF15" s="45" t="s">
        <v>118</v>
      </c>
      <c r="AG15" s="45" t="s">
        <v>119</v>
      </c>
      <c r="AH15" s="45" t="s">
        <v>120</v>
      </c>
      <c r="AI15" s="45" t="s">
        <v>121</v>
      </c>
      <c r="AJ15" s="45" t="s">
        <v>122</v>
      </c>
      <c r="AK15" s="45" t="s">
        <v>123</v>
      </c>
      <c r="AL15" s="45" t="s">
        <v>124</v>
      </c>
      <c r="AM15" s="45" t="s">
        <v>125</v>
      </c>
      <c r="AN15" s="45" t="s">
        <v>126</v>
      </c>
      <c r="AO15" s="45"/>
      <c r="AP15" s="45"/>
      <c r="AR15" s="44" t="s">
        <v>822</v>
      </c>
      <c r="AS15" s="43" t="str">
        <f>IF(IFERROR(INDEX(Consulta!$A:$DN,MATCH('ZM01'!$C15,Consulta!$D:$D,0),'ZM01'!AS$2),"")=0,"",IFERROR(INDEX(Consulta!$A:$DN,MATCH('ZM01'!$C15,Consulta!$D:$D,0),'ZM01'!AS$2),""))</f>
        <v/>
      </c>
      <c r="AT15" s="45"/>
      <c r="AU15" s="43" t="str">
        <f>IF(IFERROR(INDEX(Consulta!$A:$DN,MATCH('ZM01'!$C15,Consulta!$D:$D,0),'ZM01'!AU$2),"")=0,"",IFERROR(INDEX(Consulta!$A:$DN,MATCH('ZM01'!$C15,Consulta!$D:$D,0),'ZM01'!AU$2),""))</f>
        <v/>
      </c>
      <c r="AV15" s="43" t="str">
        <f>IF(IFERROR(INDEX(Consulta!$A:$DN,MATCH('ZM01'!$C15,Consulta!$D:$D,0),'ZM01'!AV$2),"")=0,"",IFERROR(INDEX(Consulta!$A:$DN,MATCH('ZM01'!$C15,Consulta!$D:$D,0),'ZM01'!AV$2),""))</f>
        <v/>
      </c>
      <c r="AW15" s="45"/>
      <c r="AX15" s="46" t="str">
        <f t="shared" ca="1" si="41"/>
        <v/>
      </c>
      <c r="AY15" s="47" t="s">
        <v>755</v>
      </c>
      <c r="AZ15" s="43" t="str">
        <f>IF(IFERROR(ROUND(INDEX(Consulta!$A:$DN,MATCH('ZM01'!$C15,Consulta!$D:$D,0),'ZM01'!AZ$2),3),"")=0,"",IFERROR(ROUND(INDEX(Consulta!$A:$DN,MATCH('ZM01'!$C15,Consulta!$D:$D,0),'ZM01'!AZ$2),3),""))</f>
        <v/>
      </c>
      <c r="BA15" s="43" t="str">
        <f t="shared" si="42"/>
        <v/>
      </c>
      <c r="BB15" s="48" t="s">
        <v>299</v>
      </c>
      <c r="BC15" s="48"/>
      <c r="BD15" s="43" t="str">
        <f>IF(IFERROR(INDEX(Consulta!$A:$DN,MATCH('ZM01'!$C15,Consulta!$D:$D,0),'ZM01'!BD$2),"")=0,"",IFERROR(INDEX(Consulta!$A:$DN,MATCH('ZM01'!$C15,Consulta!$D:$D,0),'ZM01'!BD$2),""))</f>
        <v/>
      </c>
      <c r="BE15" s="43" t="str">
        <f t="shared" si="0"/>
        <v/>
      </c>
      <c r="BF15" s="43" t="str">
        <f t="shared" si="43"/>
        <v/>
      </c>
      <c r="BG15" s="43" t="str">
        <f t="shared" si="1"/>
        <v/>
      </c>
      <c r="BH15" s="43" t="str">
        <f t="shared" si="44"/>
        <v>PC</v>
      </c>
      <c r="BI15" s="43" t="str">
        <f t="shared" si="24"/>
        <v/>
      </c>
      <c r="BJ15" s="43" t="str">
        <f t="shared" si="25"/>
        <v/>
      </c>
      <c r="BK15" s="43" t="str">
        <f t="shared" si="26"/>
        <v/>
      </c>
      <c r="BL15" s="43" t="str">
        <f t="shared" si="45"/>
        <v>PC</v>
      </c>
      <c r="BN15" s="44"/>
      <c r="BO15" s="44" t="s">
        <v>925</v>
      </c>
      <c r="BP15" s="43" t="str">
        <f>IF(OR(IFERROR(INDEX(Consulta!$A:$DN,MATCH('ZM01'!$C15,Consulta!$D:$D,0),'ZM01'!BP$2),"")=0,IFERROR(INDEX(Consulta!$A:$DN,MATCH('ZM01'!$C15,Consulta!$D:$D,0),'ZM01'!BP$2),"")=AR15),"",IFERROR(INDEX(Consulta!$A:$DN,MATCH('ZM01'!$C15,Consulta!$D:$D,0),'ZM01'!BP$2),""))</f>
        <v/>
      </c>
      <c r="BQ15" s="45">
        <v>99</v>
      </c>
      <c r="BR15" s="46" t="str">
        <f t="shared" ca="1" si="46"/>
        <v>24.05.2022</v>
      </c>
      <c r="BS15" s="49" t="str">
        <f t="shared" si="47"/>
        <v/>
      </c>
      <c r="BT15" s="50">
        <v>1</v>
      </c>
      <c r="BU15" s="50" t="s">
        <v>194</v>
      </c>
      <c r="BV15" s="90" t="str">
        <f t="shared" si="14"/>
        <v>01</v>
      </c>
      <c r="BW15" s="50" t="s">
        <v>755</v>
      </c>
      <c r="BX15" s="44">
        <v>1</v>
      </c>
      <c r="BY15" s="44" t="s">
        <v>372</v>
      </c>
      <c r="BZ15" s="50" t="s">
        <v>197</v>
      </c>
      <c r="CA15" s="50" t="s">
        <v>197</v>
      </c>
      <c r="CB15" s="43" t="str">
        <f>IF(IFERROR(INDEX(Consulta!$A:$DN,MATCH('ZM01'!$C15,Consulta!$D:$D,0),'ZM01'!CB$2),"")=0,"",IFERROR(INDEX(Consulta!$A:$DN,MATCH('ZM01'!$C15,Consulta!$D:$D,0),'ZM01'!CB$2),""))</f>
        <v/>
      </c>
      <c r="CC15" s="44" t="s">
        <v>392</v>
      </c>
      <c r="CD15" s="50">
        <v>0</v>
      </c>
      <c r="CE15" s="45" t="s">
        <v>403</v>
      </c>
      <c r="CF15" s="45" t="s">
        <v>84</v>
      </c>
      <c r="CG15" s="43" t="str">
        <f t="shared" si="15"/>
        <v/>
      </c>
      <c r="CH15" s="45" t="s">
        <v>430</v>
      </c>
      <c r="CI15" s="44">
        <v>0</v>
      </c>
      <c r="CJ15" s="43" t="str">
        <f t="shared" si="27"/>
        <v>E</v>
      </c>
      <c r="CK15" s="43" t="str">
        <f t="shared" si="28"/>
        <v/>
      </c>
      <c r="CL15" s="44">
        <v>2</v>
      </c>
      <c r="CM15" s="49" t="str">
        <f t="shared" si="48"/>
        <v/>
      </c>
      <c r="CN15" s="49" t="str">
        <f t="shared" si="49"/>
        <v/>
      </c>
      <c r="CO15" s="43" t="str">
        <f t="shared" si="29"/>
        <v/>
      </c>
      <c r="CP15" s="44">
        <v>1</v>
      </c>
      <c r="CQ15" s="50" t="s">
        <v>515</v>
      </c>
      <c r="CR15" s="44" t="s">
        <v>372</v>
      </c>
      <c r="CS15" s="44">
        <v>2</v>
      </c>
      <c r="CT15" s="44">
        <v>42</v>
      </c>
      <c r="CU15" s="44">
        <v>10</v>
      </c>
      <c r="CV15" s="43" t="str">
        <f t="shared" si="30"/>
        <v>K00_AO_</v>
      </c>
      <c r="CW15" s="43" t="str">
        <f t="shared" si="31"/>
        <v/>
      </c>
      <c r="CX15" s="43" t="str">
        <f t="shared" si="32"/>
        <v/>
      </c>
      <c r="CY15" s="44">
        <v>1</v>
      </c>
      <c r="CZ15" s="43" t="str">
        <f t="shared" si="33"/>
        <v/>
      </c>
      <c r="DA15" s="43" t="str">
        <f>IF(IFERROR(INDEX(Consulta!$A:$DN,MATCH('ZM01'!$C15,Consulta!$D:$D,0),'ZM01'!DA$2),"")=0,"",IFERROR(INDEX(Consulta!$A:$DN,MATCH('ZM01'!$C15,Consulta!$D:$D,0),'ZM01'!DA$2),""))</f>
        <v/>
      </c>
      <c r="DB15" s="43" t="str">
        <f>IF(IFERROR(INDEX(Consulta!$A:$DN,MATCH('ZM01'!$C15,Consulta!$D:$D,0),'ZM01'!DB$2),"")=0,"",IFERROR(INDEX(Consulta!$A:$DN,MATCH('ZM01'!$C15,Consulta!$D:$D,0),'ZM01'!DB$2),""))</f>
        <v/>
      </c>
      <c r="DC15" s="45">
        <v>0</v>
      </c>
      <c r="DD15" s="45">
        <v>0</v>
      </c>
      <c r="DE15" s="43" t="str">
        <f>IF(IFERROR(INDEX(Consulta!$A:$DN,MATCH('ZM01'!$C15,Consulta!$D:$D,0),'ZM01'!DE$2),"")=0,"",IFERROR(TEXT(VALUE(INDEX(Consulta!$A:$DN,MATCH('ZM01'!$C15,Consulta!$D:$D,0),'ZM01'!DE$2))/100,"0,00"),""))</f>
        <v/>
      </c>
      <c r="DG15" s="43">
        <f t="shared" si="50"/>
        <v>1</v>
      </c>
      <c r="DH15" s="43" t="str">
        <f>IF(IFERROR(INDEX(Consulta!$A:$DN,MATCH('ZM01'!$C15,Consulta!$D:$D,0),'ZM01'!DH$2),"")=0,"",IFERROR(VLOOKUP(INDEX(Consulta!$A:$DN,MATCH('ZM01'!$C15,Consulta!$D:$D,0),'ZM01'!DH$2),'Listas de Dados'!BU:BW,3,0),""))</f>
        <v/>
      </c>
      <c r="DI15" s="43" t="str">
        <f t="shared" ca="1" si="51"/>
        <v>24.05.2022</v>
      </c>
      <c r="DJ15" s="43" t="str">
        <f t="shared" si="52"/>
        <v>31.12.9999</v>
      </c>
      <c r="DL15" s="44">
        <v>1</v>
      </c>
      <c r="DM15" s="44" t="s">
        <v>1039</v>
      </c>
      <c r="DN15" s="44">
        <v>1</v>
      </c>
      <c r="DO15" s="43">
        <f t="shared" si="34"/>
        <v>1</v>
      </c>
      <c r="DP15" s="43" t="str">
        <f t="shared" si="35"/>
        <v>PC</v>
      </c>
      <c r="DQ15" s="43" t="str">
        <f t="shared" si="36"/>
        <v/>
      </c>
      <c r="DR15" s="44">
        <v>100</v>
      </c>
      <c r="DS15" s="71">
        <f t="shared" si="21"/>
        <v>1</v>
      </c>
      <c r="DT15" s="43">
        <f t="shared" si="53"/>
        <v>100</v>
      </c>
      <c r="DU15" s="44">
        <v>1</v>
      </c>
      <c r="DV15" s="44">
        <v>0</v>
      </c>
      <c r="DW15" s="44" t="s">
        <v>826</v>
      </c>
      <c r="DX15" s="45">
        <v>0</v>
      </c>
      <c r="DY15" s="44">
        <v>100</v>
      </c>
      <c r="DZ15" s="60"/>
    </row>
    <row r="16" spans="1:130" x14ac:dyDescent="0.2">
      <c r="A16" s="7" t="str">
        <f t="shared" si="2"/>
        <v>Execução 12</v>
      </c>
      <c r="B16" s="75"/>
      <c r="C16" s="85"/>
      <c r="D16" s="71" t="str">
        <f t="shared" si="37"/>
        <v/>
      </c>
      <c r="E16" s="71" t="str">
        <f t="shared" si="38"/>
        <v/>
      </c>
      <c r="F16" s="43" t="str">
        <f>IF(IFERROR(INDEX(Consulta!$A:$DN,MATCH('ZM01'!$C16,Consulta!$D:$D,0),'ZM01'!F$2),"")=0,"",IFERROR(INDEX(Consulta!$A:$DN,MATCH('ZM01'!$C16,Consulta!$D:$D,0),'ZM01'!F$2),""))</f>
        <v/>
      </c>
      <c r="G16" s="43" t="str">
        <f>IF(IFERROR(INDEX(Consulta!$A:$DN,MATCH('ZM01'!$C16,Consulta!$D:$D,0),'ZM01'!G$2),"")=0,"",IFERROR(INDEX(Consulta!$A:$DN,MATCH('ZM01'!$C16,Consulta!$D:$D,0),'ZM01'!G$2),""))</f>
        <v/>
      </c>
      <c r="H16" s="43" t="str">
        <f t="shared" si="23"/>
        <v/>
      </c>
      <c r="I16" s="44" t="s">
        <v>100</v>
      </c>
      <c r="J16" s="43" t="str">
        <f>IF(IFERROR(INDEX(Consulta!$A:$DN,MATCH('ZM01'!$C16,Consulta!$D:$D,0),'ZM01'!J$2),"")=0,"",IFERROR(INDEX(Consulta!$A:$DN,MATCH('ZM01'!$C16,Consulta!$D:$D,0),'ZM01'!J$2),""))</f>
        <v/>
      </c>
      <c r="K16" s="43" t="str">
        <f>IF(IFERROR(INDEX(Consulta!$A:$DN,MATCH('ZM01'!$C16,Consulta!$D:$D,0),'ZM01'!K$2),"")=0,"",IFERROR(INDEX(Consulta!$A:$DN,MATCH('ZM01'!$C16,Consulta!$D:$D,0),'ZM01'!K$2),""))</f>
        <v/>
      </c>
      <c r="L16" s="43" t="str">
        <f t="shared" si="39"/>
        <v/>
      </c>
      <c r="M16" s="43" t="str">
        <f>IF(IFERROR(INDEX(Consulta!$A:$DN,MATCH('ZM01'!$C16,Consulta!$D:$D,0),'ZM01'!M$2),"")=0,"",IFERROR(INDEX(Consulta!$A:$DN,MATCH('ZM01'!$C16,Consulta!$D:$D,0),'ZM01'!M$2),""))</f>
        <v/>
      </c>
      <c r="N16" s="43" t="str">
        <f t="shared" si="40"/>
        <v/>
      </c>
      <c r="P16" s="45" t="s">
        <v>101</v>
      </c>
      <c r="Q16" s="45" t="s">
        <v>102</v>
      </c>
      <c r="R16" s="45" t="s">
        <v>103</v>
      </c>
      <c r="S16" s="45" t="s">
        <v>104</v>
      </c>
      <c r="T16" s="45" t="s">
        <v>105</v>
      </c>
      <c r="U16" s="45" t="s">
        <v>106</v>
      </c>
      <c r="V16" s="45" t="s">
        <v>107</v>
      </c>
      <c r="W16" s="45" t="s">
        <v>109</v>
      </c>
      <c r="X16" s="45" t="s">
        <v>110</v>
      </c>
      <c r="Y16" s="45"/>
      <c r="Z16" s="45"/>
      <c r="AA16" s="45" t="s">
        <v>112</v>
      </c>
      <c r="AB16" s="45" t="s">
        <v>113</v>
      </c>
      <c r="AC16" s="45" t="s">
        <v>114</v>
      </c>
      <c r="AD16" s="45" t="s">
        <v>115</v>
      </c>
      <c r="AE16" s="45" t="s">
        <v>117</v>
      </c>
      <c r="AF16" s="45" t="s">
        <v>118</v>
      </c>
      <c r="AG16" s="45" t="s">
        <v>119</v>
      </c>
      <c r="AH16" s="45" t="s">
        <v>120</v>
      </c>
      <c r="AI16" s="45" t="s">
        <v>121</v>
      </c>
      <c r="AJ16" s="45" t="s">
        <v>122</v>
      </c>
      <c r="AK16" s="45" t="s">
        <v>123</v>
      </c>
      <c r="AL16" s="45" t="s">
        <v>124</v>
      </c>
      <c r="AM16" s="45" t="s">
        <v>125</v>
      </c>
      <c r="AN16" s="45" t="s">
        <v>126</v>
      </c>
      <c r="AO16" s="45"/>
      <c r="AP16" s="45"/>
      <c r="AR16" s="44" t="s">
        <v>822</v>
      </c>
      <c r="AS16" s="43" t="str">
        <f>IF(IFERROR(INDEX(Consulta!$A:$DN,MATCH('ZM01'!$C16,Consulta!$D:$D,0),'ZM01'!AS$2),"")=0,"",IFERROR(INDEX(Consulta!$A:$DN,MATCH('ZM01'!$C16,Consulta!$D:$D,0),'ZM01'!AS$2),""))</f>
        <v/>
      </c>
      <c r="AT16" s="45"/>
      <c r="AU16" s="43" t="str">
        <f>IF(IFERROR(INDEX(Consulta!$A:$DN,MATCH('ZM01'!$C16,Consulta!$D:$D,0),'ZM01'!AU$2),"")=0,"",IFERROR(INDEX(Consulta!$A:$DN,MATCH('ZM01'!$C16,Consulta!$D:$D,0),'ZM01'!AU$2),""))</f>
        <v/>
      </c>
      <c r="AV16" s="43" t="str">
        <f>IF(IFERROR(INDEX(Consulta!$A:$DN,MATCH('ZM01'!$C16,Consulta!$D:$D,0),'ZM01'!AV$2),"")=0,"",IFERROR(INDEX(Consulta!$A:$DN,MATCH('ZM01'!$C16,Consulta!$D:$D,0),'ZM01'!AV$2),""))</f>
        <v/>
      </c>
      <c r="AW16" s="45"/>
      <c r="AX16" s="46" t="str">
        <f t="shared" ca="1" si="41"/>
        <v/>
      </c>
      <c r="AY16" s="47" t="s">
        <v>755</v>
      </c>
      <c r="AZ16" s="43" t="str">
        <f>IF(IFERROR(ROUND(INDEX(Consulta!$A:$DN,MATCH('ZM01'!$C16,Consulta!$D:$D,0),'ZM01'!AZ$2),3),"")=0,"",IFERROR(ROUND(INDEX(Consulta!$A:$DN,MATCH('ZM01'!$C16,Consulta!$D:$D,0),'ZM01'!AZ$2),3),""))</f>
        <v/>
      </c>
      <c r="BA16" s="43" t="str">
        <f t="shared" si="42"/>
        <v/>
      </c>
      <c r="BB16" s="48" t="s">
        <v>299</v>
      </c>
      <c r="BC16" s="48"/>
      <c r="BD16" s="43" t="str">
        <f>IF(IFERROR(INDEX(Consulta!$A:$DN,MATCH('ZM01'!$C16,Consulta!$D:$D,0),'ZM01'!BD$2),"")=0,"",IFERROR(INDEX(Consulta!$A:$DN,MATCH('ZM01'!$C16,Consulta!$D:$D,0),'ZM01'!BD$2),""))</f>
        <v/>
      </c>
      <c r="BE16" s="43" t="str">
        <f t="shared" si="0"/>
        <v/>
      </c>
      <c r="BF16" s="43" t="str">
        <f t="shared" si="43"/>
        <v/>
      </c>
      <c r="BG16" s="43" t="str">
        <f t="shared" si="1"/>
        <v/>
      </c>
      <c r="BH16" s="43" t="str">
        <f t="shared" si="44"/>
        <v>PC</v>
      </c>
      <c r="BI16" s="43" t="str">
        <f t="shared" si="24"/>
        <v/>
      </c>
      <c r="BJ16" s="43" t="str">
        <f t="shared" si="25"/>
        <v/>
      </c>
      <c r="BK16" s="43" t="str">
        <f t="shared" si="26"/>
        <v/>
      </c>
      <c r="BL16" s="43" t="str">
        <f t="shared" si="45"/>
        <v>PC</v>
      </c>
      <c r="BN16" s="44"/>
      <c r="BO16" s="44" t="s">
        <v>925</v>
      </c>
      <c r="BP16" s="43" t="str">
        <f>IF(OR(IFERROR(INDEX(Consulta!$A:$DN,MATCH('ZM01'!$C16,Consulta!$D:$D,0),'ZM01'!BP$2),"")=0,IFERROR(INDEX(Consulta!$A:$DN,MATCH('ZM01'!$C16,Consulta!$D:$D,0),'ZM01'!BP$2),"")=AR16),"",IFERROR(INDEX(Consulta!$A:$DN,MATCH('ZM01'!$C16,Consulta!$D:$D,0),'ZM01'!BP$2),""))</f>
        <v/>
      </c>
      <c r="BQ16" s="45">
        <v>99</v>
      </c>
      <c r="BR16" s="46" t="str">
        <f t="shared" ca="1" si="46"/>
        <v>24.05.2022</v>
      </c>
      <c r="BS16" s="49" t="str">
        <f t="shared" si="47"/>
        <v/>
      </c>
      <c r="BT16" s="50">
        <v>1</v>
      </c>
      <c r="BU16" s="50" t="s">
        <v>194</v>
      </c>
      <c r="BV16" s="90" t="str">
        <f t="shared" si="14"/>
        <v>01</v>
      </c>
      <c r="BW16" s="50" t="s">
        <v>755</v>
      </c>
      <c r="BX16" s="44">
        <v>1</v>
      </c>
      <c r="BY16" s="44" t="s">
        <v>372</v>
      </c>
      <c r="BZ16" s="50" t="s">
        <v>197</v>
      </c>
      <c r="CA16" s="50" t="s">
        <v>197</v>
      </c>
      <c r="CB16" s="43" t="str">
        <f>IF(IFERROR(INDEX(Consulta!$A:$DN,MATCH('ZM01'!$C16,Consulta!$D:$D,0),'ZM01'!CB$2),"")=0,"",IFERROR(INDEX(Consulta!$A:$DN,MATCH('ZM01'!$C16,Consulta!$D:$D,0),'ZM01'!CB$2),""))</f>
        <v/>
      </c>
      <c r="CC16" s="44" t="s">
        <v>392</v>
      </c>
      <c r="CD16" s="50">
        <v>0</v>
      </c>
      <c r="CE16" s="45" t="s">
        <v>403</v>
      </c>
      <c r="CF16" s="45" t="s">
        <v>84</v>
      </c>
      <c r="CG16" s="43" t="str">
        <f t="shared" si="15"/>
        <v/>
      </c>
      <c r="CH16" s="45" t="s">
        <v>430</v>
      </c>
      <c r="CI16" s="44">
        <v>0</v>
      </c>
      <c r="CJ16" s="43" t="str">
        <f t="shared" si="27"/>
        <v>E</v>
      </c>
      <c r="CK16" s="43" t="str">
        <f t="shared" si="28"/>
        <v/>
      </c>
      <c r="CL16" s="44">
        <v>2</v>
      </c>
      <c r="CM16" s="49" t="str">
        <f t="shared" si="48"/>
        <v/>
      </c>
      <c r="CN16" s="49" t="str">
        <f t="shared" si="49"/>
        <v/>
      </c>
      <c r="CO16" s="43" t="str">
        <f t="shared" si="29"/>
        <v/>
      </c>
      <c r="CP16" s="44">
        <v>1</v>
      </c>
      <c r="CQ16" s="50" t="s">
        <v>515</v>
      </c>
      <c r="CR16" s="44" t="s">
        <v>372</v>
      </c>
      <c r="CS16" s="44">
        <v>2</v>
      </c>
      <c r="CT16" s="44">
        <v>42</v>
      </c>
      <c r="CU16" s="44">
        <v>10</v>
      </c>
      <c r="CV16" s="43" t="str">
        <f t="shared" si="30"/>
        <v>K00_AO_</v>
      </c>
      <c r="CW16" s="43" t="str">
        <f t="shared" si="31"/>
        <v/>
      </c>
      <c r="CX16" s="43" t="str">
        <f t="shared" si="32"/>
        <v/>
      </c>
      <c r="CY16" s="44">
        <v>1</v>
      </c>
      <c r="CZ16" s="43" t="str">
        <f t="shared" si="33"/>
        <v/>
      </c>
      <c r="DA16" s="43" t="str">
        <f>IF(IFERROR(INDEX(Consulta!$A:$DN,MATCH('ZM01'!$C16,Consulta!$D:$D,0),'ZM01'!DA$2),"")=0,"",IFERROR(INDEX(Consulta!$A:$DN,MATCH('ZM01'!$C16,Consulta!$D:$D,0),'ZM01'!DA$2),""))</f>
        <v/>
      </c>
      <c r="DB16" s="43" t="str">
        <f>IF(IFERROR(INDEX(Consulta!$A:$DN,MATCH('ZM01'!$C16,Consulta!$D:$D,0),'ZM01'!DB$2),"")=0,"",IFERROR(INDEX(Consulta!$A:$DN,MATCH('ZM01'!$C16,Consulta!$D:$D,0),'ZM01'!DB$2),""))</f>
        <v/>
      </c>
      <c r="DC16" s="45">
        <v>0</v>
      </c>
      <c r="DD16" s="45">
        <v>0</v>
      </c>
      <c r="DE16" s="43" t="str">
        <f>IF(IFERROR(INDEX(Consulta!$A:$DN,MATCH('ZM01'!$C16,Consulta!$D:$D,0),'ZM01'!DE$2),"")=0,"",IFERROR(TEXT(VALUE(INDEX(Consulta!$A:$DN,MATCH('ZM01'!$C16,Consulta!$D:$D,0),'ZM01'!DE$2))/100,"0,00"),""))</f>
        <v/>
      </c>
      <c r="DG16" s="43">
        <f t="shared" si="50"/>
        <v>1</v>
      </c>
      <c r="DH16" s="43" t="str">
        <f>IF(IFERROR(INDEX(Consulta!$A:$DN,MATCH('ZM01'!$C16,Consulta!$D:$D,0),'ZM01'!DH$2),"")=0,"",IFERROR(VLOOKUP(INDEX(Consulta!$A:$DN,MATCH('ZM01'!$C16,Consulta!$D:$D,0),'ZM01'!DH$2),'Listas de Dados'!BU:BW,3,0),""))</f>
        <v/>
      </c>
      <c r="DI16" s="43" t="str">
        <f t="shared" ca="1" si="51"/>
        <v>24.05.2022</v>
      </c>
      <c r="DJ16" s="43" t="str">
        <f t="shared" si="52"/>
        <v>31.12.9999</v>
      </c>
      <c r="DL16" s="44">
        <v>1</v>
      </c>
      <c r="DM16" s="44" t="s">
        <v>1039</v>
      </c>
      <c r="DN16" s="44">
        <v>1</v>
      </c>
      <c r="DO16" s="43">
        <f t="shared" si="34"/>
        <v>1</v>
      </c>
      <c r="DP16" s="43" t="str">
        <f t="shared" si="35"/>
        <v>PC</v>
      </c>
      <c r="DQ16" s="43" t="str">
        <f t="shared" si="36"/>
        <v/>
      </c>
      <c r="DR16" s="44">
        <v>100</v>
      </c>
      <c r="DS16" s="71">
        <f t="shared" si="21"/>
        <v>1</v>
      </c>
      <c r="DT16" s="43">
        <f t="shared" si="53"/>
        <v>100</v>
      </c>
      <c r="DU16" s="44">
        <v>1</v>
      </c>
      <c r="DV16" s="44">
        <v>0</v>
      </c>
      <c r="DW16" s="44" t="s">
        <v>826</v>
      </c>
      <c r="DX16" s="45">
        <v>0</v>
      </c>
      <c r="DY16" s="44">
        <v>100</v>
      </c>
      <c r="DZ16" s="61"/>
    </row>
    <row r="17" spans="1:130" x14ac:dyDescent="0.2">
      <c r="A17" s="7" t="str">
        <f t="shared" si="2"/>
        <v>Execução 13</v>
      </c>
      <c r="B17" s="79"/>
      <c r="C17" s="85"/>
      <c r="D17" s="71" t="str">
        <f t="shared" ref="D17:D40" si="54">IF(J17="","",J17)</f>
        <v/>
      </c>
      <c r="E17" s="71" t="str">
        <f t="shared" ref="E17:E40" si="55">IF(F17="","",F17)</f>
        <v/>
      </c>
      <c r="F17" s="43" t="str">
        <f>IF(IFERROR(INDEX(Consulta!$A:$DN,MATCH('ZM01'!$C17,Consulta!$D:$D,0),'ZM01'!F$2),"")=0,"",IFERROR(INDEX(Consulta!$A:$DN,MATCH('ZM01'!$C17,Consulta!$D:$D,0),'ZM01'!F$2),""))</f>
        <v/>
      </c>
      <c r="G17" s="43" t="str">
        <f>IF(IFERROR(INDEX(Consulta!$A:$DN,MATCH('ZM01'!$C17,Consulta!$D:$D,0),'ZM01'!G$2),"")=0,"",IFERROR(INDEX(Consulta!$A:$DN,MATCH('ZM01'!$C17,Consulta!$D:$D,0),'ZM01'!G$2),""))</f>
        <v/>
      </c>
      <c r="H17" s="43" t="str">
        <f t="shared" ref="H17:H40" si="56">IF(B17="","",B17)</f>
        <v/>
      </c>
      <c r="I17" s="44" t="s">
        <v>100</v>
      </c>
      <c r="J17" s="43" t="str">
        <f>IF(IFERROR(INDEX(Consulta!$A:$DN,MATCH('ZM01'!$C17,Consulta!$D:$D,0),'ZM01'!J$2),"")=0,"",IFERROR(INDEX(Consulta!$A:$DN,MATCH('ZM01'!$C17,Consulta!$D:$D,0),'ZM01'!J$2),""))</f>
        <v/>
      </c>
      <c r="K17" s="43" t="str">
        <f>IF(IFERROR(INDEX(Consulta!$A:$DN,MATCH('ZM01'!$C17,Consulta!$D:$D,0),'ZM01'!K$2),"")=0,"",IFERROR(INDEX(Consulta!$A:$DN,MATCH('ZM01'!$C17,Consulta!$D:$D,0),'ZM01'!K$2),""))</f>
        <v/>
      </c>
      <c r="L17" s="43" t="str">
        <f t="shared" ref="L17:L40" si="57">J17</f>
        <v/>
      </c>
      <c r="M17" s="43" t="str">
        <f>IF(IFERROR(INDEX(Consulta!$A:$DN,MATCH('ZM01'!$C17,Consulta!$D:$D,0),'ZM01'!M$2),"")=0,"",IFERROR(INDEX(Consulta!$A:$DN,MATCH('ZM01'!$C17,Consulta!$D:$D,0),'ZM01'!M$2),""))</f>
        <v/>
      </c>
      <c r="N17" s="43" t="str">
        <f t="shared" ref="N17:N40" si="58">RIGHT(J17,3)</f>
        <v/>
      </c>
      <c r="P17" s="45" t="s">
        <v>101</v>
      </c>
      <c r="Q17" s="45" t="s">
        <v>102</v>
      </c>
      <c r="R17" s="45" t="s">
        <v>103</v>
      </c>
      <c r="S17" s="45" t="s">
        <v>104</v>
      </c>
      <c r="T17" s="45" t="s">
        <v>105</v>
      </c>
      <c r="U17" s="45" t="s">
        <v>106</v>
      </c>
      <c r="V17" s="45" t="s">
        <v>107</v>
      </c>
      <c r="W17" s="45" t="s">
        <v>109</v>
      </c>
      <c r="X17" s="45" t="s">
        <v>110</v>
      </c>
      <c r="Y17" s="45"/>
      <c r="Z17" s="45"/>
      <c r="AA17" s="45" t="s">
        <v>112</v>
      </c>
      <c r="AB17" s="45" t="s">
        <v>113</v>
      </c>
      <c r="AC17" s="45" t="s">
        <v>114</v>
      </c>
      <c r="AD17" s="45" t="s">
        <v>115</v>
      </c>
      <c r="AE17" s="45" t="s">
        <v>117</v>
      </c>
      <c r="AF17" s="45" t="s">
        <v>118</v>
      </c>
      <c r="AG17" s="45" t="s">
        <v>119</v>
      </c>
      <c r="AH17" s="45" t="s">
        <v>120</v>
      </c>
      <c r="AI17" s="45" t="s">
        <v>121</v>
      </c>
      <c r="AJ17" s="45" t="s">
        <v>122</v>
      </c>
      <c r="AK17" s="45" t="s">
        <v>123</v>
      </c>
      <c r="AL17" s="45" t="s">
        <v>124</v>
      </c>
      <c r="AM17" s="45" t="s">
        <v>125</v>
      </c>
      <c r="AN17" s="45" t="s">
        <v>126</v>
      </c>
      <c r="AO17" s="45"/>
      <c r="AP17" s="45"/>
      <c r="AR17" s="44" t="s">
        <v>822</v>
      </c>
      <c r="AS17" s="43" t="str">
        <f>IF(IFERROR(INDEX(Consulta!$A:$DN,MATCH('ZM01'!$C17,Consulta!$D:$D,0),'ZM01'!AS$2),"")=0,"",IFERROR(INDEX(Consulta!$A:$DN,MATCH('ZM01'!$C17,Consulta!$D:$D,0),'ZM01'!AS$2),""))</f>
        <v/>
      </c>
      <c r="AT17" s="45"/>
      <c r="AU17" s="43" t="str">
        <f>IF(IFERROR(INDEX(Consulta!$A:$DN,MATCH('ZM01'!$C17,Consulta!$D:$D,0),'ZM01'!AU$2),"")=0,"",IFERROR(INDEX(Consulta!$A:$DN,MATCH('ZM01'!$C17,Consulta!$D:$D,0),'ZM01'!AU$2),""))</f>
        <v/>
      </c>
      <c r="AV17" s="43" t="str">
        <f>IF(IFERROR(INDEX(Consulta!$A:$DN,MATCH('ZM01'!$C17,Consulta!$D:$D,0),'ZM01'!AV$2),"")=0,"",IFERROR(INDEX(Consulta!$A:$DN,MATCH('ZM01'!$C17,Consulta!$D:$D,0),'ZM01'!AV$2),""))</f>
        <v/>
      </c>
      <c r="AW17" s="45"/>
      <c r="AX17" s="46" t="str">
        <f t="shared" ref="AX17:AX40" ca="1" si="59">IF(AW17&lt;&gt;0,TEXT(TODAY(),"DD.MM.AAAA"),"")</f>
        <v/>
      </c>
      <c r="AY17" s="47" t="s">
        <v>755</v>
      </c>
      <c r="AZ17" s="43" t="str">
        <f>IF(IFERROR(ROUND(INDEX(Consulta!$A:$DN,MATCH('ZM01'!$C17,Consulta!$D:$D,0),'ZM01'!AZ$2),3),"")=0,"",IFERROR(ROUND(INDEX(Consulta!$A:$DN,MATCH('ZM01'!$C17,Consulta!$D:$D,0),'ZM01'!AZ$2),3),""))</f>
        <v/>
      </c>
      <c r="BA17" s="43" t="str">
        <f t="shared" ref="BA17:BA40" si="60">IFERROR(IF(AZ17&lt;&gt;0,ROUND(AZ17,3),""),"")</f>
        <v/>
      </c>
      <c r="BB17" s="48" t="s">
        <v>299</v>
      </c>
      <c r="BC17" s="48"/>
      <c r="BD17" s="43" t="str">
        <f>IF(IFERROR(INDEX(Consulta!$A:$DN,MATCH('ZM01'!$C17,Consulta!$D:$D,0),'ZM01'!BD$2),"")=0,"",IFERROR(INDEX(Consulta!$A:$DN,MATCH('ZM01'!$C17,Consulta!$D:$D,0),'ZM01'!BD$2),""))</f>
        <v/>
      </c>
      <c r="BE17" s="43" t="str">
        <f t="shared" ref="BE17:BE40" si="61">IFERROR(IF(LEN(ROUND(AZ17,3)*1000)&gt;5,ROUND(AZ17,2)*100,ROUND(AZ17,3)*1000),"")</f>
        <v/>
      </c>
      <c r="BF17" s="43" t="str">
        <f t="shared" ref="BF17:BF40" si="62">IF(BE17="","",BB17)</f>
        <v/>
      </c>
      <c r="BG17" s="43" t="str">
        <f t="shared" ref="BG17:BG40" si="63">IFERROR(IF(LEN(ROUND(AZ17,3)*1000)&gt;5,100,1000),"")</f>
        <v/>
      </c>
      <c r="BH17" s="43" t="str">
        <f t="shared" ref="BH17:BH40" si="64">AR17</f>
        <v>PC</v>
      </c>
      <c r="BI17" s="43" t="str">
        <f t="shared" ref="BI17:BI40" si="65">G17</f>
        <v/>
      </c>
      <c r="BJ17" s="43" t="str">
        <f t="shared" ref="BJ17:BJ40" si="66">IF(BI17="","","M")</f>
        <v/>
      </c>
      <c r="BK17" s="43" t="str">
        <f t="shared" ref="BK17:BK40" si="67">IF(BI17="","",1000)</f>
        <v/>
      </c>
      <c r="BL17" s="43" t="str">
        <f t="shared" ref="BL17:BL40" si="68">AR17</f>
        <v>PC</v>
      </c>
      <c r="BN17" s="44"/>
      <c r="BO17" s="44" t="s">
        <v>925</v>
      </c>
      <c r="BP17" s="43" t="str">
        <f>IF(OR(IFERROR(INDEX(Consulta!$A:$DN,MATCH('ZM01'!$C17,Consulta!$D:$D,0),'ZM01'!BP$2),"")=0,IFERROR(INDEX(Consulta!$A:$DN,MATCH('ZM01'!$C17,Consulta!$D:$D,0),'ZM01'!BP$2),"")=AR17),"",IFERROR(INDEX(Consulta!$A:$DN,MATCH('ZM01'!$C17,Consulta!$D:$D,0),'ZM01'!BP$2),""))</f>
        <v/>
      </c>
      <c r="BQ17" s="45">
        <v>99</v>
      </c>
      <c r="BR17" s="46" t="str">
        <f t="shared" ref="BR17:BR40" ca="1" si="69">IF(BQ17&lt;&gt;0,TEXT(TODAY(),"DD.MM.AAAA"),"")</f>
        <v>24.05.2022</v>
      </c>
      <c r="BS17" s="49" t="str">
        <f t="shared" ref="BS17:BS40" si="70">J17</f>
        <v/>
      </c>
      <c r="BT17" s="50">
        <v>1</v>
      </c>
      <c r="BU17" s="50" t="s">
        <v>194</v>
      </c>
      <c r="BV17" s="90" t="str">
        <f t="shared" ref="BV17:BV40" si="71">IF(AU17="68","20","01")</f>
        <v>01</v>
      </c>
      <c r="BW17" s="50" t="s">
        <v>755</v>
      </c>
      <c r="BX17" s="44">
        <v>1</v>
      </c>
      <c r="BY17" s="44" t="s">
        <v>372</v>
      </c>
      <c r="BZ17" s="50" t="s">
        <v>197</v>
      </c>
      <c r="CA17" s="50" t="s">
        <v>197</v>
      </c>
      <c r="CB17" s="43" t="str">
        <f>IF(IFERROR(INDEX(Consulta!$A:$DN,MATCH('ZM01'!$C17,Consulta!$D:$D,0),'ZM01'!CB$2),"")=0,"",IFERROR(INDEX(Consulta!$A:$DN,MATCH('ZM01'!$C17,Consulta!$D:$D,0),'ZM01'!CB$2),""))</f>
        <v/>
      </c>
      <c r="CC17" s="44" t="s">
        <v>392</v>
      </c>
      <c r="CD17" s="50">
        <v>0</v>
      </c>
      <c r="CE17" s="45" t="s">
        <v>403</v>
      </c>
      <c r="CF17" s="45" t="s">
        <v>84</v>
      </c>
      <c r="CG17" s="43" t="str">
        <f t="shared" ref="CG17:CG40" si="72">IF(AND(CJ17="F",CK17="30"),"999",RIGHT(J17,3))</f>
        <v/>
      </c>
      <c r="CH17" s="45" t="s">
        <v>430</v>
      </c>
      <c r="CI17" s="44">
        <v>0</v>
      </c>
      <c r="CJ17" s="43" t="str">
        <f t="shared" ref="CJ17:CJ40" si="73">IF(LEFT(DH17,3)="SUB","F","E")</f>
        <v>E</v>
      </c>
      <c r="CK17" s="43" t="str">
        <f t="shared" ref="CK17:CK40" si="74">IF(AND(CJ17="F",LEFT(DH17,3)="SUB"),"30",IF(CJ17="F","Z1",""))</f>
        <v/>
      </c>
      <c r="CL17" s="44">
        <v>2</v>
      </c>
      <c r="CM17" s="49" t="str">
        <f t="shared" ref="CM17:CM40" si="75">K17</f>
        <v/>
      </c>
      <c r="CN17" s="49" t="str">
        <f t="shared" ref="CN17:CN40" si="76">K17</f>
        <v/>
      </c>
      <c r="CO17" s="43" t="str">
        <f t="shared" ref="CO17:CO40" si="77">IF(AND(CJ17="F",CK17="Z1"),1,IF(CJ17="F",15,""))</f>
        <v/>
      </c>
      <c r="CP17" s="44">
        <v>1</v>
      </c>
      <c r="CQ17" s="50" t="s">
        <v>515</v>
      </c>
      <c r="CR17" s="44" t="s">
        <v>372</v>
      </c>
      <c r="CS17" s="44">
        <v>2</v>
      </c>
      <c r="CT17" s="44">
        <v>42</v>
      </c>
      <c r="CU17" s="44">
        <v>10</v>
      </c>
      <c r="CV17" s="43" t="str">
        <f t="shared" ref="CV17:CV40" si="78">IF(E17="DFER","K00_DP_"&amp;J17,"K00_AO_"&amp;J17)</f>
        <v>K00_AO_</v>
      </c>
      <c r="CW17" s="43" t="str">
        <f t="shared" ref="CW17:CW40" si="79">IF(OR(F17="MFER",F17="KMAT"),"INITIAL",IF(OR(F17="FERT",F17="HAWZ"),"0000999999",""))</f>
        <v/>
      </c>
      <c r="CX17" s="43" t="str">
        <f t="shared" ref="CX17:CX40" si="80">IF(OR(F17="MFER",F17="KMAT"),"INIT",IF(OR(F17="FERT",F17="HAWZ"),"999999",""))</f>
        <v/>
      </c>
      <c r="CY17" s="44">
        <v>1</v>
      </c>
      <c r="CZ17" s="43" t="str">
        <f t="shared" ref="CZ17:CZ40" si="81">IF(G17=0,"",G17)</f>
        <v/>
      </c>
      <c r="DA17" s="43" t="str">
        <f>IF(IFERROR(INDEX(Consulta!$A:$DN,MATCH('ZM01'!$C17,Consulta!$D:$D,0),'ZM01'!DA$2),"")=0,"",IFERROR(INDEX(Consulta!$A:$DN,MATCH('ZM01'!$C17,Consulta!$D:$D,0),'ZM01'!DA$2),""))</f>
        <v/>
      </c>
      <c r="DB17" s="43" t="str">
        <f>IF(IFERROR(INDEX(Consulta!$A:$DN,MATCH('ZM01'!$C17,Consulta!$D:$D,0),'ZM01'!DB$2),"")=0,"",IFERROR(INDEX(Consulta!$A:$DN,MATCH('ZM01'!$C17,Consulta!$D:$D,0),'ZM01'!DB$2),""))</f>
        <v/>
      </c>
      <c r="DC17" s="45">
        <v>0</v>
      </c>
      <c r="DD17" s="45">
        <v>0</v>
      </c>
      <c r="DE17" s="43" t="str">
        <f>IF(IFERROR(INDEX(Consulta!$A:$DN,MATCH('ZM01'!$C17,Consulta!$D:$D,0),'ZM01'!DE$2),"")=0,"",IFERROR(TEXT(VALUE(INDEX(Consulta!$A:$DN,MATCH('ZM01'!$C17,Consulta!$D:$D,0),'ZM01'!DE$2))/100,"0,00"),""))</f>
        <v/>
      </c>
      <c r="DG17" s="43">
        <f t="shared" ref="DG17:DG40" si="82">IF(DH17&lt;&gt;0,1,"")</f>
        <v>1</v>
      </c>
      <c r="DH17" s="43" t="str">
        <f>IF(IFERROR(INDEX(Consulta!$A:$DN,MATCH('ZM01'!$C17,Consulta!$D:$D,0),'ZM01'!DH$2),"")=0,"",IFERROR(VLOOKUP(INDEX(Consulta!$A:$DN,MATCH('ZM01'!$C17,Consulta!$D:$D,0),'ZM01'!DH$2),'Listas de Dados'!BU:BW,3,0),""))</f>
        <v/>
      </c>
      <c r="DI17" s="43" t="str">
        <f t="shared" ref="DI17:DI40" ca="1" si="83">IF(DH17&lt;&gt;0,TEXT(TODAY(),"dd.mm.aaaa"),"")</f>
        <v>24.05.2022</v>
      </c>
      <c r="DJ17" s="43" t="str">
        <f t="shared" ref="DJ17:DJ40" si="84">IF(DH17&lt;&gt;0,"31.12.9999","")</f>
        <v>31.12.9999</v>
      </c>
      <c r="DL17" s="44">
        <v>1</v>
      </c>
      <c r="DM17" s="44" t="s">
        <v>1039</v>
      </c>
      <c r="DN17" s="44">
        <v>1</v>
      </c>
      <c r="DO17" s="43">
        <f t="shared" ref="DO17:DO40" si="85">IF(OR(AR17="M",AR17="KG"),0.01,1)</f>
        <v>1</v>
      </c>
      <c r="DP17" s="43" t="str">
        <f t="shared" ref="DP17:DP40" si="86">AR17</f>
        <v>PC</v>
      </c>
      <c r="DQ17" s="43" t="str">
        <f t="shared" ref="DQ17:DQ40" si="87">IF(OR(F17="MFER",F17="KMAT",F17="DFER",F17="FERT"),7925,"")</f>
        <v/>
      </c>
      <c r="DR17" s="44">
        <v>100</v>
      </c>
      <c r="DS17" s="71">
        <f t="shared" ref="DS17:DS40" si="88">IF(CJ17="F",IF(AND(CK17=30,CK17="Z1"),1,0),1)</f>
        <v>1</v>
      </c>
      <c r="DT17" s="43">
        <f t="shared" ref="DT17:DT40" si="89">DR17</f>
        <v>100</v>
      </c>
      <c r="DU17" s="44">
        <v>1</v>
      </c>
      <c r="DV17" s="44">
        <v>0</v>
      </c>
      <c r="DW17" s="44" t="s">
        <v>826</v>
      </c>
      <c r="DX17" s="45">
        <v>0</v>
      </c>
      <c r="DY17" s="44">
        <v>100</v>
      </c>
      <c r="DZ17" s="60"/>
    </row>
    <row r="18" spans="1:130" x14ac:dyDescent="0.2">
      <c r="A18" s="7" t="str">
        <f t="shared" si="2"/>
        <v>Execução 14</v>
      </c>
      <c r="B18" s="75"/>
      <c r="C18" s="85"/>
      <c r="D18" s="71" t="str">
        <f t="shared" si="54"/>
        <v/>
      </c>
      <c r="E18" s="71" t="str">
        <f t="shared" si="55"/>
        <v/>
      </c>
      <c r="F18" s="43" t="str">
        <f>IF(IFERROR(INDEX(Consulta!$A:$DN,MATCH('ZM01'!$C18,Consulta!$D:$D,0),'ZM01'!F$2),"")=0,"",IFERROR(INDEX(Consulta!$A:$DN,MATCH('ZM01'!$C18,Consulta!$D:$D,0),'ZM01'!F$2),""))</f>
        <v/>
      </c>
      <c r="G18" s="43" t="str">
        <f>IF(IFERROR(INDEX(Consulta!$A:$DN,MATCH('ZM01'!$C18,Consulta!$D:$D,0),'ZM01'!G$2),"")=0,"",IFERROR(INDEX(Consulta!$A:$DN,MATCH('ZM01'!$C18,Consulta!$D:$D,0),'ZM01'!G$2),""))</f>
        <v/>
      </c>
      <c r="H18" s="43" t="str">
        <f t="shared" si="56"/>
        <v/>
      </c>
      <c r="I18" s="44" t="s">
        <v>100</v>
      </c>
      <c r="J18" s="43" t="str">
        <f>IF(IFERROR(INDEX(Consulta!$A:$DN,MATCH('ZM01'!$C18,Consulta!$D:$D,0),'ZM01'!J$2),"")=0,"",IFERROR(INDEX(Consulta!$A:$DN,MATCH('ZM01'!$C18,Consulta!$D:$D,0),'ZM01'!J$2),""))</f>
        <v/>
      </c>
      <c r="K18" s="43" t="str">
        <f>IF(IFERROR(INDEX(Consulta!$A:$DN,MATCH('ZM01'!$C18,Consulta!$D:$D,0),'ZM01'!K$2),"")=0,"",IFERROR(INDEX(Consulta!$A:$DN,MATCH('ZM01'!$C18,Consulta!$D:$D,0),'ZM01'!K$2),""))</f>
        <v/>
      </c>
      <c r="L18" s="43" t="str">
        <f t="shared" si="57"/>
        <v/>
      </c>
      <c r="M18" s="43" t="str">
        <f>IF(IFERROR(INDEX(Consulta!$A:$DN,MATCH('ZM01'!$C18,Consulta!$D:$D,0),'ZM01'!M$2),"")=0,"",IFERROR(INDEX(Consulta!$A:$DN,MATCH('ZM01'!$C18,Consulta!$D:$D,0),'ZM01'!M$2),""))</f>
        <v/>
      </c>
      <c r="N18" s="43" t="str">
        <f t="shared" si="58"/>
        <v/>
      </c>
      <c r="P18" s="45" t="s">
        <v>101</v>
      </c>
      <c r="Q18" s="45" t="s">
        <v>102</v>
      </c>
      <c r="R18" s="45" t="s">
        <v>103</v>
      </c>
      <c r="S18" s="45" t="s">
        <v>104</v>
      </c>
      <c r="T18" s="45" t="s">
        <v>105</v>
      </c>
      <c r="U18" s="45" t="s">
        <v>106</v>
      </c>
      <c r="V18" s="45" t="s">
        <v>107</v>
      </c>
      <c r="W18" s="45" t="s">
        <v>109</v>
      </c>
      <c r="X18" s="45" t="s">
        <v>110</v>
      </c>
      <c r="Y18" s="45"/>
      <c r="Z18" s="45"/>
      <c r="AA18" s="45" t="s">
        <v>112</v>
      </c>
      <c r="AB18" s="45" t="s">
        <v>113</v>
      </c>
      <c r="AC18" s="45" t="s">
        <v>114</v>
      </c>
      <c r="AD18" s="45" t="s">
        <v>115</v>
      </c>
      <c r="AE18" s="45" t="s">
        <v>117</v>
      </c>
      <c r="AF18" s="45" t="s">
        <v>118</v>
      </c>
      <c r="AG18" s="45" t="s">
        <v>119</v>
      </c>
      <c r="AH18" s="45" t="s">
        <v>120</v>
      </c>
      <c r="AI18" s="45" t="s">
        <v>121</v>
      </c>
      <c r="AJ18" s="45" t="s">
        <v>122</v>
      </c>
      <c r="AK18" s="45" t="s">
        <v>123</v>
      </c>
      <c r="AL18" s="45" t="s">
        <v>124</v>
      </c>
      <c r="AM18" s="45" t="s">
        <v>125</v>
      </c>
      <c r="AN18" s="45" t="s">
        <v>126</v>
      </c>
      <c r="AO18" s="45"/>
      <c r="AP18" s="45"/>
      <c r="AR18" s="44" t="s">
        <v>822</v>
      </c>
      <c r="AS18" s="43" t="str">
        <f>IF(IFERROR(INDEX(Consulta!$A:$DN,MATCH('ZM01'!$C18,Consulta!$D:$D,0),'ZM01'!AS$2),"")=0,"",IFERROR(INDEX(Consulta!$A:$DN,MATCH('ZM01'!$C18,Consulta!$D:$D,0),'ZM01'!AS$2),""))</f>
        <v/>
      </c>
      <c r="AT18" s="45"/>
      <c r="AU18" s="43" t="str">
        <f>IF(IFERROR(INDEX(Consulta!$A:$DN,MATCH('ZM01'!$C18,Consulta!$D:$D,0),'ZM01'!AU$2),"")=0,"",IFERROR(INDEX(Consulta!$A:$DN,MATCH('ZM01'!$C18,Consulta!$D:$D,0),'ZM01'!AU$2),""))</f>
        <v/>
      </c>
      <c r="AV18" s="43" t="str">
        <f>IF(IFERROR(INDEX(Consulta!$A:$DN,MATCH('ZM01'!$C18,Consulta!$D:$D,0),'ZM01'!AV$2),"")=0,"",IFERROR(INDEX(Consulta!$A:$DN,MATCH('ZM01'!$C18,Consulta!$D:$D,0),'ZM01'!AV$2),""))</f>
        <v/>
      </c>
      <c r="AW18" s="45"/>
      <c r="AX18" s="46" t="str">
        <f t="shared" ca="1" si="59"/>
        <v/>
      </c>
      <c r="AY18" s="47" t="s">
        <v>755</v>
      </c>
      <c r="AZ18" s="43" t="str">
        <f>IF(IFERROR(ROUND(INDEX(Consulta!$A:$DN,MATCH('ZM01'!$C18,Consulta!$D:$D,0),'ZM01'!AZ$2),3),"")=0,"",IFERROR(ROUND(INDEX(Consulta!$A:$DN,MATCH('ZM01'!$C18,Consulta!$D:$D,0),'ZM01'!AZ$2),3),""))</f>
        <v/>
      </c>
      <c r="BA18" s="43" t="str">
        <f t="shared" si="60"/>
        <v/>
      </c>
      <c r="BB18" s="48" t="s">
        <v>299</v>
      </c>
      <c r="BC18" s="48"/>
      <c r="BD18" s="43" t="str">
        <f>IF(IFERROR(INDEX(Consulta!$A:$DN,MATCH('ZM01'!$C18,Consulta!$D:$D,0),'ZM01'!BD$2),"")=0,"",IFERROR(INDEX(Consulta!$A:$DN,MATCH('ZM01'!$C18,Consulta!$D:$D,0),'ZM01'!BD$2),""))</f>
        <v/>
      </c>
      <c r="BE18" s="43" t="str">
        <f t="shared" si="61"/>
        <v/>
      </c>
      <c r="BF18" s="43" t="str">
        <f t="shared" si="62"/>
        <v/>
      </c>
      <c r="BG18" s="43" t="str">
        <f t="shared" si="63"/>
        <v/>
      </c>
      <c r="BH18" s="43" t="str">
        <f t="shared" si="64"/>
        <v>PC</v>
      </c>
      <c r="BI18" s="43" t="str">
        <f t="shared" si="65"/>
        <v/>
      </c>
      <c r="BJ18" s="43" t="str">
        <f t="shared" si="66"/>
        <v/>
      </c>
      <c r="BK18" s="43" t="str">
        <f t="shared" si="67"/>
        <v/>
      </c>
      <c r="BL18" s="43" t="str">
        <f t="shared" si="68"/>
        <v>PC</v>
      </c>
      <c r="BN18" s="44"/>
      <c r="BO18" s="44" t="s">
        <v>925</v>
      </c>
      <c r="BP18" s="43" t="str">
        <f>IF(OR(IFERROR(INDEX(Consulta!$A:$DN,MATCH('ZM01'!$C18,Consulta!$D:$D,0),'ZM01'!BP$2),"")=0,IFERROR(INDEX(Consulta!$A:$DN,MATCH('ZM01'!$C18,Consulta!$D:$D,0),'ZM01'!BP$2),"")=AR18),"",IFERROR(INDEX(Consulta!$A:$DN,MATCH('ZM01'!$C18,Consulta!$D:$D,0),'ZM01'!BP$2),""))</f>
        <v/>
      </c>
      <c r="BQ18" s="45">
        <v>99</v>
      </c>
      <c r="BR18" s="46" t="str">
        <f t="shared" ca="1" si="69"/>
        <v>24.05.2022</v>
      </c>
      <c r="BS18" s="49" t="str">
        <f t="shared" si="70"/>
        <v/>
      </c>
      <c r="BT18" s="50">
        <v>1</v>
      </c>
      <c r="BU18" s="50" t="s">
        <v>194</v>
      </c>
      <c r="BV18" s="90" t="str">
        <f t="shared" si="71"/>
        <v>01</v>
      </c>
      <c r="BW18" s="50" t="s">
        <v>755</v>
      </c>
      <c r="BX18" s="44">
        <v>1</v>
      </c>
      <c r="BY18" s="44" t="s">
        <v>372</v>
      </c>
      <c r="BZ18" s="50" t="s">
        <v>197</v>
      </c>
      <c r="CA18" s="50" t="s">
        <v>197</v>
      </c>
      <c r="CB18" s="43" t="str">
        <f>IF(IFERROR(INDEX(Consulta!$A:$DN,MATCH('ZM01'!$C18,Consulta!$D:$D,0),'ZM01'!CB$2),"")=0,"",IFERROR(INDEX(Consulta!$A:$DN,MATCH('ZM01'!$C18,Consulta!$D:$D,0),'ZM01'!CB$2),""))</f>
        <v/>
      </c>
      <c r="CC18" s="44" t="s">
        <v>392</v>
      </c>
      <c r="CD18" s="50">
        <v>0</v>
      </c>
      <c r="CE18" s="45" t="s">
        <v>403</v>
      </c>
      <c r="CF18" s="45" t="s">
        <v>84</v>
      </c>
      <c r="CG18" s="43" t="str">
        <f t="shared" si="72"/>
        <v/>
      </c>
      <c r="CH18" s="45" t="s">
        <v>430</v>
      </c>
      <c r="CI18" s="44">
        <v>0</v>
      </c>
      <c r="CJ18" s="43" t="str">
        <f t="shared" si="73"/>
        <v>E</v>
      </c>
      <c r="CK18" s="43" t="str">
        <f t="shared" si="74"/>
        <v/>
      </c>
      <c r="CL18" s="44">
        <v>2</v>
      </c>
      <c r="CM18" s="49" t="str">
        <f t="shared" si="75"/>
        <v/>
      </c>
      <c r="CN18" s="49" t="str">
        <f t="shared" si="76"/>
        <v/>
      </c>
      <c r="CO18" s="43" t="str">
        <f t="shared" si="77"/>
        <v/>
      </c>
      <c r="CP18" s="44">
        <v>1</v>
      </c>
      <c r="CQ18" s="50" t="s">
        <v>515</v>
      </c>
      <c r="CR18" s="44" t="s">
        <v>372</v>
      </c>
      <c r="CS18" s="44">
        <v>2</v>
      </c>
      <c r="CT18" s="44">
        <v>42</v>
      </c>
      <c r="CU18" s="44">
        <v>10</v>
      </c>
      <c r="CV18" s="43" t="str">
        <f t="shared" si="78"/>
        <v>K00_AO_</v>
      </c>
      <c r="CW18" s="43" t="str">
        <f t="shared" si="79"/>
        <v/>
      </c>
      <c r="CX18" s="43" t="str">
        <f t="shared" si="80"/>
        <v/>
      </c>
      <c r="CY18" s="44">
        <v>1</v>
      </c>
      <c r="CZ18" s="43" t="str">
        <f t="shared" si="81"/>
        <v/>
      </c>
      <c r="DA18" s="43" t="str">
        <f>IF(IFERROR(INDEX(Consulta!$A:$DN,MATCH('ZM01'!$C18,Consulta!$D:$D,0),'ZM01'!DA$2),"")=0,"",IFERROR(INDEX(Consulta!$A:$DN,MATCH('ZM01'!$C18,Consulta!$D:$D,0),'ZM01'!DA$2),""))</f>
        <v/>
      </c>
      <c r="DB18" s="43" t="str">
        <f>IF(IFERROR(INDEX(Consulta!$A:$DN,MATCH('ZM01'!$C18,Consulta!$D:$D,0),'ZM01'!DB$2),"")=0,"",IFERROR(INDEX(Consulta!$A:$DN,MATCH('ZM01'!$C18,Consulta!$D:$D,0),'ZM01'!DB$2),""))</f>
        <v/>
      </c>
      <c r="DC18" s="45">
        <v>0</v>
      </c>
      <c r="DD18" s="45">
        <v>0</v>
      </c>
      <c r="DE18" s="43" t="str">
        <f>IF(IFERROR(INDEX(Consulta!$A:$DN,MATCH('ZM01'!$C18,Consulta!$D:$D,0),'ZM01'!DE$2),"")=0,"",IFERROR(TEXT(VALUE(INDEX(Consulta!$A:$DN,MATCH('ZM01'!$C18,Consulta!$D:$D,0),'ZM01'!DE$2))/100,"0,00"),""))</f>
        <v/>
      </c>
      <c r="DG18" s="43">
        <f t="shared" si="82"/>
        <v>1</v>
      </c>
      <c r="DH18" s="43" t="str">
        <f>IF(IFERROR(INDEX(Consulta!$A:$DN,MATCH('ZM01'!$C18,Consulta!$D:$D,0),'ZM01'!DH$2),"")=0,"",IFERROR(VLOOKUP(INDEX(Consulta!$A:$DN,MATCH('ZM01'!$C18,Consulta!$D:$D,0),'ZM01'!DH$2),'Listas de Dados'!BU:BW,3,0),""))</f>
        <v/>
      </c>
      <c r="DI18" s="43" t="str">
        <f t="shared" ca="1" si="83"/>
        <v>24.05.2022</v>
      </c>
      <c r="DJ18" s="43" t="str">
        <f t="shared" si="84"/>
        <v>31.12.9999</v>
      </c>
      <c r="DL18" s="44">
        <v>1</v>
      </c>
      <c r="DM18" s="44" t="s">
        <v>1039</v>
      </c>
      <c r="DN18" s="44">
        <v>1</v>
      </c>
      <c r="DO18" s="43">
        <f t="shared" si="85"/>
        <v>1</v>
      </c>
      <c r="DP18" s="43" t="str">
        <f t="shared" si="86"/>
        <v>PC</v>
      </c>
      <c r="DQ18" s="43" t="str">
        <f t="shared" si="87"/>
        <v/>
      </c>
      <c r="DR18" s="44">
        <v>100</v>
      </c>
      <c r="DS18" s="71">
        <f t="shared" si="88"/>
        <v>1</v>
      </c>
      <c r="DT18" s="43">
        <f t="shared" si="89"/>
        <v>100</v>
      </c>
      <c r="DU18" s="44">
        <v>1</v>
      </c>
      <c r="DV18" s="44">
        <v>0</v>
      </c>
      <c r="DW18" s="44" t="s">
        <v>826</v>
      </c>
      <c r="DX18" s="45">
        <v>0</v>
      </c>
      <c r="DY18" s="44">
        <v>100</v>
      </c>
      <c r="DZ18" s="61"/>
    </row>
    <row r="19" spans="1:130" x14ac:dyDescent="0.2">
      <c r="A19" s="7" t="str">
        <f t="shared" si="2"/>
        <v>Execução 15</v>
      </c>
      <c r="B19" s="79"/>
      <c r="C19" s="85"/>
      <c r="D19" s="71" t="str">
        <f t="shared" si="54"/>
        <v/>
      </c>
      <c r="E19" s="71" t="str">
        <f t="shared" si="55"/>
        <v/>
      </c>
      <c r="F19" s="43" t="str">
        <f>IF(IFERROR(INDEX(Consulta!$A:$DN,MATCH('ZM01'!$C19,Consulta!$D:$D,0),'ZM01'!F$2),"")=0,"",IFERROR(INDEX(Consulta!$A:$DN,MATCH('ZM01'!$C19,Consulta!$D:$D,0),'ZM01'!F$2),""))</f>
        <v/>
      </c>
      <c r="G19" s="43" t="str">
        <f>IF(IFERROR(INDEX(Consulta!$A:$DN,MATCH('ZM01'!$C19,Consulta!$D:$D,0),'ZM01'!G$2),"")=0,"",IFERROR(INDEX(Consulta!$A:$DN,MATCH('ZM01'!$C19,Consulta!$D:$D,0),'ZM01'!G$2),""))</f>
        <v/>
      </c>
      <c r="H19" s="43" t="str">
        <f t="shared" si="56"/>
        <v/>
      </c>
      <c r="I19" s="44" t="s">
        <v>100</v>
      </c>
      <c r="J19" s="43" t="str">
        <f>IF(IFERROR(INDEX(Consulta!$A:$DN,MATCH('ZM01'!$C19,Consulta!$D:$D,0),'ZM01'!J$2),"")=0,"",IFERROR(INDEX(Consulta!$A:$DN,MATCH('ZM01'!$C19,Consulta!$D:$D,0),'ZM01'!J$2),""))</f>
        <v/>
      </c>
      <c r="K19" s="43" t="str">
        <f>IF(IFERROR(INDEX(Consulta!$A:$DN,MATCH('ZM01'!$C19,Consulta!$D:$D,0),'ZM01'!K$2),"")=0,"",IFERROR(INDEX(Consulta!$A:$DN,MATCH('ZM01'!$C19,Consulta!$D:$D,0),'ZM01'!K$2),""))</f>
        <v/>
      </c>
      <c r="L19" s="43" t="str">
        <f t="shared" si="57"/>
        <v/>
      </c>
      <c r="M19" s="43" t="str">
        <f>IF(IFERROR(INDEX(Consulta!$A:$DN,MATCH('ZM01'!$C19,Consulta!$D:$D,0),'ZM01'!M$2),"")=0,"",IFERROR(INDEX(Consulta!$A:$DN,MATCH('ZM01'!$C19,Consulta!$D:$D,0),'ZM01'!M$2),""))</f>
        <v/>
      </c>
      <c r="N19" s="43" t="str">
        <f t="shared" si="58"/>
        <v/>
      </c>
      <c r="P19" s="45" t="s">
        <v>101</v>
      </c>
      <c r="Q19" s="45" t="s">
        <v>102</v>
      </c>
      <c r="R19" s="45" t="s">
        <v>103</v>
      </c>
      <c r="S19" s="45" t="s">
        <v>104</v>
      </c>
      <c r="T19" s="45" t="s">
        <v>105</v>
      </c>
      <c r="U19" s="45" t="s">
        <v>106</v>
      </c>
      <c r="V19" s="45" t="s">
        <v>107</v>
      </c>
      <c r="W19" s="45" t="s">
        <v>109</v>
      </c>
      <c r="X19" s="45" t="s">
        <v>110</v>
      </c>
      <c r="Y19" s="45"/>
      <c r="Z19" s="45"/>
      <c r="AA19" s="45" t="s">
        <v>112</v>
      </c>
      <c r="AB19" s="45" t="s">
        <v>113</v>
      </c>
      <c r="AC19" s="45" t="s">
        <v>114</v>
      </c>
      <c r="AD19" s="45" t="s">
        <v>115</v>
      </c>
      <c r="AE19" s="45" t="s">
        <v>117</v>
      </c>
      <c r="AF19" s="45" t="s">
        <v>118</v>
      </c>
      <c r="AG19" s="45" t="s">
        <v>119</v>
      </c>
      <c r="AH19" s="45" t="s">
        <v>120</v>
      </c>
      <c r="AI19" s="45" t="s">
        <v>121</v>
      </c>
      <c r="AJ19" s="45" t="s">
        <v>122</v>
      </c>
      <c r="AK19" s="45" t="s">
        <v>123</v>
      </c>
      <c r="AL19" s="45" t="s">
        <v>124</v>
      </c>
      <c r="AM19" s="45" t="s">
        <v>125</v>
      </c>
      <c r="AN19" s="45" t="s">
        <v>126</v>
      </c>
      <c r="AO19" s="45"/>
      <c r="AP19" s="45"/>
      <c r="AR19" s="44" t="s">
        <v>822</v>
      </c>
      <c r="AS19" s="43" t="str">
        <f>IF(IFERROR(INDEX(Consulta!$A:$DN,MATCH('ZM01'!$C19,Consulta!$D:$D,0),'ZM01'!AS$2),"")=0,"",IFERROR(INDEX(Consulta!$A:$DN,MATCH('ZM01'!$C19,Consulta!$D:$D,0),'ZM01'!AS$2),""))</f>
        <v/>
      </c>
      <c r="AT19" s="45"/>
      <c r="AU19" s="43" t="str">
        <f>IF(IFERROR(INDEX(Consulta!$A:$DN,MATCH('ZM01'!$C19,Consulta!$D:$D,0),'ZM01'!AU$2),"")=0,"",IFERROR(INDEX(Consulta!$A:$DN,MATCH('ZM01'!$C19,Consulta!$D:$D,0),'ZM01'!AU$2),""))</f>
        <v/>
      </c>
      <c r="AV19" s="43" t="str">
        <f>IF(IFERROR(INDEX(Consulta!$A:$DN,MATCH('ZM01'!$C19,Consulta!$D:$D,0),'ZM01'!AV$2),"")=0,"",IFERROR(INDEX(Consulta!$A:$DN,MATCH('ZM01'!$C19,Consulta!$D:$D,0),'ZM01'!AV$2),""))</f>
        <v/>
      </c>
      <c r="AW19" s="45"/>
      <c r="AX19" s="46" t="str">
        <f t="shared" ca="1" si="59"/>
        <v/>
      </c>
      <c r="AY19" s="47" t="s">
        <v>755</v>
      </c>
      <c r="AZ19" s="43" t="str">
        <f>IF(IFERROR(ROUND(INDEX(Consulta!$A:$DN,MATCH('ZM01'!$C19,Consulta!$D:$D,0),'ZM01'!AZ$2),3),"")=0,"",IFERROR(ROUND(INDEX(Consulta!$A:$DN,MATCH('ZM01'!$C19,Consulta!$D:$D,0),'ZM01'!AZ$2),3),""))</f>
        <v/>
      </c>
      <c r="BA19" s="43" t="str">
        <f t="shared" si="60"/>
        <v/>
      </c>
      <c r="BB19" s="48" t="s">
        <v>299</v>
      </c>
      <c r="BC19" s="48"/>
      <c r="BD19" s="43" t="str">
        <f>IF(IFERROR(INDEX(Consulta!$A:$DN,MATCH('ZM01'!$C19,Consulta!$D:$D,0),'ZM01'!BD$2),"")=0,"",IFERROR(INDEX(Consulta!$A:$DN,MATCH('ZM01'!$C19,Consulta!$D:$D,0),'ZM01'!BD$2),""))</f>
        <v/>
      </c>
      <c r="BE19" s="43" t="str">
        <f t="shared" si="61"/>
        <v/>
      </c>
      <c r="BF19" s="43" t="str">
        <f t="shared" si="62"/>
        <v/>
      </c>
      <c r="BG19" s="43" t="str">
        <f t="shared" si="63"/>
        <v/>
      </c>
      <c r="BH19" s="43" t="str">
        <f t="shared" si="64"/>
        <v>PC</v>
      </c>
      <c r="BI19" s="43" t="str">
        <f t="shared" si="65"/>
        <v/>
      </c>
      <c r="BJ19" s="43" t="str">
        <f t="shared" si="66"/>
        <v/>
      </c>
      <c r="BK19" s="43" t="str">
        <f t="shared" si="67"/>
        <v/>
      </c>
      <c r="BL19" s="43" t="str">
        <f t="shared" si="68"/>
        <v>PC</v>
      </c>
      <c r="BN19" s="44"/>
      <c r="BO19" s="44" t="s">
        <v>925</v>
      </c>
      <c r="BP19" s="43" t="str">
        <f>IF(OR(IFERROR(INDEX(Consulta!$A:$DN,MATCH('ZM01'!$C19,Consulta!$D:$D,0),'ZM01'!BP$2),"")=0,IFERROR(INDEX(Consulta!$A:$DN,MATCH('ZM01'!$C19,Consulta!$D:$D,0),'ZM01'!BP$2),"")=AR19),"",IFERROR(INDEX(Consulta!$A:$DN,MATCH('ZM01'!$C19,Consulta!$D:$D,0),'ZM01'!BP$2),""))</f>
        <v/>
      </c>
      <c r="BQ19" s="45">
        <v>99</v>
      </c>
      <c r="BR19" s="46" t="str">
        <f t="shared" ca="1" si="69"/>
        <v>24.05.2022</v>
      </c>
      <c r="BS19" s="49" t="str">
        <f t="shared" si="70"/>
        <v/>
      </c>
      <c r="BT19" s="50">
        <v>1</v>
      </c>
      <c r="BU19" s="50" t="s">
        <v>194</v>
      </c>
      <c r="BV19" s="90" t="str">
        <f t="shared" si="71"/>
        <v>01</v>
      </c>
      <c r="BW19" s="50" t="s">
        <v>755</v>
      </c>
      <c r="BX19" s="44">
        <v>1</v>
      </c>
      <c r="BY19" s="44" t="s">
        <v>372</v>
      </c>
      <c r="BZ19" s="50" t="s">
        <v>197</v>
      </c>
      <c r="CA19" s="50" t="s">
        <v>197</v>
      </c>
      <c r="CB19" s="43" t="str">
        <f>IF(IFERROR(INDEX(Consulta!$A:$DN,MATCH('ZM01'!$C19,Consulta!$D:$D,0),'ZM01'!CB$2),"")=0,"",IFERROR(INDEX(Consulta!$A:$DN,MATCH('ZM01'!$C19,Consulta!$D:$D,0),'ZM01'!CB$2),""))</f>
        <v/>
      </c>
      <c r="CC19" s="44" t="s">
        <v>392</v>
      </c>
      <c r="CD19" s="50">
        <v>0</v>
      </c>
      <c r="CE19" s="45" t="s">
        <v>403</v>
      </c>
      <c r="CF19" s="45" t="s">
        <v>84</v>
      </c>
      <c r="CG19" s="43" t="str">
        <f t="shared" si="72"/>
        <v/>
      </c>
      <c r="CH19" s="45" t="s">
        <v>430</v>
      </c>
      <c r="CI19" s="44">
        <v>0</v>
      </c>
      <c r="CJ19" s="43" t="str">
        <f t="shared" si="73"/>
        <v>E</v>
      </c>
      <c r="CK19" s="43" t="str">
        <f t="shared" si="74"/>
        <v/>
      </c>
      <c r="CL19" s="44">
        <v>2</v>
      </c>
      <c r="CM19" s="49" t="str">
        <f t="shared" si="75"/>
        <v/>
      </c>
      <c r="CN19" s="49" t="str">
        <f t="shared" si="76"/>
        <v/>
      </c>
      <c r="CO19" s="43" t="str">
        <f t="shared" si="77"/>
        <v/>
      </c>
      <c r="CP19" s="44">
        <v>1</v>
      </c>
      <c r="CQ19" s="50" t="s">
        <v>515</v>
      </c>
      <c r="CR19" s="44" t="s">
        <v>372</v>
      </c>
      <c r="CS19" s="44">
        <v>2</v>
      </c>
      <c r="CT19" s="44">
        <v>42</v>
      </c>
      <c r="CU19" s="44">
        <v>10</v>
      </c>
      <c r="CV19" s="43" t="str">
        <f t="shared" si="78"/>
        <v>K00_AO_</v>
      </c>
      <c r="CW19" s="43" t="str">
        <f t="shared" si="79"/>
        <v/>
      </c>
      <c r="CX19" s="43" t="str">
        <f t="shared" si="80"/>
        <v/>
      </c>
      <c r="CY19" s="44">
        <v>1</v>
      </c>
      <c r="CZ19" s="43" t="str">
        <f t="shared" si="81"/>
        <v/>
      </c>
      <c r="DA19" s="43" t="str">
        <f>IF(IFERROR(INDEX(Consulta!$A:$DN,MATCH('ZM01'!$C19,Consulta!$D:$D,0),'ZM01'!DA$2),"")=0,"",IFERROR(INDEX(Consulta!$A:$DN,MATCH('ZM01'!$C19,Consulta!$D:$D,0),'ZM01'!DA$2),""))</f>
        <v/>
      </c>
      <c r="DB19" s="43" t="str">
        <f>IF(IFERROR(INDEX(Consulta!$A:$DN,MATCH('ZM01'!$C19,Consulta!$D:$D,0),'ZM01'!DB$2),"")=0,"",IFERROR(INDEX(Consulta!$A:$DN,MATCH('ZM01'!$C19,Consulta!$D:$D,0),'ZM01'!DB$2),""))</f>
        <v/>
      </c>
      <c r="DC19" s="45">
        <v>0</v>
      </c>
      <c r="DD19" s="45">
        <v>0</v>
      </c>
      <c r="DE19" s="43" t="str">
        <f>IF(IFERROR(INDEX(Consulta!$A:$DN,MATCH('ZM01'!$C19,Consulta!$D:$D,0),'ZM01'!DE$2),"")=0,"",IFERROR(TEXT(VALUE(INDEX(Consulta!$A:$DN,MATCH('ZM01'!$C19,Consulta!$D:$D,0),'ZM01'!DE$2))/100,"0,00"),""))</f>
        <v/>
      </c>
      <c r="DG19" s="43">
        <f t="shared" si="82"/>
        <v>1</v>
      </c>
      <c r="DH19" s="43" t="str">
        <f>IF(IFERROR(INDEX(Consulta!$A:$DN,MATCH('ZM01'!$C19,Consulta!$D:$D,0),'ZM01'!DH$2),"")=0,"",IFERROR(VLOOKUP(INDEX(Consulta!$A:$DN,MATCH('ZM01'!$C19,Consulta!$D:$D,0),'ZM01'!DH$2),'Listas de Dados'!BU:BW,3,0),""))</f>
        <v/>
      </c>
      <c r="DI19" s="43" t="str">
        <f t="shared" ca="1" si="83"/>
        <v>24.05.2022</v>
      </c>
      <c r="DJ19" s="43" t="str">
        <f t="shared" si="84"/>
        <v>31.12.9999</v>
      </c>
      <c r="DL19" s="44">
        <v>1</v>
      </c>
      <c r="DM19" s="44" t="s">
        <v>1039</v>
      </c>
      <c r="DN19" s="44">
        <v>1</v>
      </c>
      <c r="DO19" s="43">
        <f t="shared" si="85"/>
        <v>1</v>
      </c>
      <c r="DP19" s="43" t="str">
        <f t="shared" si="86"/>
        <v>PC</v>
      </c>
      <c r="DQ19" s="43" t="str">
        <f t="shared" si="87"/>
        <v/>
      </c>
      <c r="DR19" s="44">
        <v>100</v>
      </c>
      <c r="DS19" s="71">
        <f t="shared" si="88"/>
        <v>1</v>
      </c>
      <c r="DT19" s="43">
        <f t="shared" si="89"/>
        <v>100</v>
      </c>
      <c r="DU19" s="44">
        <v>1</v>
      </c>
      <c r="DV19" s="44">
        <v>0</v>
      </c>
      <c r="DW19" s="44" t="s">
        <v>826</v>
      </c>
      <c r="DX19" s="45">
        <v>0</v>
      </c>
      <c r="DY19" s="44">
        <v>100</v>
      </c>
      <c r="DZ19" s="60"/>
    </row>
    <row r="20" spans="1:130" x14ac:dyDescent="0.2">
      <c r="A20" s="7" t="str">
        <f t="shared" si="2"/>
        <v>Execução 16</v>
      </c>
      <c r="B20" s="75"/>
      <c r="C20" s="85"/>
      <c r="D20" s="71" t="str">
        <f t="shared" si="54"/>
        <v/>
      </c>
      <c r="E20" s="71" t="str">
        <f t="shared" si="55"/>
        <v/>
      </c>
      <c r="F20" s="43" t="str">
        <f>IF(IFERROR(INDEX(Consulta!$A:$DN,MATCH('ZM01'!$C20,Consulta!$D:$D,0),'ZM01'!F$2),"")=0,"",IFERROR(INDEX(Consulta!$A:$DN,MATCH('ZM01'!$C20,Consulta!$D:$D,0),'ZM01'!F$2),""))</f>
        <v/>
      </c>
      <c r="G20" s="43" t="str">
        <f>IF(IFERROR(INDEX(Consulta!$A:$DN,MATCH('ZM01'!$C20,Consulta!$D:$D,0),'ZM01'!G$2),"")=0,"",IFERROR(INDEX(Consulta!$A:$DN,MATCH('ZM01'!$C20,Consulta!$D:$D,0),'ZM01'!G$2),""))</f>
        <v/>
      </c>
      <c r="H20" s="43" t="str">
        <f t="shared" si="56"/>
        <v/>
      </c>
      <c r="I20" s="44" t="s">
        <v>100</v>
      </c>
      <c r="J20" s="43" t="str">
        <f>IF(IFERROR(INDEX(Consulta!$A:$DN,MATCH('ZM01'!$C20,Consulta!$D:$D,0),'ZM01'!J$2),"")=0,"",IFERROR(INDEX(Consulta!$A:$DN,MATCH('ZM01'!$C20,Consulta!$D:$D,0),'ZM01'!J$2),""))</f>
        <v/>
      </c>
      <c r="K20" s="43" t="str">
        <f>IF(IFERROR(INDEX(Consulta!$A:$DN,MATCH('ZM01'!$C20,Consulta!$D:$D,0),'ZM01'!K$2),"")=0,"",IFERROR(INDEX(Consulta!$A:$DN,MATCH('ZM01'!$C20,Consulta!$D:$D,0),'ZM01'!K$2),""))</f>
        <v/>
      </c>
      <c r="L20" s="43" t="str">
        <f t="shared" si="57"/>
        <v/>
      </c>
      <c r="M20" s="43" t="str">
        <f>IF(IFERROR(INDEX(Consulta!$A:$DN,MATCH('ZM01'!$C20,Consulta!$D:$D,0),'ZM01'!M$2),"")=0,"",IFERROR(INDEX(Consulta!$A:$DN,MATCH('ZM01'!$C20,Consulta!$D:$D,0),'ZM01'!M$2),""))</f>
        <v/>
      </c>
      <c r="N20" s="43" t="str">
        <f t="shared" si="58"/>
        <v/>
      </c>
      <c r="P20" s="45" t="s">
        <v>101</v>
      </c>
      <c r="Q20" s="45" t="s">
        <v>102</v>
      </c>
      <c r="R20" s="45" t="s">
        <v>103</v>
      </c>
      <c r="S20" s="45" t="s">
        <v>104</v>
      </c>
      <c r="T20" s="45" t="s">
        <v>105</v>
      </c>
      <c r="U20" s="45" t="s">
        <v>106</v>
      </c>
      <c r="V20" s="45" t="s">
        <v>107</v>
      </c>
      <c r="W20" s="45" t="s">
        <v>109</v>
      </c>
      <c r="X20" s="45" t="s">
        <v>110</v>
      </c>
      <c r="Y20" s="45"/>
      <c r="Z20" s="45"/>
      <c r="AA20" s="45" t="s">
        <v>112</v>
      </c>
      <c r="AB20" s="45" t="s">
        <v>113</v>
      </c>
      <c r="AC20" s="45" t="s">
        <v>114</v>
      </c>
      <c r="AD20" s="45" t="s">
        <v>115</v>
      </c>
      <c r="AE20" s="45" t="s">
        <v>117</v>
      </c>
      <c r="AF20" s="45" t="s">
        <v>118</v>
      </c>
      <c r="AG20" s="45" t="s">
        <v>119</v>
      </c>
      <c r="AH20" s="45" t="s">
        <v>120</v>
      </c>
      <c r="AI20" s="45" t="s">
        <v>121</v>
      </c>
      <c r="AJ20" s="45" t="s">
        <v>122</v>
      </c>
      <c r="AK20" s="45" t="s">
        <v>123</v>
      </c>
      <c r="AL20" s="45" t="s">
        <v>124</v>
      </c>
      <c r="AM20" s="45" t="s">
        <v>125</v>
      </c>
      <c r="AN20" s="45" t="s">
        <v>126</v>
      </c>
      <c r="AO20" s="45"/>
      <c r="AP20" s="45"/>
      <c r="AR20" s="44" t="s">
        <v>822</v>
      </c>
      <c r="AS20" s="43" t="str">
        <f>IF(IFERROR(INDEX(Consulta!$A:$DN,MATCH('ZM01'!$C20,Consulta!$D:$D,0),'ZM01'!AS$2),"")=0,"",IFERROR(INDEX(Consulta!$A:$DN,MATCH('ZM01'!$C20,Consulta!$D:$D,0),'ZM01'!AS$2),""))</f>
        <v/>
      </c>
      <c r="AT20" s="45"/>
      <c r="AU20" s="43" t="str">
        <f>IF(IFERROR(INDEX(Consulta!$A:$DN,MATCH('ZM01'!$C20,Consulta!$D:$D,0),'ZM01'!AU$2),"")=0,"",IFERROR(INDEX(Consulta!$A:$DN,MATCH('ZM01'!$C20,Consulta!$D:$D,0),'ZM01'!AU$2),""))</f>
        <v/>
      </c>
      <c r="AV20" s="43" t="str">
        <f>IF(IFERROR(INDEX(Consulta!$A:$DN,MATCH('ZM01'!$C20,Consulta!$D:$D,0),'ZM01'!AV$2),"")=0,"",IFERROR(INDEX(Consulta!$A:$DN,MATCH('ZM01'!$C20,Consulta!$D:$D,0),'ZM01'!AV$2),""))</f>
        <v/>
      </c>
      <c r="AW20" s="45"/>
      <c r="AX20" s="46" t="str">
        <f t="shared" ca="1" si="59"/>
        <v/>
      </c>
      <c r="AY20" s="47" t="s">
        <v>755</v>
      </c>
      <c r="AZ20" s="43" t="str">
        <f>IF(IFERROR(ROUND(INDEX(Consulta!$A:$DN,MATCH('ZM01'!$C20,Consulta!$D:$D,0),'ZM01'!AZ$2),3),"")=0,"",IFERROR(ROUND(INDEX(Consulta!$A:$DN,MATCH('ZM01'!$C20,Consulta!$D:$D,0),'ZM01'!AZ$2),3),""))</f>
        <v/>
      </c>
      <c r="BA20" s="43" t="str">
        <f t="shared" si="60"/>
        <v/>
      </c>
      <c r="BB20" s="48" t="s">
        <v>299</v>
      </c>
      <c r="BC20" s="48"/>
      <c r="BD20" s="43" t="str">
        <f>IF(IFERROR(INDEX(Consulta!$A:$DN,MATCH('ZM01'!$C20,Consulta!$D:$D,0),'ZM01'!BD$2),"")=0,"",IFERROR(INDEX(Consulta!$A:$DN,MATCH('ZM01'!$C20,Consulta!$D:$D,0),'ZM01'!BD$2),""))</f>
        <v/>
      </c>
      <c r="BE20" s="43" t="str">
        <f t="shared" si="61"/>
        <v/>
      </c>
      <c r="BF20" s="43" t="str">
        <f t="shared" si="62"/>
        <v/>
      </c>
      <c r="BG20" s="43" t="str">
        <f t="shared" si="63"/>
        <v/>
      </c>
      <c r="BH20" s="43" t="str">
        <f t="shared" si="64"/>
        <v>PC</v>
      </c>
      <c r="BI20" s="43" t="str">
        <f t="shared" si="65"/>
        <v/>
      </c>
      <c r="BJ20" s="43" t="str">
        <f t="shared" si="66"/>
        <v/>
      </c>
      <c r="BK20" s="43" t="str">
        <f t="shared" si="67"/>
        <v/>
      </c>
      <c r="BL20" s="43" t="str">
        <f t="shared" si="68"/>
        <v>PC</v>
      </c>
      <c r="BN20" s="44"/>
      <c r="BO20" s="44" t="s">
        <v>925</v>
      </c>
      <c r="BP20" s="43" t="str">
        <f>IF(OR(IFERROR(INDEX(Consulta!$A:$DN,MATCH('ZM01'!$C20,Consulta!$D:$D,0),'ZM01'!BP$2),"")=0,IFERROR(INDEX(Consulta!$A:$DN,MATCH('ZM01'!$C20,Consulta!$D:$D,0),'ZM01'!BP$2),"")=AR20),"",IFERROR(INDEX(Consulta!$A:$DN,MATCH('ZM01'!$C20,Consulta!$D:$D,0),'ZM01'!BP$2),""))</f>
        <v/>
      </c>
      <c r="BQ20" s="45">
        <v>99</v>
      </c>
      <c r="BR20" s="46" t="str">
        <f t="shared" ca="1" si="69"/>
        <v>24.05.2022</v>
      </c>
      <c r="BS20" s="49" t="str">
        <f t="shared" si="70"/>
        <v/>
      </c>
      <c r="BT20" s="50">
        <v>1</v>
      </c>
      <c r="BU20" s="50" t="s">
        <v>194</v>
      </c>
      <c r="BV20" s="90" t="str">
        <f t="shared" si="71"/>
        <v>01</v>
      </c>
      <c r="BW20" s="50" t="s">
        <v>755</v>
      </c>
      <c r="BX20" s="44">
        <v>1</v>
      </c>
      <c r="BY20" s="44" t="s">
        <v>372</v>
      </c>
      <c r="BZ20" s="50" t="s">
        <v>197</v>
      </c>
      <c r="CA20" s="50" t="s">
        <v>197</v>
      </c>
      <c r="CB20" s="43" t="str">
        <f>IF(IFERROR(INDEX(Consulta!$A:$DN,MATCH('ZM01'!$C20,Consulta!$D:$D,0),'ZM01'!CB$2),"")=0,"",IFERROR(INDEX(Consulta!$A:$DN,MATCH('ZM01'!$C20,Consulta!$D:$D,0),'ZM01'!CB$2),""))</f>
        <v/>
      </c>
      <c r="CC20" s="44" t="s">
        <v>392</v>
      </c>
      <c r="CD20" s="50">
        <v>0</v>
      </c>
      <c r="CE20" s="45" t="s">
        <v>403</v>
      </c>
      <c r="CF20" s="45" t="s">
        <v>84</v>
      </c>
      <c r="CG20" s="43" t="str">
        <f t="shared" si="72"/>
        <v/>
      </c>
      <c r="CH20" s="45" t="s">
        <v>430</v>
      </c>
      <c r="CI20" s="44">
        <v>0</v>
      </c>
      <c r="CJ20" s="43" t="str">
        <f t="shared" si="73"/>
        <v>E</v>
      </c>
      <c r="CK20" s="43" t="str">
        <f t="shared" si="74"/>
        <v/>
      </c>
      <c r="CL20" s="44">
        <v>2</v>
      </c>
      <c r="CM20" s="49" t="str">
        <f t="shared" si="75"/>
        <v/>
      </c>
      <c r="CN20" s="49" t="str">
        <f t="shared" si="76"/>
        <v/>
      </c>
      <c r="CO20" s="43" t="str">
        <f t="shared" si="77"/>
        <v/>
      </c>
      <c r="CP20" s="44">
        <v>1</v>
      </c>
      <c r="CQ20" s="50" t="s">
        <v>515</v>
      </c>
      <c r="CR20" s="44" t="s">
        <v>372</v>
      </c>
      <c r="CS20" s="44">
        <v>2</v>
      </c>
      <c r="CT20" s="44">
        <v>42</v>
      </c>
      <c r="CU20" s="44">
        <v>10</v>
      </c>
      <c r="CV20" s="43" t="str">
        <f t="shared" si="78"/>
        <v>K00_AO_</v>
      </c>
      <c r="CW20" s="43" t="str">
        <f t="shared" si="79"/>
        <v/>
      </c>
      <c r="CX20" s="43" t="str">
        <f t="shared" si="80"/>
        <v/>
      </c>
      <c r="CY20" s="44">
        <v>1</v>
      </c>
      <c r="CZ20" s="43" t="str">
        <f t="shared" si="81"/>
        <v/>
      </c>
      <c r="DA20" s="43" t="str">
        <f>IF(IFERROR(INDEX(Consulta!$A:$DN,MATCH('ZM01'!$C20,Consulta!$D:$D,0),'ZM01'!DA$2),"")=0,"",IFERROR(INDEX(Consulta!$A:$DN,MATCH('ZM01'!$C20,Consulta!$D:$D,0),'ZM01'!DA$2),""))</f>
        <v/>
      </c>
      <c r="DB20" s="43" t="str">
        <f>IF(IFERROR(INDEX(Consulta!$A:$DN,MATCH('ZM01'!$C20,Consulta!$D:$D,0),'ZM01'!DB$2),"")=0,"",IFERROR(INDEX(Consulta!$A:$DN,MATCH('ZM01'!$C20,Consulta!$D:$D,0),'ZM01'!DB$2),""))</f>
        <v/>
      </c>
      <c r="DC20" s="45">
        <v>0</v>
      </c>
      <c r="DD20" s="45">
        <v>0</v>
      </c>
      <c r="DE20" s="43" t="str">
        <f>IF(IFERROR(INDEX(Consulta!$A:$DN,MATCH('ZM01'!$C20,Consulta!$D:$D,0),'ZM01'!DE$2),"")=0,"",IFERROR(TEXT(VALUE(INDEX(Consulta!$A:$DN,MATCH('ZM01'!$C20,Consulta!$D:$D,0),'ZM01'!DE$2))/100,"0,00"),""))</f>
        <v/>
      </c>
      <c r="DG20" s="43">
        <f t="shared" si="82"/>
        <v>1</v>
      </c>
      <c r="DH20" s="43" t="str">
        <f>IF(IFERROR(INDEX(Consulta!$A:$DN,MATCH('ZM01'!$C20,Consulta!$D:$D,0),'ZM01'!DH$2),"")=0,"",IFERROR(VLOOKUP(INDEX(Consulta!$A:$DN,MATCH('ZM01'!$C20,Consulta!$D:$D,0),'ZM01'!DH$2),'Listas de Dados'!BU:BW,3,0),""))</f>
        <v/>
      </c>
      <c r="DI20" s="43" t="str">
        <f t="shared" ca="1" si="83"/>
        <v>24.05.2022</v>
      </c>
      <c r="DJ20" s="43" t="str">
        <f t="shared" si="84"/>
        <v>31.12.9999</v>
      </c>
      <c r="DL20" s="44">
        <v>1</v>
      </c>
      <c r="DM20" s="44" t="s">
        <v>1039</v>
      </c>
      <c r="DN20" s="44">
        <v>1</v>
      </c>
      <c r="DO20" s="43">
        <f t="shared" si="85"/>
        <v>1</v>
      </c>
      <c r="DP20" s="43" t="str">
        <f t="shared" si="86"/>
        <v>PC</v>
      </c>
      <c r="DQ20" s="43" t="str">
        <f t="shared" si="87"/>
        <v/>
      </c>
      <c r="DR20" s="44">
        <v>100</v>
      </c>
      <c r="DS20" s="71">
        <f t="shared" si="88"/>
        <v>1</v>
      </c>
      <c r="DT20" s="43">
        <f t="shared" si="89"/>
        <v>100</v>
      </c>
      <c r="DU20" s="44">
        <v>1</v>
      </c>
      <c r="DV20" s="44">
        <v>0</v>
      </c>
      <c r="DW20" s="44" t="s">
        <v>826</v>
      </c>
      <c r="DX20" s="45">
        <v>0</v>
      </c>
      <c r="DY20" s="44">
        <v>100</v>
      </c>
      <c r="DZ20" s="61"/>
    </row>
    <row r="21" spans="1:130" x14ac:dyDescent="0.2">
      <c r="A21" s="7" t="str">
        <f t="shared" si="2"/>
        <v>Execução 17</v>
      </c>
      <c r="B21" s="79"/>
      <c r="C21" s="85"/>
      <c r="D21" s="71" t="str">
        <f t="shared" si="54"/>
        <v/>
      </c>
      <c r="E21" s="71" t="str">
        <f t="shared" si="55"/>
        <v/>
      </c>
      <c r="F21" s="43" t="str">
        <f>IF(IFERROR(INDEX(Consulta!$A:$DN,MATCH('ZM01'!$C21,Consulta!$D:$D,0),'ZM01'!F$2),"")=0,"",IFERROR(INDEX(Consulta!$A:$DN,MATCH('ZM01'!$C21,Consulta!$D:$D,0),'ZM01'!F$2),""))</f>
        <v/>
      </c>
      <c r="G21" s="43" t="str">
        <f>IF(IFERROR(INDEX(Consulta!$A:$DN,MATCH('ZM01'!$C21,Consulta!$D:$D,0),'ZM01'!G$2),"")=0,"",IFERROR(INDEX(Consulta!$A:$DN,MATCH('ZM01'!$C21,Consulta!$D:$D,0),'ZM01'!G$2),""))</f>
        <v/>
      </c>
      <c r="H21" s="43" t="str">
        <f t="shared" si="56"/>
        <v/>
      </c>
      <c r="I21" s="44" t="s">
        <v>100</v>
      </c>
      <c r="J21" s="43" t="str">
        <f>IF(IFERROR(INDEX(Consulta!$A:$DN,MATCH('ZM01'!$C21,Consulta!$D:$D,0),'ZM01'!J$2),"")=0,"",IFERROR(INDEX(Consulta!$A:$DN,MATCH('ZM01'!$C21,Consulta!$D:$D,0),'ZM01'!J$2),""))</f>
        <v/>
      </c>
      <c r="K21" s="43" t="str">
        <f>IF(IFERROR(INDEX(Consulta!$A:$DN,MATCH('ZM01'!$C21,Consulta!$D:$D,0),'ZM01'!K$2),"")=0,"",IFERROR(INDEX(Consulta!$A:$DN,MATCH('ZM01'!$C21,Consulta!$D:$D,0),'ZM01'!K$2),""))</f>
        <v/>
      </c>
      <c r="L21" s="43" t="str">
        <f t="shared" si="57"/>
        <v/>
      </c>
      <c r="M21" s="43" t="str">
        <f>IF(IFERROR(INDEX(Consulta!$A:$DN,MATCH('ZM01'!$C21,Consulta!$D:$D,0),'ZM01'!M$2),"")=0,"",IFERROR(INDEX(Consulta!$A:$DN,MATCH('ZM01'!$C21,Consulta!$D:$D,0),'ZM01'!M$2),""))</f>
        <v/>
      </c>
      <c r="N21" s="43" t="str">
        <f t="shared" si="58"/>
        <v/>
      </c>
      <c r="P21" s="45" t="s">
        <v>101</v>
      </c>
      <c r="Q21" s="45" t="s">
        <v>102</v>
      </c>
      <c r="R21" s="45" t="s">
        <v>103</v>
      </c>
      <c r="S21" s="45" t="s">
        <v>104</v>
      </c>
      <c r="T21" s="45" t="s">
        <v>105</v>
      </c>
      <c r="U21" s="45" t="s">
        <v>106</v>
      </c>
      <c r="V21" s="45" t="s">
        <v>107</v>
      </c>
      <c r="W21" s="45" t="s">
        <v>109</v>
      </c>
      <c r="X21" s="45" t="s">
        <v>110</v>
      </c>
      <c r="Y21" s="45"/>
      <c r="Z21" s="45"/>
      <c r="AA21" s="45" t="s">
        <v>112</v>
      </c>
      <c r="AB21" s="45" t="s">
        <v>113</v>
      </c>
      <c r="AC21" s="45" t="s">
        <v>114</v>
      </c>
      <c r="AD21" s="45" t="s">
        <v>115</v>
      </c>
      <c r="AE21" s="45" t="s">
        <v>117</v>
      </c>
      <c r="AF21" s="45" t="s">
        <v>118</v>
      </c>
      <c r="AG21" s="45" t="s">
        <v>119</v>
      </c>
      <c r="AH21" s="45" t="s">
        <v>120</v>
      </c>
      <c r="AI21" s="45" t="s">
        <v>121</v>
      </c>
      <c r="AJ21" s="45" t="s">
        <v>122</v>
      </c>
      <c r="AK21" s="45" t="s">
        <v>123</v>
      </c>
      <c r="AL21" s="45" t="s">
        <v>124</v>
      </c>
      <c r="AM21" s="45" t="s">
        <v>125</v>
      </c>
      <c r="AN21" s="45" t="s">
        <v>126</v>
      </c>
      <c r="AO21" s="45"/>
      <c r="AP21" s="45"/>
      <c r="AR21" s="44" t="s">
        <v>822</v>
      </c>
      <c r="AS21" s="43" t="str">
        <f>IF(IFERROR(INDEX(Consulta!$A:$DN,MATCH('ZM01'!$C21,Consulta!$D:$D,0),'ZM01'!AS$2),"")=0,"",IFERROR(INDEX(Consulta!$A:$DN,MATCH('ZM01'!$C21,Consulta!$D:$D,0),'ZM01'!AS$2),""))</f>
        <v/>
      </c>
      <c r="AT21" s="45"/>
      <c r="AU21" s="43" t="str">
        <f>IF(IFERROR(INDEX(Consulta!$A:$DN,MATCH('ZM01'!$C21,Consulta!$D:$D,0),'ZM01'!AU$2),"")=0,"",IFERROR(INDEX(Consulta!$A:$DN,MATCH('ZM01'!$C21,Consulta!$D:$D,0),'ZM01'!AU$2),""))</f>
        <v/>
      </c>
      <c r="AV21" s="43" t="str">
        <f>IF(IFERROR(INDEX(Consulta!$A:$DN,MATCH('ZM01'!$C21,Consulta!$D:$D,0),'ZM01'!AV$2),"")=0,"",IFERROR(INDEX(Consulta!$A:$DN,MATCH('ZM01'!$C21,Consulta!$D:$D,0),'ZM01'!AV$2),""))</f>
        <v/>
      </c>
      <c r="AW21" s="45"/>
      <c r="AX21" s="46" t="str">
        <f t="shared" ca="1" si="59"/>
        <v/>
      </c>
      <c r="AY21" s="47" t="s">
        <v>755</v>
      </c>
      <c r="AZ21" s="43" t="str">
        <f>IF(IFERROR(ROUND(INDEX(Consulta!$A:$DN,MATCH('ZM01'!$C21,Consulta!$D:$D,0),'ZM01'!AZ$2),3),"")=0,"",IFERROR(ROUND(INDEX(Consulta!$A:$DN,MATCH('ZM01'!$C21,Consulta!$D:$D,0),'ZM01'!AZ$2),3),""))</f>
        <v/>
      </c>
      <c r="BA21" s="43" t="str">
        <f t="shared" si="60"/>
        <v/>
      </c>
      <c r="BB21" s="48" t="s">
        <v>299</v>
      </c>
      <c r="BC21" s="48"/>
      <c r="BD21" s="43" t="str">
        <f>IF(IFERROR(INDEX(Consulta!$A:$DN,MATCH('ZM01'!$C21,Consulta!$D:$D,0),'ZM01'!BD$2),"")=0,"",IFERROR(INDEX(Consulta!$A:$DN,MATCH('ZM01'!$C21,Consulta!$D:$D,0),'ZM01'!BD$2),""))</f>
        <v/>
      </c>
      <c r="BE21" s="43" t="str">
        <f t="shared" si="61"/>
        <v/>
      </c>
      <c r="BF21" s="43" t="str">
        <f t="shared" si="62"/>
        <v/>
      </c>
      <c r="BG21" s="43" t="str">
        <f t="shared" si="63"/>
        <v/>
      </c>
      <c r="BH21" s="43" t="str">
        <f t="shared" si="64"/>
        <v>PC</v>
      </c>
      <c r="BI21" s="43" t="str">
        <f t="shared" si="65"/>
        <v/>
      </c>
      <c r="BJ21" s="43" t="str">
        <f t="shared" si="66"/>
        <v/>
      </c>
      <c r="BK21" s="43" t="str">
        <f t="shared" si="67"/>
        <v/>
      </c>
      <c r="BL21" s="43" t="str">
        <f t="shared" si="68"/>
        <v>PC</v>
      </c>
      <c r="BN21" s="44"/>
      <c r="BO21" s="44" t="s">
        <v>925</v>
      </c>
      <c r="BP21" s="43" t="str">
        <f>IF(OR(IFERROR(INDEX(Consulta!$A:$DN,MATCH('ZM01'!$C21,Consulta!$D:$D,0),'ZM01'!BP$2),"")=0,IFERROR(INDEX(Consulta!$A:$DN,MATCH('ZM01'!$C21,Consulta!$D:$D,0),'ZM01'!BP$2),"")=AR21),"",IFERROR(INDEX(Consulta!$A:$DN,MATCH('ZM01'!$C21,Consulta!$D:$D,0),'ZM01'!BP$2),""))</f>
        <v/>
      </c>
      <c r="BQ21" s="45">
        <v>99</v>
      </c>
      <c r="BR21" s="46" t="str">
        <f t="shared" ca="1" si="69"/>
        <v>24.05.2022</v>
      </c>
      <c r="BS21" s="49" t="str">
        <f t="shared" si="70"/>
        <v/>
      </c>
      <c r="BT21" s="50">
        <v>1</v>
      </c>
      <c r="BU21" s="50" t="s">
        <v>194</v>
      </c>
      <c r="BV21" s="90" t="str">
        <f t="shared" si="71"/>
        <v>01</v>
      </c>
      <c r="BW21" s="50" t="s">
        <v>755</v>
      </c>
      <c r="BX21" s="44">
        <v>1</v>
      </c>
      <c r="BY21" s="44" t="s">
        <v>372</v>
      </c>
      <c r="BZ21" s="50" t="s">
        <v>197</v>
      </c>
      <c r="CA21" s="50" t="s">
        <v>197</v>
      </c>
      <c r="CB21" s="43" t="str">
        <f>IF(IFERROR(INDEX(Consulta!$A:$DN,MATCH('ZM01'!$C21,Consulta!$D:$D,0),'ZM01'!CB$2),"")=0,"",IFERROR(INDEX(Consulta!$A:$DN,MATCH('ZM01'!$C21,Consulta!$D:$D,0),'ZM01'!CB$2),""))</f>
        <v/>
      </c>
      <c r="CC21" s="44" t="s">
        <v>392</v>
      </c>
      <c r="CD21" s="50">
        <v>0</v>
      </c>
      <c r="CE21" s="45" t="s">
        <v>403</v>
      </c>
      <c r="CF21" s="45" t="s">
        <v>84</v>
      </c>
      <c r="CG21" s="43" t="str">
        <f t="shared" si="72"/>
        <v/>
      </c>
      <c r="CH21" s="45" t="s">
        <v>430</v>
      </c>
      <c r="CI21" s="44">
        <v>0</v>
      </c>
      <c r="CJ21" s="43" t="str">
        <f t="shared" si="73"/>
        <v>E</v>
      </c>
      <c r="CK21" s="43" t="str">
        <f t="shared" si="74"/>
        <v/>
      </c>
      <c r="CL21" s="44">
        <v>2</v>
      </c>
      <c r="CM21" s="49" t="str">
        <f t="shared" si="75"/>
        <v/>
      </c>
      <c r="CN21" s="49" t="str">
        <f t="shared" si="76"/>
        <v/>
      </c>
      <c r="CO21" s="43" t="str">
        <f t="shared" si="77"/>
        <v/>
      </c>
      <c r="CP21" s="44">
        <v>1</v>
      </c>
      <c r="CQ21" s="50" t="s">
        <v>515</v>
      </c>
      <c r="CR21" s="44" t="s">
        <v>372</v>
      </c>
      <c r="CS21" s="44">
        <v>2</v>
      </c>
      <c r="CT21" s="44">
        <v>42</v>
      </c>
      <c r="CU21" s="44">
        <v>10</v>
      </c>
      <c r="CV21" s="43" t="str">
        <f t="shared" si="78"/>
        <v>K00_AO_</v>
      </c>
      <c r="CW21" s="43" t="str">
        <f t="shared" si="79"/>
        <v/>
      </c>
      <c r="CX21" s="43" t="str">
        <f t="shared" si="80"/>
        <v/>
      </c>
      <c r="CY21" s="44">
        <v>1</v>
      </c>
      <c r="CZ21" s="43" t="str">
        <f t="shared" si="81"/>
        <v/>
      </c>
      <c r="DA21" s="43" t="str">
        <f>IF(IFERROR(INDEX(Consulta!$A:$DN,MATCH('ZM01'!$C21,Consulta!$D:$D,0),'ZM01'!DA$2),"")=0,"",IFERROR(INDEX(Consulta!$A:$DN,MATCH('ZM01'!$C21,Consulta!$D:$D,0),'ZM01'!DA$2),""))</f>
        <v/>
      </c>
      <c r="DB21" s="43" t="str">
        <f>IF(IFERROR(INDEX(Consulta!$A:$DN,MATCH('ZM01'!$C21,Consulta!$D:$D,0),'ZM01'!DB$2),"")=0,"",IFERROR(INDEX(Consulta!$A:$DN,MATCH('ZM01'!$C21,Consulta!$D:$D,0),'ZM01'!DB$2),""))</f>
        <v/>
      </c>
      <c r="DC21" s="45">
        <v>0</v>
      </c>
      <c r="DD21" s="45">
        <v>0</v>
      </c>
      <c r="DE21" s="43" t="str">
        <f>IF(IFERROR(INDEX(Consulta!$A:$DN,MATCH('ZM01'!$C21,Consulta!$D:$D,0),'ZM01'!DE$2),"")=0,"",IFERROR(TEXT(VALUE(INDEX(Consulta!$A:$DN,MATCH('ZM01'!$C21,Consulta!$D:$D,0),'ZM01'!DE$2))/100,"0,00"),""))</f>
        <v/>
      </c>
      <c r="DG21" s="43">
        <f t="shared" si="82"/>
        <v>1</v>
      </c>
      <c r="DH21" s="43" t="str">
        <f>IF(IFERROR(INDEX(Consulta!$A:$DN,MATCH('ZM01'!$C21,Consulta!$D:$D,0),'ZM01'!DH$2),"")=0,"",IFERROR(VLOOKUP(INDEX(Consulta!$A:$DN,MATCH('ZM01'!$C21,Consulta!$D:$D,0),'ZM01'!DH$2),'Listas de Dados'!BU:BW,3,0),""))</f>
        <v/>
      </c>
      <c r="DI21" s="43" t="str">
        <f t="shared" ca="1" si="83"/>
        <v>24.05.2022</v>
      </c>
      <c r="DJ21" s="43" t="str">
        <f t="shared" si="84"/>
        <v>31.12.9999</v>
      </c>
      <c r="DL21" s="44">
        <v>1</v>
      </c>
      <c r="DM21" s="44" t="s">
        <v>1039</v>
      </c>
      <c r="DN21" s="44">
        <v>1</v>
      </c>
      <c r="DO21" s="43">
        <f t="shared" si="85"/>
        <v>1</v>
      </c>
      <c r="DP21" s="43" t="str">
        <f t="shared" si="86"/>
        <v>PC</v>
      </c>
      <c r="DQ21" s="43" t="str">
        <f t="shared" si="87"/>
        <v/>
      </c>
      <c r="DR21" s="44">
        <v>100</v>
      </c>
      <c r="DS21" s="71">
        <f t="shared" si="88"/>
        <v>1</v>
      </c>
      <c r="DT21" s="43">
        <f t="shared" si="89"/>
        <v>100</v>
      </c>
      <c r="DU21" s="44">
        <v>1</v>
      </c>
      <c r="DV21" s="44">
        <v>0</v>
      </c>
      <c r="DW21" s="44" t="s">
        <v>826</v>
      </c>
      <c r="DX21" s="45">
        <v>0</v>
      </c>
      <c r="DY21" s="44">
        <v>100</v>
      </c>
      <c r="DZ21" s="60"/>
    </row>
    <row r="22" spans="1:130" x14ac:dyDescent="0.2">
      <c r="A22" s="7" t="str">
        <f t="shared" si="2"/>
        <v>Execução 18</v>
      </c>
      <c r="B22" s="75"/>
      <c r="C22" s="85"/>
      <c r="D22" s="71" t="str">
        <f t="shared" si="54"/>
        <v/>
      </c>
      <c r="E22" s="71" t="str">
        <f t="shared" si="55"/>
        <v/>
      </c>
      <c r="F22" s="43" t="str">
        <f>IF(IFERROR(INDEX(Consulta!$A:$DN,MATCH('ZM01'!$C22,Consulta!$D:$D,0),'ZM01'!F$2),"")=0,"",IFERROR(INDEX(Consulta!$A:$DN,MATCH('ZM01'!$C22,Consulta!$D:$D,0),'ZM01'!F$2),""))</f>
        <v/>
      </c>
      <c r="G22" s="43" t="str">
        <f>IF(IFERROR(INDEX(Consulta!$A:$DN,MATCH('ZM01'!$C22,Consulta!$D:$D,0),'ZM01'!G$2),"")=0,"",IFERROR(INDEX(Consulta!$A:$DN,MATCH('ZM01'!$C22,Consulta!$D:$D,0),'ZM01'!G$2),""))</f>
        <v/>
      </c>
      <c r="H22" s="43" t="str">
        <f t="shared" si="56"/>
        <v/>
      </c>
      <c r="I22" s="44" t="s">
        <v>100</v>
      </c>
      <c r="J22" s="43" t="str">
        <f>IF(IFERROR(INDEX(Consulta!$A:$DN,MATCH('ZM01'!$C22,Consulta!$D:$D,0),'ZM01'!J$2),"")=0,"",IFERROR(INDEX(Consulta!$A:$DN,MATCH('ZM01'!$C22,Consulta!$D:$D,0),'ZM01'!J$2),""))</f>
        <v/>
      </c>
      <c r="K22" s="43" t="str">
        <f>IF(IFERROR(INDEX(Consulta!$A:$DN,MATCH('ZM01'!$C22,Consulta!$D:$D,0),'ZM01'!K$2),"")=0,"",IFERROR(INDEX(Consulta!$A:$DN,MATCH('ZM01'!$C22,Consulta!$D:$D,0),'ZM01'!K$2),""))</f>
        <v/>
      </c>
      <c r="L22" s="43" t="str">
        <f t="shared" si="57"/>
        <v/>
      </c>
      <c r="M22" s="43" t="str">
        <f>IF(IFERROR(INDEX(Consulta!$A:$DN,MATCH('ZM01'!$C22,Consulta!$D:$D,0),'ZM01'!M$2),"")=0,"",IFERROR(INDEX(Consulta!$A:$DN,MATCH('ZM01'!$C22,Consulta!$D:$D,0),'ZM01'!M$2),""))</f>
        <v/>
      </c>
      <c r="N22" s="43" t="str">
        <f t="shared" si="58"/>
        <v/>
      </c>
      <c r="P22" s="45" t="s">
        <v>101</v>
      </c>
      <c r="Q22" s="45" t="s">
        <v>102</v>
      </c>
      <c r="R22" s="45" t="s">
        <v>103</v>
      </c>
      <c r="S22" s="45" t="s">
        <v>104</v>
      </c>
      <c r="T22" s="45" t="s">
        <v>105</v>
      </c>
      <c r="U22" s="45" t="s">
        <v>106</v>
      </c>
      <c r="V22" s="45" t="s">
        <v>107</v>
      </c>
      <c r="W22" s="45" t="s">
        <v>109</v>
      </c>
      <c r="X22" s="45" t="s">
        <v>110</v>
      </c>
      <c r="Y22" s="45"/>
      <c r="Z22" s="45"/>
      <c r="AA22" s="45" t="s">
        <v>112</v>
      </c>
      <c r="AB22" s="45" t="s">
        <v>113</v>
      </c>
      <c r="AC22" s="45" t="s">
        <v>114</v>
      </c>
      <c r="AD22" s="45" t="s">
        <v>115</v>
      </c>
      <c r="AE22" s="45" t="s">
        <v>117</v>
      </c>
      <c r="AF22" s="45" t="s">
        <v>118</v>
      </c>
      <c r="AG22" s="45" t="s">
        <v>119</v>
      </c>
      <c r="AH22" s="45" t="s">
        <v>120</v>
      </c>
      <c r="AI22" s="45" t="s">
        <v>121</v>
      </c>
      <c r="AJ22" s="45" t="s">
        <v>122</v>
      </c>
      <c r="AK22" s="45" t="s">
        <v>123</v>
      </c>
      <c r="AL22" s="45" t="s">
        <v>124</v>
      </c>
      <c r="AM22" s="45" t="s">
        <v>125</v>
      </c>
      <c r="AN22" s="45" t="s">
        <v>126</v>
      </c>
      <c r="AO22" s="45"/>
      <c r="AP22" s="45"/>
      <c r="AR22" s="44" t="s">
        <v>822</v>
      </c>
      <c r="AS22" s="43" t="str">
        <f>IF(IFERROR(INDEX(Consulta!$A:$DN,MATCH('ZM01'!$C22,Consulta!$D:$D,0),'ZM01'!AS$2),"")=0,"",IFERROR(INDEX(Consulta!$A:$DN,MATCH('ZM01'!$C22,Consulta!$D:$D,0),'ZM01'!AS$2),""))</f>
        <v/>
      </c>
      <c r="AT22" s="45"/>
      <c r="AU22" s="43" t="str">
        <f>IF(IFERROR(INDEX(Consulta!$A:$DN,MATCH('ZM01'!$C22,Consulta!$D:$D,0),'ZM01'!AU$2),"")=0,"",IFERROR(INDEX(Consulta!$A:$DN,MATCH('ZM01'!$C22,Consulta!$D:$D,0),'ZM01'!AU$2),""))</f>
        <v/>
      </c>
      <c r="AV22" s="43" t="str">
        <f>IF(IFERROR(INDEX(Consulta!$A:$DN,MATCH('ZM01'!$C22,Consulta!$D:$D,0),'ZM01'!AV$2),"")=0,"",IFERROR(INDEX(Consulta!$A:$DN,MATCH('ZM01'!$C22,Consulta!$D:$D,0),'ZM01'!AV$2),""))</f>
        <v/>
      </c>
      <c r="AW22" s="45"/>
      <c r="AX22" s="46" t="str">
        <f t="shared" ca="1" si="59"/>
        <v/>
      </c>
      <c r="AY22" s="47" t="s">
        <v>755</v>
      </c>
      <c r="AZ22" s="43" t="str">
        <f>IF(IFERROR(ROUND(INDEX(Consulta!$A:$DN,MATCH('ZM01'!$C22,Consulta!$D:$D,0),'ZM01'!AZ$2),3),"")=0,"",IFERROR(ROUND(INDEX(Consulta!$A:$DN,MATCH('ZM01'!$C22,Consulta!$D:$D,0),'ZM01'!AZ$2),3),""))</f>
        <v/>
      </c>
      <c r="BA22" s="43" t="str">
        <f t="shared" si="60"/>
        <v/>
      </c>
      <c r="BB22" s="48" t="s">
        <v>299</v>
      </c>
      <c r="BC22" s="48"/>
      <c r="BD22" s="43" t="str">
        <f>IF(IFERROR(INDEX(Consulta!$A:$DN,MATCH('ZM01'!$C22,Consulta!$D:$D,0),'ZM01'!BD$2),"")=0,"",IFERROR(INDEX(Consulta!$A:$DN,MATCH('ZM01'!$C22,Consulta!$D:$D,0),'ZM01'!BD$2),""))</f>
        <v/>
      </c>
      <c r="BE22" s="43" t="str">
        <f t="shared" si="61"/>
        <v/>
      </c>
      <c r="BF22" s="43" t="str">
        <f t="shared" si="62"/>
        <v/>
      </c>
      <c r="BG22" s="43" t="str">
        <f t="shared" si="63"/>
        <v/>
      </c>
      <c r="BH22" s="43" t="str">
        <f t="shared" si="64"/>
        <v>PC</v>
      </c>
      <c r="BI22" s="43" t="str">
        <f t="shared" si="65"/>
        <v/>
      </c>
      <c r="BJ22" s="43" t="str">
        <f t="shared" si="66"/>
        <v/>
      </c>
      <c r="BK22" s="43" t="str">
        <f t="shared" si="67"/>
        <v/>
      </c>
      <c r="BL22" s="43" t="str">
        <f t="shared" si="68"/>
        <v>PC</v>
      </c>
      <c r="BN22" s="44"/>
      <c r="BO22" s="44" t="s">
        <v>925</v>
      </c>
      <c r="BP22" s="43" t="str">
        <f>IF(OR(IFERROR(INDEX(Consulta!$A:$DN,MATCH('ZM01'!$C22,Consulta!$D:$D,0),'ZM01'!BP$2),"")=0,IFERROR(INDEX(Consulta!$A:$DN,MATCH('ZM01'!$C22,Consulta!$D:$D,0),'ZM01'!BP$2),"")=AR22),"",IFERROR(INDEX(Consulta!$A:$DN,MATCH('ZM01'!$C22,Consulta!$D:$D,0),'ZM01'!BP$2),""))</f>
        <v/>
      </c>
      <c r="BQ22" s="45">
        <v>99</v>
      </c>
      <c r="BR22" s="46" t="str">
        <f t="shared" ca="1" si="69"/>
        <v>24.05.2022</v>
      </c>
      <c r="BS22" s="49" t="str">
        <f t="shared" si="70"/>
        <v/>
      </c>
      <c r="BT22" s="50">
        <v>1</v>
      </c>
      <c r="BU22" s="50" t="s">
        <v>194</v>
      </c>
      <c r="BV22" s="90" t="str">
        <f t="shared" si="71"/>
        <v>01</v>
      </c>
      <c r="BW22" s="50" t="s">
        <v>755</v>
      </c>
      <c r="BX22" s="44">
        <v>1</v>
      </c>
      <c r="BY22" s="44" t="s">
        <v>372</v>
      </c>
      <c r="BZ22" s="50" t="s">
        <v>197</v>
      </c>
      <c r="CA22" s="50" t="s">
        <v>197</v>
      </c>
      <c r="CB22" s="43" t="str">
        <f>IF(IFERROR(INDEX(Consulta!$A:$DN,MATCH('ZM01'!$C22,Consulta!$D:$D,0),'ZM01'!CB$2),"")=0,"",IFERROR(INDEX(Consulta!$A:$DN,MATCH('ZM01'!$C22,Consulta!$D:$D,0),'ZM01'!CB$2),""))</f>
        <v/>
      </c>
      <c r="CC22" s="44" t="s">
        <v>392</v>
      </c>
      <c r="CD22" s="50">
        <v>0</v>
      </c>
      <c r="CE22" s="45" t="s">
        <v>403</v>
      </c>
      <c r="CF22" s="45" t="s">
        <v>84</v>
      </c>
      <c r="CG22" s="43" t="str">
        <f t="shared" si="72"/>
        <v/>
      </c>
      <c r="CH22" s="45" t="s">
        <v>430</v>
      </c>
      <c r="CI22" s="44">
        <v>0</v>
      </c>
      <c r="CJ22" s="43" t="str">
        <f t="shared" si="73"/>
        <v>E</v>
      </c>
      <c r="CK22" s="43" t="str">
        <f t="shared" si="74"/>
        <v/>
      </c>
      <c r="CL22" s="44">
        <v>2</v>
      </c>
      <c r="CM22" s="49" t="str">
        <f t="shared" si="75"/>
        <v/>
      </c>
      <c r="CN22" s="49" t="str">
        <f t="shared" si="76"/>
        <v/>
      </c>
      <c r="CO22" s="43" t="str">
        <f t="shared" si="77"/>
        <v/>
      </c>
      <c r="CP22" s="44">
        <v>1</v>
      </c>
      <c r="CQ22" s="50" t="s">
        <v>515</v>
      </c>
      <c r="CR22" s="44" t="s">
        <v>372</v>
      </c>
      <c r="CS22" s="44">
        <v>2</v>
      </c>
      <c r="CT22" s="44">
        <v>42</v>
      </c>
      <c r="CU22" s="44">
        <v>10</v>
      </c>
      <c r="CV22" s="43" t="str">
        <f t="shared" si="78"/>
        <v>K00_AO_</v>
      </c>
      <c r="CW22" s="43" t="str">
        <f t="shared" si="79"/>
        <v/>
      </c>
      <c r="CX22" s="43" t="str">
        <f t="shared" si="80"/>
        <v/>
      </c>
      <c r="CY22" s="44">
        <v>1</v>
      </c>
      <c r="CZ22" s="43" t="str">
        <f t="shared" si="81"/>
        <v/>
      </c>
      <c r="DA22" s="43" t="str">
        <f>IF(IFERROR(INDEX(Consulta!$A:$DN,MATCH('ZM01'!$C22,Consulta!$D:$D,0),'ZM01'!DA$2),"")=0,"",IFERROR(INDEX(Consulta!$A:$DN,MATCH('ZM01'!$C22,Consulta!$D:$D,0),'ZM01'!DA$2),""))</f>
        <v/>
      </c>
      <c r="DB22" s="43" t="str">
        <f>IF(IFERROR(INDEX(Consulta!$A:$DN,MATCH('ZM01'!$C22,Consulta!$D:$D,0),'ZM01'!DB$2),"")=0,"",IFERROR(INDEX(Consulta!$A:$DN,MATCH('ZM01'!$C22,Consulta!$D:$D,0),'ZM01'!DB$2),""))</f>
        <v/>
      </c>
      <c r="DC22" s="45">
        <v>0</v>
      </c>
      <c r="DD22" s="45">
        <v>0</v>
      </c>
      <c r="DE22" s="43" t="str">
        <f>IF(IFERROR(INDEX(Consulta!$A:$DN,MATCH('ZM01'!$C22,Consulta!$D:$D,0),'ZM01'!DE$2),"")=0,"",IFERROR(TEXT(VALUE(INDEX(Consulta!$A:$DN,MATCH('ZM01'!$C22,Consulta!$D:$D,0),'ZM01'!DE$2))/100,"0,00"),""))</f>
        <v/>
      </c>
      <c r="DG22" s="43">
        <f t="shared" si="82"/>
        <v>1</v>
      </c>
      <c r="DH22" s="43" t="str">
        <f>IF(IFERROR(INDEX(Consulta!$A:$DN,MATCH('ZM01'!$C22,Consulta!$D:$D,0),'ZM01'!DH$2),"")=0,"",IFERROR(VLOOKUP(INDEX(Consulta!$A:$DN,MATCH('ZM01'!$C22,Consulta!$D:$D,0),'ZM01'!DH$2),'Listas de Dados'!BU:BW,3,0),""))</f>
        <v/>
      </c>
      <c r="DI22" s="43" t="str">
        <f t="shared" ca="1" si="83"/>
        <v>24.05.2022</v>
      </c>
      <c r="DJ22" s="43" t="str">
        <f t="shared" si="84"/>
        <v>31.12.9999</v>
      </c>
      <c r="DL22" s="44">
        <v>1</v>
      </c>
      <c r="DM22" s="44" t="s">
        <v>1039</v>
      </c>
      <c r="DN22" s="44">
        <v>1</v>
      </c>
      <c r="DO22" s="43">
        <f t="shared" si="85"/>
        <v>1</v>
      </c>
      <c r="DP22" s="43" t="str">
        <f t="shared" si="86"/>
        <v>PC</v>
      </c>
      <c r="DQ22" s="43" t="str">
        <f t="shared" si="87"/>
        <v/>
      </c>
      <c r="DR22" s="44">
        <v>100</v>
      </c>
      <c r="DS22" s="71">
        <f t="shared" si="88"/>
        <v>1</v>
      </c>
      <c r="DT22" s="43">
        <f t="shared" si="89"/>
        <v>100</v>
      </c>
      <c r="DU22" s="44">
        <v>1</v>
      </c>
      <c r="DV22" s="44">
        <v>0</v>
      </c>
      <c r="DW22" s="44" t="s">
        <v>826</v>
      </c>
      <c r="DX22" s="45">
        <v>0</v>
      </c>
      <c r="DY22" s="44">
        <v>100</v>
      </c>
      <c r="DZ22" s="61"/>
    </row>
    <row r="23" spans="1:130" x14ac:dyDescent="0.2">
      <c r="A23" s="7" t="str">
        <f t="shared" si="2"/>
        <v>Execução 19</v>
      </c>
      <c r="B23" s="79"/>
      <c r="C23" s="85"/>
      <c r="D23" s="71" t="str">
        <f t="shared" si="54"/>
        <v/>
      </c>
      <c r="E23" s="71" t="str">
        <f t="shared" si="55"/>
        <v/>
      </c>
      <c r="F23" s="43" t="str">
        <f>IF(IFERROR(INDEX(Consulta!$A:$DN,MATCH('ZM01'!$C23,Consulta!$D:$D,0),'ZM01'!F$2),"")=0,"",IFERROR(INDEX(Consulta!$A:$DN,MATCH('ZM01'!$C23,Consulta!$D:$D,0),'ZM01'!F$2),""))</f>
        <v/>
      </c>
      <c r="G23" s="43" t="str">
        <f>IF(IFERROR(INDEX(Consulta!$A:$DN,MATCH('ZM01'!$C23,Consulta!$D:$D,0),'ZM01'!G$2),"")=0,"",IFERROR(INDEX(Consulta!$A:$DN,MATCH('ZM01'!$C23,Consulta!$D:$D,0),'ZM01'!G$2),""))</f>
        <v/>
      </c>
      <c r="H23" s="43" t="str">
        <f t="shared" si="56"/>
        <v/>
      </c>
      <c r="I23" s="44" t="s">
        <v>100</v>
      </c>
      <c r="J23" s="43" t="str">
        <f>IF(IFERROR(INDEX(Consulta!$A:$DN,MATCH('ZM01'!$C23,Consulta!$D:$D,0),'ZM01'!J$2),"")=0,"",IFERROR(INDEX(Consulta!$A:$DN,MATCH('ZM01'!$C23,Consulta!$D:$D,0),'ZM01'!J$2),""))</f>
        <v/>
      </c>
      <c r="K23" s="43" t="str">
        <f>IF(IFERROR(INDEX(Consulta!$A:$DN,MATCH('ZM01'!$C23,Consulta!$D:$D,0),'ZM01'!K$2),"")=0,"",IFERROR(INDEX(Consulta!$A:$DN,MATCH('ZM01'!$C23,Consulta!$D:$D,0),'ZM01'!K$2),""))</f>
        <v/>
      </c>
      <c r="L23" s="43" t="str">
        <f t="shared" si="57"/>
        <v/>
      </c>
      <c r="M23" s="43" t="str">
        <f>IF(IFERROR(INDEX(Consulta!$A:$DN,MATCH('ZM01'!$C23,Consulta!$D:$D,0),'ZM01'!M$2),"")=0,"",IFERROR(INDEX(Consulta!$A:$DN,MATCH('ZM01'!$C23,Consulta!$D:$D,0),'ZM01'!M$2),""))</f>
        <v/>
      </c>
      <c r="N23" s="43" t="str">
        <f t="shared" si="58"/>
        <v/>
      </c>
      <c r="P23" s="45" t="s">
        <v>101</v>
      </c>
      <c r="Q23" s="45" t="s">
        <v>102</v>
      </c>
      <c r="R23" s="45" t="s">
        <v>103</v>
      </c>
      <c r="S23" s="45" t="s">
        <v>104</v>
      </c>
      <c r="T23" s="45" t="s">
        <v>105</v>
      </c>
      <c r="U23" s="45" t="s">
        <v>106</v>
      </c>
      <c r="V23" s="45" t="s">
        <v>107</v>
      </c>
      <c r="W23" s="45" t="s">
        <v>109</v>
      </c>
      <c r="X23" s="45" t="s">
        <v>110</v>
      </c>
      <c r="Y23" s="45"/>
      <c r="Z23" s="45"/>
      <c r="AA23" s="45" t="s">
        <v>112</v>
      </c>
      <c r="AB23" s="45" t="s">
        <v>113</v>
      </c>
      <c r="AC23" s="45" t="s">
        <v>114</v>
      </c>
      <c r="AD23" s="45" t="s">
        <v>115</v>
      </c>
      <c r="AE23" s="45" t="s">
        <v>117</v>
      </c>
      <c r="AF23" s="45" t="s">
        <v>118</v>
      </c>
      <c r="AG23" s="45" t="s">
        <v>119</v>
      </c>
      <c r="AH23" s="45" t="s">
        <v>120</v>
      </c>
      <c r="AI23" s="45" t="s">
        <v>121</v>
      </c>
      <c r="AJ23" s="45" t="s">
        <v>122</v>
      </c>
      <c r="AK23" s="45" t="s">
        <v>123</v>
      </c>
      <c r="AL23" s="45" t="s">
        <v>124</v>
      </c>
      <c r="AM23" s="45" t="s">
        <v>125</v>
      </c>
      <c r="AN23" s="45" t="s">
        <v>126</v>
      </c>
      <c r="AO23" s="45"/>
      <c r="AP23" s="45"/>
      <c r="AR23" s="44" t="s">
        <v>822</v>
      </c>
      <c r="AS23" s="43" t="str">
        <f>IF(IFERROR(INDEX(Consulta!$A:$DN,MATCH('ZM01'!$C23,Consulta!$D:$D,0),'ZM01'!AS$2),"")=0,"",IFERROR(INDEX(Consulta!$A:$DN,MATCH('ZM01'!$C23,Consulta!$D:$D,0),'ZM01'!AS$2),""))</f>
        <v/>
      </c>
      <c r="AT23" s="45"/>
      <c r="AU23" s="43" t="str">
        <f>IF(IFERROR(INDEX(Consulta!$A:$DN,MATCH('ZM01'!$C23,Consulta!$D:$D,0),'ZM01'!AU$2),"")=0,"",IFERROR(INDEX(Consulta!$A:$DN,MATCH('ZM01'!$C23,Consulta!$D:$D,0),'ZM01'!AU$2),""))</f>
        <v/>
      </c>
      <c r="AV23" s="43" t="str">
        <f>IF(IFERROR(INDEX(Consulta!$A:$DN,MATCH('ZM01'!$C23,Consulta!$D:$D,0),'ZM01'!AV$2),"")=0,"",IFERROR(INDEX(Consulta!$A:$DN,MATCH('ZM01'!$C23,Consulta!$D:$D,0),'ZM01'!AV$2),""))</f>
        <v/>
      </c>
      <c r="AW23" s="45"/>
      <c r="AX23" s="46" t="str">
        <f t="shared" ca="1" si="59"/>
        <v/>
      </c>
      <c r="AY23" s="47" t="s">
        <v>755</v>
      </c>
      <c r="AZ23" s="43" t="str">
        <f>IF(IFERROR(ROUND(INDEX(Consulta!$A:$DN,MATCH('ZM01'!$C23,Consulta!$D:$D,0),'ZM01'!AZ$2),3),"")=0,"",IFERROR(ROUND(INDEX(Consulta!$A:$DN,MATCH('ZM01'!$C23,Consulta!$D:$D,0),'ZM01'!AZ$2),3),""))</f>
        <v/>
      </c>
      <c r="BA23" s="43" t="str">
        <f t="shared" si="60"/>
        <v/>
      </c>
      <c r="BB23" s="48" t="s">
        <v>299</v>
      </c>
      <c r="BC23" s="48"/>
      <c r="BD23" s="43" t="str">
        <f>IF(IFERROR(INDEX(Consulta!$A:$DN,MATCH('ZM01'!$C23,Consulta!$D:$D,0),'ZM01'!BD$2),"")=0,"",IFERROR(INDEX(Consulta!$A:$DN,MATCH('ZM01'!$C23,Consulta!$D:$D,0),'ZM01'!BD$2),""))</f>
        <v/>
      </c>
      <c r="BE23" s="43" t="str">
        <f t="shared" si="61"/>
        <v/>
      </c>
      <c r="BF23" s="43" t="str">
        <f t="shared" si="62"/>
        <v/>
      </c>
      <c r="BG23" s="43" t="str">
        <f t="shared" si="63"/>
        <v/>
      </c>
      <c r="BH23" s="43" t="str">
        <f t="shared" si="64"/>
        <v>PC</v>
      </c>
      <c r="BI23" s="43" t="str">
        <f t="shared" si="65"/>
        <v/>
      </c>
      <c r="BJ23" s="43" t="str">
        <f t="shared" si="66"/>
        <v/>
      </c>
      <c r="BK23" s="43" t="str">
        <f t="shared" si="67"/>
        <v/>
      </c>
      <c r="BL23" s="43" t="str">
        <f t="shared" si="68"/>
        <v>PC</v>
      </c>
      <c r="BN23" s="44"/>
      <c r="BO23" s="44" t="s">
        <v>925</v>
      </c>
      <c r="BP23" s="43" t="str">
        <f>IF(OR(IFERROR(INDEX(Consulta!$A:$DN,MATCH('ZM01'!$C23,Consulta!$D:$D,0),'ZM01'!BP$2),"")=0,IFERROR(INDEX(Consulta!$A:$DN,MATCH('ZM01'!$C23,Consulta!$D:$D,0),'ZM01'!BP$2),"")=AR23),"",IFERROR(INDEX(Consulta!$A:$DN,MATCH('ZM01'!$C23,Consulta!$D:$D,0),'ZM01'!BP$2),""))</f>
        <v/>
      </c>
      <c r="BQ23" s="45">
        <v>99</v>
      </c>
      <c r="BR23" s="46" t="str">
        <f t="shared" ca="1" si="69"/>
        <v>24.05.2022</v>
      </c>
      <c r="BS23" s="49" t="str">
        <f t="shared" si="70"/>
        <v/>
      </c>
      <c r="BT23" s="50">
        <v>1</v>
      </c>
      <c r="BU23" s="50" t="s">
        <v>194</v>
      </c>
      <c r="BV23" s="90" t="str">
        <f t="shared" si="71"/>
        <v>01</v>
      </c>
      <c r="BW23" s="50" t="s">
        <v>755</v>
      </c>
      <c r="BX23" s="44">
        <v>1</v>
      </c>
      <c r="BY23" s="44" t="s">
        <v>372</v>
      </c>
      <c r="BZ23" s="50" t="s">
        <v>197</v>
      </c>
      <c r="CA23" s="50" t="s">
        <v>197</v>
      </c>
      <c r="CB23" s="43" t="str">
        <f>IF(IFERROR(INDEX(Consulta!$A:$DN,MATCH('ZM01'!$C23,Consulta!$D:$D,0),'ZM01'!CB$2),"")=0,"",IFERROR(INDEX(Consulta!$A:$DN,MATCH('ZM01'!$C23,Consulta!$D:$D,0),'ZM01'!CB$2),""))</f>
        <v/>
      </c>
      <c r="CC23" s="44" t="s">
        <v>392</v>
      </c>
      <c r="CD23" s="50">
        <v>0</v>
      </c>
      <c r="CE23" s="45" t="s">
        <v>403</v>
      </c>
      <c r="CF23" s="45" t="s">
        <v>84</v>
      </c>
      <c r="CG23" s="43" t="str">
        <f t="shared" si="72"/>
        <v/>
      </c>
      <c r="CH23" s="45" t="s">
        <v>430</v>
      </c>
      <c r="CI23" s="44">
        <v>0</v>
      </c>
      <c r="CJ23" s="43" t="str">
        <f t="shared" si="73"/>
        <v>E</v>
      </c>
      <c r="CK23" s="43" t="str">
        <f t="shared" si="74"/>
        <v/>
      </c>
      <c r="CL23" s="44">
        <v>2</v>
      </c>
      <c r="CM23" s="49" t="str">
        <f t="shared" si="75"/>
        <v/>
      </c>
      <c r="CN23" s="49" t="str">
        <f t="shared" si="76"/>
        <v/>
      </c>
      <c r="CO23" s="43" t="str">
        <f t="shared" si="77"/>
        <v/>
      </c>
      <c r="CP23" s="44">
        <v>1</v>
      </c>
      <c r="CQ23" s="50" t="s">
        <v>515</v>
      </c>
      <c r="CR23" s="44" t="s">
        <v>372</v>
      </c>
      <c r="CS23" s="44">
        <v>2</v>
      </c>
      <c r="CT23" s="44">
        <v>42</v>
      </c>
      <c r="CU23" s="44">
        <v>10</v>
      </c>
      <c r="CV23" s="43" t="str">
        <f t="shared" si="78"/>
        <v>K00_AO_</v>
      </c>
      <c r="CW23" s="43" t="str">
        <f t="shared" si="79"/>
        <v/>
      </c>
      <c r="CX23" s="43" t="str">
        <f t="shared" si="80"/>
        <v/>
      </c>
      <c r="CY23" s="44">
        <v>1</v>
      </c>
      <c r="CZ23" s="43" t="str">
        <f t="shared" si="81"/>
        <v/>
      </c>
      <c r="DA23" s="43" t="str">
        <f>IF(IFERROR(INDEX(Consulta!$A:$DN,MATCH('ZM01'!$C23,Consulta!$D:$D,0),'ZM01'!DA$2),"")=0,"",IFERROR(INDEX(Consulta!$A:$DN,MATCH('ZM01'!$C23,Consulta!$D:$D,0),'ZM01'!DA$2),""))</f>
        <v/>
      </c>
      <c r="DB23" s="43" t="str">
        <f>IF(IFERROR(INDEX(Consulta!$A:$DN,MATCH('ZM01'!$C23,Consulta!$D:$D,0),'ZM01'!DB$2),"")=0,"",IFERROR(INDEX(Consulta!$A:$DN,MATCH('ZM01'!$C23,Consulta!$D:$D,0),'ZM01'!DB$2),""))</f>
        <v/>
      </c>
      <c r="DC23" s="45">
        <v>0</v>
      </c>
      <c r="DD23" s="45">
        <v>0</v>
      </c>
      <c r="DE23" s="43" t="str">
        <f>IF(IFERROR(INDEX(Consulta!$A:$DN,MATCH('ZM01'!$C23,Consulta!$D:$D,0),'ZM01'!DE$2),"")=0,"",IFERROR(TEXT(VALUE(INDEX(Consulta!$A:$DN,MATCH('ZM01'!$C23,Consulta!$D:$D,0),'ZM01'!DE$2))/100,"0,00"),""))</f>
        <v/>
      </c>
      <c r="DG23" s="43">
        <f t="shared" si="82"/>
        <v>1</v>
      </c>
      <c r="DH23" s="43" t="str">
        <f>IF(IFERROR(INDEX(Consulta!$A:$DN,MATCH('ZM01'!$C23,Consulta!$D:$D,0),'ZM01'!DH$2),"")=0,"",IFERROR(VLOOKUP(INDEX(Consulta!$A:$DN,MATCH('ZM01'!$C23,Consulta!$D:$D,0),'ZM01'!DH$2),'Listas de Dados'!BU:BW,3,0),""))</f>
        <v/>
      </c>
      <c r="DI23" s="43" t="str">
        <f t="shared" ca="1" si="83"/>
        <v>24.05.2022</v>
      </c>
      <c r="DJ23" s="43" t="str">
        <f t="shared" si="84"/>
        <v>31.12.9999</v>
      </c>
      <c r="DL23" s="44">
        <v>1</v>
      </c>
      <c r="DM23" s="44" t="s">
        <v>1039</v>
      </c>
      <c r="DN23" s="44">
        <v>1</v>
      </c>
      <c r="DO23" s="43">
        <f t="shared" si="85"/>
        <v>1</v>
      </c>
      <c r="DP23" s="43" t="str">
        <f t="shared" si="86"/>
        <v>PC</v>
      </c>
      <c r="DQ23" s="43" t="str">
        <f t="shared" si="87"/>
        <v/>
      </c>
      <c r="DR23" s="44">
        <v>100</v>
      </c>
      <c r="DS23" s="71">
        <f t="shared" si="88"/>
        <v>1</v>
      </c>
      <c r="DT23" s="43">
        <f t="shared" si="89"/>
        <v>100</v>
      </c>
      <c r="DU23" s="44">
        <v>1</v>
      </c>
      <c r="DV23" s="44">
        <v>0</v>
      </c>
      <c r="DW23" s="44" t="s">
        <v>826</v>
      </c>
      <c r="DX23" s="45">
        <v>0</v>
      </c>
      <c r="DY23" s="44">
        <v>100</v>
      </c>
      <c r="DZ23" s="60"/>
    </row>
    <row r="24" spans="1:130" x14ac:dyDescent="0.2">
      <c r="A24" s="7" t="str">
        <f t="shared" si="2"/>
        <v>Execução 20</v>
      </c>
      <c r="B24" s="75"/>
      <c r="C24" s="85"/>
      <c r="D24" s="71" t="str">
        <f t="shared" si="54"/>
        <v/>
      </c>
      <c r="E24" s="71" t="str">
        <f t="shared" si="55"/>
        <v/>
      </c>
      <c r="F24" s="43" t="str">
        <f>IF(IFERROR(INDEX(Consulta!$A:$DN,MATCH('ZM01'!$C24,Consulta!$D:$D,0),'ZM01'!F$2),"")=0,"",IFERROR(INDEX(Consulta!$A:$DN,MATCH('ZM01'!$C24,Consulta!$D:$D,0),'ZM01'!F$2),""))</f>
        <v/>
      </c>
      <c r="G24" s="43" t="str">
        <f>IF(IFERROR(INDEX(Consulta!$A:$DN,MATCH('ZM01'!$C24,Consulta!$D:$D,0),'ZM01'!G$2),"")=0,"",IFERROR(INDEX(Consulta!$A:$DN,MATCH('ZM01'!$C24,Consulta!$D:$D,0),'ZM01'!G$2),""))</f>
        <v/>
      </c>
      <c r="H24" s="43" t="str">
        <f t="shared" si="56"/>
        <v/>
      </c>
      <c r="I24" s="44" t="s">
        <v>100</v>
      </c>
      <c r="J24" s="43" t="str">
        <f>IF(IFERROR(INDEX(Consulta!$A:$DN,MATCH('ZM01'!$C24,Consulta!$D:$D,0),'ZM01'!J$2),"")=0,"",IFERROR(INDEX(Consulta!$A:$DN,MATCH('ZM01'!$C24,Consulta!$D:$D,0),'ZM01'!J$2),""))</f>
        <v/>
      </c>
      <c r="K24" s="43" t="str">
        <f>IF(IFERROR(INDEX(Consulta!$A:$DN,MATCH('ZM01'!$C24,Consulta!$D:$D,0),'ZM01'!K$2),"")=0,"",IFERROR(INDEX(Consulta!$A:$DN,MATCH('ZM01'!$C24,Consulta!$D:$D,0),'ZM01'!K$2),""))</f>
        <v/>
      </c>
      <c r="L24" s="43" t="str">
        <f t="shared" si="57"/>
        <v/>
      </c>
      <c r="M24" s="43" t="str">
        <f>IF(IFERROR(INDEX(Consulta!$A:$DN,MATCH('ZM01'!$C24,Consulta!$D:$D,0),'ZM01'!M$2),"")=0,"",IFERROR(INDEX(Consulta!$A:$DN,MATCH('ZM01'!$C24,Consulta!$D:$D,0),'ZM01'!M$2),""))</f>
        <v/>
      </c>
      <c r="N24" s="43" t="str">
        <f t="shared" si="58"/>
        <v/>
      </c>
      <c r="P24" s="45" t="s">
        <v>101</v>
      </c>
      <c r="Q24" s="45" t="s">
        <v>102</v>
      </c>
      <c r="R24" s="45" t="s">
        <v>103</v>
      </c>
      <c r="S24" s="45" t="s">
        <v>104</v>
      </c>
      <c r="T24" s="45" t="s">
        <v>105</v>
      </c>
      <c r="U24" s="45" t="s">
        <v>106</v>
      </c>
      <c r="V24" s="45" t="s">
        <v>107</v>
      </c>
      <c r="W24" s="45" t="s">
        <v>109</v>
      </c>
      <c r="X24" s="45" t="s">
        <v>110</v>
      </c>
      <c r="Y24" s="45"/>
      <c r="Z24" s="45"/>
      <c r="AA24" s="45" t="s">
        <v>112</v>
      </c>
      <c r="AB24" s="45" t="s">
        <v>113</v>
      </c>
      <c r="AC24" s="45" t="s">
        <v>114</v>
      </c>
      <c r="AD24" s="45" t="s">
        <v>115</v>
      </c>
      <c r="AE24" s="45" t="s">
        <v>117</v>
      </c>
      <c r="AF24" s="45" t="s">
        <v>118</v>
      </c>
      <c r="AG24" s="45" t="s">
        <v>119</v>
      </c>
      <c r="AH24" s="45" t="s">
        <v>120</v>
      </c>
      <c r="AI24" s="45" t="s">
        <v>121</v>
      </c>
      <c r="AJ24" s="45" t="s">
        <v>122</v>
      </c>
      <c r="AK24" s="45" t="s">
        <v>123</v>
      </c>
      <c r="AL24" s="45" t="s">
        <v>124</v>
      </c>
      <c r="AM24" s="45" t="s">
        <v>125</v>
      </c>
      <c r="AN24" s="45" t="s">
        <v>126</v>
      </c>
      <c r="AO24" s="45"/>
      <c r="AP24" s="45"/>
      <c r="AR24" s="44" t="s">
        <v>822</v>
      </c>
      <c r="AS24" s="43" t="str">
        <f>IF(IFERROR(INDEX(Consulta!$A:$DN,MATCH('ZM01'!$C24,Consulta!$D:$D,0),'ZM01'!AS$2),"")=0,"",IFERROR(INDEX(Consulta!$A:$DN,MATCH('ZM01'!$C24,Consulta!$D:$D,0),'ZM01'!AS$2),""))</f>
        <v/>
      </c>
      <c r="AT24" s="45"/>
      <c r="AU24" s="43" t="str">
        <f>IF(IFERROR(INDEX(Consulta!$A:$DN,MATCH('ZM01'!$C24,Consulta!$D:$D,0),'ZM01'!AU$2),"")=0,"",IFERROR(INDEX(Consulta!$A:$DN,MATCH('ZM01'!$C24,Consulta!$D:$D,0),'ZM01'!AU$2),""))</f>
        <v/>
      </c>
      <c r="AV24" s="43" t="str">
        <f>IF(IFERROR(INDEX(Consulta!$A:$DN,MATCH('ZM01'!$C24,Consulta!$D:$D,0),'ZM01'!AV$2),"")=0,"",IFERROR(INDEX(Consulta!$A:$DN,MATCH('ZM01'!$C24,Consulta!$D:$D,0),'ZM01'!AV$2),""))</f>
        <v/>
      </c>
      <c r="AW24" s="45"/>
      <c r="AX24" s="46" t="str">
        <f t="shared" ca="1" si="59"/>
        <v/>
      </c>
      <c r="AY24" s="47" t="s">
        <v>755</v>
      </c>
      <c r="AZ24" s="43" t="str">
        <f>IF(IFERROR(ROUND(INDEX(Consulta!$A:$DN,MATCH('ZM01'!$C24,Consulta!$D:$D,0),'ZM01'!AZ$2),3),"")=0,"",IFERROR(ROUND(INDEX(Consulta!$A:$DN,MATCH('ZM01'!$C24,Consulta!$D:$D,0),'ZM01'!AZ$2),3),""))</f>
        <v/>
      </c>
      <c r="BA24" s="43" t="str">
        <f t="shared" si="60"/>
        <v/>
      </c>
      <c r="BB24" s="48" t="s">
        <v>299</v>
      </c>
      <c r="BC24" s="48"/>
      <c r="BD24" s="43" t="str">
        <f>IF(IFERROR(INDEX(Consulta!$A:$DN,MATCH('ZM01'!$C24,Consulta!$D:$D,0),'ZM01'!BD$2),"")=0,"",IFERROR(INDEX(Consulta!$A:$DN,MATCH('ZM01'!$C24,Consulta!$D:$D,0),'ZM01'!BD$2),""))</f>
        <v/>
      </c>
      <c r="BE24" s="43" t="str">
        <f t="shared" si="61"/>
        <v/>
      </c>
      <c r="BF24" s="43" t="str">
        <f t="shared" si="62"/>
        <v/>
      </c>
      <c r="BG24" s="43" t="str">
        <f t="shared" si="63"/>
        <v/>
      </c>
      <c r="BH24" s="43" t="str">
        <f t="shared" si="64"/>
        <v>PC</v>
      </c>
      <c r="BI24" s="43" t="str">
        <f t="shared" si="65"/>
        <v/>
      </c>
      <c r="BJ24" s="43" t="str">
        <f t="shared" si="66"/>
        <v/>
      </c>
      <c r="BK24" s="43" t="str">
        <f t="shared" si="67"/>
        <v/>
      </c>
      <c r="BL24" s="43" t="str">
        <f t="shared" si="68"/>
        <v>PC</v>
      </c>
      <c r="BN24" s="44"/>
      <c r="BO24" s="44" t="s">
        <v>925</v>
      </c>
      <c r="BP24" s="43" t="str">
        <f>IF(OR(IFERROR(INDEX(Consulta!$A:$DN,MATCH('ZM01'!$C24,Consulta!$D:$D,0),'ZM01'!BP$2),"")=0,IFERROR(INDEX(Consulta!$A:$DN,MATCH('ZM01'!$C24,Consulta!$D:$D,0),'ZM01'!BP$2),"")=AR24),"",IFERROR(INDEX(Consulta!$A:$DN,MATCH('ZM01'!$C24,Consulta!$D:$D,0),'ZM01'!BP$2),""))</f>
        <v/>
      </c>
      <c r="BQ24" s="45">
        <v>99</v>
      </c>
      <c r="BR24" s="46" t="str">
        <f t="shared" ca="1" si="69"/>
        <v>24.05.2022</v>
      </c>
      <c r="BS24" s="49" t="str">
        <f t="shared" si="70"/>
        <v/>
      </c>
      <c r="BT24" s="50">
        <v>1</v>
      </c>
      <c r="BU24" s="50" t="s">
        <v>194</v>
      </c>
      <c r="BV24" s="90" t="str">
        <f t="shared" si="71"/>
        <v>01</v>
      </c>
      <c r="BW24" s="50" t="s">
        <v>755</v>
      </c>
      <c r="BX24" s="44">
        <v>1</v>
      </c>
      <c r="BY24" s="44" t="s">
        <v>372</v>
      </c>
      <c r="BZ24" s="50" t="s">
        <v>197</v>
      </c>
      <c r="CA24" s="50" t="s">
        <v>197</v>
      </c>
      <c r="CB24" s="43" t="str">
        <f>IF(IFERROR(INDEX(Consulta!$A:$DN,MATCH('ZM01'!$C24,Consulta!$D:$D,0),'ZM01'!CB$2),"")=0,"",IFERROR(INDEX(Consulta!$A:$DN,MATCH('ZM01'!$C24,Consulta!$D:$D,0),'ZM01'!CB$2),""))</f>
        <v/>
      </c>
      <c r="CC24" s="44" t="s">
        <v>392</v>
      </c>
      <c r="CD24" s="50">
        <v>0</v>
      </c>
      <c r="CE24" s="45" t="s">
        <v>403</v>
      </c>
      <c r="CF24" s="45" t="s">
        <v>84</v>
      </c>
      <c r="CG24" s="43" t="str">
        <f t="shared" si="72"/>
        <v/>
      </c>
      <c r="CH24" s="45" t="s">
        <v>430</v>
      </c>
      <c r="CI24" s="44">
        <v>0</v>
      </c>
      <c r="CJ24" s="43" t="str">
        <f t="shared" si="73"/>
        <v>E</v>
      </c>
      <c r="CK24" s="43" t="str">
        <f t="shared" si="74"/>
        <v/>
      </c>
      <c r="CL24" s="44">
        <v>2</v>
      </c>
      <c r="CM24" s="49" t="str">
        <f t="shared" si="75"/>
        <v/>
      </c>
      <c r="CN24" s="49" t="str">
        <f t="shared" si="76"/>
        <v/>
      </c>
      <c r="CO24" s="43" t="str">
        <f t="shared" si="77"/>
        <v/>
      </c>
      <c r="CP24" s="44">
        <v>1</v>
      </c>
      <c r="CQ24" s="50" t="s">
        <v>515</v>
      </c>
      <c r="CR24" s="44" t="s">
        <v>372</v>
      </c>
      <c r="CS24" s="44">
        <v>2</v>
      </c>
      <c r="CT24" s="44">
        <v>42</v>
      </c>
      <c r="CU24" s="44">
        <v>10</v>
      </c>
      <c r="CV24" s="43" t="str">
        <f t="shared" si="78"/>
        <v>K00_AO_</v>
      </c>
      <c r="CW24" s="43" t="str">
        <f t="shared" si="79"/>
        <v/>
      </c>
      <c r="CX24" s="43" t="str">
        <f t="shared" si="80"/>
        <v/>
      </c>
      <c r="CY24" s="44">
        <v>1</v>
      </c>
      <c r="CZ24" s="43" t="str">
        <f t="shared" si="81"/>
        <v/>
      </c>
      <c r="DA24" s="43" t="str">
        <f>IF(IFERROR(INDEX(Consulta!$A:$DN,MATCH('ZM01'!$C24,Consulta!$D:$D,0),'ZM01'!DA$2),"")=0,"",IFERROR(INDEX(Consulta!$A:$DN,MATCH('ZM01'!$C24,Consulta!$D:$D,0),'ZM01'!DA$2),""))</f>
        <v/>
      </c>
      <c r="DB24" s="43" t="str">
        <f>IF(IFERROR(INDEX(Consulta!$A:$DN,MATCH('ZM01'!$C24,Consulta!$D:$D,0),'ZM01'!DB$2),"")=0,"",IFERROR(INDEX(Consulta!$A:$DN,MATCH('ZM01'!$C24,Consulta!$D:$D,0),'ZM01'!DB$2),""))</f>
        <v/>
      </c>
      <c r="DC24" s="45">
        <v>0</v>
      </c>
      <c r="DD24" s="45">
        <v>0</v>
      </c>
      <c r="DE24" s="43" t="str">
        <f>IF(IFERROR(INDEX(Consulta!$A:$DN,MATCH('ZM01'!$C24,Consulta!$D:$D,0),'ZM01'!DE$2),"")=0,"",IFERROR(TEXT(VALUE(INDEX(Consulta!$A:$DN,MATCH('ZM01'!$C24,Consulta!$D:$D,0),'ZM01'!DE$2))/100,"0,00"),""))</f>
        <v/>
      </c>
      <c r="DG24" s="43">
        <f t="shared" si="82"/>
        <v>1</v>
      </c>
      <c r="DH24" s="43" t="str">
        <f>IF(IFERROR(INDEX(Consulta!$A:$DN,MATCH('ZM01'!$C24,Consulta!$D:$D,0),'ZM01'!DH$2),"")=0,"",IFERROR(VLOOKUP(INDEX(Consulta!$A:$DN,MATCH('ZM01'!$C24,Consulta!$D:$D,0),'ZM01'!DH$2),'Listas de Dados'!BU:BW,3,0),""))</f>
        <v/>
      </c>
      <c r="DI24" s="43" t="str">
        <f t="shared" ca="1" si="83"/>
        <v>24.05.2022</v>
      </c>
      <c r="DJ24" s="43" t="str">
        <f t="shared" si="84"/>
        <v>31.12.9999</v>
      </c>
      <c r="DL24" s="44">
        <v>1</v>
      </c>
      <c r="DM24" s="44" t="s">
        <v>1039</v>
      </c>
      <c r="DN24" s="44">
        <v>1</v>
      </c>
      <c r="DO24" s="43">
        <f t="shared" si="85"/>
        <v>1</v>
      </c>
      <c r="DP24" s="43" t="str">
        <f t="shared" si="86"/>
        <v>PC</v>
      </c>
      <c r="DQ24" s="43" t="str">
        <f t="shared" si="87"/>
        <v/>
      </c>
      <c r="DR24" s="44">
        <v>100</v>
      </c>
      <c r="DS24" s="71">
        <f t="shared" si="88"/>
        <v>1</v>
      </c>
      <c r="DT24" s="43">
        <f t="shared" si="89"/>
        <v>100</v>
      </c>
      <c r="DU24" s="44">
        <v>1</v>
      </c>
      <c r="DV24" s="44">
        <v>0</v>
      </c>
      <c r="DW24" s="44" t="s">
        <v>826</v>
      </c>
      <c r="DX24" s="45">
        <v>0</v>
      </c>
      <c r="DY24" s="44">
        <v>100</v>
      </c>
      <c r="DZ24" s="61"/>
    </row>
    <row r="25" spans="1:130" x14ac:dyDescent="0.2">
      <c r="A25" s="7" t="str">
        <f t="shared" si="2"/>
        <v>Execução 21</v>
      </c>
      <c r="B25" s="79"/>
      <c r="C25" s="85"/>
      <c r="D25" s="71" t="str">
        <f t="shared" si="54"/>
        <v/>
      </c>
      <c r="E25" s="71" t="str">
        <f t="shared" si="55"/>
        <v/>
      </c>
      <c r="F25" s="43" t="str">
        <f>IF(IFERROR(INDEX(Consulta!$A:$DN,MATCH('ZM01'!$C25,Consulta!$D:$D,0),'ZM01'!F$2),"")=0,"",IFERROR(INDEX(Consulta!$A:$DN,MATCH('ZM01'!$C25,Consulta!$D:$D,0),'ZM01'!F$2),""))</f>
        <v/>
      </c>
      <c r="G25" s="43" t="str">
        <f>IF(IFERROR(INDEX(Consulta!$A:$DN,MATCH('ZM01'!$C25,Consulta!$D:$D,0),'ZM01'!G$2),"")=0,"",IFERROR(INDEX(Consulta!$A:$DN,MATCH('ZM01'!$C25,Consulta!$D:$D,0),'ZM01'!G$2),""))</f>
        <v/>
      </c>
      <c r="H25" s="43" t="str">
        <f t="shared" si="56"/>
        <v/>
      </c>
      <c r="I25" s="44" t="s">
        <v>100</v>
      </c>
      <c r="J25" s="43" t="str">
        <f>IF(IFERROR(INDEX(Consulta!$A:$DN,MATCH('ZM01'!$C25,Consulta!$D:$D,0),'ZM01'!J$2),"")=0,"",IFERROR(INDEX(Consulta!$A:$DN,MATCH('ZM01'!$C25,Consulta!$D:$D,0),'ZM01'!J$2),""))</f>
        <v/>
      </c>
      <c r="K25" s="43" t="str">
        <f>IF(IFERROR(INDEX(Consulta!$A:$DN,MATCH('ZM01'!$C25,Consulta!$D:$D,0),'ZM01'!K$2),"")=0,"",IFERROR(INDEX(Consulta!$A:$DN,MATCH('ZM01'!$C25,Consulta!$D:$D,0),'ZM01'!K$2),""))</f>
        <v/>
      </c>
      <c r="L25" s="43" t="str">
        <f t="shared" si="57"/>
        <v/>
      </c>
      <c r="M25" s="43" t="str">
        <f>IF(IFERROR(INDEX(Consulta!$A:$DN,MATCH('ZM01'!$C25,Consulta!$D:$D,0),'ZM01'!M$2),"")=0,"",IFERROR(INDEX(Consulta!$A:$DN,MATCH('ZM01'!$C25,Consulta!$D:$D,0),'ZM01'!M$2),""))</f>
        <v/>
      </c>
      <c r="N25" s="43" t="str">
        <f t="shared" si="58"/>
        <v/>
      </c>
      <c r="P25" s="45" t="s">
        <v>101</v>
      </c>
      <c r="Q25" s="45" t="s">
        <v>102</v>
      </c>
      <c r="R25" s="45" t="s">
        <v>103</v>
      </c>
      <c r="S25" s="45" t="s">
        <v>104</v>
      </c>
      <c r="T25" s="45" t="s">
        <v>105</v>
      </c>
      <c r="U25" s="45" t="s">
        <v>106</v>
      </c>
      <c r="V25" s="45" t="s">
        <v>107</v>
      </c>
      <c r="W25" s="45" t="s">
        <v>109</v>
      </c>
      <c r="X25" s="45" t="s">
        <v>110</v>
      </c>
      <c r="Y25" s="45"/>
      <c r="Z25" s="45"/>
      <c r="AA25" s="45" t="s">
        <v>112</v>
      </c>
      <c r="AB25" s="45" t="s">
        <v>113</v>
      </c>
      <c r="AC25" s="45" t="s">
        <v>114</v>
      </c>
      <c r="AD25" s="45" t="s">
        <v>115</v>
      </c>
      <c r="AE25" s="45" t="s">
        <v>117</v>
      </c>
      <c r="AF25" s="45" t="s">
        <v>118</v>
      </c>
      <c r="AG25" s="45" t="s">
        <v>119</v>
      </c>
      <c r="AH25" s="45" t="s">
        <v>120</v>
      </c>
      <c r="AI25" s="45" t="s">
        <v>121</v>
      </c>
      <c r="AJ25" s="45" t="s">
        <v>122</v>
      </c>
      <c r="AK25" s="45" t="s">
        <v>123</v>
      </c>
      <c r="AL25" s="45" t="s">
        <v>124</v>
      </c>
      <c r="AM25" s="45" t="s">
        <v>125</v>
      </c>
      <c r="AN25" s="45" t="s">
        <v>126</v>
      </c>
      <c r="AO25" s="45"/>
      <c r="AP25" s="45"/>
      <c r="AR25" s="44" t="s">
        <v>822</v>
      </c>
      <c r="AS25" s="43" t="str">
        <f>IF(IFERROR(INDEX(Consulta!$A:$DN,MATCH('ZM01'!$C25,Consulta!$D:$D,0),'ZM01'!AS$2),"")=0,"",IFERROR(INDEX(Consulta!$A:$DN,MATCH('ZM01'!$C25,Consulta!$D:$D,0),'ZM01'!AS$2),""))</f>
        <v/>
      </c>
      <c r="AT25" s="45"/>
      <c r="AU25" s="43" t="str">
        <f>IF(IFERROR(INDEX(Consulta!$A:$DN,MATCH('ZM01'!$C25,Consulta!$D:$D,0),'ZM01'!AU$2),"")=0,"",IFERROR(INDEX(Consulta!$A:$DN,MATCH('ZM01'!$C25,Consulta!$D:$D,0),'ZM01'!AU$2),""))</f>
        <v/>
      </c>
      <c r="AV25" s="43" t="str">
        <f>IF(IFERROR(INDEX(Consulta!$A:$DN,MATCH('ZM01'!$C25,Consulta!$D:$D,0),'ZM01'!AV$2),"")=0,"",IFERROR(INDEX(Consulta!$A:$DN,MATCH('ZM01'!$C25,Consulta!$D:$D,0),'ZM01'!AV$2),""))</f>
        <v/>
      </c>
      <c r="AW25" s="45"/>
      <c r="AX25" s="46" t="str">
        <f t="shared" ca="1" si="59"/>
        <v/>
      </c>
      <c r="AY25" s="47" t="s">
        <v>755</v>
      </c>
      <c r="AZ25" s="43" t="str">
        <f>IF(IFERROR(ROUND(INDEX(Consulta!$A:$DN,MATCH('ZM01'!$C25,Consulta!$D:$D,0),'ZM01'!AZ$2),3),"")=0,"",IFERROR(ROUND(INDEX(Consulta!$A:$DN,MATCH('ZM01'!$C25,Consulta!$D:$D,0),'ZM01'!AZ$2),3),""))</f>
        <v/>
      </c>
      <c r="BA25" s="43" t="str">
        <f t="shared" si="60"/>
        <v/>
      </c>
      <c r="BB25" s="48" t="s">
        <v>299</v>
      </c>
      <c r="BC25" s="48"/>
      <c r="BD25" s="43" t="str">
        <f>IF(IFERROR(INDEX(Consulta!$A:$DN,MATCH('ZM01'!$C25,Consulta!$D:$D,0),'ZM01'!BD$2),"")=0,"",IFERROR(INDEX(Consulta!$A:$DN,MATCH('ZM01'!$C25,Consulta!$D:$D,0),'ZM01'!BD$2),""))</f>
        <v/>
      </c>
      <c r="BE25" s="43" t="str">
        <f t="shared" si="61"/>
        <v/>
      </c>
      <c r="BF25" s="43" t="str">
        <f t="shared" si="62"/>
        <v/>
      </c>
      <c r="BG25" s="43" t="str">
        <f t="shared" si="63"/>
        <v/>
      </c>
      <c r="BH25" s="43" t="str">
        <f t="shared" si="64"/>
        <v>PC</v>
      </c>
      <c r="BI25" s="43" t="str">
        <f t="shared" si="65"/>
        <v/>
      </c>
      <c r="BJ25" s="43" t="str">
        <f t="shared" si="66"/>
        <v/>
      </c>
      <c r="BK25" s="43" t="str">
        <f t="shared" si="67"/>
        <v/>
      </c>
      <c r="BL25" s="43" t="str">
        <f t="shared" si="68"/>
        <v>PC</v>
      </c>
      <c r="BN25" s="44"/>
      <c r="BO25" s="44" t="s">
        <v>925</v>
      </c>
      <c r="BP25" s="43" t="str">
        <f>IF(OR(IFERROR(INDEX(Consulta!$A:$DN,MATCH('ZM01'!$C25,Consulta!$D:$D,0),'ZM01'!BP$2),"")=0,IFERROR(INDEX(Consulta!$A:$DN,MATCH('ZM01'!$C25,Consulta!$D:$D,0),'ZM01'!BP$2),"")=AR25),"",IFERROR(INDEX(Consulta!$A:$DN,MATCH('ZM01'!$C25,Consulta!$D:$D,0),'ZM01'!BP$2),""))</f>
        <v/>
      </c>
      <c r="BQ25" s="45">
        <v>99</v>
      </c>
      <c r="BR25" s="46" t="str">
        <f t="shared" ca="1" si="69"/>
        <v>24.05.2022</v>
      </c>
      <c r="BS25" s="49" t="str">
        <f t="shared" si="70"/>
        <v/>
      </c>
      <c r="BT25" s="50">
        <v>1</v>
      </c>
      <c r="BU25" s="50" t="s">
        <v>194</v>
      </c>
      <c r="BV25" s="90" t="str">
        <f t="shared" si="71"/>
        <v>01</v>
      </c>
      <c r="BW25" s="50" t="s">
        <v>755</v>
      </c>
      <c r="BX25" s="44">
        <v>1</v>
      </c>
      <c r="BY25" s="44" t="s">
        <v>372</v>
      </c>
      <c r="BZ25" s="50" t="s">
        <v>197</v>
      </c>
      <c r="CA25" s="50" t="s">
        <v>197</v>
      </c>
      <c r="CB25" s="43" t="str">
        <f>IF(IFERROR(INDEX(Consulta!$A:$DN,MATCH('ZM01'!$C25,Consulta!$D:$D,0),'ZM01'!CB$2),"")=0,"",IFERROR(INDEX(Consulta!$A:$DN,MATCH('ZM01'!$C25,Consulta!$D:$D,0),'ZM01'!CB$2),""))</f>
        <v/>
      </c>
      <c r="CC25" s="44" t="s">
        <v>392</v>
      </c>
      <c r="CD25" s="50">
        <v>0</v>
      </c>
      <c r="CE25" s="45" t="s">
        <v>403</v>
      </c>
      <c r="CF25" s="45" t="s">
        <v>84</v>
      </c>
      <c r="CG25" s="43" t="str">
        <f t="shared" si="72"/>
        <v/>
      </c>
      <c r="CH25" s="45" t="s">
        <v>430</v>
      </c>
      <c r="CI25" s="44">
        <v>0</v>
      </c>
      <c r="CJ25" s="43" t="str">
        <f t="shared" si="73"/>
        <v>E</v>
      </c>
      <c r="CK25" s="43" t="str">
        <f t="shared" si="74"/>
        <v/>
      </c>
      <c r="CL25" s="44">
        <v>2</v>
      </c>
      <c r="CM25" s="49" t="str">
        <f t="shared" si="75"/>
        <v/>
      </c>
      <c r="CN25" s="49" t="str">
        <f t="shared" si="76"/>
        <v/>
      </c>
      <c r="CO25" s="43" t="str">
        <f t="shared" si="77"/>
        <v/>
      </c>
      <c r="CP25" s="44">
        <v>1</v>
      </c>
      <c r="CQ25" s="50" t="s">
        <v>515</v>
      </c>
      <c r="CR25" s="44" t="s">
        <v>372</v>
      </c>
      <c r="CS25" s="44">
        <v>2</v>
      </c>
      <c r="CT25" s="44">
        <v>42</v>
      </c>
      <c r="CU25" s="44">
        <v>10</v>
      </c>
      <c r="CV25" s="43" t="str">
        <f t="shared" si="78"/>
        <v>K00_AO_</v>
      </c>
      <c r="CW25" s="43" t="str">
        <f t="shared" si="79"/>
        <v/>
      </c>
      <c r="CX25" s="43" t="str">
        <f t="shared" si="80"/>
        <v/>
      </c>
      <c r="CY25" s="44">
        <v>1</v>
      </c>
      <c r="CZ25" s="43" t="str">
        <f t="shared" si="81"/>
        <v/>
      </c>
      <c r="DA25" s="43" t="str">
        <f>IF(IFERROR(INDEX(Consulta!$A:$DN,MATCH('ZM01'!$C25,Consulta!$D:$D,0),'ZM01'!DA$2),"")=0,"",IFERROR(INDEX(Consulta!$A:$DN,MATCH('ZM01'!$C25,Consulta!$D:$D,0),'ZM01'!DA$2),""))</f>
        <v/>
      </c>
      <c r="DB25" s="43" t="str">
        <f>IF(IFERROR(INDEX(Consulta!$A:$DN,MATCH('ZM01'!$C25,Consulta!$D:$D,0),'ZM01'!DB$2),"")=0,"",IFERROR(INDEX(Consulta!$A:$DN,MATCH('ZM01'!$C25,Consulta!$D:$D,0),'ZM01'!DB$2),""))</f>
        <v/>
      </c>
      <c r="DC25" s="45">
        <v>0</v>
      </c>
      <c r="DD25" s="45">
        <v>0</v>
      </c>
      <c r="DE25" s="43" t="str">
        <f>IF(IFERROR(INDEX(Consulta!$A:$DN,MATCH('ZM01'!$C25,Consulta!$D:$D,0),'ZM01'!DE$2),"")=0,"",IFERROR(TEXT(VALUE(INDEX(Consulta!$A:$DN,MATCH('ZM01'!$C25,Consulta!$D:$D,0),'ZM01'!DE$2))/100,"0,00"),""))</f>
        <v/>
      </c>
      <c r="DG25" s="43">
        <f t="shared" si="82"/>
        <v>1</v>
      </c>
      <c r="DH25" s="43" t="str">
        <f>IF(IFERROR(INDEX(Consulta!$A:$DN,MATCH('ZM01'!$C25,Consulta!$D:$D,0),'ZM01'!DH$2),"")=0,"",IFERROR(VLOOKUP(INDEX(Consulta!$A:$DN,MATCH('ZM01'!$C25,Consulta!$D:$D,0),'ZM01'!DH$2),'Listas de Dados'!BU:BW,3,0),""))</f>
        <v/>
      </c>
      <c r="DI25" s="43" t="str">
        <f t="shared" ca="1" si="83"/>
        <v>24.05.2022</v>
      </c>
      <c r="DJ25" s="43" t="str">
        <f t="shared" si="84"/>
        <v>31.12.9999</v>
      </c>
      <c r="DL25" s="44">
        <v>1</v>
      </c>
      <c r="DM25" s="44" t="s">
        <v>1039</v>
      </c>
      <c r="DN25" s="44">
        <v>1</v>
      </c>
      <c r="DO25" s="43">
        <f t="shared" si="85"/>
        <v>1</v>
      </c>
      <c r="DP25" s="43" t="str">
        <f t="shared" si="86"/>
        <v>PC</v>
      </c>
      <c r="DQ25" s="43" t="str">
        <f t="shared" si="87"/>
        <v/>
      </c>
      <c r="DR25" s="44">
        <v>100</v>
      </c>
      <c r="DS25" s="71">
        <f t="shared" si="88"/>
        <v>1</v>
      </c>
      <c r="DT25" s="43">
        <f t="shared" si="89"/>
        <v>100</v>
      </c>
      <c r="DU25" s="44">
        <v>1</v>
      </c>
      <c r="DV25" s="44">
        <v>0</v>
      </c>
      <c r="DW25" s="44" t="s">
        <v>826</v>
      </c>
      <c r="DX25" s="45">
        <v>0</v>
      </c>
      <c r="DY25" s="44">
        <v>100</v>
      </c>
      <c r="DZ25" s="60"/>
    </row>
    <row r="26" spans="1:130" x14ac:dyDescent="0.2">
      <c r="A26" s="7" t="str">
        <f t="shared" si="2"/>
        <v>Execução 22</v>
      </c>
      <c r="B26" s="75"/>
      <c r="C26" s="85"/>
      <c r="D26" s="71" t="str">
        <f t="shared" si="54"/>
        <v/>
      </c>
      <c r="E26" s="71" t="str">
        <f t="shared" si="55"/>
        <v/>
      </c>
      <c r="F26" s="43" t="str">
        <f>IF(IFERROR(INDEX(Consulta!$A:$DN,MATCH('ZM01'!$C26,Consulta!$D:$D,0),'ZM01'!F$2),"")=0,"",IFERROR(INDEX(Consulta!$A:$DN,MATCH('ZM01'!$C26,Consulta!$D:$D,0),'ZM01'!F$2),""))</f>
        <v/>
      </c>
      <c r="G26" s="43" t="str">
        <f>IF(IFERROR(INDEX(Consulta!$A:$DN,MATCH('ZM01'!$C26,Consulta!$D:$D,0),'ZM01'!G$2),"")=0,"",IFERROR(INDEX(Consulta!$A:$DN,MATCH('ZM01'!$C26,Consulta!$D:$D,0),'ZM01'!G$2),""))</f>
        <v/>
      </c>
      <c r="H26" s="43" t="str">
        <f t="shared" si="56"/>
        <v/>
      </c>
      <c r="I26" s="44" t="s">
        <v>100</v>
      </c>
      <c r="J26" s="43" t="str">
        <f>IF(IFERROR(INDEX(Consulta!$A:$DN,MATCH('ZM01'!$C26,Consulta!$D:$D,0),'ZM01'!J$2),"")=0,"",IFERROR(INDEX(Consulta!$A:$DN,MATCH('ZM01'!$C26,Consulta!$D:$D,0),'ZM01'!J$2),""))</f>
        <v/>
      </c>
      <c r="K26" s="43" t="str">
        <f>IF(IFERROR(INDEX(Consulta!$A:$DN,MATCH('ZM01'!$C26,Consulta!$D:$D,0),'ZM01'!K$2),"")=0,"",IFERROR(INDEX(Consulta!$A:$DN,MATCH('ZM01'!$C26,Consulta!$D:$D,0),'ZM01'!K$2),""))</f>
        <v/>
      </c>
      <c r="L26" s="43" t="str">
        <f t="shared" si="57"/>
        <v/>
      </c>
      <c r="M26" s="43" t="str">
        <f>IF(IFERROR(INDEX(Consulta!$A:$DN,MATCH('ZM01'!$C26,Consulta!$D:$D,0),'ZM01'!M$2),"")=0,"",IFERROR(INDEX(Consulta!$A:$DN,MATCH('ZM01'!$C26,Consulta!$D:$D,0),'ZM01'!M$2),""))</f>
        <v/>
      </c>
      <c r="N26" s="43" t="str">
        <f t="shared" si="58"/>
        <v/>
      </c>
      <c r="P26" s="45" t="s">
        <v>101</v>
      </c>
      <c r="Q26" s="45" t="s">
        <v>102</v>
      </c>
      <c r="R26" s="45" t="s">
        <v>103</v>
      </c>
      <c r="S26" s="45" t="s">
        <v>104</v>
      </c>
      <c r="T26" s="45" t="s">
        <v>105</v>
      </c>
      <c r="U26" s="45" t="s">
        <v>106</v>
      </c>
      <c r="V26" s="45" t="s">
        <v>107</v>
      </c>
      <c r="W26" s="45" t="s">
        <v>109</v>
      </c>
      <c r="X26" s="45" t="s">
        <v>110</v>
      </c>
      <c r="Y26" s="45"/>
      <c r="Z26" s="45"/>
      <c r="AA26" s="45" t="s">
        <v>112</v>
      </c>
      <c r="AB26" s="45" t="s">
        <v>113</v>
      </c>
      <c r="AC26" s="45" t="s">
        <v>114</v>
      </c>
      <c r="AD26" s="45" t="s">
        <v>115</v>
      </c>
      <c r="AE26" s="45" t="s">
        <v>117</v>
      </c>
      <c r="AF26" s="45" t="s">
        <v>118</v>
      </c>
      <c r="AG26" s="45" t="s">
        <v>119</v>
      </c>
      <c r="AH26" s="45" t="s">
        <v>120</v>
      </c>
      <c r="AI26" s="45" t="s">
        <v>121</v>
      </c>
      <c r="AJ26" s="45" t="s">
        <v>122</v>
      </c>
      <c r="AK26" s="45" t="s">
        <v>123</v>
      </c>
      <c r="AL26" s="45" t="s">
        <v>124</v>
      </c>
      <c r="AM26" s="45" t="s">
        <v>125</v>
      </c>
      <c r="AN26" s="45" t="s">
        <v>126</v>
      </c>
      <c r="AO26" s="45"/>
      <c r="AP26" s="45"/>
      <c r="AR26" s="44" t="s">
        <v>822</v>
      </c>
      <c r="AS26" s="43" t="str">
        <f>IF(IFERROR(INDEX(Consulta!$A:$DN,MATCH('ZM01'!$C26,Consulta!$D:$D,0),'ZM01'!AS$2),"")=0,"",IFERROR(INDEX(Consulta!$A:$DN,MATCH('ZM01'!$C26,Consulta!$D:$D,0),'ZM01'!AS$2),""))</f>
        <v/>
      </c>
      <c r="AT26" s="45"/>
      <c r="AU26" s="43" t="str">
        <f>IF(IFERROR(INDEX(Consulta!$A:$DN,MATCH('ZM01'!$C26,Consulta!$D:$D,0),'ZM01'!AU$2),"")=0,"",IFERROR(INDEX(Consulta!$A:$DN,MATCH('ZM01'!$C26,Consulta!$D:$D,0),'ZM01'!AU$2),""))</f>
        <v/>
      </c>
      <c r="AV26" s="43" t="str">
        <f>IF(IFERROR(INDEX(Consulta!$A:$DN,MATCH('ZM01'!$C26,Consulta!$D:$D,0),'ZM01'!AV$2),"")=0,"",IFERROR(INDEX(Consulta!$A:$DN,MATCH('ZM01'!$C26,Consulta!$D:$D,0),'ZM01'!AV$2),""))</f>
        <v/>
      </c>
      <c r="AW26" s="45"/>
      <c r="AX26" s="46" t="str">
        <f t="shared" ca="1" si="59"/>
        <v/>
      </c>
      <c r="AY26" s="47" t="s">
        <v>755</v>
      </c>
      <c r="AZ26" s="43" t="str">
        <f>IF(IFERROR(ROUND(INDEX(Consulta!$A:$DN,MATCH('ZM01'!$C26,Consulta!$D:$D,0),'ZM01'!AZ$2),3),"")=0,"",IFERROR(ROUND(INDEX(Consulta!$A:$DN,MATCH('ZM01'!$C26,Consulta!$D:$D,0),'ZM01'!AZ$2),3),""))</f>
        <v/>
      </c>
      <c r="BA26" s="43" t="str">
        <f t="shared" si="60"/>
        <v/>
      </c>
      <c r="BB26" s="48" t="s">
        <v>299</v>
      </c>
      <c r="BC26" s="48"/>
      <c r="BD26" s="43" t="str">
        <f>IF(IFERROR(INDEX(Consulta!$A:$DN,MATCH('ZM01'!$C26,Consulta!$D:$D,0),'ZM01'!BD$2),"")=0,"",IFERROR(INDEX(Consulta!$A:$DN,MATCH('ZM01'!$C26,Consulta!$D:$D,0),'ZM01'!BD$2),""))</f>
        <v/>
      </c>
      <c r="BE26" s="43" t="str">
        <f t="shared" si="61"/>
        <v/>
      </c>
      <c r="BF26" s="43" t="str">
        <f t="shared" si="62"/>
        <v/>
      </c>
      <c r="BG26" s="43" t="str">
        <f t="shared" si="63"/>
        <v/>
      </c>
      <c r="BH26" s="43" t="str">
        <f t="shared" si="64"/>
        <v>PC</v>
      </c>
      <c r="BI26" s="43" t="str">
        <f t="shared" si="65"/>
        <v/>
      </c>
      <c r="BJ26" s="43" t="str">
        <f t="shared" si="66"/>
        <v/>
      </c>
      <c r="BK26" s="43" t="str">
        <f t="shared" si="67"/>
        <v/>
      </c>
      <c r="BL26" s="43" t="str">
        <f t="shared" si="68"/>
        <v>PC</v>
      </c>
      <c r="BN26" s="44"/>
      <c r="BO26" s="44" t="s">
        <v>925</v>
      </c>
      <c r="BP26" s="43" t="str">
        <f>IF(OR(IFERROR(INDEX(Consulta!$A:$DN,MATCH('ZM01'!$C26,Consulta!$D:$D,0),'ZM01'!BP$2),"")=0,IFERROR(INDEX(Consulta!$A:$DN,MATCH('ZM01'!$C26,Consulta!$D:$D,0),'ZM01'!BP$2),"")=AR26),"",IFERROR(INDEX(Consulta!$A:$DN,MATCH('ZM01'!$C26,Consulta!$D:$D,0),'ZM01'!BP$2),""))</f>
        <v/>
      </c>
      <c r="BQ26" s="45">
        <v>99</v>
      </c>
      <c r="BR26" s="46" t="str">
        <f t="shared" ca="1" si="69"/>
        <v>24.05.2022</v>
      </c>
      <c r="BS26" s="49" t="str">
        <f t="shared" si="70"/>
        <v/>
      </c>
      <c r="BT26" s="50">
        <v>1</v>
      </c>
      <c r="BU26" s="50" t="s">
        <v>194</v>
      </c>
      <c r="BV26" s="90" t="str">
        <f t="shared" si="71"/>
        <v>01</v>
      </c>
      <c r="BW26" s="50" t="s">
        <v>755</v>
      </c>
      <c r="BX26" s="44">
        <v>1</v>
      </c>
      <c r="BY26" s="44" t="s">
        <v>372</v>
      </c>
      <c r="BZ26" s="50" t="s">
        <v>197</v>
      </c>
      <c r="CA26" s="50" t="s">
        <v>197</v>
      </c>
      <c r="CB26" s="43" t="str">
        <f>IF(IFERROR(INDEX(Consulta!$A:$DN,MATCH('ZM01'!$C26,Consulta!$D:$D,0),'ZM01'!CB$2),"")=0,"",IFERROR(INDEX(Consulta!$A:$DN,MATCH('ZM01'!$C26,Consulta!$D:$D,0),'ZM01'!CB$2),""))</f>
        <v/>
      </c>
      <c r="CC26" s="44" t="s">
        <v>392</v>
      </c>
      <c r="CD26" s="50">
        <v>0</v>
      </c>
      <c r="CE26" s="45" t="s">
        <v>403</v>
      </c>
      <c r="CF26" s="45" t="s">
        <v>84</v>
      </c>
      <c r="CG26" s="43" t="str">
        <f t="shared" si="72"/>
        <v/>
      </c>
      <c r="CH26" s="45" t="s">
        <v>430</v>
      </c>
      <c r="CI26" s="44">
        <v>0</v>
      </c>
      <c r="CJ26" s="43" t="str">
        <f t="shared" si="73"/>
        <v>E</v>
      </c>
      <c r="CK26" s="43" t="str">
        <f t="shared" si="74"/>
        <v/>
      </c>
      <c r="CL26" s="44">
        <v>2</v>
      </c>
      <c r="CM26" s="49" t="str">
        <f t="shared" si="75"/>
        <v/>
      </c>
      <c r="CN26" s="49" t="str">
        <f t="shared" si="76"/>
        <v/>
      </c>
      <c r="CO26" s="43" t="str">
        <f t="shared" si="77"/>
        <v/>
      </c>
      <c r="CP26" s="44">
        <v>1</v>
      </c>
      <c r="CQ26" s="50" t="s">
        <v>515</v>
      </c>
      <c r="CR26" s="44" t="s">
        <v>372</v>
      </c>
      <c r="CS26" s="44">
        <v>2</v>
      </c>
      <c r="CT26" s="44">
        <v>42</v>
      </c>
      <c r="CU26" s="44">
        <v>10</v>
      </c>
      <c r="CV26" s="43" t="str">
        <f t="shared" si="78"/>
        <v>K00_AO_</v>
      </c>
      <c r="CW26" s="43" t="str">
        <f t="shared" si="79"/>
        <v/>
      </c>
      <c r="CX26" s="43" t="str">
        <f t="shared" si="80"/>
        <v/>
      </c>
      <c r="CY26" s="44">
        <v>1</v>
      </c>
      <c r="CZ26" s="43" t="str">
        <f t="shared" si="81"/>
        <v/>
      </c>
      <c r="DA26" s="43" t="str">
        <f>IF(IFERROR(INDEX(Consulta!$A:$DN,MATCH('ZM01'!$C26,Consulta!$D:$D,0),'ZM01'!DA$2),"")=0,"",IFERROR(INDEX(Consulta!$A:$DN,MATCH('ZM01'!$C26,Consulta!$D:$D,0),'ZM01'!DA$2),""))</f>
        <v/>
      </c>
      <c r="DB26" s="43" t="str">
        <f>IF(IFERROR(INDEX(Consulta!$A:$DN,MATCH('ZM01'!$C26,Consulta!$D:$D,0),'ZM01'!DB$2),"")=0,"",IFERROR(INDEX(Consulta!$A:$DN,MATCH('ZM01'!$C26,Consulta!$D:$D,0),'ZM01'!DB$2),""))</f>
        <v/>
      </c>
      <c r="DC26" s="45">
        <v>0</v>
      </c>
      <c r="DD26" s="45">
        <v>0</v>
      </c>
      <c r="DE26" s="43" t="str">
        <f>IF(IFERROR(INDEX(Consulta!$A:$DN,MATCH('ZM01'!$C26,Consulta!$D:$D,0),'ZM01'!DE$2),"")=0,"",IFERROR(TEXT(VALUE(INDEX(Consulta!$A:$DN,MATCH('ZM01'!$C26,Consulta!$D:$D,0),'ZM01'!DE$2))/100,"0,00"),""))</f>
        <v/>
      </c>
      <c r="DG26" s="43">
        <f t="shared" si="82"/>
        <v>1</v>
      </c>
      <c r="DH26" s="43" t="str">
        <f>IF(IFERROR(INDEX(Consulta!$A:$DN,MATCH('ZM01'!$C26,Consulta!$D:$D,0),'ZM01'!DH$2),"")=0,"",IFERROR(VLOOKUP(INDEX(Consulta!$A:$DN,MATCH('ZM01'!$C26,Consulta!$D:$D,0),'ZM01'!DH$2),'Listas de Dados'!BU:BW,3,0),""))</f>
        <v/>
      </c>
      <c r="DI26" s="43" t="str">
        <f t="shared" ca="1" si="83"/>
        <v>24.05.2022</v>
      </c>
      <c r="DJ26" s="43" t="str">
        <f t="shared" si="84"/>
        <v>31.12.9999</v>
      </c>
      <c r="DL26" s="44">
        <v>1</v>
      </c>
      <c r="DM26" s="44" t="s">
        <v>1039</v>
      </c>
      <c r="DN26" s="44">
        <v>1</v>
      </c>
      <c r="DO26" s="43">
        <f t="shared" si="85"/>
        <v>1</v>
      </c>
      <c r="DP26" s="43" t="str">
        <f t="shared" si="86"/>
        <v>PC</v>
      </c>
      <c r="DQ26" s="43" t="str">
        <f t="shared" si="87"/>
        <v/>
      </c>
      <c r="DR26" s="44">
        <v>100</v>
      </c>
      <c r="DS26" s="71">
        <f t="shared" si="88"/>
        <v>1</v>
      </c>
      <c r="DT26" s="43">
        <f t="shared" si="89"/>
        <v>100</v>
      </c>
      <c r="DU26" s="44">
        <v>1</v>
      </c>
      <c r="DV26" s="44">
        <v>0</v>
      </c>
      <c r="DW26" s="44" t="s">
        <v>826</v>
      </c>
      <c r="DX26" s="45">
        <v>0</v>
      </c>
      <c r="DY26" s="44">
        <v>100</v>
      </c>
      <c r="DZ26" s="61"/>
    </row>
    <row r="27" spans="1:130" x14ac:dyDescent="0.2">
      <c r="A27" s="7" t="str">
        <f t="shared" si="2"/>
        <v>Execução 23</v>
      </c>
      <c r="B27" s="79"/>
      <c r="C27" s="85"/>
      <c r="D27" s="71" t="str">
        <f t="shared" si="54"/>
        <v/>
      </c>
      <c r="E27" s="71" t="str">
        <f t="shared" si="55"/>
        <v/>
      </c>
      <c r="F27" s="43" t="str">
        <f>IF(IFERROR(INDEX(Consulta!$A:$DN,MATCH('ZM01'!$C27,Consulta!$D:$D,0),'ZM01'!F$2),"")=0,"",IFERROR(INDEX(Consulta!$A:$DN,MATCH('ZM01'!$C27,Consulta!$D:$D,0),'ZM01'!F$2),""))</f>
        <v/>
      </c>
      <c r="G27" s="43" t="str">
        <f>IF(IFERROR(INDEX(Consulta!$A:$DN,MATCH('ZM01'!$C27,Consulta!$D:$D,0),'ZM01'!G$2),"")=0,"",IFERROR(INDEX(Consulta!$A:$DN,MATCH('ZM01'!$C27,Consulta!$D:$D,0),'ZM01'!G$2),""))</f>
        <v/>
      </c>
      <c r="H27" s="43" t="str">
        <f t="shared" si="56"/>
        <v/>
      </c>
      <c r="I27" s="44" t="s">
        <v>100</v>
      </c>
      <c r="J27" s="43" t="str">
        <f>IF(IFERROR(INDEX(Consulta!$A:$DN,MATCH('ZM01'!$C27,Consulta!$D:$D,0),'ZM01'!J$2),"")=0,"",IFERROR(INDEX(Consulta!$A:$DN,MATCH('ZM01'!$C27,Consulta!$D:$D,0),'ZM01'!J$2),""))</f>
        <v/>
      </c>
      <c r="K27" s="43" t="str">
        <f>IF(IFERROR(INDEX(Consulta!$A:$DN,MATCH('ZM01'!$C27,Consulta!$D:$D,0),'ZM01'!K$2),"")=0,"",IFERROR(INDEX(Consulta!$A:$DN,MATCH('ZM01'!$C27,Consulta!$D:$D,0),'ZM01'!K$2),""))</f>
        <v/>
      </c>
      <c r="L27" s="43" t="str">
        <f t="shared" si="57"/>
        <v/>
      </c>
      <c r="M27" s="43" t="str">
        <f>IF(IFERROR(INDEX(Consulta!$A:$DN,MATCH('ZM01'!$C27,Consulta!$D:$D,0),'ZM01'!M$2),"")=0,"",IFERROR(INDEX(Consulta!$A:$DN,MATCH('ZM01'!$C27,Consulta!$D:$D,0),'ZM01'!M$2),""))</f>
        <v/>
      </c>
      <c r="N27" s="43" t="str">
        <f t="shared" si="58"/>
        <v/>
      </c>
      <c r="P27" s="45" t="s">
        <v>101</v>
      </c>
      <c r="Q27" s="45" t="s">
        <v>102</v>
      </c>
      <c r="R27" s="45" t="s">
        <v>103</v>
      </c>
      <c r="S27" s="45" t="s">
        <v>104</v>
      </c>
      <c r="T27" s="45" t="s">
        <v>105</v>
      </c>
      <c r="U27" s="45" t="s">
        <v>106</v>
      </c>
      <c r="V27" s="45" t="s">
        <v>107</v>
      </c>
      <c r="W27" s="45" t="s">
        <v>109</v>
      </c>
      <c r="X27" s="45" t="s">
        <v>110</v>
      </c>
      <c r="Y27" s="45"/>
      <c r="Z27" s="45"/>
      <c r="AA27" s="45" t="s">
        <v>112</v>
      </c>
      <c r="AB27" s="45" t="s">
        <v>113</v>
      </c>
      <c r="AC27" s="45" t="s">
        <v>114</v>
      </c>
      <c r="AD27" s="45" t="s">
        <v>115</v>
      </c>
      <c r="AE27" s="45" t="s">
        <v>117</v>
      </c>
      <c r="AF27" s="45" t="s">
        <v>118</v>
      </c>
      <c r="AG27" s="45" t="s">
        <v>119</v>
      </c>
      <c r="AH27" s="45" t="s">
        <v>120</v>
      </c>
      <c r="AI27" s="45" t="s">
        <v>121</v>
      </c>
      <c r="AJ27" s="45" t="s">
        <v>122</v>
      </c>
      <c r="AK27" s="45" t="s">
        <v>123</v>
      </c>
      <c r="AL27" s="45" t="s">
        <v>124</v>
      </c>
      <c r="AM27" s="45" t="s">
        <v>125</v>
      </c>
      <c r="AN27" s="45" t="s">
        <v>126</v>
      </c>
      <c r="AO27" s="45"/>
      <c r="AP27" s="45"/>
      <c r="AR27" s="44" t="s">
        <v>822</v>
      </c>
      <c r="AS27" s="43" t="str">
        <f>IF(IFERROR(INDEX(Consulta!$A:$DN,MATCH('ZM01'!$C27,Consulta!$D:$D,0),'ZM01'!AS$2),"")=0,"",IFERROR(INDEX(Consulta!$A:$DN,MATCH('ZM01'!$C27,Consulta!$D:$D,0),'ZM01'!AS$2),""))</f>
        <v/>
      </c>
      <c r="AT27" s="45"/>
      <c r="AU27" s="43" t="str">
        <f>IF(IFERROR(INDEX(Consulta!$A:$DN,MATCH('ZM01'!$C27,Consulta!$D:$D,0),'ZM01'!AU$2),"")=0,"",IFERROR(INDEX(Consulta!$A:$DN,MATCH('ZM01'!$C27,Consulta!$D:$D,0),'ZM01'!AU$2),""))</f>
        <v/>
      </c>
      <c r="AV27" s="43" t="str">
        <f>IF(IFERROR(INDEX(Consulta!$A:$DN,MATCH('ZM01'!$C27,Consulta!$D:$D,0),'ZM01'!AV$2),"")=0,"",IFERROR(INDEX(Consulta!$A:$DN,MATCH('ZM01'!$C27,Consulta!$D:$D,0),'ZM01'!AV$2),""))</f>
        <v/>
      </c>
      <c r="AW27" s="45"/>
      <c r="AX27" s="46" t="str">
        <f t="shared" ca="1" si="59"/>
        <v/>
      </c>
      <c r="AY27" s="47" t="s">
        <v>755</v>
      </c>
      <c r="AZ27" s="43" t="str">
        <f>IF(IFERROR(ROUND(INDEX(Consulta!$A:$DN,MATCH('ZM01'!$C27,Consulta!$D:$D,0),'ZM01'!AZ$2),3),"")=0,"",IFERROR(ROUND(INDEX(Consulta!$A:$DN,MATCH('ZM01'!$C27,Consulta!$D:$D,0),'ZM01'!AZ$2),3),""))</f>
        <v/>
      </c>
      <c r="BA27" s="43" t="str">
        <f t="shared" si="60"/>
        <v/>
      </c>
      <c r="BB27" s="48" t="s">
        <v>299</v>
      </c>
      <c r="BC27" s="48"/>
      <c r="BD27" s="43" t="str">
        <f>IF(IFERROR(INDEX(Consulta!$A:$DN,MATCH('ZM01'!$C27,Consulta!$D:$D,0),'ZM01'!BD$2),"")=0,"",IFERROR(INDEX(Consulta!$A:$DN,MATCH('ZM01'!$C27,Consulta!$D:$D,0),'ZM01'!BD$2),""))</f>
        <v/>
      </c>
      <c r="BE27" s="43" t="str">
        <f t="shared" si="61"/>
        <v/>
      </c>
      <c r="BF27" s="43" t="str">
        <f t="shared" si="62"/>
        <v/>
      </c>
      <c r="BG27" s="43" t="str">
        <f t="shared" si="63"/>
        <v/>
      </c>
      <c r="BH27" s="43" t="str">
        <f t="shared" si="64"/>
        <v>PC</v>
      </c>
      <c r="BI27" s="43" t="str">
        <f t="shared" si="65"/>
        <v/>
      </c>
      <c r="BJ27" s="43" t="str">
        <f t="shared" si="66"/>
        <v/>
      </c>
      <c r="BK27" s="43" t="str">
        <f t="shared" si="67"/>
        <v/>
      </c>
      <c r="BL27" s="43" t="str">
        <f t="shared" si="68"/>
        <v>PC</v>
      </c>
      <c r="BN27" s="44"/>
      <c r="BO27" s="44" t="s">
        <v>925</v>
      </c>
      <c r="BP27" s="43" t="str">
        <f>IF(OR(IFERROR(INDEX(Consulta!$A:$DN,MATCH('ZM01'!$C27,Consulta!$D:$D,0),'ZM01'!BP$2),"")=0,IFERROR(INDEX(Consulta!$A:$DN,MATCH('ZM01'!$C27,Consulta!$D:$D,0),'ZM01'!BP$2),"")=AR27),"",IFERROR(INDEX(Consulta!$A:$DN,MATCH('ZM01'!$C27,Consulta!$D:$D,0),'ZM01'!BP$2),""))</f>
        <v/>
      </c>
      <c r="BQ27" s="45">
        <v>99</v>
      </c>
      <c r="BR27" s="46" t="str">
        <f t="shared" ca="1" si="69"/>
        <v>24.05.2022</v>
      </c>
      <c r="BS27" s="49" t="str">
        <f t="shared" si="70"/>
        <v/>
      </c>
      <c r="BT27" s="50">
        <v>1</v>
      </c>
      <c r="BU27" s="50" t="s">
        <v>194</v>
      </c>
      <c r="BV27" s="90" t="str">
        <f t="shared" si="71"/>
        <v>01</v>
      </c>
      <c r="BW27" s="50" t="s">
        <v>755</v>
      </c>
      <c r="BX27" s="44">
        <v>1</v>
      </c>
      <c r="BY27" s="44" t="s">
        <v>372</v>
      </c>
      <c r="BZ27" s="50" t="s">
        <v>197</v>
      </c>
      <c r="CA27" s="50" t="s">
        <v>197</v>
      </c>
      <c r="CB27" s="43" t="str">
        <f>IF(IFERROR(INDEX(Consulta!$A:$DN,MATCH('ZM01'!$C27,Consulta!$D:$D,0),'ZM01'!CB$2),"")=0,"",IFERROR(INDEX(Consulta!$A:$DN,MATCH('ZM01'!$C27,Consulta!$D:$D,0),'ZM01'!CB$2),""))</f>
        <v/>
      </c>
      <c r="CC27" s="44" t="s">
        <v>392</v>
      </c>
      <c r="CD27" s="50">
        <v>0</v>
      </c>
      <c r="CE27" s="45" t="s">
        <v>403</v>
      </c>
      <c r="CF27" s="45" t="s">
        <v>84</v>
      </c>
      <c r="CG27" s="43" t="str">
        <f t="shared" si="72"/>
        <v/>
      </c>
      <c r="CH27" s="45" t="s">
        <v>430</v>
      </c>
      <c r="CI27" s="44">
        <v>0</v>
      </c>
      <c r="CJ27" s="43" t="str">
        <f t="shared" si="73"/>
        <v>E</v>
      </c>
      <c r="CK27" s="43" t="str">
        <f t="shared" si="74"/>
        <v/>
      </c>
      <c r="CL27" s="44">
        <v>2</v>
      </c>
      <c r="CM27" s="49" t="str">
        <f t="shared" si="75"/>
        <v/>
      </c>
      <c r="CN27" s="49" t="str">
        <f t="shared" si="76"/>
        <v/>
      </c>
      <c r="CO27" s="43" t="str">
        <f t="shared" si="77"/>
        <v/>
      </c>
      <c r="CP27" s="44">
        <v>1</v>
      </c>
      <c r="CQ27" s="50" t="s">
        <v>515</v>
      </c>
      <c r="CR27" s="44" t="s">
        <v>372</v>
      </c>
      <c r="CS27" s="44">
        <v>2</v>
      </c>
      <c r="CT27" s="44">
        <v>42</v>
      </c>
      <c r="CU27" s="44">
        <v>10</v>
      </c>
      <c r="CV27" s="43" t="str">
        <f t="shared" si="78"/>
        <v>K00_AO_</v>
      </c>
      <c r="CW27" s="43" t="str">
        <f t="shared" si="79"/>
        <v/>
      </c>
      <c r="CX27" s="43" t="str">
        <f t="shared" si="80"/>
        <v/>
      </c>
      <c r="CY27" s="44">
        <v>1</v>
      </c>
      <c r="CZ27" s="43" t="str">
        <f t="shared" si="81"/>
        <v/>
      </c>
      <c r="DA27" s="43" t="str">
        <f>IF(IFERROR(INDEX(Consulta!$A:$DN,MATCH('ZM01'!$C27,Consulta!$D:$D,0),'ZM01'!DA$2),"")=0,"",IFERROR(INDEX(Consulta!$A:$DN,MATCH('ZM01'!$C27,Consulta!$D:$D,0),'ZM01'!DA$2),""))</f>
        <v/>
      </c>
      <c r="DB27" s="43" t="str">
        <f>IF(IFERROR(INDEX(Consulta!$A:$DN,MATCH('ZM01'!$C27,Consulta!$D:$D,0),'ZM01'!DB$2),"")=0,"",IFERROR(INDEX(Consulta!$A:$DN,MATCH('ZM01'!$C27,Consulta!$D:$D,0),'ZM01'!DB$2),""))</f>
        <v/>
      </c>
      <c r="DC27" s="45">
        <v>0</v>
      </c>
      <c r="DD27" s="45">
        <v>0</v>
      </c>
      <c r="DE27" s="43" t="str">
        <f>IF(IFERROR(INDEX(Consulta!$A:$DN,MATCH('ZM01'!$C27,Consulta!$D:$D,0),'ZM01'!DE$2),"")=0,"",IFERROR(TEXT(VALUE(INDEX(Consulta!$A:$DN,MATCH('ZM01'!$C27,Consulta!$D:$D,0),'ZM01'!DE$2))/100,"0,00"),""))</f>
        <v/>
      </c>
      <c r="DG27" s="43">
        <f t="shared" si="82"/>
        <v>1</v>
      </c>
      <c r="DH27" s="43" t="str">
        <f>IF(IFERROR(INDEX(Consulta!$A:$DN,MATCH('ZM01'!$C27,Consulta!$D:$D,0),'ZM01'!DH$2),"")=0,"",IFERROR(VLOOKUP(INDEX(Consulta!$A:$DN,MATCH('ZM01'!$C27,Consulta!$D:$D,0),'ZM01'!DH$2),'Listas de Dados'!BU:BW,3,0),""))</f>
        <v/>
      </c>
      <c r="DI27" s="43" t="str">
        <f t="shared" ca="1" si="83"/>
        <v>24.05.2022</v>
      </c>
      <c r="DJ27" s="43" t="str">
        <f t="shared" si="84"/>
        <v>31.12.9999</v>
      </c>
      <c r="DL27" s="44">
        <v>1</v>
      </c>
      <c r="DM27" s="44" t="s">
        <v>1039</v>
      </c>
      <c r="DN27" s="44">
        <v>1</v>
      </c>
      <c r="DO27" s="43">
        <f t="shared" si="85"/>
        <v>1</v>
      </c>
      <c r="DP27" s="43" t="str">
        <f t="shared" si="86"/>
        <v>PC</v>
      </c>
      <c r="DQ27" s="43" t="str">
        <f t="shared" si="87"/>
        <v/>
      </c>
      <c r="DR27" s="44">
        <v>100</v>
      </c>
      <c r="DS27" s="71">
        <f t="shared" si="88"/>
        <v>1</v>
      </c>
      <c r="DT27" s="43">
        <f t="shared" si="89"/>
        <v>100</v>
      </c>
      <c r="DU27" s="44">
        <v>1</v>
      </c>
      <c r="DV27" s="44">
        <v>0</v>
      </c>
      <c r="DW27" s="44" t="s">
        <v>826</v>
      </c>
      <c r="DX27" s="45">
        <v>0</v>
      </c>
      <c r="DY27" s="44">
        <v>100</v>
      </c>
      <c r="DZ27" s="60"/>
    </row>
    <row r="28" spans="1:130" x14ac:dyDescent="0.2">
      <c r="A28" s="7" t="str">
        <f t="shared" si="2"/>
        <v>Execução 24</v>
      </c>
      <c r="B28" s="75"/>
      <c r="C28" s="85"/>
      <c r="D28" s="71" t="str">
        <f t="shared" si="54"/>
        <v/>
      </c>
      <c r="E28" s="71" t="str">
        <f t="shared" si="55"/>
        <v/>
      </c>
      <c r="F28" s="43" t="str">
        <f>IF(IFERROR(INDEX(Consulta!$A:$DN,MATCH('ZM01'!$C28,Consulta!$D:$D,0),'ZM01'!F$2),"")=0,"",IFERROR(INDEX(Consulta!$A:$DN,MATCH('ZM01'!$C28,Consulta!$D:$D,0),'ZM01'!F$2),""))</f>
        <v/>
      </c>
      <c r="G28" s="43" t="str">
        <f>IF(IFERROR(INDEX(Consulta!$A:$DN,MATCH('ZM01'!$C28,Consulta!$D:$D,0),'ZM01'!G$2),"")=0,"",IFERROR(INDEX(Consulta!$A:$DN,MATCH('ZM01'!$C28,Consulta!$D:$D,0),'ZM01'!G$2),""))</f>
        <v/>
      </c>
      <c r="H28" s="43" t="str">
        <f t="shared" si="56"/>
        <v/>
      </c>
      <c r="I28" s="44" t="s">
        <v>100</v>
      </c>
      <c r="J28" s="43" t="str">
        <f>IF(IFERROR(INDEX(Consulta!$A:$DN,MATCH('ZM01'!$C28,Consulta!$D:$D,0),'ZM01'!J$2),"")=0,"",IFERROR(INDEX(Consulta!$A:$DN,MATCH('ZM01'!$C28,Consulta!$D:$D,0),'ZM01'!J$2),""))</f>
        <v/>
      </c>
      <c r="K28" s="43" t="str">
        <f>IF(IFERROR(INDEX(Consulta!$A:$DN,MATCH('ZM01'!$C28,Consulta!$D:$D,0),'ZM01'!K$2),"")=0,"",IFERROR(INDEX(Consulta!$A:$DN,MATCH('ZM01'!$C28,Consulta!$D:$D,0),'ZM01'!K$2),""))</f>
        <v/>
      </c>
      <c r="L28" s="43" t="str">
        <f t="shared" si="57"/>
        <v/>
      </c>
      <c r="M28" s="43" t="str">
        <f>IF(IFERROR(INDEX(Consulta!$A:$DN,MATCH('ZM01'!$C28,Consulta!$D:$D,0),'ZM01'!M$2),"")=0,"",IFERROR(INDEX(Consulta!$A:$DN,MATCH('ZM01'!$C28,Consulta!$D:$D,0),'ZM01'!M$2),""))</f>
        <v/>
      </c>
      <c r="N28" s="43" t="str">
        <f t="shared" si="58"/>
        <v/>
      </c>
      <c r="P28" s="45" t="s">
        <v>101</v>
      </c>
      <c r="Q28" s="45" t="s">
        <v>102</v>
      </c>
      <c r="R28" s="45" t="s">
        <v>103</v>
      </c>
      <c r="S28" s="45" t="s">
        <v>104</v>
      </c>
      <c r="T28" s="45" t="s">
        <v>105</v>
      </c>
      <c r="U28" s="45" t="s">
        <v>106</v>
      </c>
      <c r="V28" s="45" t="s">
        <v>107</v>
      </c>
      <c r="W28" s="45" t="s">
        <v>109</v>
      </c>
      <c r="X28" s="45" t="s">
        <v>110</v>
      </c>
      <c r="Y28" s="45"/>
      <c r="Z28" s="45"/>
      <c r="AA28" s="45" t="s">
        <v>112</v>
      </c>
      <c r="AB28" s="45" t="s">
        <v>113</v>
      </c>
      <c r="AC28" s="45" t="s">
        <v>114</v>
      </c>
      <c r="AD28" s="45" t="s">
        <v>115</v>
      </c>
      <c r="AE28" s="45" t="s">
        <v>117</v>
      </c>
      <c r="AF28" s="45" t="s">
        <v>118</v>
      </c>
      <c r="AG28" s="45" t="s">
        <v>119</v>
      </c>
      <c r="AH28" s="45" t="s">
        <v>120</v>
      </c>
      <c r="AI28" s="45" t="s">
        <v>121</v>
      </c>
      <c r="AJ28" s="45" t="s">
        <v>122</v>
      </c>
      <c r="AK28" s="45" t="s">
        <v>123</v>
      </c>
      <c r="AL28" s="45" t="s">
        <v>124</v>
      </c>
      <c r="AM28" s="45" t="s">
        <v>125</v>
      </c>
      <c r="AN28" s="45" t="s">
        <v>126</v>
      </c>
      <c r="AO28" s="45"/>
      <c r="AP28" s="45"/>
      <c r="AR28" s="44" t="s">
        <v>822</v>
      </c>
      <c r="AS28" s="43" t="str">
        <f>IF(IFERROR(INDEX(Consulta!$A:$DN,MATCH('ZM01'!$C28,Consulta!$D:$D,0),'ZM01'!AS$2),"")=0,"",IFERROR(INDEX(Consulta!$A:$DN,MATCH('ZM01'!$C28,Consulta!$D:$D,0),'ZM01'!AS$2),""))</f>
        <v/>
      </c>
      <c r="AT28" s="45"/>
      <c r="AU28" s="43" t="str">
        <f>IF(IFERROR(INDEX(Consulta!$A:$DN,MATCH('ZM01'!$C28,Consulta!$D:$D,0),'ZM01'!AU$2),"")=0,"",IFERROR(INDEX(Consulta!$A:$DN,MATCH('ZM01'!$C28,Consulta!$D:$D,0),'ZM01'!AU$2),""))</f>
        <v/>
      </c>
      <c r="AV28" s="43" t="str">
        <f>IF(IFERROR(INDEX(Consulta!$A:$DN,MATCH('ZM01'!$C28,Consulta!$D:$D,0),'ZM01'!AV$2),"")=0,"",IFERROR(INDEX(Consulta!$A:$DN,MATCH('ZM01'!$C28,Consulta!$D:$D,0),'ZM01'!AV$2),""))</f>
        <v/>
      </c>
      <c r="AW28" s="45"/>
      <c r="AX28" s="46" t="str">
        <f t="shared" ca="1" si="59"/>
        <v/>
      </c>
      <c r="AY28" s="47" t="s">
        <v>755</v>
      </c>
      <c r="AZ28" s="43" t="str">
        <f>IF(IFERROR(ROUND(INDEX(Consulta!$A:$DN,MATCH('ZM01'!$C28,Consulta!$D:$D,0),'ZM01'!AZ$2),3),"")=0,"",IFERROR(ROUND(INDEX(Consulta!$A:$DN,MATCH('ZM01'!$C28,Consulta!$D:$D,0),'ZM01'!AZ$2),3),""))</f>
        <v/>
      </c>
      <c r="BA28" s="43" t="str">
        <f t="shared" si="60"/>
        <v/>
      </c>
      <c r="BB28" s="48" t="s">
        <v>299</v>
      </c>
      <c r="BC28" s="48"/>
      <c r="BD28" s="43" t="str">
        <f>IF(IFERROR(INDEX(Consulta!$A:$DN,MATCH('ZM01'!$C28,Consulta!$D:$D,0),'ZM01'!BD$2),"")=0,"",IFERROR(INDEX(Consulta!$A:$DN,MATCH('ZM01'!$C28,Consulta!$D:$D,0),'ZM01'!BD$2),""))</f>
        <v/>
      </c>
      <c r="BE28" s="43" t="str">
        <f t="shared" si="61"/>
        <v/>
      </c>
      <c r="BF28" s="43" t="str">
        <f t="shared" si="62"/>
        <v/>
      </c>
      <c r="BG28" s="43" t="str">
        <f t="shared" si="63"/>
        <v/>
      </c>
      <c r="BH28" s="43" t="str">
        <f t="shared" si="64"/>
        <v>PC</v>
      </c>
      <c r="BI28" s="43" t="str">
        <f t="shared" si="65"/>
        <v/>
      </c>
      <c r="BJ28" s="43" t="str">
        <f t="shared" si="66"/>
        <v/>
      </c>
      <c r="BK28" s="43" t="str">
        <f t="shared" si="67"/>
        <v/>
      </c>
      <c r="BL28" s="43" t="str">
        <f t="shared" si="68"/>
        <v>PC</v>
      </c>
      <c r="BN28" s="44"/>
      <c r="BO28" s="44" t="s">
        <v>925</v>
      </c>
      <c r="BP28" s="43" t="str">
        <f>IF(OR(IFERROR(INDEX(Consulta!$A:$DN,MATCH('ZM01'!$C28,Consulta!$D:$D,0),'ZM01'!BP$2),"")=0,IFERROR(INDEX(Consulta!$A:$DN,MATCH('ZM01'!$C28,Consulta!$D:$D,0),'ZM01'!BP$2),"")=AR28),"",IFERROR(INDEX(Consulta!$A:$DN,MATCH('ZM01'!$C28,Consulta!$D:$D,0),'ZM01'!BP$2),""))</f>
        <v/>
      </c>
      <c r="BQ28" s="45">
        <v>99</v>
      </c>
      <c r="BR28" s="46" t="str">
        <f t="shared" ca="1" si="69"/>
        <v>24.05.2022</v>
      </c>
      <c r="BS28" s="49" t="str">
        <f t="shared" si="70"/>
        <v/>
      </c>
      <c r="BT28" s="50">
        <v>1</v>
      </c>
      <c r="BU28" s="50" t="s">
        <v>194</v>
      </c>
      <c r="BV28" s="90" t="str">
        <f t="shared" si="71"/>
        <v>01</v>
      </c>
      <c r="BW28" s="50" t="s">
        <v>755</v>
      </c>
      <c r="BX28" s="44">
        <v>1</v>
      </c>
      <c r="BY28" s="44" t="s">
        <v>372</v>
      </c>
      <c r="BZ28" s="50" t="s">
        <v>197</v>
      </c>
      <c r="CA28" s="50" t="s">
        <v>197</v>
      </c>
      <c r="CB28" s="43" t="str">
        <f>IF(IFERROR(INDEX(Consulta!$A:$DN,MATCH('ZM01'!$C28,Consulta!$D:$D,0),'ZM01'!CB$2),"")=0,"",IFERROR(INDEX(Consulta!$A:$DN,MATCH('ZM01'!$C28,Consulta!$D:$D,0),'ZM01'!CB$2),""))</f>
        <v/>
      </c>
      <c r="CC28" s="44" t="s">
        <v>392</v>
      </c>
      <c r="CD28" s="50">
        <v>0</v>
      </c>
      <c r="CE28" s="45" t="s">
        <v>403</v>
      </c>
      <c r="CF28" s="45" t="s">
        <v>84</v>
      </c>
      <c r="CG28" s="43" t="str">
        <f t="shared" si="72"/>
        <v/>
      </c>
      <c r="CH28" s="45" t="s">
        <v>430</v>
      </c>
      <c r="CI28" s="44">
        <v>0</v>
      </c>
      <c r="CJ28" s="43" t="str">
        <f t="shared" si="73"/>
        <v>E</v>
      </c>
      <c r="CK28" s="43" t="str">
        <f t="shared" si="74"/>
        <v/>
      </c>
      <c r="CL28" s="44">
        <v>2</v>
      </c>
      <c r="CM28" s="49" t="str">
        <f t="shared" si="75"/>
        <v/>
      </c>
      <c r="CN28" s="49" t="str">
        <f t="shared" si="76"/>
        <v/>
      </c>
      <c r="CO28" s="43" t="str">
        <f t="shared" si="77"/>
        <v/>
      </c>
      <c r="CP28" s="44">
        <v>1</v>
      </c>
      <c r="CQ28" s="50" t="s">
        <v>515</v>
      </c>
      <c r="CR28" s="44" t="s">
        <v>372</v>
      </c>
      <c r="CS28" s="44">
        <v>2</v>
      </c>
      <c r="CT28" s="44">
        <v>42</v>
      </c>
      <c r="CU28" s="44">
        <v>10</v>
      </c>
      <c r="CV28" s="43" t="str">
        <f t="shared" si="78"/>
        <v>K00_AO_</v>
      </c>
      <c r="CW28" s="43" t="str">
        <f t="shared" si="79"/>
        <v/>
      </c>
      <c r="CX28" s="43" t="str">
        <f t="shared" si="80"/>
        <v/>
      </c>
      <c r="CY28" s="44">
        <v>1</v>
      </c>
      <c r="CZ28" s="43" t="str">
        <f t="shared" si="81"/>
        <v/>
      </c>
      <c r="DA28" s="43" t="str">
        <f>IF(IFERROR(INDEX(Consulta!$A:$DN,MATCH('ZM01'!$C28,Consulta!$D:$D,0),'ZM01'!DA$2),"")=0,"",IFERROR(INDEX(Consulta!$A:$DN,MATCH('ZM01'!$C28,Consulta!$D:$D,0),'ZM01'!DA$2),""))</f>
        <v/>
      </c>
      <c r="DB28" s="43" t="str">
        <f>IF(IFERROR(INDEX(Consulta!$A:$DN,MATCH('ZM01'!$C28,Consulta!$D:$D,0),'ZM01'!DB$2),"")=0,"",IFERROR(INDEX(Consulta!$A:$DN,MATCH('ZM01'!$C28,Consulta!$D:$D,0),'ZM01'!DB$2),""))</f>
        <v/>
      </c>
      <c r="DC28" s="45">
        <v>0</v>
      </c>
      <c r="DD28" s="45">
        <v>0</v>
      </c>
      <c r="DE28" s="43" t="str">
        <f>IF(IFERROR(INDEX(Consulta!$A:$DN,MATCH('ZM01'!$C28,Consulta!$D:$D,0),'ZM01'!DE$2),"")=0,"",IFERROR(TEXT(VALUE(INDEX(Consulta!$A:$DN,MATCH('ZM01'!$C28,Consulta!$D:$D,0),'ZM01'!DE$2))/100,"0,00"),""))</f>
        <v/>
      </c>
      <c r="DG28" s="43">
        <f t="shared" si="82"/>
        <v>1</v>
      </c>
      <c r="DH28" s="43" t="str">
        <f>IF(IFERROR(INDEX(Consulta!$A:$DN,MATCH('ZM01'!$C28,Consulta!$D:$D,0),'ZM01'!DH$2),"")=0,"",IFERROR(VLOOKUP(INDEX(Consulta!$A:$DN,MATCH('ZM01'!$C28,Consulta!$D:$D,0),'ZM01'!DH$2),'Listas de Dados'!BU:BW,3,0),""))</f>
        <v/>
      </c>
      <c r="DI28" s="43" t="str">
        <f t="shared" ca="1" si="83"/>
        <v>24.05.2022</v>
      </c>
      <c r="DJ28" s="43" t="str">
        <f t="shared" si="84"/>
        <v>31.12.9999</v>
      </c>
      <c r="DL28" s="44">
        <v>1</v>
      </c>
      <c r="DM28" s="44" t="s">
        <v>1039</v>
      </c>
      <c r="DN28" s="44">
        <v>1</v>
      </c>
      <c r="DO28" s="43">
        <f t="shared" si="85"/>
        <v>1</v>
      </c>
      <c r="DP28" s="43" t="str">
        <f t="shared" si="86"/>
        <v>PC</v>
      </c>
      <c r="DQ28" s="43" t="str">
        <f t="shared" si="87"/>
        <v/>
      </c>
      <c r="DR28" s="44">
        <v>100</v>
      </c>
      <c r="DS28" s="71">
        <f t="shared" si="88"/>
        <v>1</v>
      </c>
      <c r="DT28" s="43">
        <f t="shared" si="89"/>
        <v>100</v>
      </c>
      <c r="DU28" s="44">
        <v>1</v>
      </c>
      <c r="DV28" s="44">
        <v>0</v>
      </c>
      <c r="DW28" s="44" t="s">
        <v>826</v>
      </c>
      <c r="DX28" s="45">
        <v>0</v>
      </c>
      <c r="DY28" s="44">
        <v>100</v>
      </c>
      <c r="DZ28" s="61"/>
    </row>
    <row r="29" spans="1:130" x14ac:dyDescent="0.2">
      <c r="A29" s="7" t="str">
        <f t="shared" si="2"/>
        <v>Execução 25</v>
      </c>
      <c r="B29" s="79"/>
      <c r="C29" s="85"/>
      <c r="D29" s="71" t="str">
        <f t="shared" si="54"/>
        <v/>
      </c>
      <c r="E29" s="71" t="str">
        <f t="shared" si="55"/>
        <v/>
      </c>
      <c r="F29" s="43" t="str">
        <f>IF(IFERROR(INDEX(Consulta!$A:$DN,MATCH('ZM01'!$C29,Consulta!$D:$D,0),'ZM01'!F$2),"")=0,"",IFERROR(INDEX(Consulta!$A:$DN,MATCH('ZM01'!$C29,Consulta!$D:$D,0),'ZM01'!F$2),""))</f>
        <v/>
      </c>
      <c r="G29" s="43" t="str">
        <f>IF(IFERROR(INDEX(Consulta!$A:$DN,MATCH('ZM01'!$C29,Consulta!$D:$D,0),'ZM01'!G$2),"")=0,"",IFERROR(INDEX(Consulta!$A:$DN,MATCH('ZM01'!$C29,Consulta!$D:$D,0),'ZM01'!G$2),""))</f>
        <v/>
      </c>
      <c r="H29" s="43" t="str">
        <f t="shared" si="56"/>
        <v/>
      </c>
      <c r="I29" s="44" t="s">
        <v>100</v>
      </c>
      <c r="J29" s="43" t="str">
        <f>IF(IFERROR(INDEX(Consulta!$A:$DN,MATCH('ZM01'!$C29,Consulta!$D:$D,0),'ZM01'!J$2),"")=0,"",IFERROR(INDEX(Consulta!$A:$DN,MATCH('ZM01'!$C29,Consulta!$D:$D,0),'ZM01'!J$2),""))</f>
        <v/>
      </c>
      <c r="K29" s="43" t="str">
        <f>IF(IFERROR(INDEX(Consulta!$A:$DN,MATCH('ZM01'!$C29,Consulta!$D:$D,0),'ZM01'!K$2),"")=0,"",IFERROR(INDEX(Consulta!$A:$DN,MATCH('ZM01'!$C29,Consulta!$D:$D,0),'ZM01'!K$2),""))</f>
        <v/>
      </c>
      <c r="L29" s="43" t="str">
        <f t="shared" si="57"/>
        <v/>
      </c>
      <c r="M29" s="43" t="str">
        <f>IF(IFERROR(INDEX(Consulta!$A:$DN,MATCH('ZM01'!$C29,Consulta!$D:$D,0),'ZM01'!M$2),"")=0,"",IFERROR(INDEX(Consulta!$A:$DN,MATCH('ZM01'!$C29,Consulta!$D:$D,0),'ZM01'!M$2),""))</f>
        <v/>
      </c>
      <c r="N29" s="43" t="str">
        <f t="shared" si="58"/>
        <v/>
      </c>
      <c r="P29" s="45" t="s">
        <v>101</v>
      </c>
      <c r="Q29" s="45" t="s">
        <v>102</v>
      </c>
      <c r="R29" s="45" t="s">
        <v>103</v>
      </c>
      <c r="S29" s="45" t="s">
        <v>104</v>
      </c>
      <c r="T29" s="45" t="s">
        <v>105</v>
      </c>
      <c r="U29" s="45" t="s">
        <v>106</v>
      </c>
      <c r="V29" s="45" t="s">
        <v>107</v>
      </c>
      <c r="W29" s="45" t="s">
        <v>109</v>
      </c>
      <c r="X29" s="45" t="s">
        <v>110</v>
      </c>
      <c r="Y29" s="45"/>
      <c r="Z29" s="45"/>
      <c r="AA29" s="45" t="s">
        <v>112</v>
      </c>
      <c r="AB29" s="45" t="s">
        <v>113</v>
      </c>
      <c r="AC29" s="45" t="s">
        <v>114</v>
      </c>
      <c r="AD29" s="45" t="s">
        <v>115</v>
      </c>
      <c r="AE29" s="45" t="s">
        <v>117</v>
      </c>
      <c r="AF29" s="45" t="s">
        <v>118</v>
      </c>
      <c r="AG29" s="45" t="s">
        <v>119</v>
      </c>
      <c r="AH29" s="45" t="s">
        <v>120</v>
      </c>
      <c r="AI29" s="45" t="s">
        <v>121</v>
      </c>
      <c r="AJ29" s="45" t="s">
        <v>122</v>
      </c>
      <c r="AK29" s="45" t="s">
        <v>123</v>
      </c>
      <c r="AL29" s="45" t="s">
        <v>124</v>
      </c>
      <c r="AM29" s="45" t="s">
        <v>125</v>
      </c>
      <c r="AN29" s="45" t="s">
        <v>126</v>
      </c>
      <c r="AO29" s="45"/>
      <c r="AP29" s="45"/>
      <c r="AR29" s="44" t="s">
        <v>822</v>
      </c>
      <c r="AS29" s="43" t="str">
        <f>IF(IFERROR(INDEX(Consulta!$A:$DN,MATCH('ZM01'!$C29,Consulta!$D:$D,0),'ZM01'!AS$2),"")=0,"",IFERROR(INDEX(Consulta!$A:$DN,MATCH('ZM01'!$C29,Consulta!$D:$D,0),'ZM01'!AS$2),""))</f>
        <v/>
      </c>
      <c r="AT29" s="45"/>
      <c r="AU29" s="43" t="str">
        <f>IF(IFERROR(INDEX(Consulta!$A:$DN,MATCH('ZM01'!$C29,Consulta!$D:$D,0),'ZM01'!AU$2),"")=0,"",IFERROR(INDEX(Consulta!$A:$DN,MATCH('ZM01'!$C29,Consulta!$D:$D,0),'ZM01'!AU$2),""))</f>
        <v/>
      </c>
      <c r="AV29" s="43" t="str">
        <f>IF(IFERROR(INDEX(Consulta!$A:$DN,MATCH('ZM01'!$C29,Consulta!$D:$D,0),'ZM01'!AV$2),"")=0,"",IFERROR(INDEX(Consulta!$A:$DN,MATCH('ZM01'!$C29,Consulta!$D:$D,0),'ZM01'!AV$2),""))</f>
        <v/>
      </c>
      <c r="AW29" s="45"/>
      <c r="AX29" s="46" t="str">
        <f t="shared" ca="1" si="59"/>
        <v/>
      </c>
      <c r="AY29" s="47" t="s">
        <v>755</v>
      </c>
      <c r="AZ29" s="43" t="str">
        <f>IF(IFERROR(ROUND(INDEX(Consulta!$A:$DN,MATCH('ZM01'!$C29,Consulta!$D:$D,0),'ZM01'!AZ$2),3),"")=0,"",IFERROR(ROUND(INDEX(Consulta!$A:$DN,MATCH('ZM01'!$C29,Consulta!$D:$D,0),'ZM01'!AZ$2),3),""))</f>
        <v/>
      </c>
      <c r="BA29" s="43" t="str">
        <f t="shared" si="60"/>
        <v/>
      </c>
      <c r="BB29" s="48" t="s">
        <v>299</v>
      </c>
      <c r="BC29" s="48"/>
      <c r="BD29" s="43" t="str">
        <f>IF(IFERROR(INDEX(Consulta!$A:$DN,MATCH('ZM01'!$C29,Consulta!$D:$D,0),'ZM01'!BD$2),"")=0,"",IFERROR(INDEX(Consulta!$A:$DN,MATCH('ZM01'!$C29,Consulta!$D:$D,0),'ZM01'!BD$2),""))</f>
        <v/>
      </c>
      <c r="BE29" s="43" t="str">
        <f t="shared" si="61"/>
        <v/>
      </c>
      <c r="BF29" s="43" t="str">
        <f t="shared" si="62"/>
        <v/>
      </c>
      <c r="BG29" s="43" t="str">
        <f t="shared" si="63"/>
        <v/>
      </c>
      <c r="BH29" s="43" t="str">
        <f t="shared" si="64"/>
        <v>PC</v>
      </c>
      <c r="BI29" s="43" t="str">
        <f t="shared" si="65"/>
        <v/>
      </c>
      <c r="BJ29" s="43" t="str">
        <f t="shared" si="66"/>
        <v/>
      </c>
      <c r="BK29" s="43" t="str">
        <f t="shared" si="67"/>
        <v/>
      </c>
      <c r="BL29" s="43" t="str">
        <f t="shared" si="68"/>
        <v>PC</v>
      </c>
      <c r="BN29" s="44"/>
      <c r="BO29" s="44" t="s">
        <v>925</v>
      </c>
      <c r="BP29" s="43" t="str">
        <f>IF(OR(IFERROR(INDEX(Consulta!$A:$DN,MATCH('ZM01'!$C29,Consulta!$D:$D,0),'ZM01'!BP$2),"")=0,IFERROR(INDEX(Consulta!$A:$DN,MATCH('ZM01'!$C29,Consulta!$D:$D,0),'ZM01'!BP$2),"")=AR29),"",IFERROR(INDEX(Consulta!$A:$DN,MATCH('ZM01'!$C29,Consulta!$D:$D,0),'ZM01'!BP$2),""))</f>
        <v/>
      </c>
      <c r="BQ29" s="45">
        <v>99</v>
      </c>
      <c r="BR29" s="46" t="str">
        <f t="shared" ca="1" si="69"/>
        <v>24.05.2022</v>
      </c>
      <c r="BS29" s="49" t="str">
        <f t="shared" si="70"/>
        <v/>
      </c>
      <c r="BT29" s="50">
        <v>1</v>
      </c>
      <c r="BU29" s="50" t="s">
        <v>194</v>
      </c>
      <c r="BV29" s="90" t="str">
        <f t="shared" si="71"/>
        <v>01</v>
      </c>
      <c r="BW29" s="50" t="s">
        <v>755</v>
      </c>
      <c r="BX29" s="44">
        <v>1</v>
      </c>
      <c r="BY29" s="44" t="s">
        <v>372</v>
      </c>
      <c r="BZ29" s="50" t="s">
        <v>197</v>
      </c>
      <c r="CA29" s="50" t="s">
        <v>197</v>
      </c>
      <c r="CB29" s="43" t="str">
        <f>IF(IFERROR(INDEX(Consulta!$A:$DN,MATCH('ZM01'!$C29,Consulta!$D:$D,0),'ZM01'!CB$2),"")=0,"",IFERROR(INDEX(Consulta!$A:$DN,MATCH('ZM01'!$C29,Consulta!$D:$D,0),'ZM01'!CB$2),""))</f>
        <v/>
      </c>
      <c r="CC29" s="44" t="s">
        <v>392</v>
      </c>
      <c r="CD29" s="50">
        <v>0</v>
      </c>
      <c r="CE29" s="45" t="s">
        <v>403</v>
      </c>
      <c r="CF29" s="45" t="s">
        <v>84</v>
      </c>
      <c r="CG29" s="43" t="str">
        <f t="shared" si="72"/>
        <v/>
      </c>
      <c r="CH29" s="45" t="s">
        <v>430</v>
      </c>
      <c r="CI29" s="44">
        <v>0</v>
      </c>
      <c r="CJ29" s="43" t="str">
        <f t="shared" si="73"/>
        <v>E</v>
      </c>
      <c r="CK29" s="43" t="str">
        <f t="shared" si="74"/>
        <v/>
      </c>
      <c r="CL29" s="44">
        <v>2</v>
      </c>
      <c r="CM29" s="49" t="str">
        <f t="shared" si="75"/>
        <v/>
      </c>
      <c r="CN29" s="49" t="str">
        <f t="shared" si="76"/>
        <v/>
      </c>
      <c r="CO29" s="43" t="str">
        <f t="shared" si="77"/>
        <v/>
      </c>
      <c r="CP29" s="44">
        <v>1</v>
      </c>
      <c r="CQ29" s="50" t="s">
        <v>515</v>
      </c>
      <c r="CR29" s="44" t="s">
        <v>372</v>
      </c>
      <c r="CS29" s="44">
        <v>2</v>
      </c>
      <c r="CT29" s="44">
        <v>42</v>
      </c>
      <c r="CU29" s="44">
        <v>10</v>
      </c>
      <c r="CV29" s="43" t="str">
        <f t="shared" si="78"/>
        <v>K00_AO_</v>
      </c>
      <c r="CW29" s="43" t="str">
        <f t="shared" si="79"/>
        <v/>
      </c>
      <c r="CX29" s="43" t="str">
        <f t="shared" si="80"/>
        <v/>
      </c>
      <c r="CY29" s="44">
        <v>1</v>
      </c>
      <c r="CZ29" s="43" t="str">
        <f t="shared" si="81"/>
        <v/>
      </c>
      <c r="DA29" s="43" t="str">
        <f>IF(IFERROR(INDEX(Consulta!$A:$DN,MATCH('ZM01'!$C29,Consulta!$D:$D,0),'ZM01'!DA$2),"")=0,"",IFERROR(INDEX(Consulta!$A:$DN,MATCH('ZM01'!$C29,Consulta!$D:$D,0),'ZM01'!DA$2),""))</f>
        <v/>
      </c>
      <c r="DB29" s="43" t="str">
        <f>IF(IFERROR(INDEX(Consulta!$A:$DN,MATCH('ZM01'!$C29,Consulta!$D:$D,0),'ZM01'!DB$2),"")=0,"",IFERROR(INDEX(Consulta!$A:$DN,MATCH('ZM01'!$C29,Consulta!$D:$D,0),'ZM01'!DB$2),""))</f>
        <v/>
      </c>
      <c r="DC29" s="45">
        <v>0</v>
      </c>
      <c r="DD29" s="45">
        <v>0</v>
      </c>
      <c r="DE29" s="43" t="str">
        <f>IF(IFERROR(INDEX(Consulta!$A:$DN,MATCH('ZM01'!$C29,Consulta!$D:$D,0),'ZM01'!DE$2),"")=0,"",IFERROR(TEXT(VALUE(INDEX(Consulta!$A:$DN,MATCH('ZM01'!$C29,Consulta!$D:$D,0),'ZM01'!DE$2))/100,"0,00"),""))</f>
        <v/>
      </c>
      <c r="DG29" s="43">
        <f t="shared" si="82"/>
        <v>1</v>
      </c>
      <c r="DH29" s="43" t="str">
        <f>IF(IFERROR(INDEX(Consulta!$A:$DN,MATCH('ZM01'!$C29,Consulta!$D:$D,0),'ZM01'!DH$2),"")=0,"",IFERROR(VLOOKUP(INDEX(Consulta!$A:$DN,MATCH('ZM01'!$C29,Consulta!$D:$D,0),'ZM01'!DH$2),'Listas de Dados'!BU:BW,3,0),""))</f>
        <v/>
      </c>
      <c r="DI29" s="43" t="str">
        <f t="shared" ca="1" si="83"/>
        <v>24.05.2022</v>
      </c>
      <c r="DJ29" s="43" t="str">
        <f t="shared" si="84"/>
        <v>31.12.9999</v>
      </c>
      <c r="DL29" s="44">
        <v>1</v>
      </c>
      <c r="DM29" s="44" t="s">
        <v>1039</v>
      </c>
      <c r="DN29" s="44">
        <v>1</v>
      </c>
      <c r="DO29" s="43">
        <f t="shared" si="85"/>
        <v>1</v>
      </c>
      <c r="DP29" s="43" t="str">
        <f t="shared" si="86"/>
        <v>PC</v>
      </c>
      <c r="DQ29" s="43" t="str">
        <f t="shared" si="87"/>
        <v/>
      </c>
      <c r="DR29" s="44">
        <v>100</v>
      </c>
      <c r="DS29" s="71">
        <f t="shared" si="88"/>
        <v>1</v>
      </c>
      <c r="DT29" s="43">
        <f t="shared" si="89"/>
        <v>100</v>
      </c>
      <c r="DU29" s="44">
        <v>1</v>
      </c>
      <c r="DV29" s="44">
        <v>0</v>
      </c>
      <c r="DW29" s="44" t="s">
        <v>826</v>
      </c>
      <c r="DX29" s="45">
        <v>0</v>
      </c>
      <c r="DY29" s="44">
        <v>100</v>
      </c>
      <c r="DZ29" s="60"/>
    </row>
    <row r="30" spans="1:130" x14ac:dyDescent="0.2">
      <c r="A30" s="7" t="str">
        <f t="shared" si="2"/>
        <v>Execução 26</v>
      </c>
      <c r="B30" s="75"/>
      <c r="C30" s="85"/>
      <c r="D30" s="71" t="str">
        <f t="shared" si="54"/>
        <v/>
      </c>
      <c r="E30" s="71" t="str">
        <f t="shared" si="55"/>
        <v/>
      </c>
      <c r="F30" s="43" t="str">
        <f>IF(IFERROR(INDEX(Consulta!$A:$DN,MATCH('ZM01'!$C30,Consulta!$D:$D,0),'ZM01'!F$2),"")=0,"",IFERROR(INDEX(Consulta!$A:$DN,MATCH('ZM01'!$C30,Consulta!$D:$D,0),'ZM01'!F$2),""))</f>
        <v/>
      </c>
      <c r="G30" s="43" t="str">
        <f>IF(IFERROR(INDEX(Consulta!$A:$DN,MATCH('ZM01'!$C30,Consulta!$D:$D,0),'ZM01'!G$2),"")=0,"",IFERROR(INDEX(Consulta!$A:$DN,MATCH('ZM01'!$C30,Consulta!$D:$D,0),'ZM01'!G$2),""))</f>
        <v/>
      </c>
      <c r="H30" s="43" t="str">
        <f t="shared" si="56"/>
        <v/>
      </c>
      <c r="I30" s="44" t="s">
        <v>100</v>
      </c>
      <c r="J30" s="43" t="str">
        <f>IF(IFERROR(INDEX(Consulta!$A:$DN,MATCH('ZM01'!$C30,Consulta!$D:$D,0),'ZM01'!J$2),"")=0,"",IFERROR(INDEX(Consulta!$A:$DN,MATCH('ZM01'!$C30,Consulta!$D:$D,0),'ZM01'!J$2),""))</f>
        <v/>
      </c>
      <c r="K30" s="43" t="str">
        <f>IF(IFERROR(INDEX(Consulta!$A:$DN,MATCH('ZM01'!$C30,Consulta!$D:$D,0),'ZM01'!K$2),"")=0,"",IFERROR(INDEX(Consulta!$A:$DN,MATCH('ZM01'!$C30,Consulta!$D:$D,0),'ZM01'!K$2),""))</f>
        <v/>
      </c>
      <c r="L30" s="43" t="str">
        <f t="shared" si="57"/>
        <v/>
      </c>
      <c r="M30" s="43" t="str">
        <f>IF(IFERROR(INDEX(Consulta!$A:$DN,MATCH('ZM01'!$C30,Consulta!$D:$D,0),'ZM01'!M$2),"")=0,"",IFERROR(INDEX(Consulta!$A:$DN,MATCH('ZM01'!$C30,Consulta!$D:$D,0),'ZM01'!M$2),""))</f>
        <v/>
      </c>
      <c r="N30" s="43" t="str">
        <f t="shared" si="58"/>
        <v/>
      </c>
      <c r="P30" s="45" t="s">
        <v>101</v>
      </c>
      <c r="Q30" s="45" t="s">
        <v>102</v>
      </c>
      <c r="R30" s="45" t="s">
        <v>103</v>
      </c>
      <c r="S30" s="45" t="s">
        <v>104</v>
      </c>
      <c r="T30" s="45" t="s">
        <v>105</v>
      </c>
      <c r="U30" s="45" t="s">
        <v>106</v>
      </c>
      <c r="V30" s="45" t="s">
        <v>107</v>
      </c>
      <c r="W30" s="45" t="s">
        <v>109</v>
      </c>
      <c r="X30" s="45" t="s">
        <v>110</v>
      </c>
      <c r="Y30" s="45"/>
      <c r="Z30" s="45"/>
      <c r="AA30" s="45" t="s">
        <v>112</v>
      </c>
      <c r="AB30" s="45" t="s">
        <v>113</v>
      </c>
      <c r="AC30" s="45" t="s">
        <v>114</v>
      </c>
      <c r="AD30" s="45" t="s">
        <v>115</v>
      </c>
      <c r="AE30" s="45" t="s">
        <v>117</v>
      </c>
      <c r="AF30" s="45" t="s">
        <v>118</v>
      </c>
      <c r="AG30" s="45" t="s">
        <v>119</v>
      </c>
      <c r="AH30" s="45" t="s">
        <v>120</v>
      </c>
      <c r="AI30" s="45" t="s">
        <v>121</v>
      </c>
      <c r="AJ30" s="45" t="s">
        <v>122</v>
      </c>
      <c r="AK30" s="45" t="s">
        <v>123</v>
      </c>
      <c r="AL30" s="45" t="s">
        <v>124</v>
      </c>
      <c r="AM30" s="45" t="s">
        <v>125</v>
      </c>
      <c r="AN30" s="45" t="s">
        <v>126</v>
      </c>
      <c r="AO30" s="45"/>
      <c r="AP30" s="45"/>
      <c r="AR30" s="44" t="s">
        <v>822</v>
      </c>
      <c r="AS30" s="43" t="str">
        <f>IF(IFERROR(INDEX(Consulta!$A:$DN,MATCH('ZM01'!$C30,Consulta!$D:$D,0),'ZM01'!AS$2),"")=0,"",IFERROR(INDEX(Consulta!$A:$DN,MATCH('ZM01'!$C30,Consulta!$D:$D,0),'ZM01'!AS$2),""))</f>
        <v/>
      </c>
      <c r="AT30" s="45"/>
      <c r="AU30" s="43" t="str">
        <f>IF(IFERROR(INDEX(Consulta!$A:$DN,MATCH('ZM01'!$C30,Consulta!$D:$D,0),'ZM01'!AU$2),"")=0,"",IFERROR(INDEX(Consulta!$A:$DN,MATCH('ZM01'!$C30,Consulta!$D:$D,0),'ZM01'!AU$2),""))</f>
        <v/>
      </c>
      <c r="AV30" s="43" t="str">
        <f>IF(IFERROR(INDEX(Consulta!$A:$DN,MATCH('ZM01'!$C30,Consulta!$D:$D,0),'ZM01'!AV$2),"")=0,"",IFERROR(INDEX(Consulta!$A:$DN,MATCH('ZM01'!$C30,Consulta!$D:$D,0),'ZM01'!AV$2),""))</f>
        <v/>
      </c>
      <c r="AW30" s="45"/>
      <c r="AX30" s="46" t="str">
        <f t="shared" ca="1" si="59"/>
        <v/>
      </c>
      <c r="AY30" s="47" t="s">
        <v>755</v>
      </c>
      <c r="AZ30" s="43" t="str">
        <f>IF(IFERROR(ROUND(INDEX(Consulta!$A:$DN,MATCH('ZM01'!$C30,Consulta!$D:$D,0),'ZM01'!AZ$2),3),"")=0,"",IFERROR(ROUND(INDEX(Consulta!$A:$DN,MATCH('ZM01'!$C30,Consulta!$D:$D,0),'ZM01'!AZ$2),3),""))</f>
        <v/>
      </c>
      <c r="BA30" s="43" t="str">
        <f t="shared" si="60"/>
        <v/>
      </c>
      <c r="BB30" s="48" t="s">
        <v>299</v>
      </c>
      <c r="BC30" s="48"/>
      <c r="BD30" s="43" t="str">
        <f>IF(IFERROR(INDEX(Consulta!$A:$DN,MATCH('ZM01'!$C30,Consulta!$D:$D,0),'ZM01'!BD$2),"")=0,"",IFERROR(INDEX(Consulta!$A:$DN,MATCH('ZM01'!$C30,Consulta!$D:$D,0),'ZM01'!BD$2),""))</f>
        <v/>
      </c>
      <c r="BE30" s="43" t="str">
        <f t="shared" si="61"/>
        <v/>
      </c>
      <c r="BF30" s="43" t="str">
        <f t="shared" si="62"/>
        <v/>
      </c>
      <c r="BG30" s="43" t="str">
        <f t="shared" si="63"/>
        <v/>
      </c>
      <c r="BH30" s="43" t="str">
        <f t="shared" si="64"/>
        <v>PC</v>
      </c>
      <c r="BI30" s="43" t="str">
        <f t="shared" si="65"/>
        <v/>
      </c>
      <c r="BJ30" s="43" t="str">
        <f t="shared" si="66"/>
        <v/>
      </c>
      <c r="BK30" s="43" t="str">
        <f t="shared" si="67"/>
        <v/>
      </c>
      <c r="BL30" s="43" t="str">
        <f t="shared" si="68"/>
        <v>PC</v>
      </c>
      <c r="BN30" s="44"/>
      <c r="BO30" s="44" t="s">
        <v>925</v>
      </c>
      <c r="BP30" s="43" t="str">
        <f>IF(OR(IFERROR(INDEX(Consulta!$A:$DN,MATCH('ZM01'!$C30,Consulta!$D:$D,0),'ZM01'!BP$2),"")=0,IFERROR(INDEX(Consulta!$A:$DN,MATCH('ZM01'!$C30,Consulta!$D:$D,0),'ZM01'!BP$2),"")=AR30),"",IFERROR(INDEX(Consulta!$A:$DN,MATCH('ZM01'!$C30,Consulta!$D:$D,0),'ZM01'!BP$2),""))</f>
        <v/>
      </c>
      <c r="BQ30" s="45">
        <v>99</v>
      </c>
      <c r="BR30" s="46" t="str">
        <f t="shared" ca="1" si="69"/>
        <v>24.05.2022</v>
      </c>
      <c r="BS30" s="49" t="str">
        <f t="shared" si="70"/>
        <v/>
      </c>
      <c r="BT30" s="50">
        <v>1</v>
      </c>
      <c r="BU30" s="50" t="s">
        <v>194</v>
      </c>
      <c r="BV30" s="90" t="str">
        <f t="shared" si="71"/>
        <v>01</v>
      </c>
      <c r="BW30" s="50" t="s">
        <v>755</v>
      </c>
      <c r="BX30" s="44">
        <v>1</v>
      </c>
      <c r="BY30" s="44" t="s">
        <v>372</v>
      </c>
      <c r="BZ30" s="50" t="s">
        <v>197</v>
      </c>
      <c r="CA30" s="50" t="s">
        <v>197</v>
      </c>
      <c r="CB30" s="43" t="str">
        <f>IF(IFERROR(INDEX(Consulta!$A:$DN,MATCH('ZM01'!$C30,Consulta!$D:$D,0),'ZM01'!CB$2),"")=0,"",IFERROR(INDEX(Consulta!$A:$DN,MATCH('ZM01'!$C30,Consulta!$D:$D,0),'ZM01'!CB$2),""))</f>
        <v/>
      </c>
      <c r="CC30" s="44" t="s">
        <v>392</v>
      </c>
      <c r="CD30" s="50">
        <v>0</v>
      </c>
      <c r="CE30" s="45" t="s">
        <v>403</v>
      </c>
      <c r="CF30" s="45" t="s">
        <v>84</v>
      </c>
      <c r="CG30" s="43" t="str">
        <f t="shared" si="72"/>
        <v/>
      </c>
      <c r="CH30" s="45" t="s">
        <v>430</v>
      </c>
      <c r="CI30" s="44">
        <v>0</v>
      </c>
      <c r="CJ30" s="43" t="str">
        <f t="shared" si="73"/>
        <v>E</v>
      </c>
      <c r="CK30" s="43" t="str">
        <f t="shared" si="74"/>
        <v/>
      </c>
      <c r="CL30" s="44">
        <v>2</v>
      </c>
      <c r="CM30" s="49" t="str">
        <f t="shared" si="75"/>
        <v/>
      </c>
      <c r="CN30" s="49" t="str">
        <f t="shared" si="76"/>
        <v/>
      </c>
      <c r="CO30" s="43" t="str">
        <f t="shared" si="77"/>
        <v/>
      </c>
      <c r="CP30" s="44">
        <v>1</v>
      </c>
      <c r="CQ30" s="50" t="s">
        <v>515</v>
      </c>
      <c r="CR30" s="44" t="s">
        <v>372</v>
      </c>
      <c r="CS30" s="44">
        <v>2</v>
      </c>
      <c r="CT30" s="44">
        <v>42</v>
      </c>
      <c r="CU30" s="44">
        <v>10</v>
      </c>
      <c r="CV30" s="43" t="str">
        <f t="shared" si="78"/>
        <v>K00_AO_</v>
      </c>
      <c r="CW30" s="43" t="str">
        <f t="shared" si="79"/>
        <v/>
      </c>
      <c r="CX30" s="43" t="str">
        <f t="shared" si="80"/>
        <v/>
      </c>
      <c r="CY30" s="44">
        <v>1</v>
      </c>
      <c r="CZ30" s="43" t="str">
        <f t="shared" si="81"/>
        <v/>
      </c>
      <c r="DA30" s="43" t="str">
        <f>IF(IFERROR(INDEX(Consulta!$A:$DN,MATCH('ZM01'!$C30,Consulta!$D:$D,0),'ZM01'!DA$2),"")=0,"",IFERROR(INDEX(Consulta!$A:$DN,MATCH('ZM01'!$C30,Consulta!$D:$D,0),'ZM01'!DA$2),""))</f>
        <v/>
      </c>
      <c r="DB30" s="43" t="str">
        <f>IF(IFERROR(INDEX(Consulta!$A:$DN,MATCH('ZM01'!$C30,Consulta!$D:$D,0),'ZM01'!DB$2),"")=0,"",IFERROR(INDEX(Consulta!$A:$DN,MATCH('ZM01'!$C30,Consulta!$D:$D,0),'ZM01'!DB$2),""))</f>
        <v/>
      </c>
      <c r="DC30" s="45">
        <v>0</v>
      </c>
      <c r="DD30" s="45">
        <v>0</v>
      </c>
      <c r="DE30" s="43" t="str">
        <f>IF(IFERROR(INDEX(Consulta!$A:$DN,MATCH('ZM01'!$C30,Consulta!$D:$D,0),'ZM01'!DE$2),"")=0,"",IFERROR(TEXT(VALUE(INDEX(Consulta!$A:$DN,MATCH('ZM01'!$C30,Consulta!$D:$D,0),'ZM01'!DE$2))/100,"0,00"),""))</f>
        <v/>
      </c>
      <c r="DG30" s="43">
        <f t="shared" si="82"/>
        <v>1</v>
      </c>
      <c r="DH30" s="43" t="str">
        <f>IF(IFERROR(INDEX(Consulta!$A:$DN,MATCH('ZM01'!$C30,Consulta!$D:$D,0),'ZM01'!DH$2),"")=0,"",IFERROR(VLOOKUP(INDEX(Consulta!$A:$DN,MATCH('ZM01'!$C30,Consulta!$D:$D,0),'ZM01'!DH$2),'Listas de Dados'!BU:BW,3,0),""))</f>
        <v/>
      </c>
      <c r="DI30" s="43" t="str">
        <f t="shared" ca="1" si="83"/>
        <v>24.05.2022</v>
      </c>
      <c r="DJ30" s="43" t="str">
        <f t="shared" si="84"/>
        <v>31.12.9999</v>
      </c>
      <c r="DL30" s="44">
        <v>1</v>
      </c>
      <c r="DM30" s="44" t="s">
        <v>1039</v>
      </c>
      <c r="DN30" s="44">
        <v>1</v>
      </c>
      <c r="DO30" s="43">
        <f t="shared" si="85"/>
        <v>1</v>
      </c>
      <c r="DP30" s="43" t="str">
        <f t="shared" si="86"/>
        <v>PC</v>
      </c>
      <c r="DQ30" s="43" t="str">
        <f t="shared" si="87"/>
        <v/>
      </c>
      <c r="DR30" s="44">
        <v>100</v>
      </c>
      <c r="DS30" s="71">
        <f t="shared" si="88"/>
        <v>1</v>
      </c>
      <c r="DT30" s="43">
        <f t="shared" si="89"/>
        <v>100</v>
      </c>
      <c r="DU30" s="44">
        <v>1</v>
      </c>
      <c r="DV30" s="44">
        <v>0</v>
      </c>
      <c r="DW30" s="44" t="s">
        <v>826</v>
      </c>
      <c r="DX30" s="45">
        <v>0</v>
      </c>
      <c r="DY30" s="44">
        <v>100</v>
      </c>
      <c r="DZ30" s="61"/>
    </row>
    <row r="31" spans="1:130" x14ac:dyDescent="0.2">
      <c r="A31" s="7" t="str">
        <f t="shared" si="2"/>
        <v>Execução 27</v>
      </c>
      <c r="B31" s="79"/>
      <c r="C31" s="85"/>
      <c r="D31" s="71" t="str">
        <f t="shared" si="54"/>
        <v/>
      </c>
      <c r="E31" s="71" t="str">
        <f t="shared" si="55"/>
        <v/>
      </c>
      <c r="F31" s="43" t="str">
        <f>IF(IFERROR(INDEX(Consulta!$A:$DN,MATCH('ZM01'!$C31,Consulta!$D:$D,0),'ZM01'!F$2),"")=0,"",IFERROR(INDEX(Consulta!$A:$DN,MATCH('ZM01'!$C31,Consulta!$D:$D,0),'ZM01'!F$2),""))</f>
        <v/>
      </c>
      <c r="G31" s="43" t="str">
        <f>IF(IFERROR(INDEX(Consulta!$A:$DN,MATCH('ZM01'!$C31,Consulta!$D:$D,0),'ZM01'!G$2),"")=0,"",IFERROR(INDEX(Consulta!$A:$DN,MATCH('ZM01'!$C31,Consulta!$D:$D,0),'ZM01'!G$2),""))</f>
        <v/>
      </c>
      <c r="H31" s="43" t="str">
        <f t="shared" si="56"/>
        <v/>
      </c>
      <c r="I31" s="44" t="s">
        <v>100</v>
      </c>
      <c r="J31" s="43" t="str">
        <f>IF(IFERROR(INDEX(Consulta!$A:$DN,MATCH('ZM01'!$C31,Consulta!$D:$D,0),'ZM01'!J$2),"")=0,"",IFERROR(INDEX(Consulta!$A:$DN,MATCH('ZM01'!$C31,Consulta!$D:$D,0),'ZM01'!J$2),""))</f>
        <v/>
      </c>
      <c r="K31" s="43" t="str">
        <f>IF(IFERROR(INDEX(Consulta!$A:$DN,MATCH('ZM01'!$C31,Consulta!$D:$D,0),'ZM01'!K$2),"")=0,"",IFERROR(INDEX(Consulta!$A:$DN,MATCH('ZM01'!$C31,Consulta!$D:$D,0),'ZM01'!K$2),""))</f>
        <v/>
      </c>
      <c r="L31" s="43" t="str">
        <f t="shared" si="57"/>
        <v/>
      </c>
      <c r="M31" s="43" t="str">
        <f>IF(IFERROR(INDEX(Consulta!$A:$DN,MATCH('ZM01'!$C31,Consulta!$D:$D,0),'ZM01'!M$2),"")=0,"",IFERROR(INDEX(Consulta!$A:$DN,MATCH('ZM01'!$C31,Consulta!$D:$D,0),'ZM01'!M$2),""))</f>
        <v/>
      </c>
      <c r="N31" s="43" t="str">
        <f t="shared" si="58"/>
        <v/>
      </c>
      <c r="P31" s="45" t="s">
        <v>101</v>
      </c>
      <c r="Q31" s="45" t="s">
        <v>102</v>
      </c>
      <c r="R31" s="45" t="s">
        <v>103</v>
      </c>
      <c r="S31" s="45" t="s">
        <v>104</v>
      </c>
      <c r="T31" s="45" t="s">
        <v>105</v>
      </c>
      <c r="U31" s="45" t="s">
        <v>106</v>
      </c>
      <c r="V31" s="45" t="s">
        <v>107</v>
      </c>
      <c r="W31" s="45" t="s">
        <v>109</v>
      </c>
      <c r="X31" s="45" t="s">
        <v>110</v>
      </c>
      <c r="Y31" s="45"/>
      <c r="Z31" s="45"/>
      <c r="AA31" s="45" t="s">
        <v>112</v>
      </c>
      <c r="AB31" s="45" t="s">
        <v>113</v>
      </c>
      <c r="AC31" s="45" t="s">
        <v>114</v>
      </c>
      <c r="AD31" s="45" t="s">
        <v>115</v>
      </c>
      <c r="AE31" s="45" t="s">
        <v>117</v>
      </c>
      <c r="AF31" s="45" t="s">
        <v>118</v>
      </c>
      <c r="AG31" s="45" t="s">
        <v>119</v>
      </c>
      <c r="AH31" s="45" t="s">
        <v>120</v>
      </c>
      <c r="AI31" s="45" t="s">
        <v>121</v>
      </c>
      <c r="AJ31" s="45" t="s">
        <v>122</v>
      </c>
      <c r="AK31" s="45" t="s">
        <v>123</v>
      </c>
      <c r="AL31" s="45" t="s">
        <v>124</v>
      </c>
      <c r="AM31" s="45" t="s">
        <v>125</v>
      </c>
      <c r="AN31" s="45" t="s">
        <v>126</v>
      </c>
      <c r="AO31" s="45"/>
      <c r="AP31" s="45"/>
      <c r="AR31" s="44" t="s">
        <v>822</v>
      </c>
      <c r="AS31" s="43" t="str">
        <f>IF(IFERROR(INDEX(Consulta!$A:$DN,MATCH('ZM01'!$C31,Consulta!$D:$D,0),'ZM01'!AS$2),"")=0,"",IFERROR(INDEX(Consulta!$A:$DN,MATCH('ZM01'!$C31,Consulta!$D:$D,0),'ZM01'!AS$2),""))</f>
        <v/>
      </c>
      <c r="AT31" s="45"/>
      <c r="AU31" s="43" t="str">
        <f>IF(IFERROR(INDEX(Consulta!$A:$DN,MATCH('ZM01'!$C31,Consulta!$D:$D,0),'ZM01'!AU$2),"")=0,"",IFERROR(INDEX(Consulta!$A:$DN,MATCH('ZM01'!$C31,Consulta!$D:$D,0),'ZM01'!AU$2),""))</f>
        <v/>
      </c>
      <c r="AV31" s="43" t="str">
        <f>IF(IFERROR(INDEX(Consulta!$A:$DN,MATCH('ZM01'!$C31,Consulta!$D:$D,0),'ZM01'!AV$2),"")=0,"",IFERROR(INDEX(Consulta!$A:$DN,MATCH('ZM01'!$C31,Consulta!$D:$D,0),'ZM01'!AV$2),""))</f>
        <v/>
      </c>
      <c r="AW31" s="45"/>
      <c r="AX31" s="46" t="str">
        <f t="shared" ca="1" si="59"/>
        <v/>
      </c>
      <c r="AY31" s="47" t="s">
        <v>755</v>
      </c>
      <c r="AZ31" s="43" t="str">
        <f>IF(IFERROR(ROUND(INDEX(Consulta!$A:$DN,MATCH('ZM01'!$C31,Consulta!$D:$D,0),'ZM01'!AZ$2),3),"")=0,"",IFERROR(ROUND(INDEX(Consulta!$A:$DN,MATCH('ZM01'!$C31,Consulta!$D:$D,0),'ZM01'!AZ$2),3),""))</f>
        <v/>
      </c>
      <c r="BA31" s="43" t="str">
        <f t="shared" si="60"/>
        <v/>
      </c>
      <c r="BB31" s="48" t="s">
        <v>299</v>
      </c>
      <c r="BC31" s="48"/>
      <c r="BD31" s="43" t="str">
        <f>IF(IFERROR(INDEX(Consulta!$A:$DN,MATCH('ZM01'!$C31,Consulta!$D:$D,0),'ZM01'!BD$2),"")=0,"",IFERROR(INDEX(Consulta!$A:$DN,MATCH('ZM01'!$C31,Consulta!$D:$D,0),'ZM01'!BD$2),""))</f>
        <v/>
      </c>
      <c r="BE31" s="43" t="str">
        <f t="shared" si="61"/>
        <v/>
      </c>
      <c r="BF31" s="43" t="str">
        <f t="shared" si="62"/>
        <v/>
      </c>
      <c r="BG31" s="43" t="str">
        <f t="shared" si="63"/>
        <v/>
      </c>
      <c r="BH31" s="43" t="str">
        <f t="shared" si="64"/>
        <v>PC</v>
      </c>
      <c r="BI31" s="43" t="str">
        <f t="shared" si="65"/>
        <v/>
      </c>
      <c r="BJ31" s="43" t="str">
        <f t="shared" si="66"/>
        <v/>
      </c>
      <c r="BK31" s="43" t="str">
        <f t="shared" si="67"/>
        <v/>
      </c>
      <c r="BL31" s="43" t="str">
        <f t="shared" si="68"/>
        <v>PC</v>
      </c>
      <c r="BN31" s="44"/>
      <c r="BO31" s="44" t="s">
        <v>925</v>
      </c>
      <c r="BP31" s="43" t="str">
        <f>IF(OR(IFERROR(INDEX(Consulta!$A:$DN,MATCH('ZM01'!$C31,Consulta!$D:$D,0),'ZM01'!BP$2),"")=0,IFERROR(INDEX(Consulta!$A:$DN,MATCH('ZM01'!$C31,Consulta!$D:$D,0),'ZM01'!BP$2),"")=AR31),"",IFERROR(INDEX(Consulta!$A:$DN,MATCH('ZM01'!$C31,Consulta!$D:$D,0),'ZM01'!BP$2),""))</f>
        <v/>
      </c>
      <c r="BQ31" s="45">
        <v>99</v>
      </c>
      <c r="BR31" s="46" t="str">
        <f t="shared" ca="1" si="69"/>
        <v>24.05.2022</v>
      </c>
      <c r="BS31" s="49" t="str">
        <f t="shared" si="70"/>
        <v/>
      </c>
      <c r="BT31" s="50">
        <v>1</v>
      </c>
      <c r="BU31" s="50" t="s">
        <v>194</v>
      </c>
      <c r="BV31" s="90" t="str">
        <f t="shared" si="71"/>
        <v>01</v>
      </c>
      <c r="BW31" s="50" t="s">
        <v>755</v>
      </c>
      <c r="BX31" s="44">
        <v>1</v>
      </c>
      <c r="BY31" s="44" t="s">
        <v>372</v>
      </c>
      <c r="BZ31" s="50" t="s">
        <v>197</v>
      </c>
      <c r="CA31" s="50" t="s">
        <v>197</v>
      </c>
      <c r="CB31" s="43" t="str">
        <f>IF(IFERROR(INDEX(Consulta!$A:$DN,MATCH('ZM01'!$C31,Consulta!$D:$D,0),'ZM01'!CB$2),"")=0,"",IFERROR(INDEX(Consulta!$A:$DN,MATCH('ZM01'!$C31,Consulta!$D:$D,0),'ZM01'!CB$2),""))</f>
        <v/>
      </c>
      <c r="CC31" s="44" t="s">
        <v>392</v>
      </c>
      <c r="CD31" s="50">
        <v>0</v>
      </c>
      <c r="CE31" s="45" t="s">
        <v>403</v>
      </c>
      <c r="CF31" s="45" t="s">
        <v>84</v>
      </c>
      <c r="CG31" s="43" t="str">
        <f t="shared" si="72"/>
        <v/>
      </c>
      <c r="CH31" s="45" t="s">
        <v>430</v>
      </c>
      <c r="CI31" s="44">
        <v>0</v>
      </c>
      <c r="CJ31" s="43" t="str">
        <f t="shared" si="73"/>
        <v>E</v>
      </c>
      <c r="CK31" s="43" t="str">
        <f t="shared" si="74"/>
        <v/>
      </c>
      <c r="CL31" s="44">
        <v>2</v>
      </c>
      <c r="CM31" s="49" t="str">
        <f t="shared" si="75"/>
        <v/>
      </c>
      <c r="CN31" s="49" t="str">
        <f t="shared" si="76"/>
        <v/>
      </c>
      <c r="CO31" s="43" t="str">
        <f t="shared" si="77"/>
        <v/>
      </c>
      <c r="CP31" s="44">
        <v>1</v>
      </c>
      <c r="CQ31" s="50" t="s">
        <v>515</v>
      </c>
      <c r="CR31" s="44" t="s">
        <v>372</v>
      </c>
      <c r="CS31" s="44">
        <v>2</v>
      </c>
      <c r="CT31" s="44">
        <v>42</v>
      </c>
      <c r="CU31" s="44">
        <v>10</v>
      </c>
      <c r="CV31" s="43" t="str">
        <f t="shared" si="78"/>
        <v>K00_AO_</v>
      </c>
      <c r="CW31" s="43" t="str">
        <f t="shared" si="79"/>
        <v/>
      </c>
      <c r="CX31" s="43" t="str">
        <f t="shared" si="80"/>
        <v/>
      </c>
      <c r="CY31" s="44">
        <v>1</v>
      </c>
      <c r="CZ31" s="43" t="str">
        <f t="shared" si="81"/>
        <v/>
      </c>
      <c r="DA31" s="43" t="str">
        <f>IF(IFERROR(INDEX(Consulta!$A:$DN,MATCH('ZM01'!$C31,Consulta!$D:$D,0),'ZM01'!DA$2),"")=0,"",IFERROR(INDEX(Consulta!$A:$DN,MATCH('ZM01'!$C31,Consulta!$D:$D,0),'ZM01'!DA$2),""))</f>
        <v/>
      </c>
      <c r="DB31" s="43" t="str">
        <f>IF(IFERROR(INDEX(Consulta!$A:$DN,MATCH('ZM01'!$C31,Consulta!$D:$D,0),'ZM01'!DB$2),"")=0,"",IFERROR(INDEX(Consulta!$A:$DN,MATCH('ZM01'!$C31,Consulta!$D:$D,0),'ZM01'!DB$2),""))</f>
        <v/>
      </c>
      <c r="DC31" s="45">
        <v>0</v>
      </c>
      <c r="DD31" s="45">
        <v>0</v>
      </c>
      <c r="DE31" s="43" t="str">
        <f>IF(IFERROR(INDEX(Consulta!$A:$DN,MATCH('ZM01'!$C31,Consulta!$D:$D,0),'ZM01'!DE$2),"")=0,"",IFERROR(TEXT(VALUE(INDEX(Consulta!$A:$DN,MATCH('ZM01'!$C31,Consulta!$D:$D,0),'ZM01'!DE$2))/100,"0,00"),""))</f>
        <v/>
      </c>
      <c r="DG31" s="43">
        <f t="shared" si="82"/>
        <v>1</v>
      </c>
      <c r="DH31" s="43" t="str">
        <f>IF(IFERROR(INDEX(Consulta!$A:$DN,MATCH('ZM01'!$C31,Consulta!$D:$D,0),'ZM01'!DH$2),"")=0,"",IFERROR(VLOOKUP(INDEX(Consulta!$A:$DN,MATCH('ZM01'!$C31,Consulta!$D:$D,0),'ZM01'!DH$2),'Listas de Dados'!BU:BW,3,0),""))</f>
        <v/>
      </c>
      <c r="DI31" s="43" t="str">
        <f t="shared" ca="1" si="83"/>
        <v>24.05.2022</v>
      </c>
      <c r="DJ31" s="43" t="str">
        <f t="shared" si="84"/>
        <v>31.12.9999</v>
      </c>
      <c r="DL31" s="44">
        <v>1</v>
      </c>
      <c r="DM31" s="44" t="s">
        <v>1039</v>
      </c>
      <c r="DN31" s="44">
        <v>1</v>
      </c>
      <c r="DO31" s="43">
        <f t="shared" si="85"/>
        <v>1</v>
      </c>
      <c r="DP31" s="43" t="str">
        <f t="shared" si="86"/>
        <v>PC</v>
      </c>
      <c r="DQ31" s="43" t="str">
        <f t="shared" si="87"/>
        <v/>
      </c>
      <c r="DR31" s="44">
        <v>100</v>
      </c>
      <c r="DS31" s="71">
        <f t="shared" si="88"/>
        <v>1</v>
      </c>
      <c r="DT31" s="43">
        <f t="shared" si="89"/>
        <v>100</v>
      </c>
      <c r="DU31" s="44">
        <v>1</v>
      </c>
      <c r="DV31" s="44">
        <v>0</v>
      </c>
      <c r="DW31" s="44" t="s">
        <v>826</v>
      </c>
      <c r="DX31" s="45">
        <v>0</v>
      </c>
      <c r="DY31" s="44">
        <v>100</v>
      </c>
      <c r="DZ31" s="60"/>
    </row>
    <row r="32" spans="1:130" x14ac:dyDescent="0.2">
      <c r="A32" s="7" t="str">
        <f t="shared" si="2"/>
        <v>Execução 28</v>
      </c>
      <c r="B32" s="75"/>
      <c r="C32" s="85"/>
      <c r="D32" s="71" t="str">
        <f t="shared" si="54"/>
        <v/>
      </c>
      <c r="E32" s="71" t="str">
        <f t="shared" si="55"/>
        <v/>
      </c>
      <c r="F32" s="43" t="str">
        <f>IF(IFERROR(INDEX(Consulta!$A:$DN,MATCH('ZM01'!$C32,Consulta!$D:$D,0),'ZM01'!F$2),"")=0,"",IFERROR(INDEX(Consulta!$A:$DN,MATCH('ZM01'!$C32,Consulta!$D:$D,0),'ZM01'!F$2),""))</f>
        <v/>
      </c>
      <c r="G32" s="43" t="str">
        <f>IF(IFERROR(INDEX(Consulta!$A:$DN,MATCH('ZM01'!$C32,Consulta!$D:$D,0),'ZM01'!G$2),"")=0,"",IFERROR(INDEX(Consulta!$A:$DN,MATCH('ZM01'!$C32,Consulta!$D:$D,0),'ZM01'!G$2),""))</f>
        <v/>
      </c>
      <c r="H32" s="43" t="str">
        <f t="shared" si="56"/>
        <v/>
      </c>
      <c r="I32" s="44" t="s">
        <v>100</v>
      </c>
      <c r="J32" s="43" t="str">
        <f>IF(IFERROR(INDEX(Consulta!$A:$DN,MATCH('ZM01'!$C32,Consulta!$D:$D,0),'ZM01'!J$2),"")=0,"",IFERROR(INDEX(Consulta!$A:$DN,MATCH('ZM01'!$C32,Consulta!$D:$D,0),'ZM01'!J$2),""))</f>
        <v/>
      </c>
      <c r="K32" s="43" t="str">
        <f>IF(IFERROR(INDEX(Consulta!$A:$DN,MATCH('ZM01'!$C32,Consulta!$D:$D,0),'ZM01'!K$2),"")=0,"",IFERROR(INDEX(Consulta!$A:$DN,MATCH('ZM01'!$C32,Consulta!$D:$D,0),'ZM01'!K$2),""))</f>
        <v/>
      </c>
      <c r="L32" s="43" t="str">
        <f t="shared" si="57"/>
        <v/>
      </c>
      <c r="M32" s="43" t="str">
        <f>IF(IFERROR(INDEX(Consulta!$A:$DN,MATCH('ZM01'!$C32,Consulta!$D:$D,0),'ZM01'!M$2),"")=0,"",IFERROR(INDEX(Consulta!$A:$DN,MATCH('ZM01'!$C32,Consulta!$D:$D,0),'ZM01'!M$2),""))</f>
        <v/>
      </c>
      <c r="N32" s="43" t="str">
        <f t="shared" si="58"/>
        <v/>
      </c>
      <c r="P32" s="45" t="s">
        <v>101</v>
      </c>
      <c r="Q32" s="45" t="s">
        <v>102</v>
      </c>
      <c r="R32" s="45" t="s">
        <v>103</v>
      </c>
      <c r="S32" s="45" t="s">
        <v>104</v>
      </c>
      <c r="T32" s="45" t="s">
        <v>105</v>
      </c>
      <c r="U32" s="45" t="s">
        <v>106</v>
      </c>
      <c r="V32" s="45" t="s">
        <v>107</v>
      </c>
      <c r="W32" s="45" t="s">
        <v>109</v>
      </c>
      <c r="X32" s="45" t="s">
        <v>110</v>
      </c>
      <c r="Y32" s="45"/>
      <c r="Z32" s="45"/>
      <c r="AA32" s="45" t="s">
        <v>112</v>
      </c>
      <c r="AB32" s="45" t="s">
        <v>113</v>
      </c>
      <c r="AC32" s="45" t="s">
        <v>114</v>
      </c>
      <c r="AD32" s="45" t="s">
        <v>115</v>
      </c>
      <c r="AE32" s="45" t="s">
        <v>117</v>
      </c>
      <c r="AF32" s="45" t="s">
        <v>118</v>
      </c>
      <c r="AG32" s="45" t="s">
        <v>119</v>
      </c>
      <c r="AH32" s="45" t="s">
        <v>120</v>
      </c>
      <c r="AI32" s="45" t="s">
        <v>121</v>
      </c>
      <c r="AJ32" s="45" t="s">
        <v>122</v>
      </c>
      <c r="AK32" s="45" t="s">
        <v>123</v>
      </c>
      <c r="AL32" s="45" t="s">
        <v>124</v>
      </c>
      <c r="AM32" s="45" t="s">
        <v>125</v>
      </c>
      <c r="AN32" s="45" t="s">
        <v>126</v>
      </c>
      <c r="AO32" s="45"/>
      <c r="AP32" s="45"/>
      <c r="AR32" s="44" t="s">
        <v>822</v>
      </c>
      <c r="AS32" s="43" t="str">
        <f>IF(IFERROR(INDEX(Consulta!$A:$DN,MATCH('ZM01'!$C32,Consulta!$D:$D,0),'ZM01'!AS$2),"")=0,"",IFERROR(INDEX(Consulta!$A:$DN,MATCH('ZM01'!$C32,Consulta!$D:$D,0),'ZM01'!AS$2),""))</f>
        <v/>
      </c>
      <c r="AT32" s="45"/>
      <c r="AU32" s="43" t="str">
        <f>IF(IFERROR(INDEX(Consulta!$A:$DN,MATCH('ZM01'!$C32,Consulta!$D:$D,0),'ZM01'!AU$2),"")=0,"",IFERROR(INDEX(Consulta!$A:$DN,MATCH('ZM01'!$C32,Consulta!$D:$D,0),'ZM01'!AU$2),""))</f>
        <v/>
      </c>
      <c r="AV32" s="43" t="str">
        <f>IF(IFERROR(INDEX(Consulta!$A:$DN,MATCH('ZM01'!$C32,Consulta!$D:$D,0),'ZM01'!AV$2),"")=0,"",IFERROR(INDEX(Consulta!$A:$DN,MATCH('ZM01'!$C32,Consulta!$D:$D,0),'ZM01'!AV$2),""))</f>
        <v/>
      </c>
      <c r="AW32" s="45"/>
      <c r="AX32" s="46" t="str">
        <f t="shared" ca="1" si="59"/>
        <v/>
      </c>
      <c r="AY32" s="47" t="s">
        <v>755</v>
      </c>
      <c r="AZ32" s="43" t="str">
        <f>IF(IFERROR(ROUND(INDEX(Consulta!$A:$DN,MATCH('ZM01'!$C32,Consulta!$D:$D,0),'ZM01'!AZ$2),3),"")=0,"",IFERROR(ROUND(INDEX(Consulta!$A:$DN,MATCH('ZM01'!$C32,Consulta!$D:$D,0),'ZM01'!AZ$2),3),""))</f>
        <v/>
      </c>
      <c r="BA32" s="43" t="str">
        <f t="shared" si="60"/>
        <v/>
      </c>
      <c r="BB32" s="48" t="s">
        <v>299</v>
      </c>
      <c r="BC32" s="48"/>
      <c r="BD32" s="43" t="str">
        <f>IF(IFERROR(INDEX(Consulta!$A:$DN,MATCH('ZM01'!$C32,Consulta!$D:$D,0),'ZM01'!BD$2),"")=0,"",IFERROR(INDEX(Consulta!$A:$DN,MATCH('ZM01'!$C32,Consulta!$D:$D,0),'ZM01'!BD$2),""))</f>
        <v/>
      </c>
      <c r="BE32" s="43" t="str">
        <f t="shared" si="61"/>
        <v/>
      </c>
      <c r="BF32" s="43" t="str">
        <f t="shared" si="62"/>
        <v/>
      </c>
      <c r="BG32" s="43" t="str">
        <f t="shared" si="63"/>
        <v/>
      </c>
      <c r="BH32" s="43" t="str">
        <f t="shared" si="64"/>
        <v>PC</v>
      </c>
      <c r="BI32" s="43" t="str">
        <f t="shared" si="65"/>
        <v/>
      </c>
      <c r="BJ32" s="43" t="str">
        <f t="shared" si="66"/>
        <v/>
      </c>
      <c r="BK32" s="43" t="str">
        <f t="shared" si="67"/>
        <v/>
      </c>
      <c r="BL32" s="43" t="str">
        <f t="shared" si="68"/>
        <v>PC</v>
      </c>
      <c r="BN32" s="44"/>
      <c r="BO32" s="44" t="s">
        <v>925</v>
      </c>
      <c r="BP32" s="43" t="str">
        <f>IF(OR(IFERROR(INDEX(Consulta!$A:$DN,MATCH('ZM01'!$C32,Consulta!$D:$D,0),'ZM01'!BP$2),"")=0,IFERROR(INDEX(Consulta!$A:$DN,MATCH('ZM01'!$C32,Consulta!$D:$D,0),'ZM01'!BP$2),"")=AR32),"",IFERROR(INDEX(Consulta!$A:$DN,MATCH('ZM01'!$C32,Consulta!$D:$D,0),'ZM01'!BP$2),""))</f>
        <v/>
      </c>
      <c r="BQ32" s="45">
        <v>99</v>
      </c>
      <c r="BR32" s="46" t="str">
        <f t="shared" ca="1" si="69"/>
        <v>24.05.2022</v>
      </c>
      <c r="BS32" s="49" t="str">
        <f t="shared" si="70"/>
        <v/>
      </c>
      <c r="BT32" s="50">
        <v>1</v>
      </c>
      <c r="BU32" s="50" t="s">
        <v>194</v>
      </c>
      <c r="BV32" s="90" t="str">
        <f t="shared" si="71"/>
        <v>01</v>
      </c>
      <c r="BW32" s="50" t="s">
        <v>755</v>
      </c>
      <c r="BX32" s="44">
        <v>1</v>
      </c>
      <c r="BY32" s="44" t="s">
        <v>372</v>
      </c>
      <c r="BZ32" s="50" t="s">
        <v>197</v>
      </c>
      <c r="CA32" s="50" t="s">
        <v>197</v>
      </c>
      <c r="CB32" s="43" t="str">
        <f>IF(IFERROR(INDEX(Consulta!$A:$DN,MATCH('ZM01'!$C32,Consulta!$D:$D,0),'ZM01'!CB$2),"")=0,"",IFERROR(INDEX(Consulta!$A:$DN,MATCH('ZM01'!$C32,Consulta!$D:$D,0),'ZM01'!CB$2),""))</f>
        <v/>
      </c>
      <c r="CC32" s="44" t="s">
        <v>392</v>
      </c>
      <c r="CD32" s="50">
        <v>0</v>
      </c>
      <c r="CE32" s="45" t="s">
        <v>403</v>
      </c>
      <c r="CF32" s="45" t="s">
        <v>84</v>
      </c>
      <c r="CG32" s="43" t="str">
        <f t="shared" si="72"/>
        <v/>
      </c>
      <c r="CH32" s="45" t="s">
        <v>430</v>
      </c>
      <c r="CI32" s="44">
        <v>0</v>
      </c>
      <c r="CJ32" s="43" t="str">
        <f t="shared" si="73"/>
        <v>E</v>
      </c>
      <c r="CK32" s="43" t="str">
        <f t="shared" si="74"/>
        <v/>
      </c>
      <c r="CL32" s="44">
        <v>2</v>
      </c>
      <c r="CM32" s="49" t="str">
        <f t="shared" si="75"/>
        <v/>
      </c>
      <c r="CN32" s="49" t="str">
        <f t="shared" si="76"/>
        <v/>
      </c>
      <c r="CO32" s="43" t="str">
        <f t="shared" si="77"/>
        <v/>
      </c>
      <c r="CP32" s="44">
        <v>1</v>
      </c>
      <c r="CQ32" s="50" t="s">
        <v>515</v>
      </c>
      <c r="CR32" s="44" t="s">
        <v>372</v>
      </c>
      <c r="CS32" s="44">
        <v>2</v>
      </c>
      <c r="CT32" s="44">
        <v>42</v>
      </c>
      <c r="CU32" s="44">
        <v>10</v>
      </c>
      <c r="CV32" s="43" t="str">
        <f t="shared" si="78"/>
        <v>K00_AO_</v>
      </c>
      <c r="CW32" s="43" t="str">
        <f t="shared" si="79"/>
        <v/>
      </c>
      <c r="CX32" s="43" t="str">
        <f t="shared" si="80"/>
        <v/>
      </c>
      <c r="CY32" s="44">
        <v>1</v>
      </c>
      <c r="CZ32" s="43" t="str">
        <f t="shared" si="81"/>
        <v/>
      </c>
      <c r="DA32" s="43" t="str">
        <f>IF(IFERROR(INDEX(Consulta!$A:$DN,MATCH('ZM01'!$C32,Consulta!$D:$D,0),'ZM01'!DA$2),"")=0,"",IFERROR(INDEX(Consulta!$A:$DN,MATCH('ZM01'!$C32,Consulta!$D:$D,0),'ZM01'!DA$2),""))</f>
        <v/>
      </c>
      <c r="DB32" s="43" t="str">
        <f>IF(IFERROR(INDEX(Consulta!$A:$DN,MATCH('ZM01'!$C32,Consulta!$D:$D,0),'ZM01'!DB$2),"")=0,"",IFERROR(INDEX(Consulta!$A:$DN,MATCH('ZM01'!$C32,Consulta!$D:$D,0),'ZM01'!DB$2),""))</f>
        <v/>
      </c>
      <c r="DC32" s="45">
        <v>0</v>
      </c>
      <c r="DD32" s="45">
        <v>0</v>
      </c>
      <c r="DE32" s="43" t="str">
        <f>IF(IFERROR(INDEX(Consulta!$A:$DN,MATCH('ZM01'!$C32,Consulta!$D:$D,0),'ZM01'!DE$2),"")=0,"",IFERROR(TEXT(VALUE(INDEX(Consulta!$A:$DN,MATCH('ZM01'!$C32,Consulta!$D:$D,0),'ZM01'!DE$2))/100,"0,00"),""))</f>
        <v/>
      </c>
      <c r="DG32" s="43">
        <f t="shared" si="82"/>
        <v>1</v>
      </c>
      <c r="DH32" s="43" t="str">
        <f>IF(IFERROR(INDEX(Consulta!$A:$DN,MATCH('ZM01'!$C32,Consulta!$D:$D,0),'ZM01'!DH$2),"")=0,"",IFERROR(VLOOKUP(INDEX(Consulta!$A:$DN,MATCH('ZM01'!$C32,Consulta!$D:$D,0),'ZM01'!DH$2),'Listas de Dados'!BU:BW,3,0),""))</f>
        <v/>
      </c>
      <c r="DI32" s="43" t="str">
        <f t="shared" ca="1" si="83"/>
        <v>24.05.2022</v>
      </c>
      <c r="DJ32" s="43" t="str">
        <f t="shared" si="84"/>
        <v>31.12.9999</v>
      </c>
      <c r="DL32" s="44">
        <v>1</v>
      </c>
      <c r="DM32" s="44" t="s">
        <v>1039</v>
      </c>
      <c r="DN32" s="44">
        <v>1</v>
      </c>
      <c r="DO32" s="43">
        <f t="shared" si="85"/>
        <v>1</v>
      </c>
      <c r="DP32" s="43" t="str">
        <f t="shared" si="86"/>
        <v>PC</v>
      </c>
      <c r="DQ32" s="43" t="str">
        <f t="shared" si="87"/>
        <v/>
      </c>
      <c r="DR32" s="44">
        <v>100</v>
      </c>
      <c r="DS32" s="71">
        <f t="shared" si="88"/>
        <v>1</v>
      </c>
      <c r="DT32" s="43">
        <f t="shared" si="89"/>
        <v>100</v>
      </c>
      <c r="DU32" s="44">
        <v>1</v>
      </c>
      <c r="DV32" s="44">
        <v>0</v>
      </c>
      <c r="DW32" s="44" t="s">
        <v>826</v>
      </c>
      <c r="DX32" s="45">
        <v>0</v>
      </c>
      <c r="DY32" s="44">
        <v>100</v>
      </c>
      <c r="DZ32" s="61"/>
    </row>
    <row r="33" spans="1:130" x14ac:dyDescent="0.2">
      <c r="A33" s="7" t="str">
        <f t="shared" si="2"/>
        <v>Execução 29</v>
      </c>
      <c r="B33" s="79"/>
      <c r="C33" s="85"/>
      <c r="D33" s="71" t="str">
        <f t="shared" si="54"/>
        <v/>
      </c>
      <c r="E33" s="71" t="str">
        <f t="shared" si="55"/>
        <v/>
      </c>
      <c r="F33" s="43" t="str">
        <f>IF(IFERROR(INDEX(Consulta!$A:$DN,MATCH('ZM01'!$C33,Consulta!$D:$D,0),'ZM01'!F$2),"")=0,"",IFERROR(INDEX(Consulta!$A:$DN,MATCH('ZM01'!$C33,Consulta!$D:$D,0),'ZM01'!F$2),""))</f>
        <v/>
      </c>
      <c r="G33" s="43" t="str">
        <f>IF(IFERROR(INDEX(Consulta!$A:$DN,MATCH('ZM01'!$C33,Consulta!$D:$D,0),'ZM01'!G$2),"")=0,"",IFERROR(INDEX(Consulta!$A:$DN,MATCH('ZM01'!$C33,Consulta!$D:$D,0),'ZM01'!G$2),""))</f>
        <v/>
      </c>
      <c r="H33" s="43" t="str">
        <f t="shared" si="56"/>
        <v/>
      </c>
      <c r="I33" s="44" t="s">
        <v>100</v>
      </c>
      <c r="J33" s="43" t="str">
        <f>IF(IFERROR(INDEX(Consulta!$A:$DN,MATCH('ZM01'!$C33,Consulta!$D:$D,0),'ZM01'!J$2),"")=0,"",IFERROR(INDEX(Consulta!$A:$DN,MATCH('ZM01'!$C33,Consulta!$D:$D,0),'ZM01'!J$2),""))</f>
        <v/>
      </c>
      <c r="K33" s="43" t="str">
        <f>IF(IFERROR(INDEX(Consulta!$A:$DN,MATCH('ZM01'!$C33,Consulta!$D:$D,0),'ZM01'!K$2),"")=0,"",IFERROR(INDEX(Consulta!$A:$DN,MATCH('ZM01'!$C33,Consulta!$D:$D,0),'ZM01'!K$2),""))</f>
        <v/>
      </c>
      <c r="L33" s="43" t="str">
        <f t="shared" si="57"/>
        <v/>
      </c>
      <c r="M33" s="43" t="str">
        <f>IF(IFERROR(INDEX(Consulta!$A:$DN,MATCH('ZM01'!$C33,Consulta!$D:$D,0),'ZM01'!M$2),"")=0,"",IFERROR(INDEX(Consulta!$A:$DN,MATCH('ZM01'!$C33,Consulta!$D:$D,0),'ZM01'!M$2),""))</f>
        <v/>
      </c>
      <c r="N33" s="43" t="str">
        <f t="shared" si="58"/>
        <v/>
      </c>
      <c r="P33" s="45" t="s">
        <v>101</v>
      </c>
      <c r="Q33" s="45" t="s">
        <v>102</v>
      </c>
      <c r="R33" s="45" t="s">
        <v>103</v>
      </c>
      <c r="S33" s="45" t="s">
        <v>104</v>
      </c>
      <c r="T33" s="45" t="s">
        <v>105</v>
      </c>
      <c r="U33" s="45" t="s">
        <v>106</v>
      </c>
      <c r="V33" s="45" t="s">
        <v>107</v>
      </c>
      <c r="W33" s="45" t="s">
        <v>109</v>
      </c>
      <c r="X33" s="45" t="s">
        <v>110</v>
      </c>
      <c r="Y33" s="45"/>
      <c r="Z33" s="45"/>
      <c r="AA33" s="45" t="s">
        <v>112</v>
      </c>
      <c r="AB33" s="45" t="s">
        <v>113</v>
      </c>
      <c r="AC33" s="45" t="s">
        <v>114</v>
      </c>
      <c r="AD33" s="45" t="s">
        <v>115</v>
      </c>
      <c r="AE33" s="45" t="s">
        <v>117</v>
      </c>
      <c r="AF33" s="45" t="s">
        <v>118</v>
      </c>
      <c r="AG33" s="45" t="s">
        <v>119</v>
      </c>
      <c r="AH33" s="45" t="s">
        <v>120</v>
      </c>
      <c r="AI33" s="45" t="s">
        <v>121</v>
      </c>
      <c r="AJ33" s="45" t="s">
        <v>122</v>
      </c>
      <c r="AK33" s="45" t="s">
        <v>123</v>
      </c>
      <c r="AL33" s="45" t="s">
        <v>124</v>
      </c>
      <c r="AM33" s="45" t="s">
        <v>125</v>
      </c>
      <c r="AN33" s="45" t="s">
        <v>126</v>
      </c>
      <c r="AO33" s="45"/>
      <c r="AP33" s="45"/>
      <c r="AR33" s="44" t="s">
        <v>822</v>
      </c>
      <c r="AS33" s="43" t="str">
        <f>IF(IFERROR(INDEX(Consulta!$A:$DN,MATCH('ZM01'!$C33,Consulta!$D:$D,0),'ZM01'!AS$2),"")=0,"",IFERROR(INDEX(Consulta!$A:$DN,MATCH('ZM01'!$C33,Consulta!$D:$D,0),'ZM01'!AS$2),""))</f>
        <v/>
      </c>
      <c r="AT33" s="45"/>
      <c r="AU33" s="43" t="str">
        <f>IF(IFERROR(INDEX(Consulta!$A:$DN,MATCH('ZM01'!$C33,Consulta!$D:$D,0),'ZM01'!AU$2),"")=0,"",IFERROR(INDEX(Consulta!$A:$DN,MATCH('ZM01'!$C33,Consulta!$D:$D,0),'ZM01'!AU$2),""))</f>
        <v/>
      </c>
      <c r="AV33" s="43" t="str">
        <f>IF(IFERROR(INDEX(Consulta!$A:$DN,MATCH('ZM01'!$C33,Consulta!$D:$D,0),'ZM01'!AV$2),"")=0,"",IFERROR(INDEX(Consulta!$A:$DN,MATCH('ZM01'!$C33,Consulta!$D:$D,0),'ZM01'!AV$2),""))</f>
        <v/>
      </c>
      <c r="AW33" s="45"/>
      <c r="AX33" s="46" t="str">
        <f t="shared" ca="1" si="59"/>
        <v/>
      </c>
      <c r="AY33" s="47" t="s">
        <v>755</v>
      </c>
      <c r="AZ33" s="43" t="str">
        <f>IF(IFERROR(ROUND(INDEX(Consulta!$A:$DN,MATCH('ZM01'!$C33,Consulta!$D:$D,0),'ZM01'!AZ$2),3),"")=0,"",IFERROR(ROUND(INDEX(Consulta!$A:$DN,MATCH('ZM01'!$C33,Consulta!$D:$D,0),'ZM01'!AZ$2),3),""))</f>
        <v/>
      </c>
      <c r="BA33" s="43" t="str">
        <f t="shared" si="60"/>
        <v/>
      </c>
      <c r="BB33" s="48" t="s">
        <v>299</v>
      </c>
      <c r="BC33" s="48"/>
      <c r="BD33" s="43" t="str">
        <f>IF(IFERROR(INDEX(Consulta!$A:$DN,MATCH('ZM01'!$C33,Consulta!$D:$D,0),'ZM01'!BD$2),"")=0,"",IFERROR(INDEX(Consulta!$A:$DN,MATCH('ZM01'!$C33,Consulta!$D:$D,0),'ZM01'!BD$2),""))</f>
        <v/>
      </c>
      <c r="BE33" s="43" t="str">
        <f t="shared" si="61"/>
        <v/>
      </c>
      <c r="BF33" s="43" t="str">
        <f t="shared" si="62"/>
        <v/>
      </c>
      <c r="BG33" s="43" t="str">
        <f t="shared" si="63"/>
        <v/>
      </c>
      <c r="BH33" s="43" t="str">
        <f t="shared" si="64"/>
        <v>PC</v>
      </c>
      <c r="BI33" s="43" t="str">
        <f t="shared" si="65"/>
        <v/>
      </c>
      <c r="BJ33" s="43" t="str">
        <f t="shared" si="66"/>
        <v/>
      </c>
      <c r="BK33" s="43" t="str">
        <f t="shared" si="67"/>
        <v/>
      </c>
      <c r="BL33" s="43" t="str">
        <f t="shared" si="68"/>
        <v>PC</v>
      </c>
      <c r="BN33" s="44"/>
      <c r="BO33" s="44" t="s">
        <v>925</v>
      </c>
      <c r="BP33" s="43" t="str">
        <f>IF(OR(IFERROR(INDEX(Consulta!$A:$DN,MATCH('ZM01'!$C33,Consulta!$D:$D,0),'ZM01'!BP$2),"")=0,IFERROR(INDEX(Consulta!$A:$DN,MATCH('ZM01'!$C33,Consulta!$D:$D,0),'ZM01'!BP$2),"")=AR33),"",IFERROR(INDEX(Consulta!$A:$DN,MATCH('ZM01'!$C33,Consulta!$D:$D,0),'ZM01'!BP$2),""))</f>
        <v/>
      </c>
      <c r="BQ33" s="45">
        <v>99</v>
      </c>
      <c r="BR33" s="46" t="str">
        <f t="shared" ca="1" si="69"/>
        <v>24.05.2022</v>
      </c>
      <c r="BS33" s="49" t="str">
        <f t="shared" si="70"/>
        <v/>
      </c>
      <c r="BT33" s="50">
        <v>1</v>
      </c>
      <c r="BU33" s="50" t="s">
        <v>194</v>
      </c>
      <c r="BV33" s="90" t="str">
        <f t="shared" si="71"/>
        <v>01</v>
      </c>
      <c r="BW33" s="50" t="s">
        <v>755</v>
      </c>
      <c r="BX33" s="44">
        <v>1</v>
      </c>
      <c r="BY33" s="44" t="s">
        <v>372</v>
      </c>
      <c r="BZ33" s="50" t="s">
        <v>197</v>
      </c>
      <c r="CA33" s="50" t="s">
        <v>197</v>
      </c>
      <c r="CB33" s="43" t="str">
        <f>IF(IFERROR(INDEX(Consulta!$A:$DN,MATCH('ZM01'!$C33,Consulta!$D:$D,0),'ZM01'!CB$2),"")=0,"",IFERROR(INDEX(Consulta!$A:$DN,MATCH('ZM01'!$C33,Consulta!$D:$D,0),'ZM01'!CB$2),""))</f>
        <v/>
      </c>
      <c r="CC33" s="44" t="s">
        <v>392</v>
      </c>
      <c r="CD33" s="50">
        <v>0</v>
      </c>
      <c r="CE33" s="45" t="s">
        <v>403</v>
      </c>
      <c r="CF33" s="45" t="s">
        <v>84</v>
      </c>
      <c r="CG33" s="43" t="str">
        <f t="shared" si="72"/>
        <v/>
      </c>
      <c r="CH33" s="45" t="s">
        <v>430</v>
      </c>
      <c r="CI33" s="44">
        <v>0</v>
      </c>
      <c r="CJ33" s="43" t="str">
        <f t="shared" si="73"/>
        <v>E</v>
      </c>
      <c r="CK33" s="43" t="str">
        <f t="shared" si="74"/>
        <v/>
      </c>
      <c r="CL33" s="44">
        <v>2</v>
      </c>
      <c r="CM33" s="49" t="str">
        <f t="shared" si="75"/>
        <v/>
      </c>
      <c r="CN33" s="49" t="str">
        <f t="shared" si="76"/>
        <v/>
      </c>
      <c r="CO33" s="43" t="str">
        <f t="shared" si="77"/>
        <v/>
      </c>
      <c r="CP33" s="44">
        <v>1</v>
      </c>
      <c r="CQ33" s="50" t="s">
        <v>515</v>
      </c>
      <c r="CR33" s="44" t="s">
        <v>372</v>
      </c>
      <c r="CS33" s="44">
        <v>2</v>
      </c>
      <c r="CT33" s="44">
        <v>42</v>
      </c>
      <c r="CU33" s="44">
        <v>10</v>
      </c>
      <c r="CV33" s="43" t="str">
        <f t="shared" si="78"/>
        <v>K00_AO_</v>
      </c>
      <c r="CW33" s="43" t="str">
        <f t="shared" si="79"/>
        <v/>
      </c>
      <c r="CX33" s="43" t="str">
        <f t="shared" si="80"/>
        <v/>
      </c>
      <c r="CY33" s="44">
        <v>1</v>
      </c>
      <c r="CZ33" s="43" t="str">
        <f t="shared" si="81"/>
        <v/>
      </c>
      <c r="DA33" s="43" t="str">
        <f>IF(IFERROR(INDEX(Consulta!$A:$DN,MATCH('ZM01'!$C33,Consulta!$D:$D,0),'ZM01'!DA$2),"")=0,"",IFERROR(INDEX(Consulta!$A:$DN,MATCH('ZM01'!$C33,Consulta!$D:$D,0),'ZM01'!DA$2),""))</f>
        <v/>
      </c>
      <c r="DB33" s="43" t="str">
        <f>IF(IFERROR(INDEX(Consulta!$A:$DN,MATCH('ZM01'!$C33,Consulta!$D:$D,0),'ZM01'!DB$2),"")=0,"",IFERROR(INDEX(Consulta!$A:$DN,MATCH('ZM01'!$C33,Consulta!$D:$D,0),'ZM01'!DB$2),""))</f>
        <v/>
      </c>
      <c r="DC33" s="45">
        <v>0</v>
      </c>
      <c r="DD33" s="45">
        <v>0</v>
      </c>
      <c r="DE33" s="43" t="str">
        <f>IF(IFERROR(INDEX(Consulta!$A:$DN,MATCH('ZM01'!$C33,Consulta!$D:$D,0),'ZM01'!DE$2),"")=0,"",IFERROR(TEXT(VALUE(INDEX(Consulta!$A:$DN,MATCH('ZM01'!$C33,Consulta!$D:$D,0),'ZM01'!DE$2))/100,"0,00"),""))</f>
        <v/>
      </c>
      <c r="DG33" s="43">
        <f t="shared" si="82"/>
        <v>1</v>
      </c>
      <c r="DH33" s="43" t="str">
        <f>IF(IFERROR(INDEX(Consulta!$A:$DN,MATCH('ZM01'!$C33,Consulta!$D:$D,0),'ZM01'!DH$2),"")=0,"",IFERROR(VLOOKUP(INDEX(Consulta!$A:$DN,MATCH('ZM01'!$C33,Consulta!$D:$D,0),'ZM01'!DH$2),'Listas de Dados'!BU:BW,3,0),""))</f>
        <v/>
      </c>
      <c r="DI33" s="43" t="str">
        <f t="shared" ca="1" si="83"/>
        <v>24.05.2022</v>
      </c>
      <c r="DJ33" s="43" t="str">
        <f t="shared" si="84"/>
        <v>31.12.9999</v>
      </c>
      <c r="DL33" s="44">
        <v>1</v>
      </c>
      <c r="DM33" s="44" t="s">
        <v>1039</v>
      </c>
      <c r="DN33" s="44">
        <v>1</v>
      </c>
      <c r="DO33" s="43">
        <f t="shared" si="85"/>
        <v>1</v>
      </c>
      <c r="DP33" s="43" t="str">
        <f t="shared" si="86"/>
        <v>PC</v>
      </c>
      <c r="DQ33" s="43" t="str">
        <f t="shared" si="87"/>
        <v/>
      </c>
      <c r="DR33" s="44">
        <v>100</v>
      </c>
      <c r="DS33" s="71">
        <f t="shared" si="88"/>
        <v>1</v>
      </c>
      <c r="DT33" s="43">
        <f t="shared" si="89"/>
        <v>100</v>
      </c>
      <c r="DU33" s="44">
        <v>1</v>
      </c>
      <c r="DV33" s="44">
        <v>0</v>
      </c>
      <c r="DW33" s="44" t="s">
        <v>826</v>
      </c>
      <c r="DX33" s="45">
        <v>0</v>
      </c>
      <c r="DY33" s="44">
        <v>100</v>
      </c>
      <c r="DZ33" s="60"/>
    </row>
    <row r="34" spans="1:130" x14ac:dyDescent="0.2">
      <c r="A34" s="7" t="str">
        <f t="shared" si="2"/>
        <v>Execução 30</v>
      </c>
      <c r="B34" s="75"/>
      <c r="C34" s="85"/>
      <c r="D34" s="71" t="str">
        <f t="shared" si="54"/>
        <v/>
      </c>
      <c r="E34" s="71" t="str">
        <f t="shared" si="55"/>
        <v/>
      </c>
      <c r="F34" s="43" t="str">
        <f>IF(IFERROR(INDEX(Consulta!$A:$DN,MATCH('ZM01'!$C34,Consulta!$D:$D,0),'ZM01'!F$2),"")=0,"",IFERROR(INDEX(Consulta!$A:$DN,MATCH('ZM01'!$C34,Consulta!$D:$D,0),'ZM01'!F$2),""))</f>
        <v/>
      </c>
      <c r="G34" s="43" t="str">
        <f>IF(IFERROR(INDEX(Consulta!$A:$DN,MATCH('ZM01'!$C34,Consulta!$D:$D,0),'ZM01'!G$2),"")=0,"",IFERROR(INDEX(Consulta!$A:$DN,MATCH('ZM01'!$C34,Consulta!$D:$D,0),'ZM01'!G$2),""))</f>
        <v/>
      </c>
      <c r="H34" s="43" t="str">
        <f t="shared" si="56"/>
        <v/>
      </c>
      <c r="I34" s="44" t="s">
        <v>100</v>
      </c>
      <c r="J34" s="43" t="str">
        <f>IF(IFERROR(INDEX(Consulta!$A:$DN,MATCH('ZM01'!$C34,Consulta!$D:$D,0),'ZM01'!J$2),"")=0,"",IFERROR(INDEX(Consulta!$A:$DN,MATCH('ZM01'!$C34,Consulta!$D:$D,0),'ZM01'!J$2),""))</f>
        <v/>
      </c>
      <c r="K34" s="43" t="str">
        <f>IF(IFERROR(INDEX(Consulta!$A:$DN,MATCH('ZM01'!$C34,Consulta!$D:$D,0),'ZM01'!K$2),"")=0,"",IFERROR(INDEX(Consulta!$A:$DN,MATCH('ZM01'!$C34,Consulta!$D:$D,0),'ZM01'!K$2),""))</f>
        <v/>
      </c>
      <c r="L34" s="43" t="str">
        <f t="shared" si="57"/>
        <v/>
      </c>
      <c r="M34" s="43" t="str">
        <f>IF(IFERROR(INDEX(Consulta!$A:$DN,MATCH('ZM01'!$C34,Consulta!$D:$D,0),'ZM01'!M$2),"")=0,"",IFERROR(INDEX(Consulta!$A:$DN,MATCH('ZM01'!$C34,Consulta!$D:$D,0),'ZM01'!M$2),""))</f>
        <v/>
      </c>
      <c r="N34" s="43" t="str">
        <f t="shared" si="58"/>
        <v/>
      </c>
      <c r="P34" s="45" t="s">
        <v>101</v>
      </c>
      <c r="Q34" s="45" t="s">
        <v>102</v>
      </c>
      <c r="R34" s="45" t="s">
        <v>103</v>
      </c>
      <c r="S34" s="45" t="s">
        <v>104</v>
      </c>
      <c r="T34" s="45" t="s">
        <v>105</v>
      </c>
      <c r="U34" s="45" t="s">
        <v>106</v>
      </c>
      <c r="V34" s="45" t="s">
        <v>107</v>
      </c>
      <c r="W34" s="45" t="s">
        <v>109</v>
      </c>
      <c r="X34" s="45" t="s">
        <v>110</v>
      </c>
      <c r="Y34" s="45"/>
      <c r="Z34" s="45"/>
      <c r="AA34" s="45" t="s">
        <v>112</v>
      </c>
      <c r="AB34" s="45" t="s">
        <v>113</v>
      </c>
      <c r="AC34" s="45" t="s">
        <v>114</v>
      </c>
      <c r="AD34" s="45" t="s">
        <v>115</v>
      </c>
      <c r="AE34" s="45" t="s">
        <v>117</v>
      </c>
      <c r="AF34" s="45" t="s">
        <v>118</v>
      </c>
      <c r="AG34" s="45" t="s">
        <v>119</v>
      </c>
      <c r="AH34" s="45" t="s">
        <v>120</v>
      </c>
      <c r="AI34" s="45" t="s">
        <v>121</v>
      </c>
      <c r="AJ34" s="45" t="s">
        <v>122</v>
      </c>
      <c r="AK34" s="45" t="s">
        <v>123</v>
      </c>
      <c r="AL34" s="45" t="s">
        <v>124</v>
      </c>
      <c r="AM34" s="45" t="s">
        <v>125</v>
      </c>
      <c r="AN34" s="45" t="s">
        <v>126</v>
      </c>
      <c r="AO34" s="45"/>
      <c r="AP34" s="45"/>
      <c r="AR34" s="44" t="s">
        <v>822</v>
      </c>
      <c r="AS34" s="43" t="str">
        <f>IF(IFERROR(INDEX(Consulta!$A:$DN,MATCH('ZM01'!$C34,Consulta!$D:$D,0),'ZM01'!AS$2),"")=0,"",IFERROR(INDEX(Consulta!$A:$DN,MATCH('ZM01'!$C34,Consulta!$D:$D,0),'ZM01'!AS$2),""))</f>
        <v/>
      </c>
      <c r="AT34" s="45"/>
      <c r="AU34" s="43" t="str">
        <f>IF(IFERROR(INDEX(Consulta!$A:$DN,MATCH('ZM01'!$C34,Consulta!$D:$D,0),'ZM01'!AU$2),"")=0,"",IFERROR(INDEX(Consulta!$A:$DN,MATCH('ZM01'!$C34,Consulta!$D:$D,0),'ZM01'!AU$2),""))</f>
        <v/>
      </c>
      <c r="AV34" s="43" t="str">
        <f>IF(IFERROR(INDEX(Consulta!$A:$DN,MATCH('ZM01'!$C34,Consulta!$D:$D,0),'ZM01'!AV$2),"")=0,"",IFERROR(INDEX(Consulta!$A:$DN,MATCH('ZM01'!$C34,Consulta!$D:$D,0),'ZM01'!AV$2),""))</f>
        <v/>
      </c>
      <c r="AW34" s="45"/>
      <c r="AX34" s="46" t="str">
        <f t="shared" ca="1" si="59"/>
        <v/>
      </c>
      <c r="AY34" s="47" t="s">
        <v>755</v>
      </c>
      <c r="AZ34" s="43" t="str">
        <f>IF(IFERROR(ROUND(INDEX(Consulta!$A:$DN,MATCH('ZM01'!$C34,Consulta!$D:$D,0),'ZM01'!AZ$2),3),"")=0,"",IFERROR(ROUND(INDEX(Consulta!$A:$DN,MATCH('ZM01'!$C34,Consulta!$D:$D,0),'ZM01'!AZ$2),3),""))</f>
        <v/>
      </c>
      <c r="BA34" s="43" t="str">
        <f t="shared" si="60"/>
        <v/>
      </c>
      <c r="BB34" s="48" t="s">
        <v>299</v>
      </c>
      <c r="BC34" s="48"/>
      <c r="BD34" s="43" t="str">
        <f>IF(IFERROR(INDEX(Consulta!$A:$DN,MATCH('ZM01'!$C34,Consulta!$D:$D,0),'ZM01'!BD$2),"")=0,"",IFERROR(INDEX(Consulta!$A:$DN,MATCH('ZM01'!$C34,Consulta!$D:$D,0),'ZM01'!BD$2),""))</f>
        <v/>
      </c>
      <c r="BE34" s="43" t="str">
        <f t="shared" si="61"/>
        <v/>
      </c>
      <c r="BF34" s="43" t="str">
        <f t="shared" si="62"/>
        <v/>
      </c>
      <c r="BG34" s="43" t="str">
        <f t="shared" si="63"/>
        <v/>
      </c>
      <c r="BH34" s="43" t="str">
        <f t="shared" si="64"/>
        <v>PC</v>
      </c>
      <c r="BI34" s="43" t="str">
        <f t="shared" si="65"/>
        <v/>
      </c>
      <c r="BJ34" s="43" t="str">
        <f t="shared" si="66"/>
        <v/>
      </c>
      <c r="BK34" s="43" t="str">
        <f t="shared" si="67"/>
        <v/>
      </c>
      <c r="BL34" s="43" t="str">
        <f t="shared" si="68"/>
        <v>PC</v>
      </c>
      <c r="BN34" s="44"/>
      <c r="BO34" s="44" t="s">
        <v>925</v>
      </c>
      <c r="BP34" s="43" t="str">
        <f>IF(OR(IFERROR(INDEX(Consulta!$A:$DN,MATCH('ZM01'!$C34,Consulta!$D:$D,0),'ZM01'!BP$2),"")=0,IFERROR(INDEX(Consulta!$A:$DN,MATCH('ZM01'!$C34,Consulta!$D:$D,0),'ZM01'!BP$2),"")=AR34),"",IFERROR(INDEX(Consulta!$A:$DN,MATCH('ZM01'!$C34,Consulta!$D:$D,0),'ZM01'!BP$2),""))</f>
        <v/>
      </c>
      <c r="BQ34" s="45">
        <v>99</v>
      </c>
      <c r="BR34" s="46" t="str">
        <f t="shared" ca="1" si="69"/>
        <v>24.05.2022</v>
      </c>
      <c r="BS34" s="49" t="str">
        <f t="shared" si="70"/>
        <v/>
      </c>
      <c r="BT34" s="50">
        <v>1</v>
      </c>
      <c r="BU34" s="50" t="s">
        <v>194</v>
      </c>
      <c r="BV34" s="90" t="str">
        <f t="shared" si="71"/>
        <v>01</v>
      </c>
      <c r="BW34" s="50" t="s">
        <v>755</v>
      </c>
      <c r="BX34" s="44">
        <v>1</v>
      </c>
      <c r="BY34" s="44" t="s">
        <v>372</v>
      </c>
      <c r="BZ34" s="50" t="s">
        <v>197</v>
      </c>
      <c r="CA34" s="50" t="s">
        <v>197</v>
      </c>
      <c r="CB34" s="43" t="str">
        <f>IF(IFERROR(INDEX(Consulta!$A:$DN,MATCH('ZM01'!$C34,Consulta!$D:$D,0),'ZM01'!CB$2),"")=0,"",IFERROR(INDEX(Consulta!$A:$DN,MATCH('ZM01'!$C34,Consulta!$D:$D,0),'ZM01'!CB$2),""))</f>
        <v/>
      </c>
      <c r="CC34" s="44" t="s">
        <v>392</v>
      </c>
      <c r="CD34" s="50">
        <v>0</v>
      </c>
      <c r="CE34" s="45" t="s">
        <v>403</v>
      </c>
      <c r="CF34" s="45" t="s">
        <v>84</v>
      </c>
      <c r="CG34" s="43" t="str">
        <f t="shared" si="72"/>
        <v/>
      </c>
      <c r="CH34" s="45" t="s">
        <v>430</v>
      </c>
      <c r="CI34" s="44">
        <v>0</v>
      </c>
      <c r="CJ34" s="43" t="str">
        <f t="shared" si="73"/>
        <v>E</v>
      </c>
      <c r="CK34" s="43" t="str">
        <f t="shared" si="74"/>
        <v/>
      </c>
      <c r="CL34" s="44">
        <v>2</v>
      </c>
      <c r="CM34" s="49" t="str">
        <f t="shared" si="75"/>
        <v/>
      </c>
      <c r="CN34" s="49" t="str">
        <f t="shared" si="76"/>
        <v/>
      </c>
      <c r="CO34" s="43" t="str">
        <f t="shared" si="77"/>
        <v/>
      </c>
      <c r="CP34" s="44">
        <v>1</v>
      </c>
      <c r="CQ34" s="50" t="s">
        <v>515</v>
      </c>
      <c r="CR34" s="44" t="s">
        <v>372</v>
      </c>
      <c r="CS34" s="44">
        <v>2</v>
      </c>
      <c r="CT34" s="44">
        <v>42</v>
      </c>
      <c r="CU34" s="44">
        <v>10</v>
      </c>
      <c r="CV34" s="43" t="str">
        <f t="shared" si="78"/>
        <v>K00_AO_</v>
      </c>
      <c r="CW34" s="43" t="str">
        <f t="shared" si="79"/>
        <v/>
      </c>
      <c r="CX34" s="43" t="str">
        <f t="shared" si="80"/>
        <v/>
      </c>
      <c r="CY34" s="44">
        <v>1</v>
      </c>
      <c r="CZ34" s="43" t="str">
        <f t="shared" si="81"/>
        <v/>
      </c>
      <c r="DA34" s="43" t="str">
        <f>IF(IFERROR(INDEX(Consulta!$A:$DN,MATCH('ZM01'!$C34,Consulta!$D:$D,0),'ZM01'!DA$2),"")=0,"",IFERROR(INDEX(Consulta!$A:$DN,MATCH('ZM01'!$C34,Consulta!$D:$D,0),'ZM01'!DA$2),""))</f>
        <v/>
      </c>
      <c r="DB34" s="43" t="str">
        <f>IF(IFERROR(INDEX(Consulta!$A:$DN,MATCH('ZM01'!$C34,Consulta!$D:$D,0),'ZM01'!DB$2),"")=0,"",IFERROR(INDEX(Consulta!$A:$DN,MATCH('ZM01'!$C34,Consulta!$D:$D,0),'ZM01'!DB$2),""))</f>
        <v/>
      </c>
      <c r="DC34" s="45">
        <v>0</v>
      </c>
      <c r="DD34" s="45">
        <v>0</v>
      </c>
      <c r="DE34" s="43" t="str">
        <f>IF(IFERROR(INDEX(Consulta!$A:$DN,MATCH('ZM01'!$C34,Consulta!$D:$D,0),'ZM01'!DE$2),"")=0,"",IFERROR(TEXT(VALUE(INDEX(Consulta!$A:$DN,MATCH('ZM01'!$C34,Consulta!$D:$D,0),'ZM01'!DE$2))/100,"0,00"),""))</f>
        <v/>
      </c>
      <c r="DG34" s="43">
        <f t="shared" si="82"/>
        <v>1</v>
      </c>
      <c r="DH34" s="43" t="str">
        <f>IF(IFERROR(INDEX(Consulta!$A:$DN,MATCH('ZM01'!$C34,Consulta!$D:$D,0),'ZM01'!DH$2),"")=0,"",IFERROR(VLOOKUP(INDEX(Consulta!$A:$DN,MATCH('ZM01'!$C34,Consulta!$D:$D,0),'ZM01'!DH$2),'Listas de Dados'!BU:BW,3,0),""))</f>
        <v/>
      </c>
      <c r="DI34" s="43" t="str">
        <f t="shared" ca="1" si="83"/>
        <v>24.05.2022</v>
      </c>
      <c r="DJ34" s="43" t="str">
        <f t="shared" si="84"/>
        <v>31.12.9999</v>
      </c>
      <c r="DL34" s="44">
        <v>1</v>
      </c>
      <c r="DM34" s="44" t="s">
        <v>1039</v>
      </c>
      <c r="DN34" s="44">
        <v>1</v>
      </c>
      <c r="DO34" s="43">
        <f t="shared" si="85"/>
        <v>1</v>
      </c>
      <c r="DP34" s="43" t="str">
        <f t="shared" si="86"/>
        <v>PC</v>
      </c>
      <c r="DQ34" s="43" t="str">
        <f t="shared" si="87"/>
        <v/>
      </c>
      <c r="DR34" s="44">
        <v>100</v>
      </c>
      <c r="DS34" s="71">
        <f t="shared" si="88"/>
        <v>1</v>
      </c>
      <c r="DT34" s="43">
        <f t="shared" si="89"/>
        <v>100</v>
      </c>
      <c r="DU34" s="44">
        <v>1</v>
      </c>
      <c r="DV34" s="44">
        <v>0</v>
      </c>
      <c r="DW34" s="44" t="s">
        <v>826</v>
      </c>
      <c r="DX34" s="45">
        <v>0</v>
      </c>
      <c r="DY34" s="44">
        <v>100</v>
      </c>
      <c r="DZ34" s="61"/>
    </row>
    <row r="35" spans="1:130" x14ac:dyDescent="0.2">
      <c r="A35" s="7" t="str">
        <f t="shared" si="2"/>
        <v>Execução 31</v>
      </c>
      <c r="B35" s="79"/>
      <c r="C35" s="85"/>
      <c r="D35" s="71" t="str">
        <f t="shared" si="54"/>
        <v/>
      </c>
      <c r="E35" s="71" t="str">
        <f t="shared" si="55"/>
        <v/>
      </c>
      <c r="F35" s="43" t="str">
        <f>IF(IFERROR(INDEX(Consulta!$A:$DN,MATCH('ZM01'!$C35,Consulta!$D:$D,0),'ZM01'!F$2),"")=0,"",IFERROR(INDEX(Consulta!$A:$DN,MATCH('ZM01'!$C35,Consulta!$D:$D,0),'ZM01'!F$2),""))</f>
        <v/>
      </c>
      <c r="G35" s="43" t="str">
        <f>IF(IFERROR(INDEX(Consulta!$A:$DN,MATCH('ZM01'!$C35,Consulta!$D:$D,0),'ZM01'!G$2),"")=0,"",IFERROR(INDEX(Consulta!$A:$DN,MATCH('ZM01'!$C35,Consulta!$D:$D,0),'ZM01'!G$2),""))</f>
        <v/>
      </c>
      <c r="H35" s="43" t="str">
        <f t="shared" si="56"/>
        <v/>
      </c>
      <c r="I35" s="44" t="s">
        <v>100</v>
      </c>
      <c r="J35" s="43" t="str">
        <f>IF(IFERROR(INDEX(Consulta!$A:$DN,MATCH('ZM01'!$C35,Consulta!$D:$D,0),'ZM01'!J$2),"")=0,"",IFERROR(INDEX(Consulta!$A:$DN,MATCH('ZM01'!$C35,Consulta!$D:$D,0),'ZM01'!J$2),""))</f>
        <v/>
      </c>
      <c r="K35" s="43" t="str">
        <f>IF(IFERROR(INDEX(Consulta!$A:$DN,MATCH('ZM01'!$C35,Consulta!$D:$D,0),'ZM01'!K$2),"")=0,"",IFERROR(INDEX(Consulta!$A:$DN,MATCH('ZM01'!$C35,Consulta!$D:$D,0),'ZM01'!K$2),""))</f>
        <v/>
      </c>
      <c r="L35" s="43" t="str">
        <f t="shared" si="57"/>
        <v/>
      </c>
      <c r="M35" s="43" t="str">
        <f>IF(IFERROR(INDEX(Consulta!$A:$DN,MATCH('ZM01'!$C35,Consulta!$D:$D,0),'ZM01'!M$2),"")=0,"",IFERROR(INDEX(Consulta!$A:$DN,MATCH('ZM01'!$C35,Consulta!$D:$D,0),'ZM01'!M$2),""))</f>
        <v/>
      </c>
      <c r="N35" s="43" t="str">
        <f t="shared" si="58"/>
        <v/>
      </c>
      <c r="P35" s="45" t="s">
        <v>101</v>
      </c>
      <c r="Q35" s="45" t="s">
        <v>102</v>
      </c>
      <c r="R35" s="45" t="s">
        <v>103</v>
      </c>
      <c r="S35" s="45" t="s">
        <v>104</v>
      </c>
      <c r="T35" s="45" t="s">
        <v>105</v>
      </c>
      <c r="U35" s="45" t="s">
        <v>106</v>
      </c>
      <c r="V35" s="45" t="s">
        <v>107</v>
      </c>
      <c r="W35" s="45" t="s">
        <v>109</v>
      </c>
      <c r="X35" s="45" t="s">
        <v>110</v>
      </c>
      <c r="Y35" s="45"/>
      <c r="Z35" s="45"/>
      <c r="AA35" s="45" t="s">
        <v>112</v>
      </c>
      <c r="AB35" s="45" t="s">
        <v>113</v>
      </c>
      <c r="AC35" s="45" t="s">
        <v>114</v>
      </c>
      <c r="AD35" s="45" t="s">
        <v>115</v>
      </c>
      <c r="AE35" s="45" t="s">
        <v>117</v>
      </c>
      <c r="AF35" s="45" t="s">
        <v>118</v>
      </c>
      <c r="AG35" s="45" t="s">
        <v>119</v>
      </c>
      <c r="AH35" s="45" t="s">
        <v>120</v>
      </c>
      <c r="AI35" s="45" t="s">
        <v>121</v>
      </c>
      <c r="AJ35" s="45" t="s">
        <v>122</v>
      </c>
      <c r="AK35" s="45" t="s">
        <v>123</v>
      </c>
      <c r="AL35" s="45" t="s">
        <v>124</v>
      </c>
      <c r="AM35" s="45" t="s">
        <v>125</v>
      </c>
      <c r="AN35" s="45" t="s">
        <v>126</v>
      </c>
      <c r="AO35" s="45"/>
      <c r="AP35" s="45"/>
      <c r="AR35" s="44" t="s">
        <v>822</v>
      </c>
      <c r="AS35" s="43" t="str">
        <f>IF(IFERROR(INDEX(Consulta!$A:$DN,MATCH('ZM01'!$C35,Consulta!$D:$D,0),'ZM01'!AS$2),"")=0,"",IFERROR(INDEX(Consulta!$A:$DN,MATCH('ZM01'!$C35,Consulta!$D:$D,0),'ZM01'!AS$2),""))</f>
        <v/>
      </c>
      <c r="AT35" s="45"/>
      <c r="AU35" s="43" t="str">
        <f>IF(IFERROR(INDEX(Consulta!$A:$DN,MATCH('ZM01'!$C35,Consulta!$D:$D,0),'ZM01'!AU$2),"")=0,"",IFERROR(INDEX(Consulta!$A:$DN,MATCH('ZM01'!$C35,Consulta!$D:$D,0),'ZM01'!AU$2),""))</f>
        <v/>
      </c>
      <c r="AV35" s="43" t="str">
        <f>IF(IFERROR(INDEX(Consulta!$A:$DN,MATCH('ZM01'!$C35,Consulta!$D:$D,0),'ZM01'!AV$2),"")=0,"",IFERROR(INDEX(Consulta!$A:$DN,MATCH('ZM01'!$C35,Consulta!$D:$D,0),'ZM01'!AV$2),""))</f>
        <v/>
      </c>
      <c r="AW35" s="45"/>
      <c r="AX35" s="46" t="str">
        <f t="shared" ca="1" si="59"/>
        <v/>
      </c>
      <c r="AY35" s="47" t="s">
        <v>755</v>
      </c>
      <c r="AZ35" s="43" t="str">
        <f>IF(IFERROR(ROUND(INDEX(Consulta!$A:$DN,MATCH('ZM01'!$C35,Consulta!$D:$D,0),'ZM01'!AZ$2),3),"")=0,"",IFERROR(ROUND(INDEX(Consulta!$A:$DN,MATCH('ZM01'!$C35,Consulta!$D:$D,0),'ZM01'!AZ$2),3),""))</f>
        <v/>
      </c>
      <c r="BA35" s="43" t="str">
        <f t="shared" si="60"/>
        <v/>
      </c>
      <c r="BB35" s="48" t="s">
        <v>299</v>
      </c>
      <c r="BC35" s="48"/>
      <c r="BD35" s="43" t="str">
        <f>IF(IFERROR(INDEX(Consulta!$A:$DN,MATCH('ZM01'!$C35,Consulta!$D:$D,0),'ZM01'!BD$2),"")=0,"",IFERROR(INDEX(Consulta!$A:$DN,MATCH('ZM01'!$C35,Consulta!$D:$D,0),'ZM01'!BD$2),""))</f>
        <v/>
      </c>
      <c r="BE35" s="43" t="str">
        <f t="shared" si="61"/>
        <v/>
      </c>
      <c r="BF35" s="43" t="str">
        <f t="shared" si="62"/>
        <v/>
      </c>
      <c r="BG35" s="43" t="str">
        <f t="shared" si="63"/>
        <v/>
      </c>
      <c r="BH35" s="43" t="str">
        <f t="shared" si="64"/>
        <v>PC</v>
      </c>
      <c r="BI35" s="43" t="str">
        <f t="shared" si="65"/>
        <v/>
      </c>
      <c r="BJ35" s="43" t="str">
        <f t="shared" si="66"/>
        <v/>
      </c>
      <c r="BK35" s="43" t="str">
        <f t="shared" si="67"/>
        <v/>
      </c>
      <c r="BL35" s="43" t="str">
        <f t="shared" si="68"/>
        <v>PC</v>
      </c>
      <c r="BN35" s="44"/>
      <c r="BO35" s="44" t="s">
        <v>925</v>
      </c>
      <c r="BP35" s="43" t="str">
        <f>IF(OR(IFERROR(INDEX(Consulta!$A:$DN,MATCH('ZM01'!$C35,Consulta!$D:$D,0),'ZM01'!BP$2),"")=0,IFERROR(INDEX(Consulta!$A:$DN,MATCH('ZM01'!$C35,Consulta!$D:$D,0),'ZM01'!BP$2),"")=AR35),"",IFERROR(INDEX(Consulta!$A:$DN,MATCH('ZM01'!$C35,Consulta!$D:$D,0),'ZM01'!BP$2),""))</f>
        <v/>
      </c>
      <c r="BQ35" s="45">
        <v>99</v>
      </c>
      <c r="BR35" s="46" t="str">
        <f t="shared" ca="1" si="69"/>
        <v>24.05.2022</v>
      </c>
      <c r="BS35" s="49" t="str">
        <f t="shared" si="70"/>
        <v/>
      </c>
      <c r="BT35" s="50">
        <v>1</v>
      </c>
      <c r="BU35" s="50" t="s">
        <v>194</v>
      </c>
      <c r="BV35" s="90" t="str">
        <f t="shared" si="71"/>
        <v>01</v>
      </c>
      <c r="BW35" s="50" t="s">
        <v>755</v>
      </c>
      <c r="BX35" s="44">
        <v>1</v>
      </c>
      <c r="BY35" s="44" t="s">
        <v>372</v>
      </c>
      <c r="BZ35" s="50" t="s">
        <v>197</v>
      </c>
      <c r="CA35" s="50" t="s">
        <v>197</v>
      </c>
      <c r="CB35" s="43" t="str">
        <f>IF(IFERROR(INDEX(Consulta!$A:$DN,MATCH('ZM01'!$C35,Consulta!$D:$D,0),'ZM01'!CB$2),"")=0,"",IFERROR(INDEX(Consulta!$A:$DN,MATCH('ZM01'!$C35,Consulta!$D:$D,0),'ZM01'!CB$2),""))</f>
        <v/>
      </c>
      <c r="CC35" s="44" t="s">
        <v>392</v>
      </c>
      <c r="CD35" s="50">
        <v>0</v>
      </c>
      <c r="CE35" s="45" t="s">
        <v>403</v>
      </c>
      <c r="CF35" s="45" t="s">
        <v>84</v>
      </c>
      <c r="CG35" s="43" t="str">
        <f t="shared" si="72"/>
        <v/>
      </c>
      <c r="CH35" s="45" t="s">
        <v>430</v>
      </c>
      <c r="CI35" s="44">
        <v>0</v>
      </c>
      <c r="CJ35" s="43" t="str">
        <f t="shared" si="73"/>
        <v>E</v>
      </c>
      <c r="CK35" s="43" t="str">
        <f t="shared" si="74"/>
        <v/>
      </c>
      <c r="CL35" s="44">
        <v>2</v>
      </c>
      <c r="CM35" s="49" t="str">
        <f t="shared" si="75"/>
        <v/>
      </c>
      <c r="CN35" s="49" t="str">
        <f t="shared" si="76"/>
        <v/>
      </c>
      <c r="CO35" s="43" t="str">
        <f t="shared" si="77"/>
        <v/>
      </c>
      <c r="CP35" s="44">
        <v>1</v>
      </c>
      <c r="CQ35" s="50" t="s">
        <v>515</v>
      </c>
      <c r="CR35" s="44" t="s">
        <v>372</v>
      </c>
      <c r="CS35" s="44">
        <v>2</v>
      </c>
      <c r="CT35" s="44">
        <v>42</v>
      </c>
      <c r="CU35" s="44">
        <v>10</v>
      </c>
      <c r="CV35" s="43" t="str">
        <f t="shared" si="78"/>
        <v>K00_AO_</v>
      </c>
      <c r="CW35" s="43" t="str">
        <f t="shared" si="79"/>
        <v/>
      </c>
      <c r="CX35" s="43" t="str">
        <f t="shared" si="80"/>
        <v/>
      </c>
      <c r="CY35" s="44">
        <v>1</v>
      </c>
      <c r="CZ35" s="43" t="str">
        <f t="shared" si="81"/>
        <v/>
      </c>
      <c r="DA35" s="43" t="str">
        <f>IF(IFERROR(INDEX(Consulta!$A:$DN,MATCH('ZM01'!$C35,Consulta!$D:$D,0),'ZM01'!DA$2),"")=0,"",IFERROR(INDEX(Consulta!$A:$DN,MATCH('ZM01'!$C35,Consulta!$D:$D,0),'ZM01'!DA$2),""))</f>
        <v/>
      </c>
      <c r="DB35" s="43" t="str">
        <f>IF(IFERROR(INDEX(Consulta!$A:$DN,MATCH('ZM01'!$C35,Consulta!$D:$D,0),'ZM01'!DB$2),"")=0,"",IFERROR(INDEX(Consulta!$A:$DN,MATCH('ZM01'!$C35,Consulta!$D:$D,0),'ZM01'!DB$2),""))</f>
        <v/>
      </c>
      <c r="DC35" s="45">
        <v>0</v>
      </c>
      <c r="DD35" s="45">
        <v>0</v>
      </c>
      <c r="DE35" s="43" t="str">
        <f>IF(IFERROR(INDEX(Consulta!$A:$DN,MATCH('ZM01'!$C35,Consulta!$D:$D,0),'ZM01'!DE$2),"")=0,"",IFERROR(TEXT(VALUE(INDEX(Consulta!$A:$DN,MATCH('ZM01'!$C35,Consulta!$D:$D,0),'ZM01'!DE$2))/100,"0,00"),""))</f>
        <v/>
      </c>
      <c r="DG35" s="43">
        <f t="shared" si="82"/>
        <v>1</v>
      </c>
      <c r="DH35" s="43" t="str">
        <f>IF(IFERROR(INDEX(Consulta!$A:$DN,MATCH('ZM01'!$C35,Consulta!$D:$D,0),'ZM01'!DH$2),"")=0,"",IFERROR(VLOOKUP(INDEX(Consulta!$A:$DN,MATCH('ZM01'!$C35,Consulta!$D:$D,0),'ZM01'!DH$2),'Listas de Dados'!BU:BW,3,0),""))</f>
        <v/>
      </c>
      <c r="DI35" s="43" t="str">
        <f t="shared" ca="1" si="83"/>
        <v>24.05.2022</v>
      </c>
      <c r="DJ35" s="43" t="str">
        <f t="shared" si="84"/>
        <v>31.12.9999</v>
      </c>
      <c r="DL35" s="44">
        <v>1</v>
      </c>
      <c r="DM35" s="44" t="s">
        <v>1039</v>
      </c>
      <c r="DN35" s="44">
        <v>1</v>
      </c>
      <c r="DO35" s="43">
        <f t="shared" si="85"/>
        <v>1</v>
      </c>
      <c r="DP35" s="43" t="str">
        <f t="shared" si="86"/>
        <v>PC</v>
      </c>
      <c r="DQ35" s="43" t="str">
        <f t="shared" si="87"/>
        <v/>
      </c>
      <c r="DR35" s="44">
        <v>100</v>
      </c>
      <c r="DS35" s="71">
        <f t="shared" si="88"/>
        <v>1</v>
      </c>
      <c r="DT35" s="43">
        <f t="shared" si="89"/>
        <v>100</v>
      </c>
      <c r="DU35" s="44">
        <v>1</v>
      </c>
      <c r="DV35" s="44">
        <v>0</v>
      </c>
      <c r="DW35" s="44" t="s">
        <v>826</v>
      </c>
      <c r="DX35" s="45">
        <v>0</v>
      </c>
      <c r="DY35" s="44">
        <v>100</v>
      </c>
      <c r="DZ35" s="60"/>
    </row>
    <row r="36" spans="1:130" x14ac:dyDescent="0.2">
      <c r="A36" s="7" t="str">
        <f t="shared" si="2"/>
        <v>Execução 32</v>
      </c>
      <c r="B36" s="75"/>
      <c r="C36" s="85"/>
      <c r="D36" s="71" t="str">
        <f t="shared" si="54"/>
        <v/>
      </c>
      <c r="E36" s="71" t="str">
        <f t="shared" si="55"/>
        <v/>
      </c>
      <c r="F36" s="43" t="str">
        <f>IF(IFERROR(INDEX(Consulta!$A:$DN,MATCH('ZM01'!$C36,Consulta!$D:$D,0),'ZM01'!F$2),"")=0,"",IFERROR(INDEX(Consulta!$A:$DN,MATCH('ZM01'!$C36,Consulta!$D:$D,0),'ZM01'!F$2),""))</f>
        <v/>
      </c>
      <c r="G36" s="43" t="str">
        <f>IF(IFERROR(INDEX(Consulta!$A:$DN,MATCH('ZM01'!$C36,Consulta!$D:$D,0),'ZM01'!G$2),"")=0,"",IFERROR(INDEX(Consulta!$A:$DN,MATCH('ZM01'!$C36,Consulta!$D:$D,0),'ZM01'!G$2),""))</f>
        <v/>
      </c>
      <c r="H36" s="43" t="str">
        <f t="shared" si="56"/>
        <v/>
      </c>
      <c r="I36" s="44" t="s">
        <v>100</v>
      </c>
      <c r="J36" s="43" t="str">
        <f>IF(IFERROR(INDEX(Consulta!$A:$DN,MATCH('ZM01'!$C36,Consulta!$D:$D,0),'ZM01'!J$2),"")=0,"",IFERROR(INDEX(Consulta!$A:$DN,MATCH('ZM01'!$C36,Consulta!$D:$D,0),'ZM01'!J$2),""))</f>
        <v/>
      </c>
      <c r="K36" s="43" t="str">
        <f>IF(IFERROR(INDEX(Consulta!$A:$DN,MATCH('ZM01'!$C36,Consulta!$D:$D,0),'ZM01'!K$2),"")=0,"",IFERROR(INDEX(Consulta!$A:$DN,MATCH('ZM01'!$C36,Consulta!$D:$D,0),'ZM01'!K$2),""))</f>
        <v/>
      </c>
      <c r="L36" s="43" t="str">
        <f t="shared" si="57"/>
        <v/>
      </c>
      <c r="M36" s="43" t="str">
        <f>IF(IFERROR(INDEX(Consulta!$A:$DN,MATCH('ZM01'!$C36,Consulta!$D:$D,0),'ZM01'!M$2),"")=0,"",IFERROR(INDEX(Consulta!$A:$DN,MATCH('ZM01'!$C36,Consulta!$D:$D,0),'ZM01'!M$2),""))</f>
        <v/>
      </c>
      <c r="N36" s="43" t="str">
        <f t="shared" si="58"/>
        <v/>
      </c>
      <c r="P36" s="45" t="s">
        <v>101</v>
      </c>
      <c r="Q36" s="45" t="s">
        <v>102</v>
      </c>
      <c r="R36" s="45" t="s">
        <v>103</v>
      </c>
      <c r="S36" s="45" t="s">
        <v>104</v>
      </c>
      <c r="T36" s="45" t="s">
        <v>105</v>
      </c>
      <c r="U36" s="45" t="s">
        <v>106</v>
      </c>
      <c r="V36" s="45" t="s">
        <v>107</v>
      </c>
      <c r="W36" s="45" t="s">
        <v>109</v>
      </c>
      <c r="X36" s="45" t="s">
        <v>110</v>
      </c>
      <c r="Y36" s="45"/>
      <c r="Z36" s="45"/>
      <c r="AA36" s="45" t="s">
        <v>112</v>
      </c>
      <c r="AB36" s="45" t="s">
        <v>113</v>
      </c>
      <c r="AC36" s="45" t="s">
        <v>114</v>
      </c>
      <c r="AD36" s="45" t="s">
        <v>115</v>
      </c>
      <c r="AE36" s="45" t="s">
        <v>117</v>
      </c>
      <c r="AF36" s="45" t="s">
        <v>118</v>
      </c>
      <c r="AG36" s="45" t="s">
        <v>119</v>
      </c>
      <c r="AH36" s="45" t="s">
        <v>120</v>
      </c>
      <c r="AI36" s="45" t="s">
        <v>121</v>
      </c>
      <c r="AJ36" s="45" t="s">
        <v>122</v>
      </c>
      <c r="AK36" s="45" t="s">
        <v>123</v>
      </c>
      <c r="AL36" s="45" t="s">
        <v>124</v>
      </c>
      <c r="AM36" s="45" t="s">
        <v>125</v>
      </c>
      <c r="AN36" s="45" t="s">
        <v>126</v>
      </c>
      <c r="AO36" s="45"/>
      <c r="AP36" s="45"/>
      <c r="AR36" s="44" t="s">
        <v>822</v>
      </c>
      <c r="AS36" s="43" t="str">
        <f>IF(IFERROR(INDEX(Consulta!$A:$DN,MATCH('ZM01'!$C36,Consulta!$D:$D,0),'ZM01'!AS$2),"")=0,"",IFERROR(INDEX(Consulta!$A:$DN,MATCH('ZM01'!$C36,Consulta!$D:$D,0),'ZM01'!AS$2),""))</f>
        <v/>
      </c>
      <c r="AT36" s="45"/>
      <c r="AU36" s="43" t="str">
        <f>IF(IFERROR(INDEX(Consulta!$A:$DN,MATCH('ZM01'!$C36,Consulta!$D:$D,0),'ZM01'!AU$2),"")=0,"",IFERROR(INDEX(Consulta!$A:$DN,MATCH('ZM01'!$C36,Consulta!$D:$D,0),'ZM01'!AU$2),""))</f>
        <v/>
      </c>
      <c r="AV36" s="43" t="str">
        <f>IF(IFERROR(INDEX(Consulta!$A:$DN,MATCH('ZM01'!$C36,Consulta!$D:$D,0),'ZM01'!AV$2),"")=0,"",IFERROR(INDEX(Consulta!$A:$DN,MATCH('ZM01'!$C36,Consulta!$D:$D,0),'ZM01'!AV$2),""))</f>
        <v/>
      </c>
      <c r="AW36" s="45"/>
      <c r="AX36" s="46" t="str">
        <f t="shared" ca="1" si="59"/>
        <v/>
      </c>
      <c r="AY36" s="47" t="s">
        <v>755</v>
      </c>
      <c r="AZ36" s="43" t="str">
        <f>IF(IFERROR(ROUND(INDEX(Consulta!$A:$DN,MATCH('ZM01'!$C36,Consulta!$D:$D,0),'ZM01'!AZ$2),3),"")=0,"",IFERROR(ROUND(INDEX(Consulta!$A:$DN,MATCH('ZM01'!$C36,Consulta!$D:$D,0),'ZM01'!AZ$2),3),""))</f>
        <v/>
      </c>
      <c r="BA36" s="43" t="str">
        <f t="shared" si="60"/>
        <v/>
      </c>
      <c r="BB36" s="48" t="s">
        <v>299</v>
      </c>
      <c r="BC36" s="48"/>
      <c r="BD36" s="43" t="str">
        <f>IF(IFERROR(INDEX(Consulta!$A:$DN,MATCH('ZM01'!$C36,Consulta!$D:$D,0),'ZM01'!BD$2),"")=0,"",IFERROR(INDEX(Consulta!$A:$DN,MATCH('ZM01'!$C36,Consulta!$D:$D,0),'ZM01'!BD$2),""))</f>
        <v/>
      </c>
      <c r="BE36" s="43" t="str">
        <f t="shared" si="61"/>
        <v/>
      </c>
      <c r="BF36" s="43" t="str">
        <f t="shared" si="62"/>
        <v/>
      </c>
      <c r="BG36" s="43" t="str">
        <f t="shared" si="63"/>
        <v/>
      </c>
      <c r="BH36" s="43" t="str">
        <f t="shared" si="64"/>
        <v>PC</v>
      </c>
      <c r="BI36" s="43" t="str">
        <f t="shared" si="65"/>
        <v/>
      </c>
      <c r="BJ36" s="43" t="str">
        <f t="shared" si="66"/>
        <v/>
      </c>
      <c r="BK36" s="43" t="str">
        <f t="shared" si="67"/>
        <v/>
      </c>
      <c r="BL36" s="43" t="str">
        <f t="shared" si="68"/>
        <v>PC</v>
      </c>
      <c r="BN36" s="44"/>
      <c r="BO36" s="44" t="s">
        <v>925</v>
      </c>
      <c r="BP36" s="43" t="str">
        <f>IF(OR(IFERROR(INDEX(Consulta!$A:$DN,MATCH('ZM01'!$C36,Consulta!$D:$D,0),'ZM01'!BP$2),"")=0,IFERROR(INDEX(Consulta!$A:$DN,MATCH('ZM01'!$C36,Consulta!$D:$D,0),'ZM01'!BP$2),"")=AR36),"",IFERROR(INDEX(Consulta!$A:$DN,MATCH('ZM01'!$C36,Consulta!$D:$D,0),'ZM01'!BP$2),""))</f>
        <v/>
      </c>
      <c r="BQ36" s="45">
        <v>99</v>
      </c>
      <c r="BR36" s="46" t="str">
        <f t="shared" ca="1" si="69"/>
        <v>24.05.2022</v>
      </c>
      <c r="BS36" s="49" t="str">
        <f t="shared" si="70"/>
        <v/>
      </c>
      <c r="BT36" s="50">
        <v>1</v>
      </c>
      <c r="BU36" s="50" t="s">
        <v>194</v>
      </c>
      <c r="BV36" s="90" t="str">
        <f t="shared" si="71"/>
        <v>01</v>
      </c>
      <c r="BW36" s="50" t="s">
        <v>755</v>
      </c>
      <c r="BX36" s="44">
        <v>1</v>
      </c>
      <c r="BY36" s="44" t="s">
        <v>372</v>
      </c>
      <c r="BZ36" s="50" t="s">
        <v>197</v>
      </c>
      <c r="CA36" s="50" t="s">
        <v>197</v>
      </c>
      <c r="CB36" s="43" t="str">
        <f>IF(IFERROR(INDEX(Consulta!$A:$DN,MATCH('ZM01'!$C36,Consulta!$D:$D,0),'ZM01'!CB$2),"")=0,"",IFERROR(INDEX(Consulta!$A:$DN,MATCH('ZM01'!$C36,Consulta!$D:$D,0),'ZM01'!CB$2),""))</f>
        <v/>
      </c>
      <c r="CC36" s="44" t="s">
        <v>392</v>
      </c>
      <c r="CD36" s="50">
        <v>0</v>
      </c>
      <c r="CE36" s="45" t="s">
        <v>403</v>
      </c>
      <c r="CF36" s="45" t="s">
        <v>84</v>
      </c>
      <c r="CG36" s="43" t="str">
        <f t="shared" si="72"/>
        <v/>
      </c>
      <c r="CH36" s="45" t="s">
        <v>430</v>
      </c>
      <c r="CI36" s="44">
        <v>0</v>
      </c>
      <c r="CJ36" s="43" t="str">
        <f t="shared" si="73"/>
        <v>E</v>
      </c>
      <c r="CK36" s="43" t="str">
        <f t="shared" si="74"/>
        <v/>
      </c>
      <c r="CL36" s="44">
        <v>2</v>
      </c>
      <c r="CM36" s="49" t="str">
        <f t="shared" si="75"/>
        <v/>
      </c>
      <c r="CN36" s="49" t="str">
        <f t="shared" si="76"/>
        <v/>
      </c>
      <c r="CO36" s="43" t="str">
        <f t="shared" si="77"/>
        <v/>
      </c>
      <c r="CP36" s="44">
        <v>1</v>
      </c>
      <c r="CQ36" s="50" t="s">
        <v>515</v>
      </c>
      <c r="CR36" s="44" t="s">
        <v>372</v>
      </c>
      <c r="CS36" s="44">
        <v>2</v>
      </c>
      <c r="CT36" s="44">
        <v>42</v>
      </c>
      <c r="CU36" s="44">
        <v>10</v>
      </c>
      <c r="CV36" s="43" t="str">
        <f t="shared" si="78"/>
        <v>K00_AO_</v>
      </c>
      <c r="CW36" s="43" t="str">
        <f t="shared" si="79"/>
        <v/>
      </c>
      <c r="CX36" s="43" t="str">
        <f t="shared" si="80"/>
        <v/>
      </c>
      <c r="CY36" s="44">
        <v>1</v>
      </c>
      <c r="CZ36" s="43" t="str">
        <f t="shared" si="81"/>
        <v/>
      </c>
      <c r="DA36" s="43" t="str">
        <f>IF(IFERROR(INDEX(Consulta!$A:$DN,MATCH('ZM01'!$C36,Consulta!$D:$D,0),'ZM01'!DA$2),"")=0,"",IFERROR(INDEX(Consulta!$A:$DN,MATCH('ZM01'!$C36,Consulta!$D:$D,0),'ZM01'!DA$2),""))</f>
        <v/>
      </c>
      <c r="DB36" s="43" t="str">
        <f>IF(IFERROR(INDEX(Consulta!$A:$DN,MATCH('ZM01'!$C36,Consulta!$D:$D,0),'ZM01'!DB$2),"")=0,"",IFERROR(INDEX(Consulta!$A:$DN,MATCH('ZM01'!$C36,Consulta!$D:$D,0),'ZM01'!DB$2),""))</f>
        <v/>
      </c>
      <c r="DC36" s="45">
        <v>0</v>
      </c>
      <c r="DD36" s="45">
        <v>0</v>
      </c>
      <c r="DE36" s="43" t="str">
        <f>IF(IFERROR(INDEX(Consulta!$A:$DN,MATCH('ZM01'!$C36,Consulta!$D:$D,0),'ZM01'!DE$2),"")=0,"",IFERROR(TEXT(VALUE(INDEX(Consulta!$A:$DN,MATCH('ZM01'!$C36,Consulta!$D:$D,0),'ZM01'!DE$2))/100,"0,00"),""))</f>
        <v/>
      </c>
      <c r="DG36" s="43">
        <f t="shared" si="82"/>
        <v>1</v>
      </c>
      <c r="DH36" s="43" t="str">
        <f>IF(IFERROR(INDEX(Consulta!$A:$DN,MATCH('ZM01'!$C36,Consulta!$D:$D,0),'ZM01'!DH$2),"")=0,"",IFERROR(VLOOKUP(INDEX(Consulta!$A:$DN,MATCH('ZM01'!$C36,Consulta!$D:$D,0),'ZM01'!DH$2),'Listas de Dados'!BU:BW,3,0),""))</f>
        <v/>
      </c>
      <c r="DI36" s="43" t="str">
        <f t="shared" ca="1" si="83"/>
        <v>24.05.2022</v>
      </c>
      <c r="DJ36" s="43" t="str">
        <f t="shared" si="84"/>
        <v>31.12.9999</v>
      </c>
      <c r="DL36" s="44">
        <v>1</v>
      </c>
      <c r="DM36" s="44" t="s">
        <v>1039</v>
      </c>
      <c r="DN36" s="44">
        <v>1</v>
      </c>
      <c r="DO36" s="43">
        <f t="shared" si="85"/>
        <v>1</v>
      </c>
      <c r="DP36" s="43" t="str">
        <f t="shared" si="86"/>
        <v>PC</v>
      </c>
      <c r="DQ36" s="43" t="str">
        <f t="shared" si="87"/>
        <v/>
      </c>
      <c r="DR36" s="44">
        <v>100</v>
      </c>
      <c r="DS36" s="71">
        <f t="shared" si="88"/>
        <v>1</v>
      </c>
      <c r="DT36" s="43">
        <f t="shared" si="89"/>
        <v>100</v>
      </c>
      <c r="DU36" s="44">
        <v>1</v>
      </c>
      <c r="DV36" s="44">
        <v>0</v>
      </c>
      <c r="DW36" s="44" t="s">
        <v>826</v>
      </c>
      <c r="DX36" s="45">
        <v>0</v>
      </c>
      <c r="DY36" s="44">
        <v>100</v>
      </c>
      <c r="DZ36" s="61"/>
    </row>
    <row r="37" spans="1:130" x14ac:dyDescent="0.2">
      <c r="A37" s="7" t="str">
        <f t="shared" si="2"/>
        <v>Execução 33</v>
      </c>
      <c r="B37" s="79"/>
      <c r="C37" s="85"/>
      <c r="D37" s="71" t="str">
        <f t="shared" si="54"/>
        <v/>
      </c>
      <c r="E37" s="71" t="str">
        <f t="shared" si="55"/>
        <v/>
      </c>
      <c r="F37" s="43" t="str">
        <f>IF(IFERROR(INDEX(Consulta!$A:$DN,MATCH('ZM01'!$C37,Consulta!$D:$D,0),'ZM01'!F$2),"")=0,"",IFERROR(INDEX(Consulta!$A:$DN,MATCH('ZM01'!$C37,Consulta!$D:$D,0),'ZM01'!F$2),""))</f>
        <v/>
      </c>
      <c r="G37" s="43" t="str">
        <f>IF(IFERROR(INDEX(Consulta!$A:$DN,MATCH('ZM01'!$C37,Consulta!$D:$D,0),'ZM01'!G$2),"")=0,"",IFERROR(INDEX(Consulta!$A:$DN,MATCH('ZM01'!$C37,Consulta!$D:$D,0),'ZM01'!G$2),""))</f>
        <v/>
      </c>
      <c r="H37" s="43" t="str">
        <f t="shared" si="56"/>
        <v/>
      </c>
      <c r="I37" s="44" t="s">
        <v>100</v>
      </c>
      <c r="J37" s="43" t="str">
        <f>IF(IFERROR(INDEX(Consulta!$A:$DN,MATCH('ZM01'!$C37,Consulta!$D:$D,0),'ZM01'!J$2),"")=0,"",IFERROR(INDEX(Consulta!$A:$DN,MATCH('ZM01'!$C37,Consulta!$D:$D,0),'ZM01'!J$2),""))</f>
        <v/>
      </c>
      <c r="K37" s="43" t="str">
        <f>IF(IFERROR(INDEX(Consulta!$A:$DN,MATCH('ZM01'!$C37,Consulta!$D:$D,0),'ZM01'!K$2),"")=0,"",IFERROR(INDEX(Consulta!$A:$DN,MATCH('ZM01'!$C37,Consulta!$D:$D,0),'ZM01'!K$2),""))</f>
        <v/>
      </c>
      <c r="L37" s="43" t="str">
        <f t="shared" si="57"/>
        <v/>
      </c>
      <c r="M37" s="43" t="str">
        <f>IF(IFERROR(INDEX(Consulta!$A:$DN,MATCH('ZM01'!$C37,Consulta!$D:$D,0),'ZM01'!M$2),"")=0,"",IFERROR(INDEX(Consulta!$A:$DN,MATCH('ZM01'!$C37,Consulta!$D:$D,0),'ZM01'!M$2),""))</f>
        <v/>
      </c>
      <c r="N37" s="43" t="str">
        <f t="shared" si="58"/>
        <v/>
      </c>
      <c r="P37" s="45" t="s">
        <v>101</v>
      </c>
      <c r="Q37" s="45" t="s">
        <v>102</v>
      </c>
      <c r="R37" s="45" t="s">
        <v>103</v>
      </c>
      <c r="S37" s="45" t="s">
        <v>104</v>
      </c>
      <c r="T37" s="45" t="s">
        <v>105</v>
      </c>
      <c r="U37" s="45" t="s">
        <v>106</v>
      </c>
      <c r="V37" s="45" t="s">
        <v>107</v>
      </c>
      <c r="W37" s="45" t="s">
        <v>109</v>
      </c>
      <c r="X37" s="45" t="s">
        <v>110</v>
      </c>
      <c r="Y37" s="45"/>
      <c r="Z37" s="45"/>
      <c r="AA37" s="45" t="s">
        <v>112</v>
      </c>
      <c r="AB37" s="45" t="s">
        <v>113</v>
      </c>
      <c r="AC37" s="45" t="s">
        <v>114</v>
      </c>
      <c r="AD37" s="45" t="s">
        <v>115</v>
      </c>
      <c r="AE37" s="45" t="s">
        <v>117</v>
      </c>
      <c r="AF37" s="45" t="s">
        <v>118</v>
      </c>
      <c r="AG37" s="45" t="s">
        <v>119</v>
      </c>
      <c r="AH37" s="45" t="s">
        <v>120</v>
      </c>
      <c r="AI37" s="45" t="s">
        <v>121</v>
      </c>
      <c r="AJ37" s="45" t="s">
        <v>122</v>
      </c>
      <c r="AK37" s="45" t="s">
        <v>123</v>
      </c>
      <c r="AL37" s="45" t="s">
        <v>124</v>
      </c>
      <c r="AM37" s="45" t="s">
        <v>125</v>
      </c>
      <c r="AN37" s="45" t="s">
        <v>126</v>
      </c>
      <c r="AO37" s="45"/>
      <c r="AP37" s="45"/>
      <c r="AR37" s="44" t="s">
        <v>822</v>
      </c>
      <c r="AS37" s="43" t="str">
        <f>IF(IFERROR(INDEX(Consulta!$A:$DN,MATCH('ZM01'!$C37,Consulta!$D:$D,0),'ZM01'!AS$2),"")=0,"",IFERROR(INDEX(Consulta!$A:$DN,MATCH('ZM01'!$C37,Consulta!$D:$D,0),'ZM01'!AS$2),""))</f>
        <v/>
      </c>
      <c r="AT37" s="45"/>
      <c r="AU37" s="43" t="str">
        <f>IF(IFERROR(INDEX(Consulta!$A:$DN,MATCH('ZM01'!$C37,Consulta!$D:$D,0),'ZM01'!AU$2),"")=0,"",IFERROR(INDEX(Consulta!$A:$DN,MATCH('ZM01'!$C37,Consulta!$D:$D,0),'ZM01'!AU$2),""))</f>
        <v/>
      </c>
      <c r="AV37" s="43" t="str">
        <f>IF(IFERROR(INDEX(Consulta!$A:$DN,MATCH('ZM01'!$C37,Consulta!$D:$D,0),'ZM01'!AV$2),"")=0,"",IFERROR(INDEX(Consulta!$A:$DN,MATCH('ZM01'!$C37,Consulta!$D:$D,0),'ZM01'!AV$2),""))</f>
        <v/>
      </c>
      <c r="AW37" s="45"/>
      <c r="AX37" s="46" t="str">
        <f t="shared" ca="1" si="59"/>
        <v/>
      </c>
      <c r="AY37" s="47" t="s">
        <v>755</v>
      </c>
      <c r="AZ37" s="43" t="str">
        <f>IF(IFERROR(ROUND(INDEX(Consulta!$A:$DN,MATCH('ZM01'!$C37,Consulta!$D:$D,0),'ZM01'!AZ$2),3),"")=0,"",IFERROR(ROUND(INDEX(Consulta!$A:$DN,MATCH('ZM01'!$C37,Consulta!$D:$D,0),'ZM01'!AZ$2),3),""))</f>
        <v/>
      </c>
      <c r="BA37" s="43" t="str">
        <f t="shared" si="60"/>
        <v/>
      </c>
      <c r="BB37" s="48" t="s">
        <v>299</v>
      </c>
      <c r="BC37" s="48"/>
      <c r="BD37" s="43" t="str">
        <f>IF(IFERROR(INDEX(Consulta!$A:$DN,MATCH('ZM01'!$C37,Consulta!$D:$D,0),'ZM01'!BD$2),"")=0,"",IFERROR(INDEX(Consulta!$A:$DN,MATCH('ZM01'!$C37,Consulta!$D:$D,0),'ZM01'!BD$2),""))</f>
        <v/>
      </c>
      <c r="BE37" s="43" t="str">
        <f t="shared" si="61"/>
        <v/>
      </c>
      <c r="BF37" s="43" t="str">
        <f t="shared" si="62"/>
        <v/>
      </c>
      <c r="BG37" s="43" t="str">
        <f t="shared" si="63"/>
        <v/>
      </c>
      <c r="BH37" s="43" t="str">
        <f t="shared" si="64"/>
        <v>PC</v>
      </c>
      <c r="BI37" s="43" t="str">
        <f t="shared" si="65"/>
        <v/>
      </c>
      <c r="BJ37" s="43" t="str">
        <f t="shared" si="66"/>
        <v/>
      </c>
      <c r="BK37" s="43" t="str">
        <f t="shared" si="67"/>
        <v/>
      </c>
      <c r="BL37" s="43" t="str">
        <f t="shared" si="68"/>
        <v>PC</v>
      </c>
      <c r="BN37" s="44"/>
      <c r="BO37" s="44" t="s">
        <v>925</v>
      </c>
      <c r="BP37" s="43" t="str">
        <f>IF(OR(IFERROR(INDEX(Consulta!$A:$DN,MATCH('ZM01'!$C37,Consulta!$D:$D,0),'ZM01'!BP$2),"")=0,IFERROR(INDEX(Consulta!$A:$DN,MATCH('ZM01'!$C37,Consulta!$D:$D,0),'ZM01'!BP$2),"")=AR37),"",IFERROR(INDEX(Consulta!$A:$DN,MATCH('ZM01'!$C37,Consulta!$D:$D,0),'ZM01'!BP$2),""))</f>
        <v/>
      </c>
      <c r="BQ37" s="45">
        <v>99</v>
      </c>
      <c r="BR37" s="46" t="str">
        <f t="shared" ca="1" si="69"/>
        <v>24.05.2022</v>
      </c>
      <c r="BS37" s="49" t="str">
        <f t="shared" si="70"/>
        <v/>
      </c>
      <c r="BT37" s="50">
        <v>1</v>
      </c>
      <c r="BU37" s="50" t="s">
        <v>194</v>
      </c>
      <c r="BV37" s="90" t="str">
        <f t="shared" si="71"/>
        <v>01</v>
      </c>
      <c r="BW37" s="50" t="s">
        <v>755</v>
      </c>
      <c r="BX37" s="44">
        <v>1</v>
      </c>
      <c r="BY37" s="44" t="s">
        <v>372</v>
      </c>
      <c r="BZ37" s="50" t="s">
        <v>197</v>
      </c>
      <c r="CA37" s="50" t="s">
        <v>197</v>
      </c>
      <c r="CB37" s="43" t="str">
        <f>IF(IFERROR(INDEX(Consulta!$A:$DN,MATCH('ZM01'!$C37,Consulta!$D:$D,0),'ZM01'!CB$2),"")=0,"",IFERROR(INDEX(Consulta!$A:$DN,MATCH('ZM01'!$C37,Consulta!$D:$D,0),'ZM01'!CB$2),""))</f>
        <v/>
      </c>
      <c r="CC37" s="44" t="s">
        <v>392</v>
      </c>
      <c r="CD37" s="50">
        <v>0</v>
      </c>
      <c r="CE37" s="45" t="s">
        <v>403</v>
      </c>
      <c r="CF37" s="45" t="s">
        <v>84</v>
      </c>
      <c r="CG37" s="43" t="str">
        <f t="shared" si="72"/>
        <v/>
      </c>
      <c r="CH37" s="45" t="s">
        <v>430</v>
      </c>
      <c r="CI37" s="44">
        <v>0</v>
      </c>
      <c r="CJ37" s="43" t="str">
        <f t="shared" si="73"/>
        <v>E</v>
      </c>
      <c r="CK37" s="43" t="str">
        <f t="shared" si="74"/>
        <v/>
      </c>
      <c r="CL37" s="44">
        <v>2</v>
      </c>
      <c r="CM37" s="49" t="str">
        <f t="shared" si="75"/>
        <v/>
      </c>
      <c r="CN37" s="49" t="str">
        <f t="shared" si="76"/>
        <v/>
      </c>
      <c r="CO37" s="43" t="str">
        <f t="shared" si="77"/>
        <v/>
      </c>
      <c r="CP37" s="44">
        <v>1</v>
      </c>
      <c r="CQ37" s="50" t="s">
        <v>515</v>
      </c>
      <c r="CR37" s="44" t="s">
        <v>372</v>
      </c>
      <c r="CS37" s="44">
        <v>2</v>
      </c>
      <c r="CT37" s="44">
        <v>42</v>
      </c>
      <c r="CU37" s="44">
        <v>10</v>
      </c>
      <c r="CV37" s="43" t="str">
        <f t="shared" si="78"/>
        <v>K00_AO_</v>
      </c>
      <c r="CW37" s="43" t="str">
        <f t="shared" si="79"/>
        <v/>
      </c>
      <c r="CX37" s="43" t="str">
        <f t="shared" si="80"/>
        <v/>
      </c>
      <c r="CY37" s="44">
        <v>1</v>
      </c>
      <c r="CZ37" s="43" t="str">
        <f t="shared" si="81"/>
        <v/>
      </c>
      <c r="DA37" s="43" t="str">
        <f>IF(IFERROR(INDEX(Consulta!$A:$DN,MATCH('ZM01'!$C37,Consulta!$D:$D,0),'ZM01'!DA$2),"")=0,"",IFERROR(INDEX(Consulta!$A:$DN,MATCH('ZM01'!$C37,Consulta!$D:$D,0),'ZM01'!DA$2),""))</f>
        <v/>
      </c>
      <c r="DB37" s="43" t="str">
        <f>IF(IFERROR(INDEX(Consulta!$A:$DN,MATCH('ZM01'!$C37,Consulta!$D:$D,0),'ZM01'!DB$2),"")=0,"",IFERROR(INDEX(Consulta!$A:$DN,MATCH('ZM01'!$C37,Consulta!$D:$D,0),'ZM01'!DB$2),""))</f>
        <v/>
      </c>
      <c r="DC37" s="45">
        <v>0</v>
      </c>
      <c r="DD37" s="45">
        <v>0</v>
      </c>
      <c r="DE37" s="43" t="str">
        <f>IF(IFERROR(INDEX(Consulta!$A:$DN,MATCH('ZM01'!$C37,Consulta!$D:$D,0),'ZM01'!DE$2),"")=0,"",IFERROR(TEXT(VALUE(INDEX(Consulta!$A:$DN,MATCH('ZM01'!$C37,Consulta!$D:$D,0),'ZM01'!DE$2))/100,"0,00"),""))</f>
        <v/>
      </c>
      <c r="DG37" s="43">
        <f t="shared" si="82"/>
        <v>1</v>
      </c>
      <c r="DH37" s="43" t="str">
        <f>IF(IFERROR(INDEX(Consulta!$A:$DN,MATCH('ZM01'!$C37,Consulta!$D:$D,0),'ZM01'!DH$2),"")=0,"",IFERROR(VLOOKUP(INDEX(Consulta!$A:$DN,MATCH('ZM01'!$C37,Consulta!$D:$D,0),'ZM01'!DH$2),'Listas de Dados'!BU:BW,3,0),""))</f>
        <v/>
      </c>
      <c r="DI37" s="43" t="str">
        <f t="shared" ca="1" si="83"/>
        <v>24.05.2022</v>
      </c>
      <c r="DJ37" s="43" t="str">
        <f t="shared" si="84"/>
        <v>31.12.9999</v>
      </c>
      <c r="DL37" s="44">
        <v>1</v>
      </c>
      <c r="DM37" s="44" t="s">
        <v>1039</v>
      </c>
      <c r="DN37" s="44">
        <v>1</v>
      </c>
      <c r="DO37" s="43">
        <f t="shared" si="85"/>
        <v>1</v>
      </c>
      <c r="DP37" s="43" t="str">
        <f t="shared" si="86"/>
        <v>PC</v>
      </c>
      <c r="DQ37" s="43" t="str">
        <f t="shared" si="87"/>
        <v/>
      </c>
      <c r="DR37" s="44">
        <v>100</v>
      </c>
      <c r="DS37" s="71">
        <f t="shared" si="88"/>
        <v>1</v>
      </c>
      <c r="DT37" s="43">
        <f t="shared" si="89"/>
        <v>100</v>
      </c>
      <c r="DU37" s="44">
        <v>1</v>
      </c>
      <c r="DV37" s="44">
        <v>0</v>
      </c>
      <c r="DW37" s="44" t="s">
        <v>826</v>
      </c>
      <c r="DX37" s="45">
        <v>0</v>
      </c>
      <c r="DY37" s="44">
        <v>100</v>
      </c>
      <c r="DZ37" s="60"/>
    </row>
    <row r="38" spans="1:130" x14ac:dyDescent="0.2">
      <c r="A38" s="7" t="str">
        <f t="shared" si="2"/>
        <v>Execução 34</v>
      </c>
      <c r="B38" s="75"/>
      <c r="C38" s="85"/>
      <c r="D38" s="71" t="str">
        <f t="shared" si="54"/>
        <v/>
      </c>
      <c r="E38" s="71" t="str">
        <f t="shared" si="55"/>
        <v/>
      </c>
      <c r="F38" s="43" t="str">
        <f>IF(IFERROR(INDEX(Consulta!$A:$DN,MATCH('ZM01'!$C38,Consulta!$D:$D,0),'ZM01'!F$2),"")=0,"",IFERROR(INDEX(Consulta!$A:$DN,MATCH('ZM01'!$C38,Consulta!$D:$D,0),'ZM01'!F$2),""))</f>
        <v/>
      </c>
      <c r="G38" s="43" t="str">
        <f>IF(IFERROR(INDEX(Consulta!$A:$DN,MATCH('ZM01'!$C38,Consulta!$D:$D,0),'ZM01'!G$2),"")=0,"",IFERROR(INDEX(Consulta!$A:$DN,MATCH('ZM01'!$C38,Consulta!$D:$D,0),'ZM01'!G$2),""))</f>
        <v/>
      </c>
      <c r="H38" s="43" t="str">
        <f t="shared" si="56"/>
        <v/>
      </c>
      <c r="I38" s="44" t="s">
        <v>100</v>
      </c>
      <c r="J38" s="43" t="str">
        <f>IF(IFERROR(INDEX(Consulta!$A:$DN,MATCH('ZM01'!$C38,Consulta!$D:$D,0),'ZM01'!J$2),"")=0,"",IFERROR(INDEX(Consulta!$A:$DN,MATCH('ZM01'!$C38,Consulta!$D:$D,0),'ZM01'!J$2),""))</f>
        <v/>
      </c>
      <c r="K38" s="43" t="str">
        <f>IF(IFERROR(INDEX(Consulta!$A:$DN,MATCH('ZM01'!$C38,Consulta!$D:$D,0),'ZM01'!K$2),"")=0,"",IFERROR(INDEX(Consulta!$A:$DN,MATCH('ZM01'!$C38,Consulta!$D:$D,0),'ZM01'!K$2),""))</f>
        <v/>
      </c>
      <c r="L38" s="43" t="str">
        <f t="shared" si="57"/>
        <v/>
      </c>
      <c r="M38" s="43" t="str">
        <f>IF(IFERROR(INDEX(Consulta!$A:$DN,MATCH('ZM01'!$C38,Consulta!$D:$D,0),'ZM01'!M$2),"")=0,"",IFERROR(INDEX(Consulta!$A:$DN,MATCH('ZM01'!$C38,Consulta!$D:$D,0),'ZM01'!M$2),""))</f>
        <v/>
      </c>
      <c r="N38" s="43" t="str">
        <f t="shared" si="58"/>
        <v/>
      </c>
      <c r="P38" s="45" t="s">
        <v>101</v>
      </c>
      <c r="Q38" s="45" t="s">
        <v>102</v>
      </c>
      <c r="R38" s="45" t="s">
        <v>103</v>
      </c>
      <c r="S38" s="45" t="s">
        <v>104</v>
      </c>
      <c r="T38" s="45" t="s">
        <v>105</v>
      </c>
      <c r="U38" s="45" t="s">
        <v>106</v>
      </c>
      <c r="V38" s="45" t="s">
        <v>107</v>
      </c>
      <c r="W38" s="45" t="s">
        <v>109</v>
      </c>
      <c r="X38" s="45" t="s">
        <v>110</v>
      </c>
      <c r="Y38" s="45"/>
      <c r="Z38" s="45"/>
      <c r="AA38" s="45" t="s">
        <v>112</v>
      </c>
      <c r="AB38" s="45" t="s">
        <v>113</v>
      </c>
      <c r="AC38" s="45" t="s">
        <v>114</v>
      </c>
      <c r="AD38" s="45" t="s">
        <v>115</v>
      </c>
      <c r="AE38" s="45" t="s">
        <v>117</v>
      </c>
      <c r="AF38" s="45" t="s">
        <v>118</v>
      </c>
      <c r="AG38" s="45" t="s">
        <v>119</v>
      </c>
      <c r="AH38" s="45" t="s">
        <v>120</v>
      </c>
      <c r="AI38" s="45" t="s">
        <v>121</v>
      </c>
      <c r="AJ38" s="45" t="s">
        <v>122</v>
      </c>
      <c r="AK38" s="45" t="s">
        <v>123</v>
      </c>
      <c r="AL38" s="45" t="s">
        <v>124</v>
      </c>
      <c r="AM38" s="45" t="s">
        <v>125</v>
      </c>
      <c r="AN38" s="45" t="s">
        <v>126</v>
      </c>
      <c r="AO38" s="45"/>
      <c r="AP38" s="45"/>
      <c r="AR38" s="44" t="s">
        <v>822</v>
      </c>
      <c r="AS38" s="43" t="str">
        <f>IF(IFERROR(INDEX(Consulta!$A:$DN,MATCH('ZM01'!$C38,Consulta!$D:$D,0),'ZM01'!AS$2),"")=0,"",IFERROR(INDEX(Consulta!$A:$DN,MATCH('ZM01'!$C38,Consulta!$D:$D,0),'ZM01'!AS$2),""))</f>
        <v/>
      </c>
      <c r="AT38" s="45"/>
      <c r="AU38" s="43" t="str">
        <f>IF(IFERROR(INDEX(Consulta!$A:$DN,MATCH('ZM01'!$C38,Consulta!$D:$D,0),'ZM01'!AU$2),"")=0,"",IFERROR(INDEX(Consulta!$A:$DN,MATCH('ZM01'!$C38,Consulta!$D:$D,0),'ZM01'!AU$2),""))</f>
        <v/>
      </c>
      <c r="AV38" s="43" t="str">
        <f>IF(IFERROR(INDEX(Consulta!$A:$DN,MATCH('ZM01'!$C38,Consulta!$D:$D,0),'ZM01'!AV$2),"")=0,"",IFERROR(INDEX(Consulta!$A:$DN,MATCH('ZM01'!$C38,Consulta!$D:$D,0),'ZM01'!AV$2),""))</f>
        <v/>
      </c>
      <c r="AW38" s="45"/>
      <c r="AX38" s="46" t="str">
        <f t="shared" ca="1" si="59"/>
        <v/>
      </c>
      <c r="AY38" s="47" t="s">
        <v>755</v>
      </c>
      <c r="AZ38" s="43" t="str">
        <f>IF(IFERROR(ROUND(INDEX(Consulta!$A:$DN,MATCH('ZM01'!$C38,Consulta!$D:$D,0),'ZM01'!AZ$2),3),"")=0,"",IFERROR(ROUND(INDEX(Consulta!$A:$DN,MATCH('ZM01'!$C38,Consulta!$D:$D,0),'ZM01'!AZ$2),3),""))</f>
        <v/>
      </c>
      <c r="BA38" s="43" t="str">
        <f t="shared" si="60"/>
        <v/>
      </c>
      <c r="BB38" s="48" t="s">
        <v>299</v>
      </c>
      <c r="BC38" s="48"/>
      <c r="BD38" s="43" t="str">
        <f>IF(IFERROR(INDEX(Consulta!$A:$DN,MATCH('ZM01'!$C38,Consulta!$D:$D,0),'ZM01'!BD$2),"")=0,"",IFERROR(INDEX(Consulta!$A:$DN,MATCH('ZM01'!$C38,Consulta!$D:$D,0),'ZM01'!BD$2),""))</f>
        <v/>
      </c>
      <c r="BE38" s="43" t="str">
        <f t="shared" si="61"/>
        <v/>
      </c>
      <c r="BF38" s="43" t="str">
        <f t="shared" si="62"/>
        <v/>
      </c>
      <c r="BG38" s="43" t="str">
        <f t="shared" si="63"/>
        <v/>
      </c>
      <c r="BH38" s="43" t="str">
        <f t="shared" si="64"/>
        <v>PC</v>
      </c>
      <c r="BI38" s="43" t="str">
        <f t="shared" si="65"/>
        <v/>
      </c>
      <c r="BJ38" s="43" t="str">
        <f t="shared" si="66"/>
        <v/>
      </c>
      <c r="BK38" s="43" t="str">
        <f t="shared" si="67"/>
        <v/>
      </c>
      <c r="BL38" s="43" t="str">
        <f t="shared" si="68"/>
        <v>PC</v>
      </c>
      <c r="BN38" s="44"/>
      <c r="BO38" s="44" t="s">
        <v>925</v>
      </c>
      <c r="BP38" s="43" t="str">
        <f>IF(OR(IFERROR(INDEX(Consulta!$A:$DN,MATCH('ZM01'!$C38,Consulta!$D:$D,0),'ZM01'!BP$2),"")=0,IFERROR(INDEX(Consulta!$A:$DN,MATCH('ZM01'!$C38,Consulta!$D:$D,0),'ZM01'!BP$2),"")=AR38),"",IFERROR(INDEX(Consulta!$A:$DN,MATCH('ZM01'!$C38,Consulta!$D:$D,0),'ZM01'!BP$2),""))</f>
        <v/>
      </c>
      <c r="BQ38" s="45">
        <v>99</v>
      </c>
      <c r="BR38" s="46" t="str">
        <f t="shared" ca="1" si="69"/>
        <v>24.05.2022</v>
      </c>
      <c r="BS38" s="49" t="str">
        <f t="shared" si="70"/>
        <v/>
      </c>
      <c r="BT38" s="50">
        <v>1</v>
      </c>
      <c r="BU38" s="50" t="s">
        <v>194</v>
      </c>
      <c r="BV38" s="90" t="str">
        <f t="shared" si="71"/>
        <v>01</v>
      </c>
      <c r="BW38" s="50" t="s">
        <v>755</v>
      </c>
      <c r="BX38" s="44">
        <v>1</v>
      </c>
      <c r="BY38" s="44" t="s">
        <v>372</v>
      </c>
      <c r="BZ38" s="50" t="s">
        <v>197</v>
      </c>
      <c r="CA38" s="50" t="s">
        <v>197</v>
      </c>
      <c r="CB38" s="43" t="str">
        <f>IF(IFERROR(INDEX(Consulta!$A:$DN,MATCH('ZM01'!$C38,Consulta!$D:$D,0),'ZM01'!CB$2),"")=0,"",IFERROR(INDEX(Consulta!$A:$DN,MATCH('ZM01'!$C38,Consulta!$D:$D,0),'ZM01'!CB$2),""))</f>
        <v/>
      </c>
      <c r="CC38" s="44" t="s">
        <v>392</v>
      </c>
      <c r="CD38" s="50">
        <v>0</v>
      </c>
      <c r="CE38" s="45" t="s">
        <v>403</v>
      </c>
      <c r="CF38" s="45" t="s">
        <v>84</v>
      </c>
      <c r="CG38" s="43" t="str">
        <f t="shared" si="72"/>
        <v/>
      </c>
      <c r="CH38" s="45" t="s">
        <v>430</v>
      </c>
      <c r="CI38" s="44">
        <v>0</v>
      </c>
      <c r="CJ38" s="43" t="str">
        <f t="shared" si="73"/>
        <v>E</v>
      </c>
      <c r="CK38" s="43" t="str">
        <f t="shared" si="74"/>
        <v/>
      </c>
      <c r="CL38" s="44">
        <v>2</v>
      </c>
      <c r="CM38" s="49" t="str">
        <f t="shared" si="75"/>
        <v/>
      </c>
      <c r="CN38" s="49" t="str">
        <f t="shared" si="76"/>
        <v/>
      </c>
      <c r="CO38" s="43" t="str">
        <f t="shared" si="77"/>
        <v/>
      </c>
      <c r="CP38" s="44">
        <v>1</v>
      </c>
      <c r="CQ38" s="50" t="s">
        <v>515</v>
      </c>
      <c r="CR38" s="44" t="s">
        <v>372</v>
      </c>
      <c r="CS38" s="44">
        <v>2</v>
      </c>
      <c r="CT38" s="44">
        <v>42</v>
      </c>
      <c r="CU38" s="44">
        <v>10</v>
      </c>
      <c r="CV38" s="43" t="str">
        <f t="shared" si="78"/>
        <v>K00_AO_</v>
      </c>
      <c r="CW38" s="43" t="str">
        <f t="shared" si="79"/>
        <v/>
      </c>
      <c r="CX38" s="43" t="str">
        <f t="shared" si="80"/>
        <v/>
      </c>
      <c r="CY38" s="44">
        <v>1</v>
      </c>
      <c r="CZ38" s="43" t="str">
        <f t="shared" si="81"/>
        <v/>
      </c>
      <c r="DA38" s="43" t="str">
        <f>IF(IFERROR(INDEX(Consulta!$A:$DN,MATCH('ZM01'!$C38,Consulta!$D:$D,0),'ZM01'!DA$2),"")=0,"",IFERROR(INDEX(Consulta!$A:$DN,MATCH('ZM01'!$C38,Consulta!$D:$D,0),'ZM01'!DA$2),""))</f>
        <v/>
      </c>
      <c r="DB38" s="43" t="str">
        <f>IF(IFERROR(INDEX(Consulta!$A:$DN,MATCH('ZM01'!$C38,Consulta!$D:$D,0),'ZM01'!DB$2),"")=0,"",IFERROR(INDEX(Consulta!$A:$DN,MATCH('ZM01'!$C38,Consulta!$D:$D,0),'ZM01'!DB$2),""))</f>
        <v/>
      </c>
      <c r="DC38" s="45">
        <v>0</v>
      </c>
      <c r="DD38" s="45">
        <v>0</v>
      </c>
      <c r="DE38" s="43" t="str">
        <f>IF(IFERROR(INDEX(Consulta!$A:$DN,MATCH('ZM01'!$C38,Consulta!$D:$D,0),'ZM01'!DE$2),"")=0,"",IFERROR(TEXT(VALUE(INDEX(Consulta!$A:$DN,MATCH('ZM01'!$C38,Consulta!$D:$D,0),'ZM01'!DE$2))/100,"0,00"),""))</f>
        <v/>
      </c>
      <c r="DG38" s="43">
        <f t="shared" si="82"/>
        <v>1</v>
      </c>
      <c r="DH38" s="43" t="str">
        <f>IF(IFERROR(INDEX(Consulta!$A:$DN,MATCH('ZM01'!$C38,Consulta!$D:$D,0),'ZM01'!DH$2),"")=0,"",IFERROR(VLOOKUP(INDEX(Consulta!$A:$DN,MATCH('ZM01'!$C38,Consulta!$D:$D,0),'ZM01'!DH$2),'Listas de Dados'!BU:BW,3,0),""))</f>
        <v/>
      </c>
      <c r="DI38" s="43" t="str">
        <f t="shared" ca="1" si="83"/>
        <v>24.05.2022</v>
      </c>
      <c r="DJ38" s="43" t="str">
        <f t="shared" si="84"/>
        <v>31.12.9999</v>
      </c>
      <c r="DL38" s="44">
        <v>1</v>
      </c>
      <c r="DM38" s="44" t="s">
        <v>1039</v>
      </c>
      <c r="DN38" s="44">
        <v>1</v>
      </c>
      <c r="DO38" s="43">
        <f t="shared" si="85"/>
        <v>1</v>
      </c>
      <c r="DP38" s="43" t="str">
        <f t="shared" si="86"/>
        <v>PC</v>
      </c>
      <c r="DQ38" s="43" t="str">
        <f t="shared" si="87"/>
        <v/>
      </c>
      <c r="DR38" s="44">
        <v>100</v>
      </c>
      <c r="DS38" s="71">
        <f t="shared" si="88"/>
        <v>1</v>
      </c>
      <c r="DT38" s="43">
        <f t="shared" si="89"/>
        <v>100</v>
      </c>
      <c r="DU38" s="44">
        <v>1</v>
      </c>
      <c r="DV38" s="44">
        <v>0</v>
      </c>
      <c r="DW38" s="44" t="s">
        <v>826</v>
      </c>
      <c r="DX38" s="45">
        <v>0</v>
      </c>
      <c r="DY38" s="44">
        <v>100</v>
      </c>
      <c r="DZ38" s="61"/>
    </row>
    <row r="39" spans="1:130" x14ac:dyDescent="0.2">
      <c r="A39" s="7" t="str">
        <f t="shared" si="2"/>
        <v>Execução 35</v>
      </c>
      <c r="B39" s="79"/>
      <c r="C39" s="85"/>
      <c r="D39" s="71" t="str">
        <f t="shared" si="54"/>
        <v/>
      </c>
      <c r="E39" s="71" t="str">
        <f t="shared" si="55"/>
        <v/>
      </c>
      <c r="F39" s="43" t="str">
        <f>IF(IFERROR(INDEX(Consulta!$A:$DN,MATCH('ZM01'!$C39,Consulta!$D:$D,0),'ZM01'!F$2),"")=0,"",IFERROR(INDEX(Consulta!$A:$DN,MATCH('ZM01'!$C39,Consulta!$D:$D,0),'ZM01'!F$2),""))</f>
        <v/>
      </c>
      <c r="G39" s="43" t="str">
        <f>IF(IFERROR(INDEX(Consulta!$A:$DN,MATCH('ZM01'!$C39,Consulta!$D:$D,0),'ZM01'!G$2),"")=0,"",IFERROR(INDEX(Consulta!$A:$DN,MATCH('ZM01'!$C39,Consulta!$D:$D,0),'ZM01'!G$2),""))</f>
        <v/>
      </c>
      <c r="H39" s="43" t="str">
        <f t="shared" si="56"/>
        <v/>
      </c>
      <c r="I39" s="44" t="s">
        <v>100</v>
      </c>
      <c r="J39" s="43" t="str">
        <f>IF(IFERROR(INDEX(Consulta!$A:$DN,MATCH('ZM01'!$C39,Consulta!$D:$D,0),'ZM01'!J$2),"")=0,"",IFERROR(INDEX(Consulta!$A:$DN,MATCH('ZM01'!$C39,Consulta!$D:$D,0),'ZM01'!J$2),""))</f>
        <v/>
      </c>
      <c r="K39" s="43" t="str">
        <f>IF(IFERROR(INDEX(Consulta!$A:$DN,MATCH('ZM01'!$C39,Consulta!$D:$D,0),'ZM01'!K$2),"")=0,"",IFERROR(INDEX(Consulta!$A:$DN,MATCH('ZM01'!$C39,Consulta!$D:$D,0),'ZM01'!K$2),""))</f>
        <v/>
      </c>
      <c r="L39" s="43" t="str">
        <f t="shared" si="57"/>
        <v/>
      </c>
      <c r="M39" s="43" t="str">
        <f>IF(IFERROR(INDEX(Consulta!$A:$DN,MATCH('ZM01'!$C39,Consulta!$D:$D,0),'ZM01'!M$2),"")=0,"",IFERROR(INDEX(Consulta!$A:$DN,MATCH('ZM01'!$C39,Consulta!$D:$D,0),'ZM01'!M$2),""))</f>
        <v/>
      </c>
      <c r="N39" s="43" t="str">
        <f t="shared" si="58"/>
        <v/>
      </c>
      <c r="P39" s="45" t="s">
        <v>101</v>
      </c>
      <c r="Q39" s="45" t="s">
        <v>102</v>
      </c>
      <c r="R39" s="45" t="s">
        <v>103</v>
      </c>
      <c r="S39" s="45" t="s">
        <v>104</v>
      </c>
      <c r="T39" s="45" t="s">
        <v>105</v>
      </c>
      <c r="U39" s="45" t="s">
        <v>106</v>
      </c>
      <c r="V39" s="45" t="s">
        <v>107</v>
      </c>
      <c r="W39" s="45" t="s">
        <v>109</v>
      </c>
      <c r="X39" s="45" t="s">
        <v>110</v>
      </c>
      <c r="Y39" s="45"/>
      <c r="Z39" s="45"/>
      <c r="AA39" s="45" t="s">
        <v>112</v>
      </c>
      <c r="AB39" s="45" t="s">
        <v>113</v>
      </c>
      <c r="AC39" s="45" t="s">
        <v>114</v>
      </c>
      <c r="AD39" s="45" t="s">
        <v>115</v>
      </c>
      <c r="AE39" s="45" t="s">
        <v>117</v>
      </c>
      <c r="AF39" s="45" t="s">
        <v>118</v>
      </c>
      <c r="AG39" s="45" t="s">
        <v>119</v>
      </c>
      <c r="AH39" s="45" t="s">
        <v>120</v>
      </c>
      <c r="AI39" s="45" t="s">
        <v>121</v>
      </c>
      <c r="AJ39" s="45" t="s">
        <v>122</v>
      </c>
      <c r="AK39" s="45" t="s">
        <v>123</v>
      </c>
      <c r="AL39" s="45" t="s">
        <v>124</v>
      </c>
      <c r="AM39" s="45" t="s">
        <v>125</v>
      </c>
      <c r="AN39" s="45" t="s">
        <v>126</v>
      </c>
      <c r="AO39" s="45"/>
      <c r="AP39" s="45"/>
      <c r="AR39" s="44" t="s">
        <v>822</v>
      </c>
      <c r="AS39" s="43" t="str">
        <f>IF(IFERROR(INDEX(Consulta!$A:$DN,MATCH('ZM01'!$C39,Consulta!$D:$D,0),'ZM01'!AS$2),"")=0,"",IFERROR(INDEX(Consulta!$A:$DN,MATCH('ZM01'!$C39,Consulta!$D:$D,0),'ZM01'!AS$2),""))</f>
        <v/>
      </c>
      <c r="AT39" s="45"/>
      <c r="AU39" s="43" t="str">
        <f>IF(IFERROR(INDEX(Consulta!$A:$DN,MATCH('ZM01'!$C39,Consulta!$D:$D,0),'ZM01'!AU$2),"")=0,"",IFERROR(INDEX(Consulta!$A:$DN,MATCH('ZM01'!$C39,Consulta!$D:$D,0),'ZM01'!AU$2),""))</f>
        <v/>
      </c>
      <c r="AV39" s="43" t="str">
        <f>IF(IFERROR(INDEX(Consulta!$A:$DN,MATCH('ZM01'!$C39,Consulta!$D:$D,0),'ZM01'!AV$2),"")=0,"",IFERROR(INDEX(Consulta!$A:$DN,MATCH('ZM01'!$C39,Consulta!$D:$D,0),'ZM01'!AV$2),""))</f>
        <v/>
      </c>
      <c r="AW39" s="45"/>
      <c r="AX39" s="46" t="str">
        <f t="shared" ca="1" si="59"/>
        <v/>
      </c>
      <c r="AY39" s="47" t="s">
        <v>755</v>
      </c>
      <c r="AZ39" s="43" t="str">
        <f>IF(IFERROR(ROUND(INDEX(Consulta!$A:$DN,MATCH('ZM01'!$C39,Consulta!$D:$D,0),'ZM01'!AZ$2),3),"")=0,"",IFERROR(ROUND(INDEX(Consulta!$A:$DN,MATCH('ZM01'!$C39,Consulta!$D:$D,0),'ZM01'!AZ$2),3),""))</f>
        <v/>
      </c>
      <c r="BA39" s="43" t="str">
        <f t="shared" si="60"/>
        <v/>
      </c>
      <c r="BB39" s="48" t="s">
        <v>299</v>
      </c>
      <c r="BC39" s="48"/>
      <c r="BD39" s="43" t="str">
        <f>IF(IFERROR(INDEX(Consulta!$A:$DN,MATCH('ZM01'!$C39,Consulta!$D:$D,0),'ZM01'!BD$2),"")=0,"",IFERROR(INDEX(Consulta!$A:$DN,MATCH('ZM01'!$C39,Consulta!$D:$D,0),'ZM01'!BD$2),""))</f>
        <v/>
      </c>
      <c r="BE39" s="43" t="str">
        <f t="shared" si="61"/>
        <v/>
      </c>
      <c r="BF39" s="43" t="str">
        <f t="shared" si="62"/>
        <v/>
      </c>
      <c r="BG39" s="43" t="str">
        <f t="shared" si="63"/>
        <v/>
      </c>
      <c r="BH39" s="43" t="str">
        <f t="shared" si="64"/>
        <v>PC</v>
      </c>
      <c r="BI39" s="43" t="str">
        <f t="shared" si="65"/>
        <v/>
      </c>
      <c r="BJ39" s="43" t="str">
        <f t="shared" si="66"/>
        <v/>
      </c>
      <c r="BK39" s="43" t="str">
        <f t="shared" si="67"/>
        <v/>
      </c>
      <c r="BL39" s="43" t="str">
        <f t="shared" si="68"/>
        <v>PC</v>
      </c>
      <c r="BN39" s="44"/>
      <c r="BO39" s="44" t="s">
        <v>925</v>
      </c>
      <c r="BP39" s="43" t="str">
        <f>IF(OR(IFERROR(INDEX(Consulta!$A:$DN,MATCH('ZM01'!$C39,Consulta!$D:$D,0),'ZM01'!BP$2),"")=0,IFERROR(INDEX(Consulta!$A:$DN,MATCH('ZM01'!$C39,Consulta!$D:$D,0),'ZM01'!BP$2),"")=AR39),"",IFERROR(INDEX(Consulta!$A:$DN,MATCH('ZM01'!$C39,Consulta!$D:$D,0),'ZM01'!BP$2),""))</f>
        <v/>
      </c>
      <c r="BQ39" s="45">
        <v>99</v>
      </c>
      <c r="BR39" s="46" t="str">
        <f t="shared" ca="1" si="69"/>
        <v>24.05.2022</v>
      </c>
      <c r="BS39" s="49" t="str">
        <f t="shared" si="70"/>
        <v/>
      </c>
      <c r="BT39" s="50">
        <v>1</v>
      </c>
      <c r="BU39" s="50" t="s">
        <v>194</v>
      </c>
      <c r="BV39" s="90" t="str">
        <f t="shared" si="71"/>
        <v>01</v>
      </c>
      <c r="BW39" s="50" t="s">
        <v>755</v>
      </c>
      <c r="BX39" s="44">
        <v>1</v>
      </c>
      <c r="BY39" s="44" t="s">
        <v>372</v>
      </c>
      <c r="BZ39" s="50" t="s">
        <v>197</v>
      </c>
      <c r="CA39" s="50" t="s">
        <v>197</v>
      </c>
      <c r="CB39" s="43" t="str">
        <f>IF(IFERROR(INDEX(Consulta!$A:$DN,MATCH('ZM01'!$C39,Consulta!$D:$D,0),'ZM01'!CB$2),"")=0,"",IFERROR(INDEX(Consulta!$A:$DN,MATCH('ZM01'!$C39,Consulta!$D:$D,0),'ZM01'!CB$2),""))</f>
        <v/>
      </c>
      <c r="CC39" s="44" t="s">
        <v>392</v>
      </c>
      <c r="CD39" s="50">
        <v>0</v>
      </c>
      <c r="CE39" s="45" t="s">
        <v>403</v>
      </c>
      <c r="CF39" s="45" t="s">
        <v>84</v>
      </c>
      <c r="CG39" s="43" t="str">
        <f t="shared" si="72"/>
        <v/>
      </c>
      <c r="CH39" s="45" t="s">
        <v>430</v>
      </c>
      <c r="CI39" s="44">
        <v>0</v>
      </c>
      <c r="CJ39" s="43" t="str">
        <f t="shared" si="73"/>
        <v>E</v>
      </c>
      <c r="CK39" s="43" t="str">
        <f t="shared" si="74"/>
        <v/>
      </c>
      <c r="CL39" s="44">
        <v>2</v>
      </c>
      <c r="CM39" s="49" t="str">
        <f t="shared" si="75"/>
        <v/>
      </c>
      <c r="CN39" s="49" t="str">
        <f t="shared" si="76"/>
        <v/>
      </c>
      <c r="CO39" s="43" t="str">
        <f t="shared" si="77"/>
        <v/>
      </c>
      <c r="CP39" s="44">
        <v>1</v>
      </c>
      <c r="CQ39" s="50" t="s">
        <v>515</v>
      </c>
      <c r="CR39" s="44" t="s">
        <v>372</v>
      </c>
      <c r="CS39" s="44">
        <v>2</v>
      </c>
      <c r="CT39" s="44">
        <v>42</v>
      </c>
      <c r="CU39" s="44">
        <v>10</v>
      </c>
      <c r="CV39" s="43" t="str">
        <f t="shared" si="78"/>
        <v>K00_AO_</v>
      </c>
      <c r="CW39" s="43" t="str">
        <f t="shared" si="79"/>
        <v/>
      </c>
      <c r="CX39" s="43" t="str">
        <f t="shared" si="80"/>
        <v/>
      </c>
      <c r="CY39" s="44">
        <v>1</v>
      </c>
      <c r="CZ39" s="43" t="str">
        <f t="shared" si="81"/>
        <v/>
      </c>
      <c r="DA39" s="43" t="str">
        <f>IF(IFERROR(INDEX(Consulta!$A:$DN,MATCH('ZM01'!$C39,Consulta!$D:$D,0),'ZM01'!DA$2),"")=0,"",IFERROR(INDEX(Consulta!$A:$DN,MATCH('ZM01'!$C39,Consulta!$D:$D,0),'ZM01'!DA$2),""))</f>
        <v/>
      </c>
      <c r="DB39" s="43" t="str">
        <f>IF(IFERROR(INDEX(Consulta!$A:$DN,MATCH('ZM01'!$C39,Consulta!$D:$D,0),'ZM01'!DB$2),"")=0,"",IFERROR(INDEX(Consulta!$A:$DN,MATCH('ZM01'!$C39,Consulta!$D:$D,0),'ZM01'!DB$2),""))</f>
        <v/>
      </c>
      <c r="DC39" s="45">
        <v>0</v>
      </c>
      <c r="DD39" s="45">
        <v>0</v>
      </c>
      <c r="DE39" s="43" t="str">
        <f>IF(IFERROR(INDEX(Consulta!$A:$DN,MATCH('ZM01'!$C39,Consulta!$D:$D,0),'ZM01'!DE$2),"")=0,"",IFERROR(TEXT(VALUE(INDEX(Consulta!$A:$DN,MATCH('ZM01'!$C39,Consulta!$D:$D,0),'ZM01'!DE$2))/100,"0,00"),""))</f>
        <v/>
      </c>
      <c r="DG39" s="43">
        <f t="shared" si="82"/>
        <v>1</v>
      </c>
      <c r="DH39" s="43" t="str">
        <f>IF(IFERROR(INDEX(Consulta!$A:$DN,MATCH('ZM01'!$C39,Consulta!$D:$D,0),'ZM01'!DH$2),"")=0,"",IFERROR(VLOOKUP(INDEX(Consulta!$A:$DN,MATCH('ZM01'!$C39,Consulta!$D:$D,0),'ZM01'!DH$2),'Listas de Dados'!BU:BW,3,0),""))</f>
        <v/>
      </c>
      <c r="DI39" s="43" t="str">
        <f t="shared" ca="1" si="83"/>
        <v>24.05.2022</v>
      </c>
      <c r="DJ39" s="43" t="str">
        <f t="shared" si="84"/>
        <v>31.12.9999</v>
      </c>
      <c r="DL39" s="44">
        <v>1</v>
      </c>
      <c r="DM39" s="44" t="s">
        <v>1039</v>
      </c>
      <c r="DN39" s="44">
        <v>1</v>
      </c>
      <c r="DO39" s="43">
        <f t="shared" si="85"/>
        <v>1</v>
      </c>
      <c r="DP39" s="43" t="str">
        <f t="shared" si="86"/>
        <v>PC</v>
      </c>
      <c r="DQ39" s="43" t="str">
        <f t="shared" si="87"/>
        <v/>
      </c>
      <c r="DR39" s="44">
        <v>100</v>
      </c>
      <c r="DS39" s="71">
        <f t="shared" si="88"/>
        <v>1</v>
      </c>
      <c r="DT39" s="43">
        <f t="shared" si="89"/>
        <v>100</v>
      </c>
      <c r="DU39" s="44">
        <v>1</v>
      </c>
      <c r="DV39" s="44">
        <v>0</v>
      </c>
      <c r="DW39" s="44" t="s">
        <v>826</v>
      </c>
      <c r="DX39" s="45">
        <v>0</v>
      </c>
      <c r="DY39" s="44">
        <v>100</v>
      </c>
      <c r="DZ39" s="60"/>
    </row>
    <row r="40" spans="1:130" x14ac:dyDescent="0.2">
      <c r="A40" s="7" t="str">
        <f t="shared" si="2"/>
        <v>Execução 36</v>
      </c>
      <c r="B40" s="75"/>
      <c r="C40" s="85"/>
      <c r="D40" s="71" t="str">
        <f t="shared" si="54"/>
        <v/>
      </c>
      <c r="E40" s="71" t="str">
        <f t="shared" si="55"/>
        <v/>
      </c>
      <c r="F40" s="43" t="str">
        <f>IF(IFERROR(INDEX(Consulta!$A:$DN,MATCH('ZM01'!$C40,Consulta!$D:$D,0),'ZM01'!F$2),"")=0,"",IFERROR(INDEX(Consulta!$A:$DN,MATCH('ZM01'!$C40,Consulta!$D:$D,0),'ZM01'!F$2),""))</f>
        <v/>
      </c>
      <c r="G40" s="43" t="str">
        <f>IF(IFERROR(INDEX(Consulta!$A:$DN,MATCH('ZM01'!$C40,Consulta!$D:$D,0),'ZM01'!G$2),"")=0,"",IFERROR(INDEX(Consulta!$A:$DN,MATCH('ZM01'!$C40,Consulta!$D:$D,0),'ZM01'!G$2),""))</f>
        <v/>
      </c>
      <c r="H40" s="43" t="str">
        <f t="shared" si="56"/>
        <v/>
      </c>
      <c r="I40" s="44" t="s">
        <v>100</v>
      </c>
      <c r="J40" s="43" t="str">
        <f>IF(IFERROR(INDEX(Consulta!$A:$DN,MATCH('ZM01'!$C40,Consulta!$D:$D,0),'ZM01'!J$2),"")=0,"",IFERROR(INDEX(Consulta!$A:$DN,MATCH('ZM01'!$C40,Consulta!$D:$D,0),'ZM01'!J$2),""))</f>
        <v/>
      </c>
      <c r="K40" s="43" t="str">
        <f>IF(IFERROR(INDEX(Consulta!$A:$DN,MATCH('ZM01'!$C40,Consulta!$D:$D,0),'ZM01'!K$2),"")=0,"",IFERROR(INDEX(Consulta!$A:$DN,MATCH('ZM01'!$C40,Consulta!$D:$D,0),'ZM01'!K$2),""))</f>
        <v/>
      </c>
      <c r="L40" s="43" t="str">
        <f t="shared" si="57"/>
        <v/>
      </c>
      <c r="M40" s="43" t="str">
        <f>IF(IFERROR(INDEX(Consulta!$A:$DN,MATCH('ZM01'!$C40,Consulta!$D:$D,0),'ZM01'!M$2),"")=0,"",IFERROR(INDEX(Consulta!$A:$DN,MATCH('ZM01'!$C40,Consulta!$D:$D,0),'ZM01'!M$2),""))</f>
        <v/>
      </c>
      <c r="N40" s="43" t="str">
        <f t="shared" si="58"/>
        <v/>
      </c>
      <c r="P40" s="45" t="s">
        <v>101</v>
      </c>
      <c r="Q40" s="45" t="s">
        <v>102</v>
      </c>
      <c r="R40" s="45" t="s">
        <v>103</v>
      </c>
      <c r="S40" s="45" t="s">
        <v>104</v>
      </c>
      <c r="T40" s="45" t="s">
        <v>105</v>
      </c>
      <c r="U40" s="45" t="s">
        <v>106</v>
      </c>
      <c r="V40" s="45" t="s">
        <v>107</v>
      </c>
      <c r="W40" s="45" t="s">
        <v>109</v>
      </c>
      <c r="X40" s="45" t="s">
        <v>110</v>
      </c>
      <c r="Y40" s="45"/>
      <c r="Z40" s="45"/>
      <c r="AA40" s="45" t="s">
        <v>112</v>
      </c>
      <c r="AB40" s="45" t="s">
        <v>113</v>
      </c>
      <c r="AC40" s="45" t="s">
        <v>114</v>
      </c>
      <c r="AD40" s="45" t="s">
        <v>115</v>
      </c>
      <c r="AE40" s="45" t="s">
        <v>117</v>
      </c>
      <c r="AF40" s="45" t="s">
        <v>118</v>
      </c>
      <c r="AG40" s="45" t="s">
        <v>119</v>
      </c>
      <c r="AH40" s="45" t="s">
        <v>120</v>
      </c>
      <c r="AI40" s="45" t="s">
        <v>121</v>
      </c>
      <c r="AJ40" s="45" t="s">
        <v>122</v>
      </c>
      <c r="AK40" s="45" t="s">
        <v>123</v>
      </c>
      <c r="AL40" s="45" t="s">
        <v>124</v>
      </c>
      <c r="AM40" s="45" t="s">
        <v>125</v>
      </c>
      <c r="AN40" s="45" t="s">
        <v>126</v>
      </c>
      <c r="AO40" s="45"/>
      <c r="AP40" s="45"/>
      <c r="AR40" s="44" t="s">
        <v>822</v>
      </c>
      <c r="AS40" s="43" t="str">
        <f>IF(IFERROR(INDEX(Consulta!$A:$DN,MATCH('ZM01'!$C40,Consulta!$D:$D,0),'ZM01'!AS$2),"")=0,"",IFERROR(INDEX(Consulta!$A:$DN,MATCH('ZM01'!$C40,Consulta!$D:$D,0),'ZM01'!AS$2),""))</f>
        <v/>
      </c>
      <c r="AT40" s="45"/>
      <c r="AU40" s="43" t="str">
        <f>IF(IFERROR(INDEX(Consulta!$A:$DN,MATCH('ZM01'!$C40,Consulta!$D:$D,0),'ZM01'!AU$2),"")=0,"",IFERROR(INDEX(Consulta!$A:$DN,MATCH('ZM01'!$C40,Consulta!$D:$D,0),'ZM01'!AU$2),""))</f>
        <v/>
      </c>
      <c r="AV40" s="43" t="str">
        <f>IF(IFERROR(INDEX(Consulta!$A:$DN,MATCH('ZM01'!$C40,Consulta!$D:$D,0),'ZM01'!AV$2),"")=0,"",IFERROR(INDEX(Consulta!$A:$DN,MATCH('ZM01'!$C40,Consulta!$D:$D,0),'ZM01'!AV$2),""))</f>
        <v/>
      </c>
      <c r="AW40" s="45"/>
      <c r="AX40" s="46" t="str">
        <f t="shared" ca="1" si="59"/>
        <v/>
      </c>
      <c r="AY40" s="47" t="s">
        <v>755</v>
      </c>
      <c r="AZ40" s="43" t="str">
        <f>IF(IFERROR(ROUND(INDEX(Consulta!$A:$DN,MATCH('ZM01'!$C40,Consulta!$D:$D,0),'ZM01'!AZ$2),3),"")=0,"",IFERROR(ROUND(INDEX(Consulta!$A:$DN,MATCH('ZM01'!$C40,Consulta!$D:$D,0),'ZM01'!AZ$2),3),""))</f>
        <v/>
      </c>
      <c r="BA40" s="43" t="str">
        <f t="shared" si="60"/>
        <v/>
      </c>
      <c r="BB40" s="48" t="s">
        <v>299</v>
      </c>
      <c r="BC40" s="48"/>
      <c r="BD40" s="43" t="str">
        <f>IF(IFERROR(INDEX(Consulta!$A:$DN,MATCH('ZM01'!$C40,Consulta!$D:$D,0),'ZM01'!BD$2),"")=0,"",IFERROR(INDEX(Consulta!$A:$DN,MATCH('ZM01'!$C40,Consulta!$D:$D,0),'ZM01'!BD$2),""))</f>
        <v/>
      </c>
      <c r="BE40" s="43" t="str">
        <f t="shared" si="61"/>
        <v/>
      </c>
      <c r="BF40" s="43" t="str">
        <f t="shared" si="62"/>
        <v/>
      </c>
      <c r="BG40" s="43" t="str">
        <f t="shared" si="63"/>
        <v/>
      </c>
      <c r="BH40" s="43" t="str">
        <f t="shared" si="64"/>
        <v>PC</v>
      </c>
      <c r="BI40" s="43" t="str">
        <f t="shared" si="65"/>
        <v/>
      </c>
      <c r="BJ40" s="43" t="str">
        <f t="shared" si="66"/>
        <v/>
      </c>
      <c r="BK40" s="43" t="str">
        <f t="shared" si="67"/>
        <v/>
      </c>
      <c r="BL40" s="43" t="str">
        <f t="shared" si="68"/>
        <v>PC</v>
      </c>
      <c r="BN40" s="44"/>
      <c r="BO40" s="44" t="s">
        <v>925</v>
      </c>
      <c r="BP40" s="43" t="str">
        <f>IF(OR(IFERROR(INDEX(Consulta!$A:$DN,MATCH('ZM01'!$C40,Consulta!$D:$D,0),'ZM01'!BP$2),"")=0,IFERROR(INDEX(Consulta!$A:$DN,MATCH('ZM01'!$C40,Consulta!$D:$D,0),'ZM01'!BP$2),"")=AR40),"",IFERROR(INDEX(Consulta!$A:$DN,MATCH('ZM01'!$C40,Consulta!$D:$D,0),'ZM01'!BP$2),""))</f>
        <v/>
      </c>
      <c r="BQ40" s="45">
        <v>99</v>
      </c>
      <c r="BR40" s="46" t="str">
        <f t="shared" ca="1" si="69"/>
        <v>24.05.2022</v>
      </c>
      <c r="BS40" s="49" t="str">
        <f t="shared" si="70"/>
        <v/>
      </c>
      <c r="BT40" s="50">
        <v>1</v>
      </c>
      <c r="BU40" s="50" t="s">
        <v>194</v>
      </c>
      <c r="BV40" s="90" t="str">
        <f t="shared" si="71"/>
        <v>01</v>
      </c>
      <c r="BW40" s="50" t="s">
        <v>755</v>
      </c>
      <c r="BX40" s="44">
        <v>1</v>
      </c>
      <c r="BY40" s="44" t="s">
        <v>372</v>
      </c>
      <c r="BZ40" s="50" t="s">
        <v>197</v>
      </c>
      <c r="CA40" s="50" t="s">
        <v>197</v>
      </c>
      <c r="CB40" s="43" t="str">
        <f>IF(IFERROR(INDEX(Consulta!$A:$DN,MATCH('ZM01'!$C40,Consulta!$D:$D,0),'ZM01'!CB$2),"")=0,"",IFERROR(INDEX(Consulta!$A:$DN,MATCH('ZM01'!$C40,Consulta!$D:$D,0),'ZM01'!CB$2),""))</f>
        <v/>
      </c>
      <c r="CC40" s="44" t="s">
        <v>392</v>
      </c>
      <c r="CD40" s="50">
        <v>0</v>
      </c>
      <c r="CE40" s="45" t="s">
        <v>403</v>
      </c>
      <c r="CF40" s="45" t="s">
        <v>84</v>
      </c>
      <c r="CG40" s="43" t="str">
        <f t="shared" si="72"/>
        <v/>
      </c>
      <c r="CH40" s="45" t="s">
        <v>430</v>
      </c>
      <c r="CI40" s="44">
        <v>0</v>
      </c>
      <c r="CJ40" s="43" t="str">
        <f t="shared" si="73"/>
        <v>E</v>
      </c>
      <c r="CK40" s="43" t="str">
        <f t="shared" si="74"/>
        <v/>
      </c>
      <c r="CL40" s="44">
        <v>2</v>
      </c>
      <c r="CM40" s="49" t="str">
        <f t="shared" si="75"/>
        <v/>
      </c>
      <c r="CN40" s="49" t="str">
        <f t="shared" si="76"/>
        <v/>
      </c>
      <c r="CO40" s="43" t="str">
        <f t="shared" si="77"/>
        <v/>
      </c>
      <c r="CP40" s="44">
        <v>1</v>
      </c>
      <c r="CQ40" s="50" t="s">
        <v>515</v>
      </c>
      <c r="CR40" s="44" t="s">
        <v>372</v>
      </c>
      <c r="CS40" s="44">
        <v>2</v>
      </c>
      <c r="CT40" s="44">
        <v>42</v>
      </c>
      <c r="CU40" s="44">
        <v>10</v>
      </c>
      <c r="CV40" s="43" t="str">
        <f t="shared" si="78"/>
        <v>K00_AO_</v>
      </c>
      <c r="CW40" s="43" t="str">
        <f t="shared" si="79"/>
        <v/>
      </c>
      <c r="CX40" s="43" t="str">
        <f t="shared" si="80"/>
        <v/>
      </c>
      <c r="CY40" s="44">
        <v>1</v>
      </c>
      <c r="CZ40" s="43" t="str">
        <f t="shared" si="81"/>
        <v/>
      </c>
      <c r="DA40" s="43" t="str">
        <f>IF(IFERROR(INDEX(Consulta!$A:$DN,MATCH('ZM01'!$C40,Consulta!$D:$D,0),'ZM01'!DA$2),"")=0,"",IFERROR(INDEX(Consulta!$A:$DN,MATCH('ZM01'!$C40,Consulta!$D:$D,0),'ZM01'!DA$2),""))</f>
        <v/>
      </c>
      <c r="DB40" s="43" t="str">
        <f>IF(IFERROR(INDEX(Consulta!$A:$DN,MATCH('ZM01'!$C40,Consulta!$D:$D,0),'ZM01'!DB$2),"")=0,"",IFERROR(INDEX(Consulta!$A:$DN,MATCH('ZM01'!$C40,Consulta!$D:$D,0),'ZM01'!DB$2),""))</f>
        <v/>
      </c>
      <c r="DC40" s="45">
        <v>0</v>
      </c>
      <c r="DD40" s="45">
        <v>0</v>
      </c>
      <c r="DE40" s="43" t="str">
        <f>IF(IFERROR(INDEX(Consulta!$A:$DN,MATCH('ZM01'!$C40,Consulta!$D:$D,0),'ZM01'!DE$2),"")=0,"",IFERROR(TEXT(VALUE(INDEX(Consulta!$A:$DN,MATCH('ZM01'!$C40,Consulta!$D:$D,0),'ZM01'!DE$2))/100,"0,00"),""))</f>
        <v/>
      </c>
      <c r="DG40" s="43">
        <f t="shared" si="82"/>
        <v>1</v>
      </c>
      <c r="DH40" s="43" t="str">
        <f>IF(IFERROR(INDEX(Consulta!$A:$DN,MATCH('ZM01'!$C40,Consulta!$D:$D,0),'ZM01'!DH$2),"")=0,"",IFERROR(VLOOKUP(INDEX(Consulta!$A:$DN,MATCH('ZM01'!$C40,Consulta!$D:$D,0),'ZM01'!DH$2),'Listas de Dados'!BU:BW,3,0),""))</f>
        <v/>
      </c>
      <c r="DI40" s="43" t="str">
        <f t="shared" ca="1" si="83"/>
        <v>24.05.2022</v>
      </c>
      <c r="DJ40" s="43" t="str">
        <f t="shared" si="84"/>
        <v>31.12.9999</v>
      </c>
      <c r="DL40" s="44">
        <v>1</v>
      </c>
      <c r="DM40" s="44" t="s">
        <v>1039</v>
      </c>
      <c r="DN40" s="44">
        <v>1</v>
      </c>
      <c r="DO40" s="43">
        <f t="shared" si="85"/>
        <v>1</v>
      </c>
      <c r="DP40" s="43" t="str">
        <f t="shared" si="86"/>
        <v>PC</v>
      </c>
      <c r="DQ40" s="43" t="str">
        <f t="shared" si="87"/>
        <v/>
      </c>
      <c r="DR40" s="44">
        <v>100</v>
      </c>
      <c r="DS40" s="71">
        <f t="shared" si="88"/>
        <v>1</v>
      </c>
      <c r="DT40" s="43">
        <f t="shared" si="89"/>
        <v>100</v>
      </c>
      <c r="DU40" s="44">
        <v>1</v>
      </c>
      <c r="DV40" s="44">
        <v>0</v>
      </c>
      <c r="DW40" s="44" t="s">
        <v>826</v>
      </c>
      <c r="DX40" s="45">
        <v>0</v>
      </c>
      <c r="DY40" s="44">
        <v>100</v>
      </c>
      <c r="DZ40" s="61"/>
    </row>
    <row r="41" spans="1:130" x14ac:dyDescent="0.2">
      <c r="A41" s="7" t="str">
        <f t="shared" si="2"/>
        <v>Execução 37</v>
      </c>
      <c r="B41" s="79"/>
      <c r="C41" s="85"/>
      <c r="D41" s="71" t="str">
        <f t="shared" si="37"/>
        <v/>
      </c>
      <c r="E41" s="71" t="str">
        <f t="shared" si="38"/>
        <v/>
      </c>
      <c r="F41" s="43" t="str">
        <f>IF(IFERROR(INDEX(Consulta!$A:$DN,MATCH('ZM01'!$C41,Consulta!$D:$D,0),'ZM01'!F$2),"")=0,"",IFERROR(INDEX(Consulta!$A:$DN,MATCH('ZM01'!$C41,Consulta!$D:$D,0),'ZM01'!F$2),""))</f>
        <v/>
      </c>
      <c r="G41" s="43" t="str">
        <f>IF(IFERROR(INDEX(Consulta!$A:$DN,MATCH('ZM01'!$C41,Consulta!$D:$D,0),'ZM01'!G$2),"")=0,"",IFERROR(INDEX(Consulta!$A:$DN,MATCH('ZM01'!$C41,Consulta!$D:$D,0),'ZM01'!G$2),""))</f>
        <v/>
      </c>
      <c r="H41" s="43" t="str">
        <f t="shared" si="23"/>
        <v/>
      </c>
      <c r="I41" s="44" t="s">
        <v>100</v>
      </c>
      <c r="J41" s="43" t="str">
        <f>IF(IFERROR(INDEX(Consulta!$A:$DN,MATCH('ZM01'!$C41,Consulta!$D:$D,0),'ZM01'!J$2),"")=0,"",IFERROR(INDEX(Consulta!$A:$DN,MATCH('ZM01'!$C41,Consulta!$D:$D,0),'ZM01'!J$2),""))</f>
        <v/>
      </c>
      <c r="K41" s="43" t="str">
        <f>IF(IFERROR(INDEX(Consulta!$A:$DN,MATCH('ZM01'!$C41,Consulta!$D:$D,0),'ZM01'!K$2),"")=0,"",IFERROR(INDEX(Consulta!$A:$DN,MATCH('ZM01'!$C41,Consulta!$D:$D,0),'ZM01'!K$2),""))</f>
        <v/>
      </c>
      <c r="L41" s="43" t="str">
        <f t="shared" si="39"/>
        <v/>
      </c>
      <c r="M41" s="43" t="str">
        <f>IF(IFERROR(INDEX(Consulta!$A:$DN,MATCH('ZM01'!$C41,Consulta!$D:$D,0),'ZM01'!M$2),"")=0,"",IFERROR(INDEX(Consulta!$A:$DN,MATCH('ZM01'!$C41,Consulta!$D:$D,0),'ZM01'!M$2),""))</f>
        <v/>
      </c>
      <c r="N41" s="43" t="str">
        <f t="shared" si="40"/>
        <v/>
      </c>
      <c r="P41" s="45" t="s">
        <v>101</v>
      </c>
      <c r="Q41" s="45" t="s">
        <v>102</v>
      </c>
      <c r="R41" s="45" t="s">
        <v>103</v>
      </c>
      <c r="S41" s="45" t="s">
        <v>104</v>
      </c>
      <c r="T41" s="45" t="s">
        <v>105</v>
      </c>
      <c r="U41" s="45" t="s">
        <v>106</v>
      </c>
      <c r="V41" s="45" t="s">
        <v>107</v>
      </c>
      <c r="W41" s="45" t="s">
        <v>109</v>
      </c>
      <c r="X41" s="45" t="s">
        <v>110</v>
      </c>
      <c r="Y41" s="45"/>
      <c r="Z41" s="45"/>
      <c r="AA41" s="45" t="s">
        <v>112</v>
      </c>
      <c r="AB41" s="45" t="s">
        <v>113</v>
      </c>
      <c r="AC41" s="45" t="s">
        <v>114</v>
      </c>
      <c r="AD41" s="45" t="s">
        <v>115</v>
      </c>
      <c r="AE41" s="45" t="s">
        <v>117</v>
      </c>
      <c r="AF41" s="45" t="s">
        <v>118</v>
      </c>
      <c r="AG41" s="45" t="s">
        <v>119</v>
      </c>
      <c r="AH41" s="45" t="s">
        <v>120</v>
      </c>
      <c r="AI41" s="45" t="s">
        <v>121</v>
      </c>
      <c r="AJ41" s="45" t="s">
        <v>122</v>
      </c>
      <c r="AK41" s="45" t="s">
        <v>123</v>
      </c>
      <c r="AL41" s="45" t="s">
        <v>124</v>
      </c>
      <c r="AM41" s="45" t="s">
        <v>125</v>
      </c>
      <c r="AN41" s="45" t="s">
        <v>126</v>
      </c>
      <c r="AO41" s="45"/>
      <c r="AP41" s="45"/>
      <c r="AR41" s="44" t="s">
        <v>822</v>
      </c>
      <c r="AS41" s="43" t="str">
        <f>IF(IFERROR(INDEX(Consulta!$A:$DN,MATCH('ZM01'!$C41,Consulta!$D:$D,0),'ZM01'!AS$2),"")=0,"",IFERROR(INDEX(Consulta!$A:$DN,MATCH('ZM01'!$C41,Consulta!$D:$D,0),'ZM01'!AS$2),""))</f>
        <v/>
      </c>
      <c r="AT41" s="45"/>
      <c r="AU41" s="43" t="str">
        <f>IF(IFERROR(INDEX(Consulta!$A:$DN,MATCH('ZM01'!$C41,Consulta!$D:$D,0),'ZM01'!AU$2),"")=0,"",IFERROR(INDEX(Consulta!$A:$DN,MATCH('ZM01'!$C41,Consulta!$D:$D,0),'ZM01'!AU$2),""))</f>
        <v/>
      </c>
      <c r="AV41" s="43" t="str">
        <f>IF(IFERROR(INDEX(Consulta!$A:$DN,MATCH('ZM01'!$C41,Consulta!$D:$D,0),'ZM01'!AV$2),"")=0,"",IFERROR(INDEX(Consulta!$A:$DN,MATCH('ZM01'!$C41,Consulta!$D:$D,0),'ZM01'!AV$2),""))</f>
        <v/>
      </c>
      <c r="AW41" s="45"/>
      <c r="AX41" s="46" t="str">
        <f t="shared" ca="1" si="41"/>
        <v/>
      </c>
      <c r="AY41" s="47" t="s">
        <v>755</v>
      </c>
      <c r="AZ41" s="43" t="str">
        <f>IF(IFERROR(ROUND(INDEX(Consulta!$A:$DN,MATCH('ZM01'!$C41,Consulta!$D:$D,0),'ZM01'!AZ$2),3),"")=0,"",IFERROR(ROUND(INDEX(Consulta!$A:$DN,MATCH('ZM01'!$C41,Consulta!$D:$D,0),'ZM01'!AZ$2),3),""))</f>
        <v/>
      </c>
      <c r="BA41" s="43" t="str">
        <f t="shared" si="42"/>
        <v/>
      </c>
      <c r="BB41" s="48" t="s">
        <v>299</v>
      </c>
      <c r="BC41" s="48"/>
      <c r="BD41" s="43" t="str">
        <f>IF(IFERROR(INDEX(Consulta!$A:$DN,MATCH('ZM01'!$C41,Consulta!$D:$D,0),'ZM01'!BD$2),"")=0,"",IFERROR(INDEX(Consulta!$A:$DN,MATCH('ZM01'!$C41,Consulta!$D:$D,0),'ZM01'!BD$2),""))</f>
        <v/>
      </c>
      <c r="BE41" s="43" t="str">
        <f t="shared" si="0"/>
        <v/>
      </c>
      <c r="BF41" s="43" t="str">
        <f t="shared" si="43"/>
        <v/>
      </c>
      <c r="BG41" s="43" t="str">
        <f t="shared" si="1"/>
        <v/>
      </c>
      <c r="BH41" s="43" t="str">
        <f t="shared" si="44"/>
        <v>PC</v>
      </c>
      <c r="BI41" s="43" t="str">
        <f t="shared" si="24"/>
        <v/>
      </c>
      <c r="BJ41" s="43" t="str">
        <f t="shared" si="25"/>
        <v/>
      </c>
      <c r="BK41" s="43" t="str">
        <f t="shared" si="26"/>
        <v/>
      </c>
      <c r="BL41" s="43" t="str">
        <f t="shared" si="45"/>
        <v>PC</v>
      </c>
      <c r="BN41" s="44"/>
      <c r="BO41" s="44" t="s">
        <v>925</v>
      </c>
      <c r="BP41" s="43" t="str">
        <f>IF(OR(IFERROR(INDEX(Consulta!$A:$DN,MATCH('ZM01'!$C41,Consulta!$D:$D,0),'ZM01'!BP$2),"")=0,IFERROR(INDEX(Consulta!$A:$DN,MATCH('ZM01'!$C41,Consulta!$D:$D,0),'ZM01'!BP$2),"")=AR41),"",IFERROR(INDEX(Consulta!$A:$DN,MATCH('ZM01'!$C41,Consulta!$D:$D,0),'ZM01'!BP$2),""))</f>
        <v/>
      </c>
      <c r="BQ41" s="45">
        <v>99</v>
      </c>
      <c r="BR41" s="46" t="str">
        <f t="shared" ca="1" si="46"/>
        <v>24.05.2022</v>
      </c>
      <c r="BS41" s="49" t="str">
        <f t="shared" si="47"/>
        <v/>
      </c>
      <c r="BT41" s="50">
        <v>1</v>
      </c>
      <c r="BU41" s="50" t="s">
        <v>194</v>
      </c>
      <c r="BV41" s="90" t="str">
        <f t="shared" si="14"/>
        <v>01</v>
      </c>
      <c r="BW41" s="50" t="s">
        <v>755</v>
      </c>
      <c r="BX41" s="44">
        <v>1</v>
      </c>
      <c r="BY41" s="44" t="s">
        <v>372</v>
      </c>
      <c r="BZ41" s="50" t="s">
        <v>197</v>
      </c>
      <c r="CA41" s="50" t="s">
        <v>197</v>
      </c>
      <c r="CB41" s="43" t="str">
        <f>IF(IFERROR(INDEX(Consulta!$A:$DN,MATCH('ZM01'!$C41,Consulta!$D:$D,0),'ZM01'!CB$2),"")=0,"",IFERROR(INDEX(Consulta!$A:$DN,MATCH('ZM01'!$C41,Consulta!$D:$D,0),'ZM01'!CB$2),""))</f>
        <v/>
      </c>
      <c r="CC41" s="44" t="s">
        <v>392</v>
      </c>
      <c r="CD41" s="50">
        <v>0</v>
      </c>
      <c r="CE41" s="45" t="s">
        <v>403</v>
      </c>
      <c r="CF41" s="45" t="s">
        <v>84</v>
      </c>
      <c r="CG41" s="43" t="str">
        <f t="shared" si="15"/>
        <v/>
      </c>
      <c r="CH41" s="45" t="s">
        <v>430</v>
      </c>
      <c r="CI41" s="44">
        <v>0</v>
      </c>
      <c r="CJ41" s="43" t="str">
        <f t="shared" si="27"/>
        <v>E</v>
      </c>
      <c r="CK41" s="43" t="str">
        <f t="shared" si="28"/>
        <v/>
      </c>
      <c r="CL41" s="44">
        <v>2</v>
      </c>
      <c r="CM41" s="49" t="str">
        <f t="shared" si="48"/>
        <v/>
      </c>
      <c r="CN41" s="49" t="str">
        <f t="shared" si="49"/>
        <v/>
      </c>
      <c r="CO41" s="43" t="str">
        <f t="shared" si="29"/>
        <v/>
      </c>
      <c r="CP41" s="44">
        <v>1</v>
      </c>
      <c r="CQ41" s="50" t="s">
        <v>515</v>
      </c>
      <c r="CR41" s="44" t="s">
        <v>372</v>
      </c>
      <c r="CS41" s="44">
        <v>2</v>
      </c>
      <c r="CT41" s="44">
        <v>42</v>
      </c>
      <c r="CU41" s="44">
        <v>10</v>
      </c>
      <c r="CV41" s="43" t="str">
        <f t="shared" si="30"/>
        <v>K00_AO_</v>
      </c>
      <c r="CW41" s="43" t="str">
        <f t="shared" si="31"/>
        <v/>
      </c>
      <c r="CX41" s="43" t="str">
        <f t="shared" si="32"/>
        <v/>
      </c>
      <c r="CY41" s="44">
        <v>1</v>
      </c>
      <c r="CZ41" s="43" t="str">
        <f t="shared" si="33"/>
        <v/>
      </c>
      <c r="DA41" s="43" t="str">
        <f>IF(IFERROR(INDEX(Consulta!$A:$DN,MATCH('ZM01'!$C41,Consulta!$D:$D,0),'ZM01'!DA$2),"")=0,"",IFERROR(INDEX(Consulta!$A:$DN,MATCH('ZM01'!$C41,Consulta!$D:$D,0),'ZM01'!DA$2),""))</f>
        <v/>
      </c>
      <c r="DB41" s="43" t="str">
        <f>IF(IFERROR(INDEX(Consulta!$A:$DN,MATCH('ZM01'!$C41,Consulta!$D:$D,0),'ZM01'!DB$2),"")=0,"",IFERROR(INDEX(Consulta!$A:$DN,MATCH('ZM01'!$C41,Consulta!$D:$D,0),'ZM01'!DB$2),""))</f>
        <v/>
      </c>
      <c r="DC41" s="45">
        <v>0</v>
      </c>
      <c r="DD41" s="45">
        <v>0</v>
      </c>
      <c r="DE41" s="43" t="str">
        <f>IF(IFERROR(INDEX(Consulta!$A:$DN,MATCH('ZM01'!$C41,Consulta!$D:$D,0),'ZM01'!DE$2),"")=0,"",IFERROR(TEXT(VALUE(INDEX(Consulta!$A:$DN,MATCH('ZM01'!$C41,Consulta!$D:$D,0),'ZM01'!DE$2))/100,"0,00"),""))</f>
        <v/>
      </c>
      <c r="DG41" s="43">
        <f t="shared" si="50"/>
        <v>1</v>
      </c>
      <c r="DH41" s="43" t="str">
        <f>IF(IFERROR(INDEX(Consulta!$A:$DN,MATCH('ZM01'!$C41,Consulta!$D:$D,0),'ZM01'!DH$2),"")=0,"",IFERROR(VLOOKUP(INDEX(Consulta!$A:$DN,MATCH('ZM01'!$C41,Consulta!$D:$D,0),'ZM01'!DH$2),'Listas de Dados'!BU:BW,3,0),""))</f>
        <v/>
      </c>
      <c r="DI41" s="43" t="str">
        <f t="shared" ca="1" si="51"/>
        <v>24.05.2022</v>
      </c>
      <c r="DJ41" s="43" t="str">
        <f t="shared" si="52"/>
        <v>31.12.9999</v>
      </c>
      <c r="DL41" s="44">
        <v>1</v>
      </c>
      <c r="DM41" s="44" t="s">
        <v>1039</v>
      </c>
      <c r="DN41" s="44">
        <v>1</v>
      </c>
      <c r="DO41" s="43">
        <f t="shared" si="34"/>
        <v>1</v>
      </c>
      <c r="DP41" s="43" t="str">
        <f t="shared" si="35"/>
        <v>PC</v>
      </c>
      <c r="DQ41" s="43" t="str">
        <f t="shared" si="36"/>
        <v/>
      </c>
      <c r="DR41" s="44">
        <v>100</v>
      </c>
      <c r="DS41" s="71">
        <f t="shared" si="21"/>
        <v>1</v>
      </c>
      <c r="DT41" s="43">
        <f t="shared" si="53"/>
        <v>100</v>
      </c>
      <c r="DU41" s="44">
        <v>1</v>
      </c>
      <c r="DV41" s="44">
        <v>0</v>
      </c>
      <c r="DW41" s="44" t="s">
        <v>826</v>
      </c>
      <c r="DX41" s="45">
        <v>0</v>
      </c>
      <c r="DY41" s="44">
        <v>100</v>
      </c>
      <c r="DZ41" s="60"/>
    </row>
    <row r="42" spans="1:130" x14ac:dyDescent="0.2">
      <c r="A42" s="7" t="str">
        <f t="shared" si="2"/>
        <v>Execução 38</v>
      </c>
      <c r="B42" s="75"/>
      <c r="C42" s="85"/>
      <c r="D42" s="71" t="str">
        <f t="shared" si="37"/>
        <v/>
      </c>
      <c r="E42" s="71" t="str">
        <f t="shared" si="38"/>
        <v/>
      </c>
      <c r="F42" s="43" t="str">
        <f>IF(IFERROR(INDEX(Consulta!$A:$DN,MATCH('ZM01'!$C42,Consulta!$D:$D,0),'ZM01'!F$2),"")=0,"",IFERROR(INDEX(Consulta!$A:$DN,MATCH('ZM01'!$C42,Consulta!$D:$D,0),'ZM01'!F$2),""))</f>
        <v/>
      </c>
      <c r="G42" s="43" t="str">
        <f>IF(IFERROR(INDEX(Consulta!$A:$DN,MATCH('ZM01'!$C42,Consulta!$D:$D,0),'ZM01'!G$2),"")=0,"",IFERROR(INDEX(Consulta!$A:$DN,MATCH('ZM01'!$C42,Consulta!$D:$D,0),'ZM01'!G$2),""))</f>
        <v/>
      </c>
      <c r="H42" s="43" t="str">
        <f t="shared" si="23"/>
        <v/>
      </c>
      <c r="I42" s="44" t="s">
        <v>100</v>
      </c>
      <c r="J42" s="43" t="str">
        <f>IF(IFERROR(INDEX(Consulta!$A:$DN,MATCH('ZM01'!$C42,Consulta!$D:$D,0),'ZM01'!J$2),"")=0,"",IFERROR(INDEX(Consulta!$A:$DN,MATCH('ZM01'!$C42,Consulta!$D:$D,0),'ZM01'!J$2),""))</f>
        <v/>
      </c>
      <c r="K42" s="43" t="str">
        <f>IF(IFERROR(INDEX(Consulta!$A:$DN,MATCH('ZM01'!$C42,Consulta!$D:$D,0),'ZM01'!K$2),"")=0,"",IFERROR(INDEX(Consulta!$A:$DN,MATCH('ZM01'!$C42,Consulta!$D:$D,0),'ZM01'!K$2),""))</f>
        <v/>
      </c>
      <c r="L42" s="43" t="str">
        <f t="shared" si="39"/>
        <v/>
      </c>
      <c r="M42" s="43" t="str">
        <f>IF(IFERROR(INDEX(Consulta!$A:$DN,MATCH('ZM01'!$C42,Consulta!$D:$D,0),'ZM01'!M$2),"")=0,"",IFERROR(INDEX(Consulta!$A:$DN,MATCH('ZM01'!$C42,Consulta!$D:$D,0),'ZM01'!M$2),""))</f>
        <v/>
      </c>
      <c r="N42" s="43" t="str">
        <f t="shared" si="40"/>
        <v/>
      </c>
      <c r="P42" s="45" t="s">
        <v>101</v>
      </c>
      <c r="Q42" s="45" t="s">
        <v>102</v>
      </c>
      <c r="R42" s="45" t="s">
        <v>103</v>
      </c>
      <c r="S42" s="45" t="s">
        <v>104</v>
      </c>
      <c r="T42" s="45" t="s">
        <v>105</v>
      </c>
      <c r="U42" s="45" t="s">
        <v>106</v>
      </c>
      <c r="V42" s="45" t="s">
        <v>107</v>
      </c>
      <c r="W42" s="45" t="s">
        <v>109</v>
      </c>
      <c r="X42" s="45" t="s">
        <v>110</v>
      </c>
      <c r="Y42" s="45"/>
      <c r="Z42" s="45"/>
      <c r="AA42" s="45" t="s">
        <v>112</v>
      </c>
      <c r="AB42" s="45" t="s">
        <v>113</v>
      </c>
      <c r="AC42" s="45" t="s">
        <v>114</v>
      </c>
      <c r="AD42" s="45" t="s">
        <v>115</v>
      </c>
      <c r="AE42" s="45" t="s">
        <v>117</v>
      </c>
      <c r="AF42" s="45" t="s">
        <v>118</v>
      </c>
      <c r="AG42" s="45" t="s">
        <v>119</v>
      </c>
      <c r="AH42" s="45" t="s">
        <v>120</v>
      </c>
      <c r="AI42" s="45" t="s">
        <v>121</v>
      </c>
      <c r="AJ42" s="45" t="s">
        <v>122</v>
      </c>
      <c r="AK42" s="45" t="s">
        <v>123</v>
      </c>
      <c r="AL42" s="45" t="s">
        <v>124</v>
      </c>
      <c r="AM42" s="45" t="s">
        <v>125</v>
      </c>
      <c r="AN42" s="45" t="s">
        <v>126</v>
      </c>
      <c r="AO42" s="45"/>
      <c r="AP42" s="45"/>
      <c r="AR42" s="44" t="s">
        <v>822</v>
      </c>
      <c r="AS42" s="43" t="str">
        <f>IF(IFERROR(INDEX(Consulta!$A:$DN,MATCH('ZM01'!$C42,Consulta!$D:$D,0),'ZM01'!AS$2),"")=0,"",IFERROR(INDEX(Consulta!$A:$DN,MATCH('ZM01'!$C42,Consulta!$D:$D,0),'ZM01'!AS$2),""))</f>
        <v/>
      </c>
      <c r="AT42" s="45"/>
      <c r="AU42" s="43" t="str">
        <f>IF(IFERROR(INDEX(Consulta!$A:$DN,MATCH('ZM01'!$C42,Consulta!$D:$D,0),'ZM01'!AU$2),"")=0,"",IFERROR(INDEX(Consulta!$A:$DN,MATCH('ZM01'!$C42,Consulta!$D:$D,0),'ZM01'!AU$2),""))</f>
        <v/>
      </c>
      <c r="AV42" s="43" t="str">
        <f>IF(IFERROR(INDEX(Consulta!$A:$DN,MATCH('ZM01'!$C42,Consulta!$D:$D,0),'ZM01'!AV$2),"")=0,"",IFERROR(INDEX(Consulta!$A:$DN,MATCH('ZM01'!$C42,Consulta!$D:$D,0),'ZM01'!AV$2),""))</f>
        <v/>
      </c>
      <c r="AW42" s="45"/>
      <c r="AX42" s="46" t="str">
        <f t="shared" ca="1" si="41"/>
        <v/>
      </c>
      <c r="AY42" s="47" t="s">
        <v>755</v>
      </c>
      <c r="AZ42" s="43" t="str">
        <f>IF(IFERROR(ROUND(INDEX(Consulta!$A:$DN,MATCH('ZM01'!$C42,Consulta!$D:$D,0),'ZM01'!AZ$2),3),"")=0,"",IFERROR(ROUND(INDEX(Consulta!$A:$DN,MATCH('ZM01'!$C42,Consulta!$D:$D,0),'ZM01'!AZ$2),3),""))</f>
        <v/>
      </c>
      <c r="BA42" s="43" t="str">
        <f t="shared" si="42"/>
        <v/>
      </c>
      <c r="BB42" s="48" t="s">
        <v>299</v>
      </c>
      <c r="BC42" s="48"/>
      <c r="BD42" s="43" t="str">
        <f>IF(IFERROR(INDEX(Consulta!$A:$DN,MATCH('ZM01'!$C42,Consulta!$D:$D,0),'ZM01'!BD$2),"")=0,"",IFERROR(INDEX(Consulta!$A:$DN,MATCH('ZM01'!$C42,Consulta!$D:$D,0),'ZM01'!BD$2),""))</f>
        <v/>
      </c>
      <c r="BE42" s="43" t="str">
        <f t="shared" si="0"/>
        <v/>
      </c>
      <c r="BF42" s="43" t="str">
        <f t="shared" si="43"/>
        <v/>
      </c>
      <c r="BG42" s="43" t="str">
        <f t="shared" si="1"/>
        <v/>
      </c>
      <c r="BH42" s="43" t="str">
        <f t="shared" si="44"/>
        <v>PC</v>
      </c>
      <c r="BI42" s="43" t="str">
        <f t="shared" si="24"/>
        <v/>
      </c>
      <c r="BJ42" s="43" t="str">
        <f t="shared" si="25"/>
        <v/>
      </c>
      <c r="BK42" s="43" t="str">
        <f t="shared" si="26"/>
        <v/>
      </c>
      <c r="BL42" s="43" t="str">
        <f t="shared" si="45"/>
        <v>PC</v>
      </c>
      <c r="BN42" s="44"/>
      <c r="BO42" s="44" t="s">
        <v>925</v>
      </c>
      <c r="BP42" s="43" t="str">
        <f>IF(OR(IFERROR(INDEX(Consulta!$A:$DN,MATCH('ZM01'!$C42,Consulta!$D:$D,0),'ZM01'!BP$2),"")=0,IFERROR(INDEX(Consulta!$A:$DN,MATCH('ZM01'!$C42,Consulta!$D:$D,0),'ZM01'!BP$2),"")=AR42),"",IFERROR(INDEX(Consulta!$A:$DN,MATCH('ZM01'!$C42,Consulta!$D:$D,0),'ZM01'!BP$2),""))</f>
        <v/>
      </c>
      <c r="BQ42" s="45">
        <v>99</v>
      </c>
      <c r="BR42" s="46" t="str">
        <f t="shared" ca="1" si="46"/>
        <v>24.05.2022</v>
      </c>
      <c r="BS42" s="49" t="str">
        <f t="shared" si="47"/>
        <v/>
      </c>
      <c r="BT42" s="50">
        <v>1</v>
      </c>
      <c r="BU42" s="50" t="s">
        <v>194</v>
      </c>
      <c r="BV42" s="90" t="str">
        <f t="shared" si="14"/>
        <v>01</v>
      </c>
      <c r="BW42" s="50" t="s">
        <v>755</v>
      </c>
      <c r="BX42" s="44">
        <v>1</v>
      </c>
      <c r="BY42" s="44" t="s">
        <v>372</v>
      </c>
      <c r="BZ42" s="50" t="s">
        <v>197</v>
      </c>
      <c r="CA42" s="50" t="s">
        <v>197</v>
      </c>
      <c r="CB42" s="43" t="str">
        <f>IF(IFERROR(INDEX(Consulta!$A:$DN,MATCH('ZM01'!$C42,Consulta!$D:$D,0),'ZM01'!CB$2),"")=0,"",IFERROR(INDEX(Consulta!$A:$DN,MATCH('ZM01'!$C42,Consulta!$D:$D,0),'ZM01'!CB$2),""))</f>
        <v/>
      </c>
      <c r="CC42" s="44" t="s">
        <v>392</v>
      </c>
      <c r="CD42" s="50">
        <v>0</v>
      </c>
      <c r="CE42" s="45" t="s">
        <v>403</v>
      </c>
      <c r="CF42" s="45" t="s">
        <v>84</v>
      </c>
      <c r="CG42" s="43" t="str">
        <f t="shared" si="15"/>
        <v/>
      </c>
      <c r="CH42" s="45" t="s">
        <v>430</v>
      </c>
      <c r="CI42" s="44">
        <v>0</v>
      </c>
      <c r="CJ42" s="43" t="str">
        <f t="shared" si="27"/>
        <v>E</v>
      </c>
      <c r="CK42" s="43" t="str">
        <f t="shared" si="28"/>
        <v/>
      </c>
      <c r="CL42" s="44">
        <v>2</v>
      </c>
      <c r="CM42" s="49" t="str">
        <f t="shared" si="48"/>
        <v/>
      </c>
      <c r="CN42" s="49" t="str">
        <f t="shared" si="49"/>
        <v/>
      </c>
      <c r="CO42" s="43" t="str">
        <f t="shared" si="29"/>
        <v/>
      </c>
      <c r="CP42" s="44">
        <v>1</v>
      </c>
      <c r="CQ42" s="50" t="s">
        <v>515</v>
      </c>
      <c r="CR42" s="44" t="s">
        <v>372</v>
      </c>
      <c r="CS42" s="44">
        <v>2</v>
      </c>
      <c r="CT42" s="44">
        <v>42</v>
      </c>
      <c r="CU42" s="44">
        <v>10</v>
      </c>
      <c r="CV42" s="43" t="str">
        <f t="shared" si="30"/>
        <v>K00_AO_</v>
      </c>
      <c r="CW42" s="43" t="str">
        <f t="shared" si="31"/>
        <v/>
      </c>
      <c r="CX42" s="43" t="str">
        <f t="shared" si="32"/>
        <v/>
      </c>
      <c r="CY42" s="44">
        <v>1</v>
      </c>
      <c r="CZ42" s="43" t="str">
        <f t="shared" si="33"/>
        <v/>
      </c>
      <c r="DA42" s="43" t="str">
        <f>IF(IFERROR(INDEX(Consulta!$A:$DN,MATCH('ZM01'!$C42,Consulta!$D:$D,0),'ZM01'!DA$2),"")=0,"",IFERROR(INDEX(Consulta!$A:$DN,MATCH('ZM01'!$C42,Consulta!$D:$D,0),'ZM01'!DA$2),""))</f>
        <v/>
      </c>
      <c r="DB42" s="43" t="str">
        <f>IF(IFERROR(INDEX(Consulta!$A:$DN,MATCH('ZM01'!$C42,Consulta!$D:$D,0),'ZM01'!DB$2),"")=0,"",IFERROR(INDEX(Consulta!$A:$DN,MATCH('ZM01'!$C42,Consulta!$D:$D,0),'ZM01'!DB$2),""))</f>
        <v/>
      </c>
      <c r="DC42" s="45">
        <v>0</v>
      </c>
      <c r="DD42" s="45">
        <v>0</v>
      </c>
      <c r="DE42" s="43" t="str">
        <f>IF(IFERROR(INDEX(Consulta!$A:$DN,MATCH('ZM01'!$C42,Consulta!$D:$D,0),'ZM01'!DE$2),"")=0,"",IFERROR(TEXT(VALUE(INDEX(Consulta!$A:$DN,MATCH('ZM01'!$C42,Consulta!$D:$D,0),'ZM01'!DE$2))/100,"0,00"),""))</f>
        <v/>
      </c>
      <c r="DG42" s="43">
        <f t="shared" si="50"/>
        <v>1</v>
      </c>
      <c r="DH42" s="43" t="str">
        <f>IF(IFERROR(INDEX(Consulta!$A:$DN,MATCH('ZM01'!$C42,Consulta!$D:$D,0),'ZM01'!DH$2),"")=0,"",IFERROR(VLOOKUP(INDEX(Consulta!$A:$DN,MATCH('ZM01'!$C42,Consulta!$D:$D,0),'ZM01'!DH$2),'Listas de Dados'!BU:BW,3,0),""))</f>
        <v/>
      </c>
      <c r="DI42" s="43" t="str">
        <f t="shared" ca="1" si="51"/>
        <v>24.05.2022</v>
      </c>
      <c r="DJ42" s="43" t="str">
        <f t="shared" si="52"/>
        <v>31.12.9999</v>
      </c>
      <c r="DL42" s="44">
        <v>1</v>
      </c>
      <c r="DM42" s="44" t="s">
        <v>1039</v>
      </c>
      <c r="DN42" s="44">
        <v>1</v>
      </c>
      <c r="DO42" s="43">
        <f t="shared" si="34"/>
        <v>1</v>
      </c>
      <c r="DP42" s="43" t="str">
        <f t="shared" si="35"/>
        <v>PC</v>
      </c>
      <c r="DQ42" s="43" t="str">
        <f t="shared" si="36"/>
        <v/>
      </c>
      <c r="DR42" s="44">
        <v>100</v>
      </c>
      <c r="DS42" s="71">
        <f t="shared" si="21"/>
        <v>1</v>
      </c>
      <c r="DT42" s="43">
        <f t="shared" si="53"/>
        <v>100</v>
      </c>
      <c r="DU42" s="44">
        <v>1</v>
      </c>
      <c r="DV42" s="44">
        <v>0</v>
      </c>
      <c r="DW42" s="44" t="s">
        <v>826</v>
      </c>
      <c r="DX42" s="45">
        <v>0</v>
      </c>
      <c r="DY42" s="44">
        <v>100</v>
      </c>
      <c r="DZ42" s="61"/>
    </row>
    <row r="43" spans="1:130" x14ac:dyDescent="0.2">
      <c r="A43" s="7" t="str">
        <f t="shared" si="2"/>
        <v>Execução 39</v>
      </c>
      <c r="B43" s="79"/>
      <c r="C43" s="85"/>
      <c r="D43" s="71" t="str">
        <f t="shared" si="37"/>
        <v/>
      </c>
      <c r="E43" s="71" t="str">
        <f t="shared" si="38"/>
        <v/>
      </c>
      <c r="F43" s="43" t="str">
        <f>IF(IFERROR(INDEX(Consulta!$A:$DN,MATCH('ZM01'!$C43,Consulta!$D:$D,0),'ZM01'!F$2),"")=0,"",IFERROR(INDEX(Consulta!$A:$DN,MATCH('ZM01'!$C43,Consulta!$D:$D,0),'ZM01'!F$2),""))</f>
        <v/>
      </c>
      <c r="G43" s="43" t="str">
        <f>IF(IFERROR(INDEX(Consulta!$A:$DN,MATCH('ZM01'!$C43,Consulta!$D:$D,0),'ZM01'!G$2),"")=0,"",IFERROR(INDEX(Consulta!$A:$DN,MATCH('ZM01'!$C43,Consulta!$D:$D,0),'ZM01'!G$2),""))</f>
        <v/>
      </c>
      <c r="H43" s="43" t="str">
        <f t="shared" si="23"/>
        <v/>
      </c>
      <c r="I43" s="44" t="s">
        <v>100</v>
      </c>
      <c r="J43" s="43" t="str">
        <f>IF(IFERROR(INDEX(Consulta!$A:$DN,MATCH('ZM01'!$C43,Consulta!$D:$D,0),'ZM01'!J$2),"")=0,"",IFERROR(INDEX(Consulta!$A:$DN,MATCH('ZM01'!$C43,Consulta!$D:$D,0),'ZM01'!J$2),""))</f>
        <v/>
      </c>
      <c r="K43" s="43" t="str">
        <f>IF(IFERROR(INDEX(Consulta!$A:$DN,MATCH('ZM01'!$C43,Consulta!$D:$D,0),'ZM01'!K$2),"")=0,"",IFERROR(INDEX(Consulta!$A:$DN,MATCH('ZM01'!$C43,Consulta!$D:$D,0),'ZM01'!K$2),""))</f>
        <v/>
      </c>
      <c r="L43" s="43" t="str">
        <f t="shared" si="39"/>
        <v/>
      </c>
      <c r="M43" s="43" t="str">
        <f>IF(IFERROR(INDEX(Consulta!$A:$DN,MATCH('ZM01'!$C43,Consulta!$D:$D,0),'ZM01'!M$2),"")=0,"",IFERROR(INDEX(Consulta!$A:$DN,MATCH('ZM01'!$C43,Consulta!$D:$D,0),'ZM01'!M$2),""))</f>
        <v/>
      </c>
      <c r="N43" s="43" t="str">
        <f t="shared" si="40"/>
        <v/>
      </c>
      <c r="P43" s="45" t="s">
        <v>101</v>
      </c>
      <c r="Q43" s="45" t="s">
        <v>102</v>
      </c>
      <c r="R43" s="45" t="s">
        <v>103</v>
      </c>
      <c r="S43" s="45" t="s">
        <v>104</v>
      </c>
      <c r="T43" s="45" t="s">
        <v>105</v>
      </c>
      <c r="U43" s="45" t="s">
        <v>106</v>
      </c>
      <c r="V43" s="45" t="s">
        <v>107</v>
      </c>
      <c r="W43" s="45" t="s">
        <v>109</v>
      </c>
      <c r="X43" s="45" t="s">
        <v>110</v>
      </c>
      <c r="Y43" s="45"/>
      <c r="Z43" s="45"/>
      <c r="AA43" s="45" t="s">
        <v>112</v>
      </c>
      <c r="AB43" s="45" t="s">
        <v>113</v>
      </c>
      <c r="AC43" s="45" t="s">
        <v>114</v>
      </c>
      <c r="AD43" s="45" t="s">
        <v>115</v>
      </c>
      <c r="AE43" s="45" t="s">
        <v>117</v>
      </c>
      <c r="AF43" s="45" t="s">
        <v>118</v>
      </c>
      <c r="AG43" s="45" t="s">
        <v>119</v>
      </c>
      <c r="AH43" s="45" t="s">
        <v>120</v>
      </c>
      <c r="AI43" s="45" t="s">
        <v>121</v>
      </c>
      <c r="AJ43" s="45" t="s">
        <v>122</v>
      </c>
      <c r="AK43" s="45" t="s">
        <v>123</v>
      </c>
      <c r="AL43" s="45" t="s">
        <v>124</v>
      </c>
      <c r="AM43" s="45" t="s">
        <v>125</v>
      </c>
      <c r="AN43" s="45" t="s">
        <v>126</v>
      </c>
      <c r="AO43" s="45"/>
      <c r="AP43" s="45"/>
      <c r="AR43" s="44" t="s">
        <v>822</v>
      </c>
      <c r="AS43" s="43" t="str">
        <f>IF(IFERROR(INDEX(Consulta!$A:$DN,MATCH('ZM01'!$C43,Consulta!$D:$D,0),'ZM01'!AS$2),"")=0,"",IFERROR(INDEX(Consulta!$A:$DN,MATCH('ZM01'!$C43,Consulta!$D:$D,0),'ZM01'!AS$2),""))</f>
        <v/>
      </c>
      <c r="AT43" s="45"/>
      <c r="AU43" s="43" t="str">
        <f>IF(IFERROR(INDEX(Consulta!$A:$DN,MATCH('ZM01'!$C43,Consulta!$D:$D,0),'ZM01'!AU$2),"")=0,"",IFERROR(INDEX(Consulta!$A:$DN,MATCH('ZM01'!$C43,Consulta!$D:$D,0),'ZM01'!AU$2),""))</f>
        <v/>
      </c>
      <c r="AV43" s="43" t="str">
        <f>IF(IFERROR(INDEX(Consulta!$A:$DN,MATCH('ZM01'!$C43,Consulta!$D:$D,0),'ZM01'!AV$2),"")=0,"",IFERROR(INDEX(Consulta!$A:$DN,MATCH('ZM01'!$C43,Consulta!$D:$D,0),'ZM01'!AV$2),""))</f>
        <v/>
      </c>
      <c r="AW43" s="45"/>
      <c r="AX43" s="46" t="str">
        <f t="shared" ca="1" si="41"/>
        <v/>
      </c>
      <c r="AY43" s="47" t="s">
        <v>755</v>
      </c>
      <c r="AZ43" s="43" t="str">
        <f>IF(IFERROR(ROUND(INDEX(Consulta!$A:$DN,MATCH('ZM01'!$C43,Consulta!$D:$D,0),'ZM01'!AZ$2),3),"")=0,"",IFERROR(ROUND(INDEX(Consulta!$A:$DN,MATCH('ZM01'!$C43,Consulta!$D:$D,0),'ZM01'!AZ$2),3),""))</f>
        <v/>
      </c>
      <c r="BA43" s="43" t="str">
        <f t="shared" si="42"/>
        <v/>
      </c>
      <c r="BB43" s="48" t="s">
        <v>299</v>
      </c>
      <c r="BC43" s="48"/>
      <c r="BD43" s="43" t="str">
        <f>IF(IFERROR(INDEX(Consulta!$A:$DN,MATCH('ZM01'!$C43,Consulta!$D:$D,0),'ZM01'!BD$2),"")=0,"",IFERROR(INDEX(Consulta!$A:$DN,MATCH('ZM01'!$C43,Consulta!$D:$D,0),'ZM01'!BD$2),""))</f>
        <v/>
      </c>
      <c r="BE43" s="43" t="str">
        <f t="shared" si="0"/>
        <v/>
      </c>
      <c r="BF43" s="43" t="str">
        <f t="shared" si="43"/>
        <v/>
      </c>
      <c r="BG43" s="43" t="str">
        <f t="shared" si="1"/>
        <v/>
      </c>
      <c r="BH43" s="43" t="str">
        <f t="shared" si="44"/>
        <v>PC</v>
      </c>
      <c r="BI43" s="43" t="str">
        <f t="shared" si="24"/>
        <v/>
      </c>
      <c r="BJ43" s="43" t="str">
        <f t="shared" si="25"/>
        <v/>
      </c>
      <c r="BK43" s="43" t="str">
        <f t="shared" si="26"/>
        <v/>
      </c>
      <c r="BL43" s="43" t="str">
        <f t="shared" si="45"/>
        <v>PC</v>
      </c>
      <c r="BN43" s="44"/>
      <c r="BO43" s="44" t="s">
        <v>925</v>
      </c>
      <c r="BP43" s="43" t="str">
        <f>IF(OR(IFERROR(INDEX(Consulta!$A:$DN,MATCH('ZM01'!$C43,Consulta!$D:$D,0),'ZM01'!BP$2),"")=0,IFERROR(INDEX(Consulta!$A:$DN,MATCH('ZM01'!$C43,Consulta!$D:$D,0),'ZM01'!BP$2),"")=AR43),"",IFERROR(INDEX(Consulta!$A:$DN,MATCH('ZM01'!$C43,Consulta!$D:$D,0),'ZM01'!BP$2),""))</f>
        <v/>
      </c>
      <c r="BQ43" s="45">
        <v>99</v>
      </c>
      <c r="BR43" s="46" t="str">
        <f t="shared" ca="1" si="46"/>
        <v>24.05.2022</v>
      </c>
      <c r="BS43" s="49" t="str">
        <f t="shared" si="47"/>
        <v/>
      </c>
      <c r="BT43" s="50">
        <v>1</v>
      </c>
      <c r="BU43" s="50" t="s">
        <v>194</v>
      </c>
      <c r="BV43" s="90" t="str">
        <f t="shared" si="14"/>
        <v>01</v>
      </c>
      <c r="BW43" s="50" t="s">
        <v>755</v>
      </c>
      <c r="BX43" s="44">
        <v>1</v>
      </c>
      <c r="BY43" s="44" t="s">
        <v>372</v>
      </c>
      <c r="BZ43" s="50" t="s">
        <v>197</v>
      </c>
      <c r="CA43" s="50" t="s">
        <v>197</v>
      </c>
      <c r="CB43" s="43" t="str">
        <f>IF(IFERROR(INDEX(Consulta!$A:$DN,MATCH('ZM01'!$C43,Consulta!$D:$D,0),'ZM01'!CB$2),"")=0,"",IFERROR(INDEX(Consulta!$A:$DN,MATCH('ZM01'!$C43,Consulta!$D:$D,0),'ZM01'!CB$2),""))</f>
        <v/>
      </c>
      <c r="CC43" s="44" t="s">
        <v>392</v>
      </c>
      <c r="CD43" s="50">
        <v>0</v>
      </c>
      <c r="CE43" s="45" t="s">
        <v>403</v>
      </c>
      <c r="CF43" s="45" t="s">
        <v>84</v>
      </c>
      <c r="CG43" s="43" t="str">
        <f t="shared" si="15"/>
        <v/>
      </c>
      <c r="CH43" s="45" t="s">
        <v>430</v>
      </c>
      <c r="CI43" s="44">
        <v>0</v>
      </c>
      <c r="CJ43" s="43" t="str">
        <f t="shared" si="27"/>
        <v>E</v>
      </c>
      <c r="CK43" s="43" t="str">
        <f t="shared" si="28"/>
        <v/>
      </c>
      <c r="CL43" s="44">
        <v>2</v>
      </c>
      <c r="CM43" s="49" t="str">
        <f t="shared" si="48"/>
        <v/>
      </c>
      <c r="CN43" s="49" t="str">
        <f t="shared" si="49"/>
        <v/>
      </c>
      <c r="CO43" s="43" t="str">
        <f t="shared" si="29"/>
        <v/>
      </c>
      <c r="CP43" s="44">
        <v>1</v>
      </c>
      <c r="CQ43" s="50" t="s">
        <v>515</v>
      </c>
      <c r="CR43" s="44" t="s">
        <v>372</v>
      </c>
      <c r="CS43" s="44">
        <v>2</v>
      </c>
      <c r="CT43" s="44">
        <v>42</v>
      </c>
      <c r="CU43" s="44">
        <v>10</v>
      </c>
      <c r="CV43" s="43" t="str">
        <f t="shared" si="30"/>
        <v>K00_AO_</v>
      </c>
      <c r="CW43" s="43" t="str">
        <f t="shared" si="31"/>
        <v/>
      </c>
      <c r="CX43" s="43" t="str">
        <f t="shared" si="32"/>
        <v/>
      </c>
      <c r="CY43" s="44">
        <v>1</v>
      </c>
      <c r="CZ43" s="43" t="str">
        <f t="shared" si="33"/>
        <v/>
      </c>
      <c r="DA43" s="43" t="str">
        <f>IF(IFERROR(INDEX(Consulta!$A:$DN,MATCH('ZM01'!$C43,Consulta!$D:$D,0),'ZM01'!DA$2),"")=0,"",IFERROR(INDEX(Consulta!$A:$DN,MATCH('ZM01'!$C43,Consulta!$D:$D,0),'ZM01'!DA$2),""))</f>
        <v/>
      </c>
      <c r="DB43" s="43" t="str">
        <f>IF(IFERROR(INDEX(Consulta!$A:$DN,MATCH('ZM01'!$C43,Consulta!$D:$D,0),'ZM01'!DB$2),"")=0,"",IFERROR(INDEX(Consulta!$A:$DN,MATCH('ZM01'!$C43,Consulta!$D:$D,0),'ZM01'!DB$2),""))</f>
        <v/>
      </c>
      <c r="DC43" s="45">
        <v>0</v>
      </c>
      <c r="DD43" s="45">
        <v>0</v>
      </c>
      <c r="DE43" s="43" t="str">
        <f>IF(IFERROR(INDEX(Consulta!$A:$DN,MATCH('ZM01'!$C43,Consulta!$D:$D,0),'ZM01'!DE$2),"")=0,"",IFERROR(TEXT(VALUE(INDEX(Consulta!$A:$DN,MATCH('ZM01'!$C43,Consulta!$D:$D,0),'ZM01'!DE$2))/100,"0,00"),""))</f>
        <v/>
      </c>
      <c r="DG43" s="43">
        <f t="shared" si="50"/>
        <v>1</v>
      </c>
      <c r="DH43" s="43" t="str">
        <f>IF(IFERROR(INDEX(Consulta!$A:$DN,MATCH('ZM01'!$C43,Consulta!$D:$D,0),'ZM01'!DH$2),"")=0,"",IFERROR(VLOOKUP(INDEX(Consulta!$A:$DN,MATCH('ZM01'!$C43,Consulta!$D:$D,0),'ZM01'!DH$2),'Listas de Dados'!BU:BW,3,0),""))</f>
        <v/>
      </c>
      <c r="DI43" s="43" t="str">
        <f t="shared" ca="1" si="51"/>
        <v>24.05.2022</v>
      </c>
      <c r="DJ43" s="43" t="str">
        <f t="shared" si="52"/>
        <v>31.12.9999</v>
      </c>
      <c r="DL43" s="44">
        <v>1</v>
      </c>
      <c r="DM43" s="44" t="s">
        <v>1039</v>
      </c>
      <c r="DN43" s="44">
        <v>1</v>
      </c>
      <c r="DO43" s="43">
        <f t="shared" si="34"/>
        <v>1</v>
      </c>
      <c r="DP43" s="43" t="str">
        <f t="shared" si="35"/>
        <v>PC</v>
      </c>
      <c r="DQ43" s="43" t="str">
        <f t="shared" si="36"/>
        <v/>
      </c>
      <c r="DR43" s="44">
        <v>100</v>
      </c>
      <c r="DS43" s="71">
        <f t="shared" si="21"/>
        <v>1</v>
      </c>
      <c r="DT43" s="43">
        <f t="shared" si="53"/>
        <v>100</v>
      </c>
      <c r="DU43" s="44">
        <v>1</v>
      </c>
      <c r="DV43" s="44">
        <v>0</v>
      </c>
      <c r="DW43" s="44" t="s">
        <v>826</v>
      </c>
      <c r="DX43" s="45">
        <v>0</v>
      </c>
      <c r="DY43" s="44">
        <v>100</v>
      </c>
      <c r="DZ43" s="60"/>
    </row>
    <row r="44" spans="1:130" x14ac:dyDescent="0.2">
      <c r="A44" s="7" t="str">
        <f t="shared" si="2"/>
        <v>Execução 40</v>
      </c>
      <c r="B44" s="75"/>
      <c r="C44" s="85"/>
      <c r="D44" s="71" t="str">
        <f t="shared" si="37"/>
        <v/>
      </c>
      <c r="E44" s="71" t="str">
        <f t="shared" si="38"/>
        <v/>
      </c>
      <c r="F44" s="43" t="str">
        <f>IF(IFERROR(INDEX(Consulta!$A:$DN,MATCH('ZM01'!$C44,Consulta!$D:$D,0),'ZM01'!F$2),"")=0,"",IFERROR(INDEX(Consulta!$A:$DN,MATCH('ZM01'!$C44,Consulta!$D:$D,0),'ZM01'!F$2),""))</f>
        <v/>
      </c>
      <c r="G44" s="43" t="str">
        <f>IF(IFERROR(INDEX(Consulta!$A:$DN,MATCH('ZM01'!$C44,Consulta!$D:$D,0),'ZM01'!G$2),"")=0,"",IFERROR(INDEX(Consulta!$A:$DN,MATCH('ZM01'!$C44,Consulta!$D:$D,0),'ZM01'!G$2),""))</f>
        <v/>
      </c>
      <c r="H44" s="43" t="str">
        <f t="shared" si="23"/>
        <v/>
      </c>
      <c r="I44" s="44" t="s">
        <v>100</v>
      </c>
      <c r="J44" s="43" t="str">
        <f>IF(IFERROR(INDEX(Consulta!$A:$DN,MATCH('ZM01'!$C44,Consulta!$D:$D,0),'ZM01'!J$2),"")=0,"",IFERROR(INDEX(Consulta!$A:$DN,MATCH('ZM01'!$C44,Consulta!$D:$D,0),'ZM01'!J$2),""))</f>
        <v/>
      </c>
      <c r="K44" s="43" t="str">
        <f>IF(IFERROR(INDEX(Consulta!$A:$DN,MATCH('ZM01'!$C44,Consulta!$D:$D,0),'ZM01'!K$2),"")=0,"",IFERROR(INDEX(Consulta!$A:$DN,MATCH('ZM01'!$C44,Consulta!$D:$D,0),'ZM01'!K$2),""))</f>
        <v/>
      </c>
      <c r="L44" s="43" t="str">
        <f t="shared" si="39"/>
        <v/>
      </c>
      <c r="M44" s="43" t="str">
        <f>IF(IFERROR(INDEX(Consulta!$A:$DN,MATCH('ZM01'!$C44,Consulta!$D:$D,0),'ZM01'!M$2),"")=0,"",IFERROR(INDEX(Consulta!$A:$DN,MATCH('ZM01'!$C44,Consulta!$D:$D,0),'ZM01'!M$2),""))</f>
        <v/>
      </c>
      <c r="N44" s="43" t="str">
        <f t="shared" si="40"/>
        <v/>
      </c>
      <c r="P44" s="45" t="s">
        <v>101</v>
      </c>
      <c r="Q44" s="45" t="s">
        <v>102</v>
      </c>
      <c r="R44" s="45" t="s">
        <v>103</v>
      </c>
      <c r="S44" s="45" t="s">
        <v>104</v>
      </c>
      <c r="T44" s="45" t="s">
        <v>105</v>
      </c>
      <c r="U44" s="45" t="s">
        <v>106</v>
      </c>
      <c r="V44" s="45" t="s">
        <v>107</v>
      </c>
      <c r="W44" s="45" t="s">
        <v>109</v>
      </c>
      <c r="X44" s="45" t="s">
        <v>110</v>
      </c>
      <c r="Y44" s="45"/>
      <c r="Z44" s="45"/>
      <c r="AA44" s="45" t="s">
        <v>112</v>
      </c>
      <c r="AB44" s="45" t="s">
        <v>113</v>
      </c>
      <c r="AC44" s="45" t="s">
        <v>114</v>
      </c>
      <c r="AD44" s="45" t="s">
        <v>115</v>
      </c>
      <c r="AE44" s="45" t="s">
        <v>117</v>
      </c>
      <c r="AF44" s="45" t="s">
        <v>118</v>
      </c>
      <c r="AG44" s="45" t="s">
        <v>119</v>
      </c>
      <c r="AH44" s="45" t="s">
        <v>120</v>
      </c>
      <c r="AI44" s="45" t="s">
        <v>121</v>
      </c>
      <c r="AJ44" s="45" t="s">
        <v>122</v>
      </c>
      <c r="AK44" s="45" t="s">
        <v>123</v>
      </c>
      <c r="AL44" s="45" t="s">
        <v>124</v>
      </c>
      <c r="AM44" s="45" t="s">
        <v>125</v>
      </c>
      <c r="AN44" s="45" t="s">
        <v>126</v>
      </c>
      <c r="AO44" s="45"/>
      <c r="AP44" s="45"/>
      <c r="AR44" s="44" t="s">
        <v>822</v>
      </c>
      <c r="AS44" s="43" t="str">
        <f>IF(IFERROR(INDEX(Consulta!$A:$DN,MATCH('ZM01'!$C44,Consulta!$D:$D,0),'ZM01'!AS$2),"")=0,"",IFERROR(INDEX(Consulta!$A:$DN,MATCH('ZM01'!$C44,Consulta!$D:$D,0),'ZM01'!AS$2),""))</f>
        <v/>
      </c>
      <c r="AT44" s="45"/>
      <c r="AU44" s="43" t="str">
        <f>IF(IFERROR(INDEX(Consulta!$A:$DN,MATCH('ZM01'!$C44,Consulta!$D:$D,0),'ZM01'!AU$2),"")=0,"",IFERROR(INDEX(Consulta!$A:$DN,MATCH('ZM01'!$C44,Consulta!$D:$D,0),'ZM01'!AU$2),""))</f>
        <v/>
      </c>
      <c r="AV44" s="43" t="str">
        <f>IF(IFERROR(INDEX(Consulta!$A:$DN,MATCH('ZM01'!$C44,Consulta!$D:$D,0),'ZM01'!AV$2),"")=0,"",IFERROR(INDEX(Consulta!$A:$DN,MATCH('ZM01'!$C44,Consulta!$D:$D,0),'ZM01'!AV$2),""))</f>
        <v/>
      </c>
      <c r="AW44" s="45"/>
      <c r="AX44" s="46" t="str">
        <f t="shared" ca="1" si="41"/>
        <v/>
      </c>
      <c r="AY44" s="47" t="s">
        <v>755</v>
      </c>
      <c r="AZ44" s="43" t="str">
        <f>IF(IFERROR(ROUND(INDEX(Consulta!$A:$DN,MATCH('ZM01'!$C44,Consulta!$D:$D,0),'ZM01'!AZ$2),3),"")=0,"",IFERROR(ROUND(INDEX(Consulta!$A:$DN,MATCH('ZM01'!$C44,Consulta!$D:$D,0),'ZM01'!AZ$2),3),""))</f>
        <v/>
      </c>
      <c r="BA44" s="43" t="str">
        <f t="shared" si="42"/>
        <v/>
      </c>
      <c r="BB44" s="48" t="s">
        <v>299</v>
      </c>
      <c r="BC44" s="48"/>
      <c r="BD44" s="43" t="str">
        <f>IF(IFERROR(INDEX(Consulta!$A:$DN,MATCH('ZM01'!$C44,Consulta!$D:$D,0),'ZM01'!BD$2),"")=0,"",IFERROR(INDEX(Consulta!$A:$DN,MATCH('ZM01'!$C44,Consulta!$D:$D,0),'ZM01'!BD$2),""))</f>
        <v/>
      </c>
      <c r="BE44" s="43" t="str">
        <f t="shared" si="0"/>
        <v/>
      </c>
      <c r="BF44" s="43" t="str">
        <f t="shared" si="43"/>
        <v/>
      </c>
      <c r="BG44" s="43" t="str">
        <f t="shared" si="1"/>
        <v/>
      </c>
      <c r="BH44" s="43" t="str">
        <f t="shared" si="44"/>
        <v>PC</v>
      </c>
      <c r="BI44" s="43" t="str">
        <f t="shared" si="24"/>
        <v/>
      </c>
      <c r="BJ44" s="43" t="str">
        <f t="shared" si="25"/>
        <v/>
      </c>
      <c r="BK44" s="43" t="str">
        <f t="shared" si="26"/>
        <v/>
      </c>
      <c r="BL44" s="43" t="str">
        <f t="shared" si="45"/>
        <v>PC</v>
      </c>
      <c r="BN44" s="44"/>
      <c r="BO44" s="44" t="s">
        <v>925</v>
      </c>
      <c r="BP44" s="43" t="str">
        <f>IF(OR(IFERROR(INDEX(Consulta!$A:$DN,MATCH('ZM01'!$C44,Consulta!$D:$D,0),'ZM01'!BP$2),"")=0,IFERROR(INDEX(Consulta!$A:$DN,MATCH('ZM01'!$C44,Consulta!$D:$D,0),'ZM01'!BP$2),"")=AR44),"",IFERROR(INDEX(Consulta!$A:$DN,MATCH('ZM01'!$C44,Consulta!$D:$D,0),'ZM01'!BP$2),""))</f>
        <v/>
      </c>
      <c r="BQ44" s="45">
        <v>99</v>
      </c>
      <c r="BR44" s="46" t="str">
        <f t="shared" ca="1" si="46"/>
        <v>24.05.2022</v>
      </c>
      <c r="BS44" s="49" t="str">
        <f t="shared" si="47"/>
        <v/>
      </c>
      <c r="BT44" s="50">
        <v>1</v>
      </c>
      <c r="BU44" s="50" t="s">
        <v>194</v>
      </c>
      <c r="BV44" s="90" t="str">
        <f t="shared" si="14"/>
        <v>01</v>
      </c>
      <c r="BW44" s="50" t="s">
        <v>755</v>
      </c>
      <c r="BX44" s="44">
        <v>1</v>
      </c>
      <c r="BY44" s="44" t="s">
        <v>372</v>
      </c>
      <c r="BZ44" s="50" t="s">
        <v>197</v>
      </c>
      <c r="CA44" s="50" t="s">
        <v>197</v>
      </c>
      <c r="CB44" s="43" t="str">
        <f>IF(IFERROR(INDEX(Consulta!$A:$DN,MATCH('ZM01'!$C44,Consulta!$D:$D,0),'ZM01'!CB$2),"")=0,"",IFERROR(INDEX(Consulta!$A:$DN,MATCH('ZM01'!$C44,Consulta!$D:$D,0),'ZM01'!CB$2),""))</f>
        <v/>
      </c>
      <c r="CC44" s="44" t="s">
        <v>392</v>
      </c>
      <c r="CD44" s="50">
        <v>0</v>
      </c>
      <c r="CE44" s="45" t="s">
        <v>403</v>
      </c>
      <c r="CF44" s="45" t="s">
        <v>84</v>
      </c>
      <c r="CG44" s="43" t="str">
        <f t="shared" si="15"/>
        <v/>
      </c>
      <c r="CH44" s="45" t="s">
        <v>430</v>
      </c>
      <c r="CI44" s="44">
        <v>0</v>
      </c>
      <c r="CJ44" s="43" t="str">
        <f t="shared" si="27"/>
        <v>E</v>
      </c>
      <c r="CK44" s="43" t="str">
        <f t="shared" si="28"/>
        <v/>
      </c>
      <c r="CL44" s="44">
        <v>2</v>
      </c>
      <c r="CM44" s="49" t="str">
        <f t="shared" si="48"/>
        <v/>
      </c>
      <c r="CN44" s="49" t="str">
        <f t="shared" si="49"/>
        <v/>
      </c>
      <c r="CO44" s="43" t="str">
        <f t="shared" si="29"/>
        <v/>
      </c>
      <c r="CP44" s="44">
        <v>1</v>
      </c>
      <c r="CQ44" s="50" t="s">
        <v>515</v>
      </c>
      <c r="CR44" s="44" t="s">
        <v>372</v>
      </c>
      <c r="CS44" s="44">
        <v>2</v>
      </c>
      <c r="CT44" s="44">
        <v>42</v>
      </c>
      <c r="CU44" s="44">
        <v>10</v>
      </c>
      <c r="CV44" s="43" t="str">
        <f t="shared" si="30"/>
        <v>K00_AO_</v>
      </c>
      <c r="CW44" s="43" t="str">
        <f t="shared" si="31"/>
        <v/>
      </c>
      <c r="CX44" s="43" t="str">
        <f t="shared" si="32"/>
        <v/>
      </c>
      <c r="CY44" s="44">
        <v>1</v>
      </c>
      <c r="CZ44" s="43" t="str">
        <f t="shared" si="33"/>
        <v/>
      </c>
      <c r="DA44" s="43" t="str">
        <f>IF(IFERROR(INDEX(Consulta!$A:$DN,MATCH('ZM01'!$C44,Consulta!$D:$D,0),'ZM01'!DA$2),"")=0,"",IFERROR(INDEX(Consulta!$A:$DN,MATCH('ZM01'!$C44,Consulta!$D:$D,0),'ZM01'!DA$2),""))</f>
        <v/>
      </c>
      <c r="DB44" s="43" t="str">
        <f>IF(IFERROR(INDEX(Consulta!$A:$DN,MATCH('ZM01'!$C44,Consulta!$D:$D,0),'ZM01'!DB$2),"")=0,"",IFERROR(INDEX(Consulta!$A:$DN,MATCH('ZM01'!$C44,Consulta!$D:$D,0),'ZM01'!DB$2),""))</f>
        <v/>
      </c>
      <c r="DC44" s="45">
        <v>0</v>
      </c>
      <c r="DD44" s="45">
        <v>0</v>
      </c>
      <c r="DE44" s="43" t="str">
        <f>IF(IFERROR(INDEX(Consulta!$A:$DN,MATCH('ZM01'!$C44,Consulta!$D:$D,0),'ZM01'!DE$2),"")=0,"",IFERROR(TEXT(VALUE(INDEX(Consulta!$A:$DN,MATCH('ZM01'!$C44,Consulta!$D:$D,0),'ZM01'!DE$2))/100,"0,00"),""))</f>
        <v/>
      </c>
      <c r="DG44" s="43">
        <f t="shared" si="50"/>
        <v>1</v>
      </c>
      <c r="DH44" s="43" t="str">
        <f>IF(IFERROR(INDEX(Consulta!$A:$DN,MATCH('ZM01'!$C44,Consulta!$D:$D,0),'ZM01'!DH$2),"")=0,"",IFERROR(VLOOKUP(INDEX(Consulta!$A:$DN,MATCH('ZM01'!$C44,Consulta!$D:$D,0),'ZM01'!DH$2),'Listas de Dados'!BU:BW,3,0),""))</f>
        <v/>
      </c>
      <c r="DI44" s="43" t="str">
        <f t="shared" ca="1" si="51"/>
        <v>24.05.2022</v>
      </c>
      <c r="DJ44" s="43" t="str">
        <f t="shared" si="52"/>
        <v>31.12.9999</v>
      </c>
      <c r="DL44" s="44">
        <v>1</v>
      </c>
      <c r="DM44" s="44" t="s">
        <v>1039</v>
      </c>
      <c r="DN44" s="44">
        <v>1</v>
      </c>
      <c r="DO44" s="43">
        <f t="shared" si="34"/>
        <v>1</v>
      </c>
      <c r="DP44" s="43" t="str">
        <f t="shared" si="35"/>
        <v>PC</v>
      </c>
      <c r="DQ44" s="43" t="str">
        <f t="shared" si="36"/>
        <v/>
      </c>
      <c r="DR44" s="44">
        <v>100</v>
      </c>
      <c r="DS44" s="71">
        <f t="shared" si="21"/>
        <v>1</v>
      </c>
      <c r="DT44" s="43">
        <f t="shared" si="53"/>
        <v>100</v>
      </c>
      <c r="DU44" s="44">
        <v>1</v>
      </c>
      <c r="DV44" s="44">
        <v>0</v>
      </c>
      <c r="DW44" s="44" t="s">
        <v>826</v>
      </c>
      <c r="DX44" s="45">
        <v>0</v>
      </c>
      <c r="DY44" s="44">
        <v>100</v>
      </c>
      <c r="DZ44" s="61"/>
    </row>
    <row r="45" spans="1:130" x14ac:dyDescent="0.2">
      <c r="A45" s="7" t="str">
        <f t="shared" si="2"/>
        <v>Execução 41</v>
      </c>
      <c r="B45" s="79"/>
      <c r="C45" s="85"/>
      <c r="D45" s="71" t="str">
        <f t="shared" si="37"/>
        <v/>
      </c>
      <c r="E45" s="71" t="str">
        <f t="shared" si="38"/>
        <v/>
      </c>
      <c r="F45" s="43" t="str">
        <f>IF(IFERROR(INDEX(Consulta!$A:$DN,MATCH('ZM01'!$C45,Consulta!$D:$D,0),'ZM01'!F$2),"")=0,"",IFERROR(INDEX(Consulta!$A:$DN,MATCH('ZM01'!$C45,Consulta!$D:$D,0),'ZM01'!F$2),""))</f>
        <v/>
      </c>
      <c r="G45" s="43" t="str">
        <f>IF(IFERROR(INDEX(Consulta!$A:$DN,MATCH('ZM01'!$C45,Consulta!$D:$D,0),'ZM01'!G$2),"")=0,"",IFERROR(INDEX(Consulta!$A:$DN,MATCH('ZM01'!$C45,Consulta!$D:$D,0),'ZM01'!G$2),""))</f>
        <v/>
      </c>
      <c r="H45" s="43" t="str">
        <f t="shared" si="23"/>
        <v/>
      </c>
      <c r="I45" s="44" t="s">
        <v>100</v>
      </c>
      <c r="J45" s="43" t="str">
        <f>IF(IFERROR(INDEX(Consulta!$A:$DN,MATCH('ZM01'!$C45,Consulta!$D:$D,0),'ZM01'!J$2),"")=0,"",IFERROR(INDEX(Consulta!$A:$DN,MATCH('ZM01'!$C45,Consulta!$D:$D,0),'ZM01'!J$2),""))</f>
        <v/>
      </c>
      <c r="K45" s="43" t="str">
        <f>IF(IFERROR(INDEX(Consulta!$A:$DN,MATCH('ZM01'!$C45,Consulta!$D:$D,0),'ZM01'!K$2),"")=0,"",IFERROR(INDEX(Consulta!$A:$DN,MATCH('ZM01'!$C45,Consulta!$D:$D,0),'ZM01'!K$2),""))</f>
        <v/>
      </c>
      <c r="L45" s="43" t="str">
        <f t="shared" si="39"/>
        <v/>
      </c>
      <c r="M45" s="43" t="str">
        <f>IF(IFERROR(INDEX(Consulta!$A:$DN,MATCH('ZM01'!$C45,Consulta!$D:$D,0),'ZM01'!M$2),"")=0,"",IFERROR(INDEX(Consulta!$A:$DN,MATCH('ZM01'!$C45,Consulta!$D:$D,0),'ZM01'!M$2),""))</f>
        <v/>
      </c>
      <c r="N45" s="43" t="str">
        <f t="shared" si="40"/>
        <v/>
      </c>
      <c r="P45" s="45" t="s">
        <v>101</v>
      </c>
      <c r="Q45" s="45" t="s">
        <v>102</v>
      </c>
      <c r="R45" s="45" t="s">
        <v>103</v>
      </c>
      <c r="S45" s="45" t="s">
        <v>104</v>
      </c>
      <c r="T45" s="45" t="s">
        <v>105</v>
      </c>
      <c r="U45" s="45" t="s">
        <v>106</v>
      </c>
      <c r="V45" s="45" t="s">
        <v>107</v>
      </c>
      <c r="W45" s="45" t="s">
        <v>109</v>
      </c>
      <c r="X45" s="45" t="s">
        <v>110</v>
      </c>
      <c r="Y45" s="45"/>
      <c r="Z45" s="45"/>
      <c r="AA45" s="45" t="s">
        <v>112</v>
      </c>
      <c r="AB45" s="45" t="s">
        <v>113</v>
      </c>
      <c r="AC45" s="45" t="s">
        <v>114</v>
      </c>
      <c r="AD45" s="45" t="s">
        <v>115</v>
      </c>
      <c r="AE45" s="45" t="s">
        <v>117</v>
      </c>
      <c r="AF45" s="45" t="s">
        <v>118</v>
      </c>
      <c r="AG45" s="45" t="s">
        <v>119</v>
      </c>
      <c r="AH45" s="45" t="s">
        <v>120</v>
      </c>
      <c r="AI45" s="45" t="s">
        <v>121</v>
      </c>
      <c r="AJ45" s="45" t="s">
        <v>122</v>
      </c>
      <c r="AK45" s="45" t="s">
        <v>123</v>
      </c>
      <c r="AL45" s="45" t="s">
        <v>124</v>
      </c>
      <c r="AM45" s="45" t="s">
        <v>125</v>
      </c>
      <c r="AN45" s="45" t="s">
        <v>126</v>
      </c>
      <c r="AO45" s="45"/>
      <c r="AP45" s="45"/>
      <c r="AR45" s="44" t="s">
        <v>822</v>
      </c>
      <c r="AS45" s="43" t="str">
        <f>IF(IFERROR(INDEX(Consulta!$A:$DN,MATCH('ZM01'!$C45,Consulta!$D:$D,0),'ZM01'!AS$2),"")=0,"",IFERROR(INDEX(Consulta!$A:$DN,MATCH('ZM01'!$C45,Consulta!$D:$D,0),'ZM01'!AS$2),""))</f>
        <v/>
      </c>
      <c r="AT45" s="45"/>
      <c r="AU45" s="43" t="str">
        <f>IF(IFERROR(INDEX(Consulta!$A:$DN,MATCH('ZM01'!$C45,Consulta!$D:$D,0),'ZM01'!AU$2),"")=0,"",IFERROR(INDEX(Consulta!$A:$DN,MATCH('ZM01'!$C45,Consulta!$D:$D,0),'ZM01'!AU$2),""))</f>
        <v/>
      </c>
      <c r="AV45" s="43" t="str">
        <f>IF(IFERROR(INDEX(Consulta!$A:$DN,MATCH('ZM01'!$C45,Consulta!$D:$D,0),'ZM01'!AV$2),"")=0,"",IFERROR(INDEX(Consulta!$A:$DN,MATCH('ZM01'!$C45,Consulta!$D:$D,0),'ZM01'!AV$2),""))</f>
        <v/>
      </c>
      <c r="AW45" s="45"/>
      <c r="AX45" s="46" t="str">
        <f t="shared" ca="1" si="41"/>
        <v/>
      </c>
      <c r="AY45" s="47" t="s">
        <v>755</v>
      </c>
      <c r="AZ45" s="43" t="str">
        <f>IF(IFERROR(ROUND(INDEX(Consulta!$A:$DN,MATCH('ZM01'!$C45,Consulta!$D:$D,0),'ZM01'!AZ$2),3),"")=0,"",IFERROR(ROUND(INDEX(Consulta!$A:$DN,MATCH('ZM01'!$C45,Consulta!$D:$D,0),'ZM01'!AZ$2),3),""))</f>
        <v/>
      </c>
      <c r="BA45" s="43" t="str">
        <f t="shared" si="42"/>
        <v/>
      </c>
      <c r="BB45" s="48" t="s">
        <v>299</v>
      </c>
      <c r="BC45" s="48"/>
      <c r="BD45" s="43" t="str">
        <f>IF(IFERROR(INDEX(Consulta!$A:$DN,MATCH('ZM01'!$C45,Consulta!$D:$D,0),'ZM01'!BD$2),"")=0,"",IFERROR(INDEX(Consulta!$A:$DN,MATCH('ZM01'!$C45,Consulta!$D:$D,0),'ZM01'!BD$2),""))</f>
        <v/>
      </c>
      <c r="BE45" s="43" t="str">
        <f t="shared" si="0"/>
        <v/>
      </c>
      <c r="BF45" s="43" t="str">
        <f t="shared" si="43"/>
        <v/>
      </c>
      <c r="BG45" s="43" t="str">
        <f t="shared" si="1"/>
        <v/>
      </c>
      <c r="BH45" s="43" t="str">
        <f t="shared" si="44"/>
        <v>PC</v>
      </c>
      <c r="BI45" s="43" t="str">
        <f t="shared" si="24"/>
        <v/>
      </c>
      <c r="BJ45" s="43" t="str">
        <f t="shared" si="25"/>
        <v/>
      </c>
      <c r="BK45" s="43" t="str">
        <f t="shared" si="26"/>
        <v/>
      </c>
      <c r="BL45" s="43" t="str">
        <f t="shared" si="45"/>
        <v>PC</v>
      </c>
      <c r="BN45" s="44"/>
      <c r="BO45" s="44" t="s">
        <v>925</v>
      </c>
      <c r="BP45" s="43" t="str">
        <f>IF(OR(IFERROR(INDEX(Consulta!$A:$DN,MATCH('ZM01'!$C45,Consulta!$D:$D,0),'ZM01'!BP$2),"")=0,IFERROR(INDEX(Consulta!$A:$DN,MATCH('ZM01'!$C45,Consulta!$D:$D,0),'ZM01'!BP$2),"")=AR45),"",IFERROR(INDEX(Consulta!$A:$DN,MATCH('ZM01'!$C45,Consulta!$D:$D,0),'ZM01'!BP$2),""))</f>
        <v/>
      </c>
      <c r="BQ45" s="45">
        <v>99</v>
      </c>
      <c r="BR45" s="46" t="str">
        <f t="shared" ca="1" si="46"/>
        <v>24.05.2022</v>
      </c>
      <c r="BS45" s="49" t="str">
        <f t="shared" si="47"/>
        <v/>
      </c>
      <c r="BT45" s="50">
        <v>1</v>
      </c>
      <c r="BU45" s="50" t="s">
        <v>194</v>
      </c>
      <c r="BV45" s="90" t="str">
        <f t="shared" si="14"/>
        <v>01</v>
      </c>
      <c r="BW45" s="50" t="s">
        <v>755</v>
      </c>
      <c r="BX45" s="44">
        <v>1</v>
      </c>
      <c r="BY45" s="44" t="s">
        <v>372</v>
      </c>
      <c r="BZ45" s="50" t="s">
        <v>197</v>
      </c>
      <c r="CA45" s="50" t="s">
        <v>197</v>
      </c>
      <c r="CB45" s="43" t="str">
        <f>IF(IFERROR(INDEX(Consulta!$A:$DN,MATCH('ZM01'!$C45,Consulta!$D:$D,0),'ZM01'!CB$2),"")=0,"",IFERROR(INDEX(Consulta!$A:$DN,MATCH('ZM01'!$C45,Consulta!$D:$D,0),'ZM01'!CB$2),""))</f>
        <v/>
      </c>
      <c r="CC45" s="44" t="s">
        <v>392</v>
      </c>
      <c r="CD45" s="50">
        <v>0</v>
      </c>
      <c r="CE45" s="45" t="s">
        <v>403</v>
      </c>
      <c r="CF45" s="45" t="s">
        <v>84</v>
      </c>
      <c r="CG45" s="43" t="str">
        <f t="shared" si="15"/>
        <v/>
      </c>
      <c r="CH45" s="45" t="s">
        <v>430</v>
      </c>
      <c r="CI45" s="44">
        <v>0</v>
      </c>
      <c r="CJ45" s="43" t="str">
        <f t="shared" si="27"/>
        <v>E</v>
      </c>
      <c r="CK45" s="43" t="str">
        <f t="shared" si="28"/>
        <v/>
      </c>
      <c r="CL45" s="44">
        <v>2</v>
      </c>
      <c r="CM45" s="49" t="str">
        <f t="shared" si="48"/>
        <v/>
      </c>
      <c r="CN45" s="49" t="str">
        <f t="shared" si="49"/>
        <v/>
      </c>
      <c r="CO45" s="43" t="str">
        <f t="shared" si="29"/>
        <v/>
      </c>
      <c r="CP45" s="44">
        <v>1</v>
      </c>
      <c r="CQ45" s="50" t="s">
        <v>515</v>
      </c>
      <c r="CR45" s="44" t="s">
        <v>372</v>
      </c>
      <c r="CS45" s="44">
        <v>2</v>
      </c>
      <c r="CT45" s="44">
        <v>42</v>
      </c>
      <c r="CU45" s="44">
        <v>10</v>
      </c>
      <c r="CV45" s="43" t="str">
        <f t="shared" si="30"/>
        <v>K00_AO_</v>
      </c>
      <c r="CW45" s="43" t="str">
        <f t="shared" si="31"/>
        <v/>
      </c>
      <c r="CX45" s="43" t="str">
        <f t="shared" si="32"/>
        <v/>
      </c>
      <c r="CY45" s="44">
        <v>1</v>
      </c>
      <c r="CZ45" s="43" t="str">
        <f t="shared" si="33"/>
        <v/>
      </c>
      <c r="DA45" s="43" t="str">
        <f>IF(IFERROR(INDEX(Consulta!$A:$DN,MATCH('ZM01'!$C45,Consulta!$D:$D,0),'ZM01'!DA$2),"")=0,"",IFERROR(INDEX(Consulta!$A:$DN,MATCH('ZM01'!$C45,Consulta!$D:$D,0),'ZM01'!DA$2),""))</f>
        <v/>
      </c>
      <c r="DB45" s="43" t="str">
        <f>IF(IFERROR(INDEX(Consulta!$A:$DN,MATCH('ZM01'!$C45,Consulta!$D:$D,0),'ZM01'!DB$2),"")=0,"",IFERROR(INDEX(Consulta!$A:$DN,MATCH('ZM01'!$C45,Consulta!$D:$D,0),'ZM01'!DB$2),""))</f>
        <v/>
      </c>
      <c r="DC45" s="45">
        <v>0</v>
      </c>
      <c r="DD45" s="45">
        <v>0</v>
      </c>
      <c r="DE45" s="43" t="str">
        <f>IF(IFERROR(INDEX(Consulta!$A:$DN,MATCH('ZM01'!$C45,Consulta!$D:$D,0),'ZM01'!DE$2),"")=0,"",IFERROR(TEXT(VALUE(INDEX(Consulta!$A:$DN,MATCH('ZM01'!$C45,Consulta!$D:$D,0),'ZM01'!DE$2))/100,"0,00"),""))</f>
        <v/>
      </c>
      <c r="DG45" s="43">
        <f t="shared" si="50"/>
        <v>1</v>
      </c>
      <c r="DH45" s="43" t="str">
        <f>IF(IFERROR(INDEX(Consulta!$A:$DN,MATCH('ZM01'!$C45,Consulta!$D:$D,0),'ZM01'!DH$2),"")=0,"",IFERROR(VLOOKUP(INDEX(Consulta!$A:$DN,MATCH('ZM01'!$C45,Consulta!$D:$D,0),'ZM01'!DH$2),'Listas de Dados'!BU:BW,3,0),""))</f>
        <v/>
      </c>
      <c r="DI45" s="43" t="str">
        <f t="shared" ca="1" si="51"/>
        <v>24.05.2022</v>
      </c>
      <c r="DJ45" s="43" t="str">
        <f t="shared" si="52"/>
        <v>31.12.9999</v>
      </c>
      <c r="DL45" s="44">
        <v>1</v>
      </c>
      <c r="DM45" s="44" t="s">
        <v>1039</v>
      </c>
      <c r="DN45" s="44">
        <v>1</v>
      </c>
      <c r="DO45" s="43">
        <f t="shared" si="34"/>
        <v>1</v>
      </c>
      <c r="DP45" s="43" t="str">
        <f t="shared" si="35"/>
        <v>PC</v>
      </c>
      <c r="DQ45" s="43" t="str">
        <f t="shared" si="36"/>
        <v/>
      </c>
      <c r="DR45" s="44">
        <v>100</v>
      </c>
      <c r="DS45" s="71">
        <f t="shared" si="21"/>
        <v>1</v>
      </c>
      <c r="DT45" s="43">
        <f t="shared" si="53"/>
        <v>100</v>
      </c>
      <c r="DU45" s="44">
        <v>1</v>
      </c>
      <c r="DV45" s="44">
        <v>0</v>
      </c>
      <c r="DW45" s="44" t="s">
        <v>826</v>
      </c>
      <c r="DX45" s="45">
        <v>0</v>
      </c>
      <c r="DY45" s="44">
        <v>100</v>
      </c>
      <c r="DZ45" s="60"/>
    </row>
    <row r="46" spans="1:130" x14ac:dyDescent="0.2">
      <c r="A46" s="7" t="str">
        <f t="shared" si="2"/>
        <v>Execução 42</v>
      </c>
      <c r="B46" s="75"/>
      <c r="C46" s="85"/>
      <c r="D46" s="71" t="str">
        <f t="shared" si="37"/>
        <v/>
      </c>
      <c r="E46" s="71" t="str">
        <f t="shared" si="38"/>
        <v/>
      </c>
      <c r="F46" s="43" t="str">
        <f>IF(IFERROR(INDEX(Consulta!$A:$DN,MATCH('ZM01'!$C46,Consulta!$D:$D,0),'ZM01'!F$2),"")=0,"",IFERROR(INDEX(Consulta!$A:$DN,MATCH('ZM01'!$C46,Consulta!$D:$D,0),'ZM01'!F$2),""))</f>
        <v/>
      </c>
      <c r="G46" s="43" t="str">
        <f>IF(IFERROR(INDEX(Consulta!$A:$DN,MATCH('ZM01'!$C46,Consulta!$D:$D,0),'ZM01'!G$2),"")=0,"",IFERROR(INDEX(Consulta!$A:$DN,MATCH('ZM01'!$C46,Consulta!$D:$D,0),'ZM01'!G$2),""))</f>
        <v/>
      </c>
      <c r="H46" s="43" t="str">
        <f t="shared" si="23"/>
        <v/>
      </c>
      <c r="I46" s="44" t="s">
        <v>100</v>
      </c>
      <c r="J46" s="43" t="str">
        <f>IF(IFERROR(INDEX(Consulta!$A:$DN,MATCH('ZM01'!$C46,Consulta!$D:$D,0),'ZM01'!J$2),"")=0,"",IFERROR(INDEX(Consulta!$A:$DN,MATCH('ZM01'!$C46,Consulta!$D:$D,0),'ZM01'!J$2),""))</f>
        <v/>
      </c>
      <c r="K46" s="43" t="str">
        <f>IF(IFERROR(INDEX(Consulta!$A:$DN,MATCH('ZM01'!$C46,Consulta!$D:$D,0),'ZM01'!K$2),"")=0,"",IFERROR(INDEX(Consulta!$A:$DN,MATCH('ZM01'!$C46,Consulta!$D:$D,0),'ZM01'!K$2),""))</f>
        <v/>
      </c>
      <c r="L46" s="43" t="str">
        <f t="shared" si="39"/>
        <v/>
      </c>
      <c r="M46" s="43" t="str">
        <f>IF(IFERROR(INDEX(Consulta!$A:$DN,MATCH('ZM01'!$C46,Consulta!$D:$D,0),'ZM01'!M$2),"")=0,"",IFERROR(INDEX(Consulta!$A:$DN,MATCH('ZM01'!$C46,Consulta!$D:$D,0),'ZM01'!M$2),""))</f>
        <v/>
      </c>
      <c r="N46" s="43" t="str">
        <f t="shared" si="40"/>
        <v/>
      </c>
      <c r="P46" s="45" t="s">
        <v>101</v>
      </c>
      <c r="Q46" s="45" t="s">
        <v>102</v>
      </c>
      <c r="R46" s="45" t="s">
        <v>103</v>
      </c>
      <c r="S46" s="45" t="s">
        <v>104</v>
      </c>
      <c r="T46" s="45" t="s">
        <v>105</v>
      </c>
      <c r="U46" s="45" t="s">
        <v>106</v>
      </c>
      <c r="V46" s="45" t="s">
        <v>107</v>
      </c>
      <c r="W46" s="45" t="s">
        <v>109</v>
      </c>
      <c r="X46" s="45" t="s">
        <v>110</v>
      </c>
      <c r="Y46" s="45"/>
      <c r="Z46" s="45"/>
      <c r="AA46" s="45" t="s">
        <v>112</v>
      </c>
      <c r="AB46" s="45" t="s">
        <v>113</v>
      </c>
      <c r="AC46" s="45" t="s">
        <v>114</v>
      </c>
      <c r="AD46" s="45" t="s">
        <v>115</v>
      </c>
      <c r="AE46" s="45" t="s">
        <v>117</v>
      </c>
      <c r="AF46" s="45" t="s">
        <v>118</v>
      </c>
      <c r="AG46" s="45" t="s">
        <v>119</v>
      </c>
      <c r="AH46" s="45" t="s">
        <v>120</v>
      </c>
      <c r="AI46" s="45" t="s">
        <v>121</v>
      </c>
      <c r="AJ46" s="45" t="s">
        <v>122</v>
      </c>
      <c r="AK46" s="45" t="s">
        <v>123</v>
      </c>
      <c r="AL46" s="45" t="s">
        <v>124</v>
      </c>
      <c r="AM46" s="45" t="s">
        <v>125</v>
      </c>
      <c r="AN46" s="45" t="s">
        <v>126</v>
      </c>
      <c r="AO46" s="45"/>
      <c r="AP46" s="45"/>
      <c r="AR46" s="44" t="s">
        <v>822</v>
      </c>
      <c r="AS46" s="43" t="str">
        <f>IF(IFERROR(INDEX(Consulta!$A:$DN,MATCH('ZM01'!$C46,Consulta!$D:$D,0),'ZM01'!AS$2),"")=0,"",IFERROR(INDEX(Consulta!$A:$DN,MATCH('ZM01'!$C46,Consulta!$D:$D,0),'ZM01'!AS$2),""))</f>
        <v/>
      </c>
      <c r="AT46" s="45"/>
      <c r="AU46" s="43" t="str">
        <f>IF(IFERROR(INDEX(Consulta!$A:$DN,MATCH('ZM01'!$C46,Consulta!$D:$D,0),'ZM01'!AU$2),"")=0,"",IFERROR(INDEX(Consulta!$A:$DN,MATCH('ZM01'!$C46,Consulta!$D:$D,0),'ZM01'!AU$2),""))</f>
        <v/>
      </c>
      <c r="AV46" s="43" t="str">
        <f>IF(IFERROR(INDEX(Consulta!$A:$DN,MATCH('ZM01'!$C46,Consulta!$D:$D,0),'ZM01'!AV$2),"")=0,"",IFERROR(INDEX(Consulta!$A:$DN,MATCH('ZM01'!$C46,Consulta!$D:$D,0),'ZM01'!AV$2),""))</f>
        <v/>
      </c>
      <c r="AW46" s="45"/>
      <c r="AX46" s="46" t="str">
        <f t="shared" ca="1" si="41"/>
        <v/>
      </c>
      <c r="AY46" s="47" t="s">
        <v>755</v>
      </c>
      <c r="AZ46" s="43" t="str">
        <f>IF(IFERROR(ROUND(INDEX(Consulta!$A:$DN,MATCH('ZM01'!$C46,Consulta!$D:$D,0),'ZM01'!AZ$2),3),"")=0,"",IFERROR(ROUND(INDEX(Consulta!$A:$DN,MATCH('ZM01'!$C46,Consulta!$D:$D,0),'ZM01'!AZ$2),3),""))</f>
        <v/>
      </c>
      <c r="BA46" s="43" t="str">
        <f t="shared" si="42"/>
        <v/>
      </c>
      <c r="BB46" s="48" t="s">
        <v>299</v>
      </c>
      <c r="BC46" s="48"/>
      <c r="BD46" s="43" t="str">
        <f>IF(IFERROR(INDEX(Consulta!$A:$DN,MATCH('ZM01'!$C46,Consulta!$D:$D,0),'ZM01'!BD$2),"")=0,"",IFERROR(INDEX(Consulta!$A:$DN,MATCH('ZM01'!$C46,Consulta!$D:$D,0),'ZM01'!BD$2),""))</f>
        <v/>
      </c>
      <c r="BE46" s="43" t="str">
        <f t="shared" si="0"/>
        <v/>
      </c>
      <c r="BF46" s="43" t="str">
        <f t="shared" si="43"/>
        <v/>
      </c>
      <c r="BG46" s="43" t="str">
        <f t="shared" si="1"/>
        <v/>
      </c>
      <c r="BH46" s="43" t="str">
        <f t="shared" si="44"/>
        <v>PC</v>
      </c>
      <c r="BI46" s="43" t="str">
        <f t="shared" si="24"/>
        <v/>
      </c>
      <c r="BJ46" s="43" t="str">
        <f t="shared" si="25"/>
        <v/>
      </c>
      <c r="BK46" s="43" t="str">
        <f t="shared" si="26"/>
        <v/>
      </c>
      <c r="BL46" s="43" t="str">
        <f t="shared" si="45"/>
        <v>PC</v>
      </c>
      <c r="BN46" s="44"/>
      <c r="BO46" s="44" t="s">
        <v>925</v>
      </c>
      <c r="BP46" s="43" t="str">
        <f>IF(OR(IFERROR(INDEX(Consulta!$A:$DN,MATCH('ZM01'!$C46,Consulta!$D:$D,0),'ZM01'!BP$2),"")=0,IFERROR(INDEX(Consulta!$A:$DN,MATCH('ZM01'!$C46,Consulta!$D:$D,0),'ZM01'!BP$2),"")=AR46),"",IFERROR(INDEX(Consulta!$A:$DN,MATCH('ZM01'!$C46,Consulta!$D:$D,0),'ZM01'!BP$2),""))</f>
        <v/>
      </c>
      <c r="BQ46" s="45">
        <v>99</v>
      </c>
      <c r="BR46" s="46" t="str">
        <f t="shared" ca="1" si="46"/>
        <v>24.05.2022</v>
      </c>
      <c r="BS46" s="49" t="str">
        <f t="shared" si="47"/>
        <v/>
      </c>
      <c r="BT46" s="50">
        <v>1</v>
      </c>
      <c r="BU46" s="50" t="s">
        <v>194</v>
      </c>
      <c r="BV46" s="90" t="str">
        <f t="shared" si="14"/>
        <v>01</v>
      </c>
      <c r="BW46" s="50" t="s">
        <v>755</v>
      </c>
      <c r="BX46" s="44">
        <v>1</v>
      </c>
      <c r="BY46" s="44" t="s">
        <v>372</v>
      </c>
      <c r="BZ46" s="50" t="s">
        <v>197</v>
      </c>
      <c r="CA46" s="50" t="s">
        <v>197</v>
      </c>
      <c r="CB46" s="43" t="str">
        <f>IF(IFERROR(INDEX(Consulta!$A:$DN,MATCH('ZM01'!$C46,Consulta!$D:$D,0),'ZM01'!CB$2),"")=0,"",IFERROR(INDEX(Consulta!$A:$DN,MATCH('ZM01'!$C46,Consulta!$D:$D,0),'ZM01'!CB$2),""))</f>
        <v/>
      </c>
      <c r="CC46" s="44" t="s">
        <v>392</v>
      </c>
      <c r="CD46" s="50">
        <v>0</v>
      </c>
      <c r="CE46" s="45" t="s">
        <v>403</v>
      </c>
      <c r="CF46" s="45" t="s">
        <v>84</v>
      </c>
      <c r="CG46" s="43" t="str">
        <f t="shared" si="15"/>
        <v/>
      </c>
      <c r="CH46" s="45" t="s">
        <v>430</v>
      </c>
      <c r="CI46" s="44">
        <v>0</v>
      </c>
      <c r="CJ46" s="43" t="str">
        <f t="shared" si="27"/>
        <v>E</v>
      </c>
      <c r="CK46" s="43" t="str">
        <f t="shared" si="28"/>
        <v/>
      </c>
      <c r="CL46" s="44">
        <v>2</v>
      </c>
      <c r="CM46" s="49" t="str">
        <f t="shared" si="48"/>
        <v/>
      </c>
      <c r="CN46" s="49" t="str">
        <f t="shared" si="49"/>
        <v/>
      </c>
      <c r="CO46" s="43" t="str">
        <f t="shared" si="29"/>
        <v/>
      </c>
      <c r="CP46" s="44">
        <v>1</v>
      </c>
      <c r="CQ46" s="50" t="s">
        <v>515</v>
      </c>
      <c r="CR46" s="44" t="s">
        <v>372</v>
      </c>
      <c r="CS46" s="44">
        <v>2</v>
      </c>
      <c r="CT46" s="44">
        <v>42</v>
      </c>
      <c r="CU46" s="44">
        <v>10</v>
      </c>
      <c r="CV46" s="43" t="str">
        <f t="shared" si="30"/>
        <v>K00_AO_</v>
      </c>
      <c r="CW46" s="43" t="str">
        <f t="shared" si="31"/>
        <v/>
      </c>
      <c r="CX46" s="43" t="str">
        <f t="shared" si="32"/>
        <v/>
      </c>
      <c r="CY46" s="44">
        <v>1</v>
      </c>
      <c r="CZ46" s="43" t="str">
        <f t="shared" si="33"/>
        <v/>
      </c>
      <c r="DA46" s="43" t="str">
        <f>IF(IFERROR(INDEX(Consulta!$A:$DN,MATCH('ZM01'!$C46,Consulta!$D:$D,0),'ZM01'!DA$2),"")=0,"",IFERROR(INDEX(Consulta!$A:$DN,MATCH('ZM01'!$C46,Consulta!$D:$D,0),'ZM01'!DA$2),""))</f>
        <v/>
      </c>
      <c r="DB46" s="43" t="str">
        <f>IF(IFERROR(INDEX(Consulta!$A:$DN,MATCH('ZM01'!$C46,Consulta!$D:$D,0),'ZM01'!DB$2),"")=0,"",IFERROR(INDEX(Consulta!$A:$DN,MATCH('ZM01'!$C46,Consulta!$D:$D,0),'ZM01'!DB$2),""))</f>
        <v/>
      </c>
      <c r="DC46" s="45">
        <v>0</v>
      </c>
      <c r="DD46" s="45">
        <v>0</v>
      </c>
      <c r="DE46" s="43" t="str">
        <f>IF(IFERROR(INDEX(Consulta!$A:$DN,MATCH('ZM01'!$C46,Consulta!$D:$D,0),'ZM01'!DE$2),"")=0,"",IFERROR(TEXT(VALUE(INDEX(Consulta!$A:$DN,MATCH('ZM01'!$C46,Consulta!$D:$D,0),'ZM01'!DE$2))/100,"0,00"),""))</f>
        <v/>
      </c>
      <c r="DG46" s="43">
        <f t="shared" si="50"/>
        <v>1</v>
      </c>
      <c r="DH46" s="43" t="str">
        <f>IF(IFERROR(INDEX(Consulta!$A:$DN,MATCH('ZM01'!$C46,Consulta!$D:$D,0),'ZM01'!DH$2),"")=0,"",IFERROR(VLOOKUP(INDEX(Consulta!$A:$DN,MATCH('ZM01'!$C46,Consulta!$D:$D,0),'ZM01'!DH$2),'Listas de Dados'!BU:BW,3,0),""))</f>
        <v/>
      </c>
      <c r="DI46" s="43" t="str">
        <f t="shared" ca="1" si="51"/>
        <v>24.05.2022</v>
      </c>
      <c r="DJ46" s="43" t="str">
        <f t="shared" si="52"/>
        <v>31.12.9999</v>
      </c>
      <c r="DL46" s="44">
        <v>1</v>
      </c>
      <c r="DM46" s="44" t="s">
        <v>1039</v>
      </c>
      <c r="DN46" s="44">
        <v>1</v>
      </c>
      <c r="DO46" s="43">
        <f t="shared" si="34"/>
        <v>1</v>
      </c>
      <c r="DP46" s="43" t="str">
        <f t="shared" si="35"/>
        <v>PC</v>
      </c>
      <c r="DQ46" s="43" t="str">
        <f t="shared" si="36"/>
        <v/>
      </c>
      <c r="DR46" s="44">
        <v>100</v>
      </c>
      <c r="DS46" s="71">
        <f t="shared" si="21"/>
        <v>1</v>
      </c>
      <c r="DT46" s="43">
        <f t="shared" si="53"/>
        <v>100</v>
      </c>
      <c r="DU46" s="44">
        <v>1</v>
      </c>
      <c r="DV46" s="44">
        <v>0</v>
      </c>
      <c r="DW46" s="44" t="s">
        <v>826</v>
      </c>
      <c r="DX46" s="45">
        <v>0</v>
      </c>
      <c r="DY46" s="44">
        <v>100</v>
      </c>
      <c r="DZ46" s="61"/>
    </row>
    <row r="47" spans="1:130" x14ac:dyDescent="0.2">
      <c r="A47" s="7" t="str">
        <f t="shared" si="2"/>
        <v>Execução 43</v>
      </c>
      <c r="B47" s="79"/>
      <c r="C47" s="85"/>
      <c r="D47" s="71" t="str">
        <f t="shared" si="37"/>
        <v/>
      </c>
      <c r="E47" s="71" t="str">
        <f t="shared" si="38"/>
        <v/>
      </c>
      <c r="F47" s="43" t="str">
        <f>IF(IFERROR(INDEX(Consulta!$A:$DN,MATCH('ZM01'!$C47,Consulta!$D:$D,0),'ZM01'!F$2),"")=0,"",IFERROR(INDEX(Consulta!$A:$DN,MATCH('ZM01'!$C47,Consulta!$D:$D,0),'ZM01'!F$2),""))</f>
        <v/>
      </c>
      <c r="G47" s="43" t="str">
        <f>IF(IFERROR(INDEX(Consulta!$A:$DN,MATCH('ZM01'!$C47,Consulta!$D:$D,0),'ZM01'!G$2),"")=0,"",IFERROR(INDEX(Consulta!$A:$DN,MATCH('ZM01'!$C47,Consulta!$D:$D,0),'ZM01'!G$2),""))</f>
        <v/>
      </c>
      <c r="H47" s="43" t="str">
        <f t="shared" si="23"/>
        <v/>
      </c>
      <c r="I47" s="44" t="s">
        <v>100</v>
      </c>
      <c r="J47" s="43" t="str">
        <f>IF(IFERROR(INDEX(Consulta!$A:$DN,MATCH('ZM01'!$C47,Consulta!$D:$D,0),'ZM01'!J$2),"")=0,"",IFERROR(INDEX(Consulta!$A:$DN,MATCH('ZM01'!$C47,Consulta!$D:$D,0),'ZM01'!J$2),""))</f>
        <v/>
      </c>
      <c r="K47" s="43" t="str">
        <f>IF(IFERROR(INDEX(Consulta!$A:$DN,MATCH('ZM01'!$C47,Consulta!$D:$D,0),'ZM01'!K$2),"")=0,"",IFERROR(INDEX(Consulta!$A:$DN,MATCH('ZM01'!$C47,Consulta!$D:$D,0),'ZM01'!K$2),""))</f>
        <v/>
      </c>
      <c r="L47" s="43" t="str">
        <f t="shared" si="39"/>
        <v/>
      </c>
      <c r="M47" s="43" t="str">
        <f>IF(IFERROR(INDEX(Consulta!$A:$DN,MATCH('ZM01'!$C47,Consulta!$D:$D,0),'ZM01'!M$2),"")=0,"",IFERROR(INDEX(Consulta!$A:$DN,MATCH('ZM01'!$C47,Consulta!$D:$D,0),'ZM01'!M$2),""))</f>
        <v/>
      </c>
      <c r="N47" s="43" t="str">
        <f t="shared" si="40"/>
        <v/>
      </c>
      <c r="P47" s="45" t="s">
        <v>101</v>
      </c>
      <c r="Q47" s="45" t="s">
        <v>102</v>
      </c>
      <c r="R47" s="45" t="s">
        <v>103</v>
      </c>
      <c r="S47" s="45" t="s">
        <v>104</v>
      </c>
      <c r="T47" s="45" t="s">
        <v>105</v>
      </c>
      <c r="U47" s="45" t="s">
        <v>106</v>
      </c>
      <c r="V47" s="45" t="s">
        <v>107</v>
      </c>
      <c r="W47" s="45" t="s">
        <v>109</v>
      </c>
      <c r="X47" s="45" t="s">
        <v>110</v>
      </c>
      <c r="Y47" s="45"/>
      <c r="Z47" s="45"/>
      <c r="AA47" s="45" t="s">
        <v>112</v>
      </c>
      <c r="AB47" s="45" t="s">
        <v>113</v>
      </c>
      <c r="AC47" s="45" t="s">
        <v>114</v>
      </c>
      <c r="AD47" s="45" t="s">
        <v>115</v>
      </c>
      <c r="AE47" s="45" t="s">
        <v>117</v>
      </c>
      <c r="AF47" s="45" t="s">
        <v>118</v>
      </c>
      <c r="AG47" s="45" t="s">
        <v>119</v>
      </c>
      <c r="AH47" s="45" t="s">
        <v>120</v>
      </c>
      <c r="AI47" s="45" t="s">
        <v>121</v>
      </c>
      <c r="AJ47" s="45" t="s">
        <v>122</v>
      </c>
      <c r="AK47" s="45" t="s">
        <v>123</v>
      </c>
      <c r="AL47" s="45" t="s">
        <v>124</v>
      </c>
      <c r="AM47" s="45" t="s">
        <v>125</v>
      </c>
      <c r="AN47" s="45" t="s">
        <v>126</v>
      </c>
      <c r="AO47" s="45"/>
      <c r="AP47" s="45"/>
      <c r="AR47" s="44" t="s">
        <v>822</v>
      </c>
      <c r="AS47" s="43" t="str">
        <f>IF(IFERROR(INDEX(Consulta!$A:$DN,MATCH('ZM01'!$C47,Consulta!$D:$D,0),'ZM01'!AS$2),"")=0,"",IFERROR(INDEX(Consulta!$A:$DN,MATCH('ZM01'!$C47,Consulta!$D:$D,0),'ZM01'!AS$2),""))</f>
        <v/>
      </c>
      <c r="AT47" s="45"/>
      <c r="AU47" s="43" t="str">
        <f>IF(IFERROR(INDEX(Consulta!$A:$DN,MATCH('ZM01'!$C47,Consulta!$D:$D,0),'ZM01'!AU$2),"")=0,"",IFERROR(INDEX(Consulta!$A:$DN,MATCH('ZM01'!$C47,Consulta!$D:$D,0),'ZM01'!AU$2),""))</f>
        <v/>
      </c>
      <c r="AV47" s="43" t="str">
        <f>IF(IFERROR(INDEX(Consulta!$A:$DN,MATCH('ZM01'!$C47,Consulta!$D:$D,0),'ZM01'!AV$2),"")=0,"",IFERROR(INDEX(Consulta!$A:$DN,MATCH('ZM01'!$C47,Consulta!$D:$D,0),'ZM01'!AV$2),""))</f>
        <v/>
      </c>
      <c r="AW47" s="45"/>
      <c r="AX47" s="46" t="str">
        <f t="shared" ca="1" si="41"/>
        <v/>
      </c>
      <c r="AY47" s="47" t="s">
        <v>755</v>
      </c>
      <c r="AZ47" s="43" t="str">
        <f>IF(IFERROR(ROUND(INDEX(Consulta!$A:$DN,MATCH('ZM01'!$C47,Consulta!$D:$D,0),'ZM01'!AZ$2),3),"")=0,"",IFERROR(ROUND(INDEX(Consulta!$A:$DN,MATCH('ZM01'!$C47,Consulta!$D:$D,0),'ZM01'!AZ$2),3),""))</f>
        <v/>
      </c>
      <c r="BA47" s="43" t="str">
        <f t="shared" si="42"/>
        <v/>
      </c>
      <c r="BB47" s="48" t="s">
        <v>299</v>
      </c>
      <c r="BC47" s="48"/>
      <c r="BD47" s="43" t="str">
        <f>IF(IFERROR(INDEX(Consulta!$A:$DN,MATCH('ZM01'!$C47,Consulta!$D:$D,0),'ZM01'!BD$2),"")=0,"",IFERROR(INDEX(Consulta!$A:$DN,MATCH('ZM01'!$C47,Consulta!$D:$D,0),'ZM01'!BD$2),""))</f>
        <v/>
      </c>
      <c r="BE47" s="43" t="str">
        <f t="shared" si="0"/>
        <v/>
      </c>
      <c r="BF47" s="43" t="str">
        <f t="shared" si="43"/>
        <v/>
      </c>
      <c r="BG47" s="43" t="str">
        <f t="shared" si="1"/>
        <v/>
      </c>
      <c r="BH47" s="43" t="str">
        <f t="shared" si="44"/>
        <v>PC</v>
      </c>
      <c r="BI47" s="43" t="str">
        <f t="shared" si="24"/>
        <v/>
      </c>
      <c r="BJ47" s="43" t="str">
        <f t="shared" si="25"/>
        <v/>
      </c>
      <c r="BK47" s="43" t="str">
        <f t="shared" si="26"/>
        <v/>
      </c>
      <c r="BL47" s="43" t="str">
        <f t="shared" si="45"/>
        <v>PC</v>
      </c>
      <c r="BN47" s="44"/>
      <c r="BO47" s="44" t="s">
        <v>925</v>
      </c>
      <c r="BP47" s="43" t="str">
        <f>IF(OR(IFERROR(INDEX(Consulta!$A:$DN,MATCH('ZM01'!$C47,Consulta!$D:$D,0),'ZM01'!BP$2),"")=0,IFERROR(INDEX(Consulta!$A:$DN,MATCH('ZM01'!$C47,Consulta!$D:$D,0),'ZM01'!BP$2),"")=AR47),"",IFERROR(INDEX(Consulta!$A:$DN,MATCH('ZM01'!$C47,Consulta!$D:$D,0),'ZM01'!BP$2),""))</f>
        <v/>
      </c>
      <c r="BQ47" s="45">
        <v>99</v>
      </c>
      <c r="BR47" s="46" t="str">
        <f t="shared" ca="1" si="46"/>
        <v>24.05.2022</v>
      </c>
      <c r="BS47" s="49" t="str">
        <f t="shared" si="47"/>
        <v/>
      </c>
      <c r="BT47" s="50">
        <v>1</v>
      </c>
      <c r="BU47" s="50" t="s">
        <v>194</v>
      </c>
      <c r="BV47" s="90" t="str">
        <f t="shared" si="14"/>
        <v>01</v>
      </c>
      <c r="BW47" s="50" t="s">
        <v>755</v>
      </c>
      <c r="BX47" s="44">
        <v>1</v>
      </c>
      <c r="BY47" s="44" t="s">
        <v>372</v>
      </c>
      <c r="BZ47" s="50" t="s">
        <v>197</v>
      </c>
      <c r="CA47" s="50" t="s">
        <v>197</v>
      </c>
      <c r="CB47" s="43" t="str">
        <f>IF(IFERROR(INDEX(Consulta!$A:$DN,MATCH('ZM01'!$C47,Consulta!$D:$D,0),'ZM01'!CB$2),"")=0,"",IFERROR(INDEX(Consulta!$A:$DN,MATCH('ZM01'!$C47,Consulta!$D:$D,0),'ZM01'!CB$2),""))</f>
        <v/>
      </c>
      <c r="CC47" s="44" t="s">
        <v>392</v>
      </c>
      <c r="CD47" s="50">
        <v>0</v>
      </c>
      <c r="CE47" s="45" t="s">
        <v>403</v>
      </c>
      <c r="CF47" s="45" t="s">
        <v>84</v>
      </c>
      <c r="CG47" s="43" t="str">
        <f t="shared" si="15"/>
        <v/>
      </c>
      <c r="CH47" s="45" t="s">
        <v>430</v>
      </c>
      <c r="CI47" s="44">
        <v>0</v>
      </c>
      <c r="CJ47" s="43" t="str">
        <f t="shared" si="27"/>
        <v>E</v>
      </c>
      <c r="CK47" s="43" t="str">
        <f t="shared" si="28"/>
        <v/>
      </c>
      <c r="CL47" s="44">
        <v>2</v>
      </c>
      <c r="CM47" s="49" t="str">
        <f t="shared" si="48"/>
        <v/>
      </c>
      <c r="CN47" s="49" t="str">
        <f t="shared" si="49"/>
        <v/>
      </c>
      <c r="CO47" s="43" t="str">
        <f t="shared" si="29"/>
        <v/>
      </c>
      <c r="CP47" s="44">
        <v>1</v>
      </c>
      <c r="CQ47" s="50" t="s">
        <v>515</v>
      </c>
      <c r="CR47" s="44" t="s">
        <v>372</v>
      </c>
      <c r="CS47" s="44">
        <v>2</v>
      </c>
      <c r="CT47" s="44">
        <v>42</v>
      </c>
      <c r="CU47" s="44">
        <v>10</v>
      </c>
      <c r="CV47" s="43" t="str">
        <f t="shared" si="30"/>
        <v>K00_AO_</v>
      </c>
      <c r="CW47" s="43" t="str">
        <f t="shared" si="31"/>
        <v/>
      </c>
      <c r="CX47" s="43" t="str">
        <f t="shared" si="32"/>
        <v/>
      </c>
      <c r="CY47" s="44">
        <v>1</v>
      </c>
      <c r="CZ47" s="43" t="str">
        <f t="shared" si="33"/>
        <v/>
      </c>
      <c r="DA47" s="43" t="str">
        <f>IF(IFERROR(INDEX(Consulta!$A:$DN,MATCH('ZM01'!$C47,Consulta!$D:$D,0),'ZM01'!DA$2),"")=0,"",IFERROR(INDEX(Consulta!$A:$DN,MATCH('ZM01'!$C47,Consulta!$D:$D,0),'ZM01'!DA$2),""))</f>
        <v/>
      </c>
      <c r="DB47" s="43" t="str">
        <f>IF(IFERROR(INDEX(Consulta!$A:$DN,MATCH('ZM01'!$C47,Consulta!$D:$D,0),'ZM01'!DB$2),"")=0,"",IFERROR(INDEX(Consulta!$A:$DN,MATCH('ZM01'!$C47,Consulta!$D:$D,0),'ZM01'!DB$2),""))</f>
        <v/>
      </c>
      <c r="DC47" s="45">
        <v>0</v>
      </c>
      <c r="DD47" s="45">
        <v>0</v>
      </c>
      <c r="DE47" s="43" t="str">
        <f>IF(IFERROR(INDEX(Consulta!$A:$DN,MATCH('ZM01'!$C47,Consulta!$D:$D,0),'ZM01'!DE$2),"")=0,"",IFERROR(TEXT(VALUE(INDEX(Consulta!$A:$DN,MATCH('ZM01'!$C47,Consulta!$D:$D,0),'ZM01'!DE$2))/100,"0,00"),""))</f>
        <v/>
      </c>
      <c r="DG47" s="43">
        <f t="shared" si="50"/>
        <v>1</v>
      </c>
      <c r="DH47" s="43" t="str">
        <f>IF(IFERROR(INDEX(Consulta!$A:$DN,MATCH('ZM01'!$C47,Consulta!$D:$D,0),'ZM01'!DH$2),"")=0,"",IFERROR(VLOOKUP(INDEX(Consulta!$A:$DN,MATCH('ZM01'!$C47,Consulta!$D:$D,0),'ZM01'!DH$2),'Listas de Dados'!BU:BW,3,0),""))</f>
        <v/>
      </c>
      <c r="DI47" s="43" t="str">
        <f t="shared" ca="1" si="51"/>
        <v>24.05.2022</v>
      </c>
      <c r="DJ47" s="43" t="str">
        <f t="shared" si="52"/>
        <v>31.12.9999</v>
      </c>
      <c r="DL47" s="44">
        <v>1</v>
      </c>
      <c r="DM47" s="44" t="s">
        <v>1039</v>
      </c>
      <c r="DN47" s="44">
        <v>1</v>
      </c>
      <c r="DO47" s="43">
        <f t="shared" si="34"/>
        <v>1</v>
      </c>
      <c r="DP47" s="43" t="str">
        <f t="shared" si="35"/>
        <v>PC</v>
      </c>
      <c r="DQ47" s="43" t="str">
        <f t="shared" si="36"/>
        <v/>
      </c>
      <c r="DR47" s="44">
        <v>100</v>
      </c>
      <c r="DS47" s="71">
        <f t="shared" si="21"/>
        <v>1</v>
      </c>
      <c r="DT47" s="43">
        <f t="shared" si="53"/>
        <v>100</v>
      </c>
      <c r="DU47" s="44">
        <v>1</v>
      </c>
      <c r="DV47" s="44">
        <v>0</v>
      </c>
      <c r="DW47" s="44" t="s">
        <v>826</v>
      </c>
      <c r="DX47" s="45">
        <v>0</v>
      </c>
      <c r="DY47" s="44">
        <v>100</v>
      </c>
      <c r="DZ47" s="60"/>
    </row>
    <row r="48" spans="1:130" x14ac:dyDescent="0.2">
      <c r="A48" s="7" t="str">
        <f t="shared" si="2"/>
        <v>Execução 44</v>
      </c>
      <c r="B48" s="75"/>
      <c r="C48" s="85"/>
      <c r="D48" s="71" t="str">
        <f t="shared" si="37"/>
        <v/>
      </c>
      <c r="E48" s="71" t="str">
        <f t="shared" si="38"/>
        <v/>
      </c>
      <c r="F48" s="43" t="str">
        <f>IF(IFERROR(INDEX(Consulta!$A:$DN,MATCH('ZM01'!$C48,Consulta!$D:$D,0),'ZM01'!F$2),"")=0,"",IFERROR(INDEX(Consulta!$A:$DN,MATCH('ZM01'!$C48,Consulta!$D:$D,0),'ZM01'!F$2),""))</f>
        <v/>
      </c>
      <c r="G48" s="43" t="str">
        <f>IF(IFERROR(INDEX(Consulta!$A:$DN,MATCH('ZM01'!$C48,Consulta!$D:$D,0),'ZM01'!G$2),"")=0,"",IFERROR(INDEX(Consulta!$A:$DN,MATCH('ZM01'!$C48,Consulta!$D:$D,0),'ZM01'!G$2),""))</f>
        <v/>
      </c>
      <c r="H48" s="43" t="str">
        <f t="shared" si="23"/>
        <v/>
      </c>
      <c r="I48" s="44" t="s">
        <v>100</v>
      </c>
      <c r="J48" s="43" t="str">
        <f>IF(IFERROR(INDEX(Consulta!$A:$DN,MATCH('ZM01'!$C48,Consulta!$D:$D,0),'ZM01'!J$2),"")=0,"",IFERROR(INDEX(Consulta!$A:$DN,MATCH('ZM01'!$C48,Consulta!$D:$D,0),'ZM01'!J$2),""))</f>
        <v/>
      </c>
      <c r="K48" s="43" t="str">
        <f>IF(IFERROR(INDEX(Consulta!$A:$DN,MATCH('ZM01'!$C48,Consulta!$D:$D,0),'ZM01'!K$2),"")=0,"",IFERROR(INDEX(Consulta!$A:$DN,MATCH('ZM01'!$C48,Consulta!$D:$D,0),'ZM01'!K$2),""))</f>
        <v/>
      </c>
      <c r="L48" s="43" t="str">
        <f t="shared" si="39"/>
        <v/>
      </c>
      <c r="M48" s="43" t="str">
        <f>IF(IFERROR(INDEX(Consulta!$A:$DN,MATCH('ZM01'!$C48,Consulta!$D:$D,0),'ZM01'!M$2),"")=0,"",IFERROR(INDEX(Consulta!$A:$DN,MATCH('ZM01'!$C48,Consulta!$D:$D,0),'ZM01'!M$2),""))</f>
        <v/>
      </c>
      <c r="N48" s="43" t="str">
        <f t="shared" si="40"/>
        <v/>
      </c>
      <c r="P48" s="45" t="s">
        <v>101</v>
      </c>
      <c r="Q48" s="45" t="s">
        <v>102</v>
      </c>
      <c r="R48" s="45" t="s">
        <v>103</v>
      </c>
      <c r="S48" s="45" t="s">
        <v>104</v>
      </c>
      <c r="T48" s="45" t="s">
        <v>105</v>
      </c>
      <c r="U48" s="45" t="s">
        <v>106</v>
      </c>
      <c r="V48" s="45" t="s">
        <v>107</v>
      </c>
      <c r="W48" s="45" t="s">
        <v>109</v>
      </c>
      <c r="X48" s="45" t="s">
        <v>110</v>
      </c>
      <c r="Y48" s="45"/>
      <c r="Z48" s="45"/>
      <c r="AA48" s="45" t="s">
        <v>112</v>
      </c>
      <c r="AB48" s="45" t="s">
        <v>113</v>
      </c>
      <c r="AC48" s="45" t="s">
        <v>114</v>
      </c>
      <c r="AD48" s="45" t="s">
        <v>115</v>
      </c>
      <c r="AE48" s="45" t="s">
        <v>117</v>
      </c>
      <c r="AF48" s="45" t="s">
        <v>118</v>
      </c>
      <c r="AG48" s="45" t="s">
        <v>119</v>
      </c>
      <c r="AH48" s="45" t="s">
        <v>120</v>
      </c>
      <c r="AI48" s="45" t="s">
        <v>121</v>
      </c>
      <c r="AJ48" s="45" t="s">
        <v>122</v>
      </c>
      <c r="AK48" s="45" t="s">
        <v>123</v>
      </c>
      <c r="AL48" s="45" t="s">
        <v>124</v>
      </c>
      <c r="AM48" s="45" t="s">
        <v>125</v>
      </c>
      <c r="AN48" s="45" t="s">
        <v>126</v>
      </c>
      <c r="AO48" s="45"/>
      <c r="AP48" s="45"/>
      <c r="AR48" s="44" t="s">
        <v>822</v>
      </c>
      <c r="AS48" s="43" t="str">
        <f>IF(IFERROR(INDEX(Consulta!$A:$DN,MATCH('ZM01'!$C48,Consulta!$D:$D,0),'ZM01'!AS$2),"")=0,"",IFERROR(INDEX(Consulta!$A:$DN,MATCH('ZM01'!$C48,Consulta!$D:$D,0),'ZM01'!AS$2),""))</f>
        <v/>
      </c>
      <c r="AT48" s="45"/>
      <c r="AU48" s="43" t="str">
        <f>IF(IFERROR(INDEX(Consulta!$A:$DN,MATCH('ZM01'!$C48,Consulta!$D:$D,0),'ZM01'!AU$2),"")=0,"",IFERROR(INDEX(Consulta!$A:$DN,MATCH('ZM01'!$C48,Consulta!$D:$D,0),'ZM01'!AU$2),""))</f>
        <v/>
      </c>
      <c r="AV48" s="43" t="str">
        <f>IF(IFERROR(INDEX(Consulta!$A:$DN,MATCH('ZM01'!$C48,Consulta!$D:$D,0),'ZM01'!AV$2),"")=0,"",IFERROR(INDEX(Consulta!$A:$DN,MATCH('ZM01'!$C48,Consulta!$D:$D,0),'ZM01'!AV$2),""))</f>
        <v/>
      </c>
      <c r="AW48" s="45"/>
      <c r="AX48" s="46" t="str">
        <f t="shared" ca="1" si="41"/>
        <v/>
      </c>
      <c r="AY48" s="47" t="s">
        <v>755</v>
      </c>
      <c r="AZ48" s="43" t="str">
        <f>IF(IFERROR(ROUND(INDEX(Consulta!$A:$DN,MATCH('ZM01'!$C48,Consulta!$D:$D,0),'ZM01'!AZ$2),3),"")=0,"",IFERROR(ROUND(INDEX(Consulta!$A:$DN,MATCH('ZM01'!$C48,Consulta!$D:$D,0),'ZM01'!AZ$2),3),""))</f>
        <v/>
      </c>
      <c r="BA48" s="43" t="str">
        <f t="shared" si="42"/>
        <v/>
      </c>
      <c r="BB48" s="48" t="s">
        <v>299</v>
      </c>
      <c r="BC48" s="48"/>
      <c r="BD48" s="43" t="str">
        <f>IF(IFERROR(INDEX(Consulta!$A:$DN,MATCH('ZM01'!$C48,Consulta!$D:$D,0),'ZM01'!BD$2),"")=0,"",IFERROR(INDEX(Consulta!$A:$DN,MATCH('ZM01'!$C48,Consulta!$D:$D,0),'ZM01'!BD$2),""))</f>
        <v/>
      </c>
      <c r="BE48" s="43" t="str">
        <f t="shared" si="0"/>
        <v/>
      </c>
      <c r="BF48" s="43" t="str">
        <f t="shared" si="43"/>
        <v/>
      </c>
      <c r="BG48" s="43" t="str">
        <f t="shared" si="1"/>
        <v/>
      </c>
      <c r="BH48" s="43" t="str">
        <f t="shared" si="44"/>
        <v>PC</v>
      </c>
      <c r="BI48" s="43" t="str">
        <f t="shared" si="24"/>
        <v/>
      </c>
      <c r="BJ48" s="43" t="str">
        <f t="shared" si="25"/>
        <v/>
      </c>
      <c r="BK48" s="43" t="str">
        <f t="shared" si="26"/>
        <v/>
      </c>
      <c r="BL48" s="43" t="str">
        <f t="shared" si="45"/>
        <v>PC</v>
      </c>
      <c r="BN48" s="44"/>
      <c r="BO48" s="44" t="s">
        <v>925</v>
      </c>
      <c r="BP48" s="43" t="str">
        <f>IF(OR(IFERROR(INDEX(Consulta!$A:$DN,MATCH('ZM01'!$C48,Consulta!$D:$D,0),'ZM01'!BP$2),"")=0,IFERROR(INDEX(Consulta!$A:$DN,MATCH('ZM01'!$C48,Consulta!$D:$D,0),'ZM01'!BP$2),"")=AR48),"",IFERROR(INDEX(Consulta!$A:$DN,MATCH('ZM01'!$C48,Consulta!$D:$D,0),'ZM01'!BP$2),""))</f>
        <v/>
      </c>
      <c r="BQ48" s="45">
        <v>99</v>
      </c>
      <c r="BR48" s="46" t="str">
        <f t="shared" ca="1" si="46"/>
        <v>24.05.2022</v>
      </c>
      <c r="BS48" s="49" t="str">
        <f t="shared" si="47"/>
        <v/>
      </c>
      <c r="BT48" s="50">
        <v>1</v>
      </c>
      <c r="BU48" s="50" t="s">
        <v>194</v>
      </c>
      <c r="BV48" s="90" t="str">
        <f t="shared" si="14"/>
        <v>01</v>
      </c>
      <c r="BW48" s="50" t="s">
        <v>755</v>
      </c>
      <c r="BX48" s="44">
        <v>1</v>
      </c>
      <c r="BY48" s="44" t="s">
        <v>372</v>
      </c>
      <c r="BZ48" s="50" t="s">
        <v>197</v>
      </c>
      <c r="CA48" s="50" t="s">
        <v>197</v>
      </c>
      <c r="CB48" s="43" t="str">
        <f>IF(IFERROR(INDEX(Consulta!$A:$DN,MATCH('ZM01'!$C48,Consulta!$D:$D,0),'ZM01'!CB$2),"")=0,"",IFERROR(INDEX(Consulta!$A:$DN,MATCH('ZM01'!$C48,Consulta!$D:$D,0),'ZM01'!CB$2),""))</f>
        <v/>
      </c>
      <c r="CC48" s="44" t="s">
        <v>392</v>
      </c>
      <c r="CD48" s="50">
        <v>0</v>
      </c>
      <c r="CE48" s="45" t="s">
        <v>403</v>
      </c>
      <c r="CF48" s="45" t="s">
        <v>84</v>
      </c>
      <c r="CG48" s="43" t="str">
        <f t="shared" si="15"/>
        <v/>
      </c>
      <c r="CH48" s="45" t="s">
        <v>430</v>
      </c>
      <c r="CI48" s="44">
        <v>0</v>
      </c>
      <c r="CJ48" s="43" t="str">
        <f t="shared" si="27"/>
        <v>E</v>
      </c>
      <c r="CK48" s="43" t="str">
        <f t="shared" si="28"/>
        <v/>
      </c>
      <c r="CL48" s="44">
        <v>2</v>
      </c>
      <c r="CM48" s="49" t="str">
        <f t="shared" si="48"/>
        <v/>
      </c>
      <c r="CN48" s="49" t="str">
        <f t="shared" si="49"/>
        <v/>
      </c>
      <c r="CO48" s="43" t="str">
        <f t="shared" si="29"/>
        <v/>
      </c>
      <c r="CP48" s="44">
        <v>1</v>
      </c>
      <c r="CQ48" s="50" t="s">
        <v>515</v>
      </c>
      <c r="CR48" s="44" t="s">
        <v>372</v>
      </c>
      <c r="CS48" s="44">
        <v>2</v>
      </c>
      <c r="CT48" s="44">
        <v>42</v>
      </c>
      <c r="CU48" s="44">
        <v>10</v>
      </c>
      <c r="CV48" s="43" t="str">
        <f t="shared" si="30"/>
        <v>K00_AO_</v>
      </c>
      <c r="CW48" s="43" t="str">
        <f t="shared" si="31"/>
        <v/>
      </c>
      <c r="CX48" s="43" t="str">
        <f t="shared" si="32"/>
        <v/>
      </c>
      <c r="CY48" s="44">
        <v>1</v>
      </c>
      <c r="CZ48" s="43" t="str">
        <f t="shared" si="33"/>
        <v/>
      </c>
      <c r="DA48" s="43" t="str">
        <f>IF(IFERROR(INDEX(Consulta!$A:$DN,MATCH('ZM01'!$C48,Consulta!$D:$D,0),'ZM01'!DA$2),"")=0,"",IFERROR(INDEX(Consulta!$A:$DN,MATCH('ZM01'!$C48,Consulta!$D:$D,0),'ZM01'!DA$2),""))</f>
        <v/>
      </c>
      <c r="DB48" s="43" t="str">
        <f>IF(IFERROR(INDEX(Consulta!$A:$DN,MATCH('ZM01'!$C48,Consulta!$D:$D,0),'ZM01'!DB$2),"")=0,"",IFERROR(INDEX(Consulta!$A:$DN,MATCH('ZM01'!$C48,Consulta!$D:$D,0),'ZM01'!DB$2),""))</f>
        <v/>
      </c>
      <c r="DC48" s="45">
        <v>0</v>
      </c>
      <c r="DD48" s="45">
        <v>0</v>
      </c>
      <c r="DE48" s="43" t="str">
        <f>IF(IFERROR(INDEX(Consulta!$A:$DN,MATCH('ZM01'!$C48,Consulta!$D:$D,0),'ZM01'!DE$2),"")=0,"",IFERROR(TEXT(VALUE(INDEX(Consulta!$A:$DN,MATCH('ZM01'!$C48,Consulta!$D:$D,0),'ZM01'!DE$2))/100,"0,00"),""))</f>
        <v/>
      </c>
      <c r="DG48" s="43">
        <f t="shared" si="50"/>
        <v>1</v>
      </c>
      <c r="DH48" s="43" t="str">
        <f>IF(IFERROR(INDEX(Consulta!$A:$DN,MATCH('ZM01'!$C48,Consulta!$D:$D,0),'ZM01'!DH$2),"")=0,"",IFERROR(VLOOKUP(INDEX(Consulta!$A:$DN,MATCH('ZM01'!$C48,Consulta!$D:$D,0),'ZM01'!DH$2),'Listas de Dados'!BU:BW,3,0),""))</f>
        <v/>
      </c>
      <c r="DI48" s="43" t="str">
        <f t="shared" ca="1" si="51"/>
        <v>24.05.2022</v>
      </c>
      <c r="DJ48" s="43" t="str">
        <f t="shared" si="52"/>
        <v>31.12.9999</v>
      </c>
      <c r="DL48" s="44">
        <v>1</v>
      </c>
      <c r="DM48" s="44" t="s">
        <v>1039</v>
      </c>
      <c r="DN48" s="44">
        <v>1</v>
      </c>
      <c r="DO48" s="43">
        <f t="shared" si="34"/>
        <v>1</v>
      </c>
      <c r="DP48" s="43" t="str">
        <f t="shared" si="35"/>
        <v>PC</v>
      </c>
      <c r="DQ48" s="43" t="str">
        <f t="shared" si="36"/>
        <v/>
      </c>
      <c r="DR48" s="44">
        <v>100</v>
      </c>
      <c r="DS48" s="71">
        <f t="shared" si="21"/>
        <v>1</v>
      </c>
      <c r="DT48" s="43">
        <f t="shared" si="53"/>
        <v>100</v>
      </c>
      <c r="DU48" s="44">
        <v>1</v>
      </c>
      <c r="DV48" s="44">
        <v>0</v>
      </c>
      <c r="DW48" s="44" t="s">
        <v>826</v>
      </c>
      <c r="DX48" s="45">
        <v>0</v>
      </c>
      <c r="DY48" s="44">
        <v>100</v>
      </c>
      <c r="DZ48" s="61"/>
    </row>
    <row r="49" spans="1:130" x14ac:dyDescent="0.2">
      <c r="A49" s="7" t="str">
        <f t="shared" si="2"/>
        <v>Execução 45</v>
      </c>
      <c r="B49" s="79"/>
      <c r="C49" s="85"/>
      <c r="D49" s="71" t="str">
        <f t="shared" si="37"/>
        <v/>
      </c>
      <c r="E49" s="71" t="str">
        <f t="shared" si="38"/>
        <v/>
      </c>
      <c r="F49" s="43" t="str">
        <f>IF(IFERROR(INDEX(Consulta!$A:$DN,MATCH('ZM01'!$C49,Consulta!$D:$D,0),'ZM01'!F$2),"")=0,"",IFERROR(INDEX(Consulta!$A:$DN,MATCH('ZM01'!$C49,Consulta!$D:$D,0),'ZM01'!F$2),""))</f>
        <v/>
      </c>
      <c r="G49" s="43" t="str">
        <f>IF(IFERROR(INDEX(Consulta!$A:$DN,MATCH('ZM01'!$C49,Consulta!$D:$D,0),'ZM01'!G$2),"")=0,"",IFERROR(INDEX(Consulta!$A:$DN,MATCH('ZM01'!$C49,Consulta!$D:$D,0),'ZM01'!G$2),""))</f>
        <v/>
      </c>
      <c r="H49" s="43" t="str">
        <f t="shared" si="23"/>
        <v/>
      </c>
      <c r="I49" s="44" t="s">
        <v>100</v>
      </c>
      <c r="J49" s="43" t="str">
        <f>IF(IFERROR(INDEX(Consulta!$A:$DN,MATCH('ZM01'!$C49,Consulta!$D:$D,0),'ZM01'!J$2),"")=0,"",IFERROR(INDEX(Consulta!$A:$DN,MATCH('ZM01'!$C49,Consulta!$D:$D,0),'ZM01'!J$2),""))</f>
        <v/>
      </c>
      <c r="K49" s="43" t="str">
        <f>IF(IFERROR(INDEX(Consulta!$A:$DN,MATCH('ZM01'!$C49,Consulta!$D:$D,0),'ZM01'!K$2),"")=0,"",IFERROR(INDEX(Consulta!$A:$DN,MATCH('ZM01'!$C49,Consulta!$D:$D,0),'ZM01'!K$2),""))</f>
        <v/>
      </c>
      <c r="L49" s="43" t="str">
        <f t="shared" si="39"/>
        <v/>
      </c>
      <c r="M49" s="43" t="str">
        <f>IF(IFERROR(INDEX(Consulta!$A:$DN,MATCH('ZM01'!$C49,Consulta!$D:$D,0),'ZM01'!M$2),"")=0,"",IFERROR(INDEX(Consulta!$A:$DN,MATCH('ZM01'!$C49,Consulta!$D:$D,0),'ZM01'!M$2),""))</f>
        <v/>
      </c>
      <c r="N49" s="43" t="str">
        <f t="shared" si="40"/>
        <v/>
      </c>
      <c r="P49" s="45" t="s">
        <v>101</v>
      </c>
      <c r="Q49" s="45" t="s">
        <v>102</v>
      </c>
      <c r="R49" s="45" t="s">
        <v>103</v>
      </c>
      <c r="S49" s="45" t="s">
        <v>104</v>
      </c>
      <c r="T49" s="45" t="s">
        <v>105</v>
      </c>
      <c r="U49" s="45" t="s">
        <v>106</v>
      </c>
      <c r="V49" s="45" t="s">
        <v>107</v>
      </c>
      <c r="W49" s="45" t="s">
        <v>109</v>
      </c>
      <c r="X49" s="45" t="s">
        <v>110</v>
      </c>
      <c r="Y49" s="45"/>
      <c r="Z49" s="45"/>
      <c r="AA49" s="45" t="s">
        <v>112</v>
      </c>
      <c r="AB49" s="45" t="s">
        <v>113</v>
      </c>
      <c r="AC49" s="45" t="s">
        <v>114</v>
      </c>
      <c r="AD49" s="45" t="s">
        <v>115</v>
      </c>
      <c r="AE49" s="45" t="s">
        <v>117</v>
      </c>
      <c r="AF49" s="45" t="s">
        <v>118</v>
      </c>
      <c r="AG49" s="45" t="s">
        <v>119</v>
      </c>
      <c r="AH49" s="45" t="s">
        <v>120</v>
      </c>
      <c r="AI49" s="45" t="s">
        <v>121</v>
      </c>
      <c r="AJ49" s="45" t="s">
        <v>122</v>
      </c>
      <c r="AK49" s="45" t="s">
        <v>123</v>
      </c>
      <c r="AL49" s="45" t="s">
        <v>124</v>
      </c>
      <c r="AM49" s="45" t="s">
        <v>125</v>
      </c>
      <c r="AN49" s="45" t="s">
        <v>126</v>
      </c>
      <c r="AO49" s="45"/>
      <c r="AP49" s="45"/>
      <c r="AR49" s="44" t="s">
        <v>822</v>
      </c>
      <c r="AS49" s="43" t="str">
        <f>IF(IFERROR(INDEX(Consulta!$A:$DN,MATCH('ZM01'!$C49,Consulta!$D:$D,0),'ZM01'!AS$2),"")=0,"",IFERROR(INDEX(Consulta!$A:$DN,MATCH('ZM01'!$C49,Consulta!$D:$D,0),'ZM01'!AS$2),""))</f>
        <v/>
      </c>
      <c r="AT49" s="45"/>
      <c r="AU49" s="43" t="str">
        <f>IF(IFERROR(INDEX(Consulta!$A:$DN,MATCH('ZM01'!$C49,Consulta!$D:$D,0),'ZM01'!AU$2),"")=0,"",IFERROR(INDEX(Consulta!$A:$DN,MATCH('ZM01'!$C49,Consulta!$D:$D,0),'ZM01'!AU$2),""))</f>
        <v/>
      </c>
      <c r="AV49" s="43" t="str">
        <f>IF(IFERROR(INDEX(Consulta!$A:$DN,MATCH('ZM01'!$C49,Consulta!$D:$D,0),'ZM01'!AV$2),"")=0,"",IFERROR(INDEX(Consulta!$A:$DN,MATCH('ZM01'!$C49,Consulta!$D:$D,0),'ZM01'!AV$2),""))</f>
        <v/>
      </c>
      <c r="AW49" s="45"/>
      <c r="AX49" s="46" t="str">
        <f t="shared" ca="1" si="41"/>
        <v/>
      </c>
      <c r="AY49" s="47" t="s">
        <v>755</v>
      </c>
      <c r="AZ49" s="43" t="str">
        <f>IF(IFERROR(ROUND(INDEX(Consulta!$A:$DN,MATCH('ZM01'!$C49,Consulta!$D:$D,0),'ZM01'!AZ$2),3),"")=0,"",IFERROR(ROUND(INDEX(Consulta!$A:$DN,MATCH('ZM01'!$C49,Consulta!$D:$D,0),'ZM01'!AZ$2),3),""))</f>
        <v/>
      </c>
      <c r="BA49" s="43" t="str">
        <f t="shared" si="42"/>
        <v/>
      </c>
      <c r="BB49" s="48" t="s">
        <v>299</v>
      </c>
      <c r="BC49" s="48"/>
      <c r="BD49" s="43" t="str">
        <f>IF(IFERROR(INDEX(Consulta!$A:$DN,MATCH('ZM01'!$C49,Consulta!$D:$D,0),'ZM01'!BD$2),"")=0,"",IFERROR(INDEX(Consulta!$A:$DN,MATCH('ZM01'!$C49,Consulta!$D:$D,0),'ZM01'!BD$2),""))</f>
        <v/>
      </c>
      <c r="BE49" s="43" t="str">
        <f t="shared" si="0"/>
        <v/>
      </c>
      <c r="BF49" s="43" t="str">
        <f t="shared" si="43"/>
        <v/>
      </c>
      <c r="BG49" s="43" t="str">
        <f t="shared" si="1"/>
        <v/>
      </c>
      <c r="BH49" s="43" t="str">
        <f t="shared" si="44"/>
        <v>PC</v>
      </c>
      <c r="BI49" s="43" t="str">
        <f t="shared" si="24"/>
        <v/>
      </c>
      <c r="BJ49" s="43" t="str">
        <f t="shared" si="25"/>
        <v/>
      </c>
      <c r="BK49" s="43" t="str">
        <f t="shared" si="26"/>
        <v/>
      </c>
      <c r="BL49" s="43" t="str">
        <f t="shared" si="45"/>
        <v>PC</v>
      </c>
      <c r="BN49" s="44"/>
      <c r="BO49" s="44" t="s">
        <v>925</v>
      </c>
      <c r="BP49" s="43" t="str">
        <f>IF(OR(IFERROR(INDEX(Consulta!$A:$DN,MATCH('ZM01'!$C49,Consulta!$D:$D,0),'ZM01'!BP$2),"")=0,IFERROR(INDEX(Consulta!$A:$DN,MATCH('ZM01'!$C49,Consulta!$D:$D,0),'ZM01'!BP$2),"")=AR49),"",IFERROR(INDEX(Consulta!$A:$DN,MATCH('ZM01'!$C49,Consulta!$D:$D,0),'ZM01'!BP$2),""))</f>
        <v/>
      </c>
      <c r="BQ49" s="45">
        <v>99</v>
      </c>
      <c r="BR49" s="46" t="str">
        <f t="shared" ca="1" si="46"/>
        <v>24.05.2022</v>
      </c>
      <c r="BS49" s="49" t="str">
        <f t="shared" si="47"/>
        <v/>
      </c>
      <c r="BT49" s="50">
        <v>1</v>
      </c>
      <c r="BU49" s="50" t="s">
        <v>194</v>
      </c>
      <c r="BV49" s="90" t="str">
        <f t="shared" si="14"/>
        <v>01</v>
      </c>
      <c r="BW49" s="50" t="s">
        <v>755</v>
      </c>
      <c r="BX49" s="44">
        <v>1</v>
      </c>
      <c r="BY49" s="44" t="s">
        <v>372</v>
      </c>
      <c r="BZ49" s="50" t="s">
        <v>197</v>
      </c>
      <c r="CA49" s="50" t="s">
        <v>197</v>
      </c>
      <c r="CB49" s="43" t="str">
        <f>IF(IFERROR(INDEX(Consulta!$A:$DN,MATCH('ZM01'!$C49,Consulta!$D:$D,0),'ZM01'!CB$2),"")=0,"",IFERROR(INDEX(Consulta!$A:$DN,MATCH('ZM01'!$C49,Consulta!$D:$D,0),'ZM01'!CB$2),""))</f>
        <v/>
      </c>
      <c r="CC49" s="44" t="s">
        <v>392</v>
      </c>
      <c r="CD49" s="50">
        <v>0</v>
      </c>
      <c r="CE49" s="45" t="s">
        <v>403</v>
      </c>
      <c r="CF49" s="45" t="s">
        <v>84</v>
      </c>
      <c r="CG49" s="43" t="str">
        <f t="shared" si="15"/>
        <v/>
      </c>
      <c r="CH49" s="45" t="s">
        <v>430</v>
      </c>
      <c r="CI49" s="44">
        <v>0</v>
      </c>
      <c r="CJ49" s="43" t="str">
        <f t="shared" si="27"/>
        <v>E</v>
      </c>
      <c r="CK49" s="43" t="str">
        <f t="shared" si="28"/>
        <v/>
      </c>
      <c r="CL49" s="44">
        <v>2</v>
      </c>
      <c r="CM49" s="49" t="str">
        <f t="shared" si="48"/>
        <v/>
      </c>
      <c r="CN49" s="49" t="str">
        <f t="shared" si="49"/>
        <v/>
      </c>
      <c r="CO49" s="43" t="str">
        <f t="shared" si="29"/>
        <v/>
      </c>
      <c r="CP49" s="44">
        <v>1</v>
      </c>
      <c r="CQ49" s="50" t="s">
        <v>515</v>
      </c>
      <c r="CR49" s="44" t="s">
        <v>372</v>
      </c>
      <c r="CS49" s="44">
        <v>2</v>
      </c>
      <c r="CT49" s="44">
        <v>42</v>
      </c>
      <c r="CU49" s="44">
        <v>10</v>
      </c>
      <c r="CV49" s="43" t="str">
        <f t="shared" si="30"/>
        <v>K00_AO_</v>
      </c>
      <c r="CW49" s="43" t="str">
        <f t="shared" si="31"/>
        <v/>
      </c>
      <c r="CX49" s="43" t="str">
        <f t="shared" si="32"/>
        <v/>
      </c>
      <c r="CY49" s="44">
        <v>1</v>
      </c>
      <c r="CZ49" s="43" t="str">
        <f t="shared" si="33"/>
        <v/>
      </c>
      <c r="DA49" s="43" t="str">
        <f>IF(IFERROR(INDEX(Consulta!$A:$DN,MATCH('ZM01'!$C49,Consulta!$D:$D,0),'ZM01'!DA$2),"")=0,"",IFERROR(INDEX(Consulta!$A:$DN,MATCH('ZM01'!$C49,Consulta!$D:$D,0),'ZM01'!DA$2),""))</f>
        <v/>
      </c>
      <c r="DB49" s="43" t="str">
        <f>IF(IFERROR(INDEX(Consulta!$A:$DN,MATCH('ZM01'!$C49,Consulta!$D:$D,0),'ZM01'!DB$2),"")=0,"",IFERROR(INDEX(Consulta!$A:$DN,MATCH('ZM01'!$C49,Consulta!$D:$D,0),'ZM01'!DB$2),""))</f>
        <v/>
      </c>
      <c r="DC49" s="45">
        <v>0</v>
      </c>
      <c r="DD49" s="45">
        <v>0</v>
      </c>
      <c r="DE49" s="43" t="str">
        <f>IF(IFERROR(INDEX(Consulta!$A:$DN,MATCH('ZM01'!$C49,Consulta!$D:$D,0),'ZM01'!DE$2),"")=0,"",IFERROR(TEXT(VALUE(INDEX(Consulta!$A:$DN,MATCH('ZM01'!$C49,Consulta!$D:$D,0),'ZM01'!DE$2))/100,"0,00"),""))</f>
        <v/>
      </c>
      <c r="DG49" s="43">
        <f t="shared" si="50"/>
        <v>1</v>
      </c>
      <c r="DH49" s="43" t="str">
        <f>IF(IFERROR(INDEX(Consulta!$A:$DN,MATCH('ZM01'!$C49,Consulta!$D:$D,0),'ZM01'!DH$2),"")=0,"",IFERROR(VLOOKUP(INDEX(Consulta!$A:$DN,MATCH('ZM01'!$C49,Consulta!$D:$D,0),'ZM01'!DH$2),'Listas de Dados'!BU:BW,3,0),""))</f>
        <v/>
      </c>
      <c r="DI49" s="43" t="str">
        <f t="shared" ca="1" si="51"/>
        <v>24.05.2022</v>
      </c>
      <c r="DJ49" s="43" t="str">
        <f t="shared" si="52"/>
        <v>31.12.9999</v>
      </c>
      <c r="DL49" s="44">
        <v>1</v>
      </c>
      <c r="DM49" s="44" t="s">
        <v>1039</v>
      </c>
      <c r="DN49" s="44">
        <v>1</v>
      </c>
      <c r="DO49" s="43">
        <f t="shared" si="34"/>
        <v>1</v>
      </c>
      <c r="DP49" s="43" t="str">
        <f t="shared" si="35"/>
        <v>PC</v>
      </c>
      <c r="DQ49" s="43" t="str">
        <f t="shared" si="36"/>
        <v/>
      </c>
      <c r="DR49" s="44">
        <v>100</v>
      </c>
      <c r="DS49" s="71">
        <f t="shared" si="21"/>
        <v>1</v>
      </c>
      <c r="DT49" s="43">
        <f t="shared" si="53"/>
        <v>100</v>
      </c>
      <c r="DU49" s="44">
        <v>1</v>
      </c>
      <c r="DV49" s="44">
        <v>0</v>
      </c>
      <c r="DW49" s="44" t="s">
        <v>826</v>
      </c>
      <c r="DX49" s="45">
        <v>0</v>
      </c>
      <c r="DY49" s="44">
        <v>100</v>
      </c>
      <c r="DZ49" s="60"/>
    </row>
    <row r="50" spans="1:130" x14ac:dyDescent="0.2">
      <c r="A50" s="7" t="str">
        <f t="shared" si="2"/>
        <v>Execução 46</v>
      </c>
      <c r="B50" s="75"/>
      <c r="C50" s="85"/>
      <c r="D50" s="71" t="str">
        <f t="shared" si="37"/>
        <v/>
      </c>
      <c r="E50" s="71" t="str">
        <f t="shared" si="38"/>
        <v/>
      </c>
      <c r="F50" s="43" t="str">
        <f>IF(IFERROR(INDEX(Consulta!$A:$DN,MATCH('ZM01'!$C50,Consulta!$D:$D,0),'ZM01'!F$2),"")=0,"",IFERROR(INDEX(Consulta!$A:$DN,MATCH('ZM01'!$C50,Consulta!$D:$D,0),'ZM01'!F$2),""))</f>
        <v/>
      </c>
      <c r="G50" s="43" t="str">
        <f>IF(IFERROR(INDEX(Consulta!$A:$DN,MATCH('ZM01'!$C50,Consulta!$D:$D,0),'ZM01'!G$2),"")=0,"",IFERROR(INDEX(Consulta!$A:$DN,MATCH('ZM01'!$C50,Consulta!$D:$D,0),'ZM01'!G$2),""))</f>
        <v/>
      </c>
      <c r="H50" s="43" t="str">
        <f t="shared" si="23"/>
        <v/>
      </c>
      <c r="I50" s="44" t="s">
        <v>100</v>
      </c>
      <c r="J50" s="43" t="str">
        <f>IF(IFERROR(INDEX(Consulta!$A:$DN,MATCH('ZM01'!$C50,Consulta!$D:$D,0),'ZM01'!J$2),"")=0,"",IFERROR(INDEX(Consulta!$A:$DN,MATCH('ZM01'!$C50,Consulta!$D:$D,0),'ZM01'!J$2),""))</f>
        <v/>
      </c>
      <c r="K50" s="43" t="str">
        <f>IF(IFERROR(INDEX(Consulta!$A:$DN,MATCH('ZM01'!$C50,Consulta!$D:$D,0),'ZM01'!K$2),"")=0,"",IFERROR(INDEX(Consulta!$A:$DN,MATCH('ZM01'!$C50,Consulta!$D:$D,0),'ZM01'!K$2),""))</f>
        <v/>
      </c>
      <c r="L50" s="43" t="str">
        <f t="shared" si="39"/>
        <v/>
      </c>
      <c r="M50" s="43" t="str">
        <f>IF(IFERROR(INDEX(Consulta!$A:$DN,MATCH('ZM01'!$C50,Consulta!$D:$D,0),'ZM01'!M$2),"")=0,"",IFERROR(INDEX(Consulta!$A:$DN,MATCH('ZM01'!$C50,Consulta!$D:$D,0),'ZM01'!M$2),""))</f>
        <v/>
      </c>
      <c r="N50" s="43" t="str">
        <f t="shared" si="40"/>
        <v/>
      </c>
      <c r="P50" s="45" t="s">
        <v>101</v>
      </c>
      <c r="Q50" s="45" t="s">
        <v>102</v>
      </c>
      <c r="R50" s="45" t="s">
        <v>103</v>
      </c>
      <c r="S50" s="45" t="s">
        <v>104</v>
      </c>
      <c r="T50" s="45" t="s">
        <v>105</v>
      </c>
      <c r="U50" s="45" t="s">
        <v>106</v>
      </c>
      <c r="V50" s="45" t="s">
        <v>107</v>
      </c>
      <c r="W50" s="45" t="s">
        <v>109</v>
      </c>
      <c r="X50" s="45" t="s">
        <v>110</v>
      </c>
      <c r="Y50" s="45"/>
      <c r="Z50" s="45"/>
      <c r="AA50" s="45" t="s">
        <v>112</v>
      </c>
      <c r="AB50" s="45" t="s">
        <v>113</v>
      </c>
      <c r="AC50" s="45" t="s">
        <v>114</v>
      </c>
      <c r="AD50" s="45" t="s">
        <v>115</v>
      </c>
      <c r="AE50" s="45" t="s">
        <v>117</v>
      </c>
      <c r="AF50" s="45" t="s">
        <v>118</v>
      </c>
      <c r="AG50" s="45" t="s">
        <v>119</v>
      </c>
      <c r="AH50" s="45" t="s">
        <v>120</v>
      </c>
      <c r="AI50" s="45" t="s">
        <v>121</v>
      </c>
      <c r="AJ50" s="45" t="s">
        <v>122</v>
      </c>
      <c r="AK50" s="45" t="s">
        <v>123</v>
      </c>
      <c r="AL50" s="45" t="s">
        <v>124</v>
      </c>
      <c r="AM50" s="45" t="s">
        <v>125</v>
      </c>
      <c r="AN50" s="45" t="s">
        <v>126</v>
      </c>
      <c r="AO50" s="45"/>
      <c r="AP50" s="45"/>
      <c r="AR50" s="44" t="s">
        <v>822</v>
      </c>
      <c r="AS50" s="43" t="str">
        <f>IF(IFERROR(INDEX(Consulta!$A:$DN,MATCH('ZM01'!$C50,Consulta!$D:$D,0),'ZM01'!AS$2),"")=0,"",IFERROR(INDEX(Consulta!$A:$DN,MATCH('ZM01'!$C50,Consulta!$D:$D,0),'ZM01'!AS$2),""))</f>
        <v/>
      </c>
      <c r="AT50" s="45"/>
      <c r="AU50" s="43" t="str">
        <f>IF(IFERROR(INDEX(Consulta!$A:$DN,MATCH('ZM01'!$C50,Consulta!$D:$D,0),'ZM01'!AU$2),"")=0,"",IFERROR(INDEX(Consulta!$A:$DN,MATCH('ZM01'!$C50,Consulta!$D:$D,0),'ZM01'!AU$2),""))</f>
        <v/>
      </c>
      <c r="AV50" s="43" t="str">
        <f>IF(IFERROR(INDEX(Consulta!$A:$DN,MATCH('ZM01'!$C50,Consulta!$D:$D,0),'ZM01'!AV$2),"")=0,"",IFERROR(INDEX(Consulta!$A:$DN,MATCH('ZM01'!$C50,Consulta!$D:$D,0),'ZM01'!AV$2),""))</f>
        <v/>
      </c>
      <c r="AW50" s="45"/>
      <c r="AX50" s="46" t="str">
        <f t="shared" ca="1" si="41"/>
        <v/>
      </c>
      <c r="AY50" s="47" t="s">
        <v>755</v>
      </c>
      <c r="AZ50" s="43" t="str">
        <f>IF(IFERROR(ROUND(INDEX(Consulta!$A:$DN,MATCH('ZM01'!$C50,Consulta!$D:$D,0),'ZM01'!AZ$2),3),"")=0,"",IFERROR(ROUND(INDEX(Consulta!$A:$DN,MATCH('ZM01'!$C50,Consulta!$D:$D,0),'ZM01'!AZ$2),3),""))</f>
        <v/>
      </c>
      <c r="BA50" s="43" t="str">
        <f t="shared" si="42"/>
        <v/>
      </c>
      <c r="BB50" s="48" t="s">
        <v>299</v>
      </c>
      <c r="BC50" s="48"/>
      <c r="BD50" s="43" t="str">
        <f>IF(IFERROR(INDEX(Consulta!$A:$DN,MATCH('ZM01'!$C50,Consulta!$D:$D,0),'ZM01'!BD$2),"")=0,"",IFERROR(INDEX(Consulta!$A:$DN,MATCH('ZM01'!$C50,Consulta!$D:$D,0),'ZM01'!BD$2),""))</f>
        <v/>
      </c>
      <c r="BE50" s="43" t="str">
        <f t="shared" si="0"/>
        <v/>
      </c>
      <c r="BF50" s="43" t="str">
        <f t="shared" si="43"/>
        <v/>
      </c>
      <c r="BG50" s="43" t="str">
        <f t="shared" si="1"/>
        <v/>
      </c>
      <c r="BH50" s="43" t="str">
        <f t="shared" si="44"/>
        <v>PC</v>
      </c>
      <c r="BI50" s="43" t="str">
        <f t="shared" si="24"/>
        <v/>
      </c>
      <c r="BJ50" s="43" t="str">
        <f t="shared" si="25"/>
        <v/>
      </c>
      <c r="BK50" s="43" t="str">
        <f t="shared" si="26"/>
        <v/>
      </c>
      <c r="BL50" s="43" t="str">
        <f t="shared" si="45"/>
        <v>PC</v>
      </c>
      <c r="BN50" s="44"/>
      <c r="BO50" s="44" t="s">
        <v>925</v>
      </c>
      <c r="BP50" s="43" t="str">
        <f>IF(OR(IFERROR(INDEX(Consulta!$A:$DN,MATCH('ZM01'!$C50,Consulta!$D:$D,0),'ZM01'!BP$2),"")=0,IFERROR(INDEX(Consulta!$A:$DN,MATCH('ZM01'!$C50,Consulta!$D:$D,0),'ZM01'!BP$2),"")=AR50),"",IFERROR(INDEX(Consulta!$A:$DN,MATCH('ZM01'!$C50,Consulta!$D:$D,0),'ZM01'!BP$2),""))</f>
        <v/>
      </c>
      <c r="BQ50" s="45">
        <v>99</v>
      </c>
      <c r="BR50" s="46" t="str">
        <f t="shared" ca="1" si="46"/>
        <v>24.05.2022</v>
      </c>
      <c r="BS50" s="49" t="str">
        <f t="shared" si="47"/>
        <v/>
      </c>
      <c r="BT50" s="50">
        <v>1</v>
      </c>
      <c r="BU50" s="50" t="s">
        <v>194</v>
      </c>
      <c r="BV50" s="90" t="str">
        <f t="shared" si="14"/>
        <v>01</v>
      </c>
      <c r="BW50" s="50" t="s">
        <v>755</v>
      </c>
      <c r="BX50" s="44">
        <v>1</v>
      </c>
      <c r="BY50" s="44" t="s">
        <v>372</v>
      </c>
      <c r="BZ50" s="50" t="s">
        <v>197</v>
      </c>
      <c r="CA50" s="50" t="s">
        <v>197</v>
      </c>
      <c r="CB50" s="43" t="str">
        <f>IF(IFERROR(INDEX(Consulta!$A:$DN,MATCH('ZM01'!$C50,Consulta!$D:$D,0),'ZM01'!CB$2),"")=0,"",IFERROR(INDEX(Consulta!$A:$DN,MATCH('ZM01'!$C50,Consulta!$D:$D,0),'ZM01'!CB$2),""))</f>
        <v/>
      </c>
      <c r="CC50" s="44" t="s">
        <v>392</v>
      </c>
      <c r="CD50" s="50">
        <v>0</v>
      </c>
      <c r="CE50" s="45" t="s">
        <v>403</v>
      </c>
      <c r="CF50" s="45" t="s">
        <v>84</v>
      </c>
      <c r="CG50" s="43" t="str">
        <f t="shared" si="15"/>
        <v/>
      </c>
      <c r="CH50" s="45" t="s">
        <v>430</v>
      </c>
      <c r="CI50" s="44">
        <v>0</v>
      </c>
      <c r="CJ50" s="43" t="str">
        <f t="shared" si="27"/>
        <v>E</v>
      </c>
      <c r="CK50" s="43" t="str">
        <f t="shared" si="28"/>
        <v/>
      </c>
      <c r="CL50" s="44">
        <v>2</v>
      </c>
      <c r="CM50" s="49" t="str">
        <f t="shared" si="48"/>
        <v/>
      </c>
      <c r="CN50" s="49" t="str">
        <f t="shared" si="49"/>
        <v/>
      </c>
      <c r="CO50" s="43" t="str">
        <f t="shared" si="29"/>
        <v/>
      </c>
      <c r="CP50" s="44">
        <v>1</v>
      </c>
      <c r="CQ50" s="50" t="s">
        <v>515</v>
      </c>
      <c r="CR50" s="44" t="s">
        <v>372</v>
      </c>
      <c r="CS50" s="44">
        <v>2</v>
      </c>
      <c r="CT50" s="44">
        <v>42</v>
      </c>
      <c r="CU50" s="44">
        <v>10</v>
      </c>
      <c r="CV50" s="43" t="str">
        <f t="shared" si="30"/>
        <v>K00_AO_</v>
      </c>
      <c r="CW50" s="43" t="str">
        <f t="shared" si="31"/>
        <v/>
      </c>
      <c r="CX50" s="43" t="str">
        <f t="shared" si="32"/>
        <v/>
      </c>
      <c r="CY50" s="44">
        <v>1</v>
      </c>
      <c r="CZ50" s="43" t="str">
        <f t="shared" si="33"/>
        <v/>
      </c>
      <c r="DA50" s="43" t="str">
        <f>IF(IFERROR(INDEX(Consulta!$A:$DN,MATCH('ZM01'!$C50,Consulta!$D:$D,0),'ZM01'!DA$2),"")=0,"",IFERROR(INDEX(Consulta!$A:$DN,MATCH('ZM01'!$C50,Consulta!$D:$D,0),'ZM01'!DA$2),""))</f>
        <v/>
      </c>
      <c r="DB50" s="43" t="str">
        <f>IF(IFERROR(INDEX(Consulta!$A:$DN,MATCH('ZM01'!$C50,Consulta!$D:$D,0),'ZM01'!DB$2),"")=0,"",IFERROR(INDEX(Consulta!$A:$DN,MATCH('ZM01'!$C50,Consulta!$D:$D,0),'ZM01'!DB$2),""))</f>
        <v/>
      </c>
      <c r="DC50" s="45">
        <v>0</v>
      </c>
      <c r="DD50" s="45">
        <v>0</v>
      </c>
      <c r="DE50" s="43" t="str">
        <f>IF(IFERROR(INDEX(Consulta!$A:$DN,MATCH('ZM01'!$C50,Consulta!$D:$D,0),'ZM01'!DE$2),"")=0,"",IFERROR(TEXT(VALUE(INDEX(Consulta!$A:$DN,MATCH('ZM01'!$C50,Consulta!$D:$D,0),'ZM01'!DE$2))/100,"0,00"),""))</f>
        <v/>
      </c>
      <c r="DG50" s="43">
        <f t="shared" si="50"/>
        <v>1</v>
      </c>
      <c r="DH50" s="43" t="str">
        <f>IF(IFERROR(INDEX(Consulta!$A:$DN,MATCH('ZM01'!$C50,Consulta!$D:$D,0),'ZM01'!DH$2),"")=0,"",IFERROR(VLOOKUP(INDEX(Consulta!$A:$DN,MATCH('ZM01'!$C50,Consulta!$D:$D,0),'ZM01'!DH$2),'Listas de Dados'!BU:BW,3,0),""))</f>
        <v/>
      </c>
      <c r="DI50" s="43" t="str">
        <f t="shared" ca="1" si="51"/>
        <v>24.05.2022</v>
      </c>
      <c r="DJ50" s="43" t="str">
        <f t="shared" si="52"/>
        <v>31.12.9999</v>
      </c>
      <c r="DL50" s="44">
        <v>1</v>
      </c>
      <c r="DM50" s="44" t="s">
        <v>1039</v>
      </c>
      <c r="DN50" s="44">
        <v>1</v>
      </c>
      <c r="DO50" s="43">
        <f t="shared" si="34"/>
        <v>1</v>
      </c>
      <c r="DP50" s="43" t="str">
        <f t="shared" si="35"/>
        <v>PC</v>
      </c>
      <c r="DQ50" s="43" t="str">
        <f t="shared" si="36"/>
        <v/>
      </c>
      <c r="DR50" s="44">
        <v>100</v>
      </c>
      <c r="DS50" s="71">
        <f t="shared" si="21"/>
        <v>1</v>
      </c>
      <c r="DT50" s="43">
        <f t="shared" si="53"/>
        <v>100</v>
      </c>
      <c r="DU50" s="44">
        <v>1</v>
      </c>
      <c r="DV50" s="44">
        <v>0</v>
      </c>
      <c r="DW50" s="44" t="s">
        <v>826</v>
      </c>
      <c r="DX50" s="45">
        <v>0</v>
      </c>
      <c r="DY50" s="44">
        <v>100</v>
      </c>
      <c r="DZ50" s="61"/>
    </row>
    <row r="51" spans="1:130" x14ac:dyDescent="0.2">
      <c r="A51" s="7" t="str">
        <f t="shared" si="2"/>
        <v>Execução 47</v>
      </c>
      <c r="B51" s="79"/>
      <c r="C51" s="85"/>
      <c r="D51" s="71" t="str">
        <f t="shared" si="37"/>
        <v/>
      </c>
      <c r="E51" s="71" t="str">
        <f t="shared" si="38"/>
        <v/>
      </c>
      <c r="F51" s="43" t="str">
        <f>IF(IFERROR(INDEX(Consulta!$A:$DN,MATCH('ZM01'!$C51,Consulta!$D:$D,0),'ZM01'!F$2),"")=0,"",IFERROR(INDEX(Consulta!$A:$DN,MATCH('ZM01'!$C51,Consulta!$D:$D,0),'ZM01'!F$2),""))</f>
        <v/>
      </c>
      <c r="G51" s="43" t="str">
        <f>IF(IFERROR(INDEX(Consulta!$A:$DN,MATCH('ZM01'!$C51,Consulta!$D:$D,0),'ZM01'!G$2),"")=0,"",IFERROR(INDEX(Consulta!$A:$DN,MATCH('ZM01'!$C51,Consulta!$D:$D,0),'ZM01'!G$2),""))</f>
        <v/>
      </c>
      <c r="H51" s="43" t="str">
        <f t="shared" si="23"/>
        <v/>
      </c>
      <c r="I51" s="44" t="s">
        <v>100</v>
      </c>
      <c r="J51" s="43" t="str">
        <f>IF(IFERROR(INDEX(Consulta!$A:$DN,MATCH('ZM01'!$C51,Consulta!$D:$D,0),'ZM01'!J$2),"")=0,"",IFERROR(INDEX(Consulta!$A:$DN,MATCH('ZM01'!$C51,Consulta!$D:$D,0),'ZM01'!J$2),""))</f>
        <v/>
      </c>
      <c r="K51" s="43" t="str">
        <f>IF(IFERROR(INDEX(Consulta!$A:$DN,MATCH('ZM01'!$C51,Consulta!$D:$D,0),'ZM01'!K$2),"")=0,"",IFERROR(INDEX(Consulta!$A:$DN,MATCH('ZM01'!$C51,Consulta!$D:$D,0),'ZM01'!K$2),""))</f>
        <v/>
      </c>
      <c r="L51" s="43" t="str">
        <f t="shared" si="39"/>
        <v/>
      </c>
      <c r="M51" s="43" t="str">
        <f>IF(IFERROR(INDEX(Consulta!$A:$DN,MATCH('ZM01'!$C51,Consulta!$D:$D,0),'ZM01'!M$2),"")=0,"",IFERROR(INDEX(Consulta!$A:$DN,MATCH('ZM01'!$C51,Consulta!$D:$D,0),'ZM01'!M$2),""))</f>
        <v/>
      </c>
      <c r="N51" s="43" t="str">
        <f t="shared" si="40"/>
        <v/>
      </c>
      <c r="P51" s="45" t="s">
        <v>101</v>
      </c>
      <c r="Q51" s="45" t="s">
        <v>102</v>
      </c>
      <c r="R51" s="45" t="s">
        <v>103</v>
      </c>
      <c r="S51" s="45" t="s">
        <v>104</v>
      </c>
      <c r="T51" s="45" t="s">
        <v>105</v>
      </c>
      <c r="U51" s="45" t="s">
        <v>106</v>
      </c>
      <c r="V51" s="45" t="s">
        <v>107</v>
      </c>
      <c r="W51" s="45" t="s">
        <v>109</v>
      </c>
      <c r="X51" s="45" t="s">
        <v>110</v>
      </c>
      <c r="Y51" s="45"/>
      <c r="Z51" s="45"/>
      <c r="AA51" s="45" t="s">
        <v>112</v>
      </c>
      <c r="AB51" s="45" t="s">
        <v>113</v>
      </c>
      <c r="AC51" s="45" t="s">
        <v>114</v>
      </c>
      <c r="AD51" s="45" t="s">
        <v>115</v>
      </c>
      <c r="AE51" s="45" t="s">
        <v>117</v>
      </c>
      <c r="AF51" s="45" t="s">
        <v>118</v>
      </c>
      <c r="AG51" s="45" t="s">
        <v>119</v>
      </c>
      <c r="AH51" s="45" t="s">
        <v>120</v>
      </c>
      <c r="AI51" s="45" t="s">
        <v>121</v>
      </c>
      <c r="AJ51" s="45" t="s">
        <v>122</v>
      </c>
      <c r="AK51" s="45" t="s">
        <v>123</v>
      </c>
      <c r="AL51" s="45" t="s">
        <v>124</v>
      </c>
      <c r="AM51" s="45" t="s">
        <v>125</v>
      </c>
      <c r="AN51" s="45" t="s">
        <v>126</v>
      </c>
      <c r="AO51" s="45"/>
      <c r="AP51" s="45"/>
      <c r="AR51" s="44" t="s">
        <v>822</v>
      </c>
      <c r="AS51" s="43" t="str">
        <f>IF(IFERROR(INDEX(Consulta!$A:$DN,MATCH('ZM01'!$C51,Consulta!$D:$D,0),'ZM01'!AS$2),"")=0,"",IFERROR(INDEX(Consulta!$A:$DN,MATCH('ZM01'!$C51,Consulta!$D:$D,0),'ZM01'!AS$2),""))</f>
        <v/>
      </c>
      <c r="AT51" s="45"/>
      <c r="AU51" s="43" t="str">
        <f>IF(IFERROR(INDEX(Consulta!$A:$DN,MATCH('ZM01'!$C51,Consulta!$D:$D,0),'ZM01'!AU$2),"")=0,"",IFERROR(INDEX(Consulta!$A:$DN,MATCH('ZM01'!$C51,Consulta!$D:$D,0),'ZM01'!AU$2),""))</f>
        <v/>
      </c>
      <c r="AV51" s="43" t="str">
        <f>IF(IFERROR(INDEX(Consulta!$A:$DN,MATCH('ZM01'!$C51,Consulta!$D:$D,0),'ZM01'!AV$2),"")=0,"",IFERROR(INDEX(Consulta!$A:$DN,MATCH('ZM01'!$C51,Consulta!$D:$D,0),'ZM01'!AV$2),""))</f>
        <v/>
      </c>
      <c r="AW51" s="45"/>
      <c r="AX51" s="46" t="str">
        <f t="shared" ca="1" si="41"/>
        <v/>
      </c>
      <c r="AY51" s="47" t="s">
        <v>755</v>
      </c>
      <c r="AZ51" s="43" t="str">
        <f>IF(IFERROR(ROUND(INDEX(Consulta!$A:$DN,MATCH('ZM01'!$C51,Consulta!$D:$D,0),'ZM01'!AZ$2),3),"")=0,"",IFERROR(ROUND(INDEX(Consulta!$A:$DN,MATCH('ZM01'!$C51,Consulta!$D:$D,0),'ZM01'!AZ$2),3),""))</f>
        <v/>
      </c>
      <c r="BA51" s="43" t="str">
        <f t="shared" si="42"/>
        <v/>
      </c>
      <c r="BB51" s="48" t="s">
        <v>299</v>
      </c>
      <c r="BC51" s="48"/>
      <c r="BD51" s="43" t="str">
        <f>IF(IFERROR(INDEX(Consulta!$A:$DN,MATCH('ZM01'!$C51,Consulta!$D:$D,0),'ZM01'!BD$2),"")=0,"",IFERROR(INDEX(Consulta!$A:$DN,MATCH('ZM01'!$C51,Consulta!$D:$D,0),'ZM01'!BD$2),""))</f>
        <v/>
      </c>
      <c r="BE51" s="43" t="str">
        <f t="shared" si="0"/>
        <v/>
      </c>
      <c r="BF51" s="43" t="str">
        <f t="shared" si="43"/>
        <v/>
      </c>
      <c r="BG51" s="43" t="str">
        <f t="shared" si="1"/>
        <v/>
      </c>
      <c r="BH51" s="43" t="str">
        <f t="shared" si="44"/>
        <v>PC</v>
      </c>
      <c r="BI51" s="43" t="str">
        <f t="shared" si="24"/>
        <v/>
      </c>
      <c r="BJ51" s="43" t="str">
        <f t="shared" si="25"/>
        <v/>
      </c>
      <c r="BK51" s="43" t="str">
        <f t="shared" si="26"/>
        <v/>
      </c>
      <c r="BL51" s="43" t="str">
        <f t="shared" si="45"/>
        <v>PC</v>
      </c>
      <c r="BN51" s="44"/>
      <c r="BO51" s="44" t="s">
        <v>925</v>
      </c>
      <c r="BP51" s="43" t="str">
        <f>IF(OR(IFERROR(INDEX(Consulta!$A:$DN,MATCH('ZM01'!$C51,Consulta!$D:$D,0),'ZM01'!BP$2),"")=0,IFERROR(INDEX(Consulta!$A:$DN,MATCH('ZM01'!$C51,Consulta!$D:$D,0),'ZM01'!BP$2),"")=AR51),"",IFERROR(INDEX(Consulta!$A:$DN,MATCH('ZM01'!$C51,Consulta!$D:$D,0),'ZM01'!BP$2),""))</f>
        <v/>
      </c>
      <c r="BQ51" s="45">
        <v>99</v>
      </c>
      <c r="BR51" s="46" t="str">
        <f t="shared" ca="1" si="46"/>
        <v>24.05.2022</v>
      </c>
      <c r="BS51" s="49" t="str">
        <f t="shared" si="47"/>
        <v/>
      </c>
      <c r="BT51" s="50">
        <v>1</v>
      </c>
      <c r="BU51" s="50" t="s">
        <v>194</v>
      </c>
      <c r="BV51" s="90" t="str">
        <f t="shared" si="14"/>
        <v>01</v>
      </c>
      <c r="BW51" s="50" t="s">
        <v>755</v>
      </c>
      <c r="BX51" s="44">
        <v>1</v>
      </c>
      <c r="BY51" s="44" t="s">
        <v>372</v>
      </c>
      <c r="BZ51" s="50" t="s">
        <v>197</v>
      </c>
      <c r="CA51" s="50" t="s">
        <v>197</v>
      </c>
      <c r="CB51" s="43" t="str">
        <f>IF(IFERROR(INDEX(Consulta!$A:$DN,MATCH('ZM01'!$C51,Consulta!$D:$D,0),'ZM01'!CB$2),"")=0,"",IFERROR(INDEX(Consulta!$A:$DN,MATCH('ZM01'!$C51,Consulta!$D:$D,0),'ZM01'!CB$2),""))</f>
        <v/>
      </c>
      <c r="CC51" s="44" t="s">
        <v>392</v>
      </c>
      <c r="CD51" s="50">
        <v>0</v>
      </c>
      <c r="CE51" s="45" t="s">
        <v>403</v>
      </c>
      <c r="CF51" s="45" t="s">
        <v>84</v>
      </c>
      <c r="CG51" s="43" t="str">
        <f t="shared" si="15"/>
        <v/>
      </c>
      <c r="CH51" s="45" t="s">
        <v>430</v>
      </c>
      <c r="CI51" s="44">
        <v>0</v>
      </c>
      <c r="CJ51" s="43" t="str">
        <f t="shared" si="27"/>
        <v>E</v>
      </c>
      <c r="CK51" s="43" t="str">
        <f t="shared" si="28"/>
        <v/>
      </c>
      <c r="CL51" s="44">
        <v>2</v>
      </c>
      <c r="CM51" s="49" t="str">
        <f t="shared" si="48"/>
        <v/>
      </c>
      <c r="CN51" s="49" t="str">
        <f t="shared" si="49"/>
        <v/>
      </c>
      <c r="CO51" s="43" t="str">
        <f t="shared" si="29"/>
        <v/>
      </c>
      <c r="CP51" s="44">
        <v>1</v>
      </c>
      <c r="CQ51" s="50" t="s">
        <v>515</v>
      </c>
      <c r="CR51" s="44" t="s">
        <v>372</v>
      </c>
      <c r="CS51" s="44">
        <v>2</v>
      </c>
      <c r="CT51" s="44">
        <v>42</v>
      </c>
      <c r="CU51" s="44">
        <v>10</v>
      </c>
      <c r="CV51" s="43" t="str">
        <f t="shared" si="30"/>
        <v>K00_AO_</v>
      </c>
      <c r="CW51" s="43" t="str">
        <f t="shared" si="31"/>
        <v/>
      </c>
      <c r="CX51" s="43" t="str">
        <f t="shared" si="32"/>
        <v/>
      </c>
      <c r="CY51" s="44">
        <v>1</v>
      </c>
      <c r="CZ51" s="43" t="str">
        <f t="shared" si="33"/>
        <v/>
      </c>
      <c r="DA51" s="43" t="str">
        <f>IF(IFERROR(INDEX(Consulta!$A:$DN,MATCH('ZM01'!$C51,Consulta!$D:$D,0),'ZM01'!DA$2),"")=0,"",IFERROR(INDEX(Consulta!$A:$DN,MATCH('ZM01'!$C51,Consulta!$D:$D,0),'ZM01'!DA$2),""))</f>
        <v/>
      </c>
      <c r="DB51" s="43" t="str">
        <f>IF(IFERROR(INDEX(Consulta!$A:$DN,MATCH('ZM01'!$C51,Consulta!$D:$D,0),'ZM01'!DB$2),"")=0,"",IFERROR(INDEX(Consulta!$A:$DN,MATCH('ZM01'!$C51,Consulta!$D:$D,0),'ZM01'!DB$2),""))</f>
        <v/>
      </c>
      <c r="DC51" s="45">
        <v>0</v>
      </c>
      <c r="DD51" s="45">
        <v>0</v>
      </c>
      <c r="DE51" s="43" t="str">
        <f>IF(IFERROR(INDEX(Consulta!$A:$DN,MATCH('ZM01'!$C51,Consulta!$D:$D,0),'ZM01'!DE$2),"")=0,"",IFERROR(TEXT(VALUE(INDEX(Consulta!$A:$DN,MATCH('ZM01'!$C51,Consulta!$D:$D,0),'ZM01'!DE$2))/100,"0,00"),""))</f>
        <v/>
      </c>
      <c r="DG51" s="43">
        <f t="shared" si="50"/>
        <v>1</v>
      </c>
      <c r="DH51" s="43" t="str">
        <f>IF(IFERROR(INDEX(Consulta!$A:$DN,MATCH('ZM01'!$C51,Consulta!$D:$D,0),'ZM01'!DH$2),"")=0,"",IFERROR(VLOOKUP(INDEX(Consulta!$A:$DN,MATCH('ZM01'!$C51,Consulta!$D:$D,0),'ZM01'!DH$2),'Listas de Dados'!BU:BW,3,0),""))</f>
        <v/>
      </c>
      <c r="DI51" s="43" t="str">
        <f t="shared" ca="1" si="51"/>
        <v>24.05.2022</v>
      </c>
      <c r="DJ51" s="43" t="str">
        <f t="shared" si="52"/>
        <v>31.12.9999</v>
      </c>
      <c r="DL51" s="44">
        <v>1</v>
      </c>
      <c r="DM51" s="44" t="s">
        <v>1039</v>
      </c>
      <c r="DN51" s="44">
        <v>1</v>
      </c>
      <c r="DO51" s="43">
        <f t="shared" si="34"/>
        <v>1</v>
      </c>
      <c r="DP51" s="43" t="str">
        <f t="shared" si="35"/>
        <v>PC</v>
      </c>
      <c r="DQ51" s="43" t="str">
        <f t="shared" si="36"/>
        <v/>
      </c>
      <c r="DR51" s="44">
        <v>100</v>
      </c>
      <c r="DS51" s="71">
        <f t="shared" si="21"/>
        <v>1</v>
      </c>
      <c r="DT51" s="43">
        <f t="shared" si="53"/>
        <v>100</v>
      </c>
      <c r="DU51" s="44">
        <v>1</v>
      </c>
      <c r="DV51" s="44">
        <v>0</v>
      </c>
      <c r="DW51" s="44" t="s">
        <v>826</v>
      </c>
      <c r="DX51" s="45">
        <v>0</v>
      </c>
      <c r="DY51" s="44">
        <v>100</v>
      </c>
      <c r="DZ51" s="60"/>
    </row>
    <row r="52" spans="1:130" x14ac:dyDescent="0.2">
      <c r="A52" s="7" t="str">
        <f t="shared" si="2"/>
        <v>Execução 48</v>
      </c>
      <c r="B52" s="75"/>
      <c r="C52" s="85"/>
      <c r="D52" s="71" t="str">
        <f t="shared" si="37"/>
        <v/>
      </c>
      <c r="E52" s="71" t="str">
        <f t="shared" si="38"/>
        <v/>
      </c>
      <c r="F52" s="43" t="str">
        <f>IF(IFERROR(INDEX(Consulta!$A:$DN,MATCH('ZM01'!$C52,Consulta!$D:$D,0),'ZM01'!F$2),"")=0,"",IFERROR(INDEX(Consulta!$A:$DN,MATCH('ZM01'!$C52,Consulta!$D:$D,0),'ZM01'!F$2),""))</f>
        <v/>
      </c>
      <c r="G52" s="43" t="str">
        <f>IF(IFERROR(INDEX(Consulta!$A:$DN,MATCH('ZM01'!$C52,Consulta!$D:$D,0),'ZM01'!G$2),"")=0,"",IFERROR(INDEX(Consulta!$A:$DN,MATCH('ZM01'!$C52,Consulta!$D:$D,0),'ZM01'!G$2),""))</f>
        <v/>
      </c>
      <c r="H52" s="43" t="str">
        <f t="shared" si="23"/>
        <v/>
      </c>
      <c r="I52" s="44" t="s">
        <v>100</v>
      </c>
      <c r="J52" s="43" t="str">
        <f>IF(IFERROR(INDEX(Consulta!$A:$DN,MATCH('ZM01'!$C52,Consulta!$D:$D,0),'ZM01'!J$2),"")=0,"",IFERROR(INDEX(Consulta!$A:$DN,MATCH('ZM01'!$C52,Consulta!$D:$D,0),'ZM01'!J$2),""))</f>
        <v/>
      </c>
      <c r="K52" s="43" t="str">
        <f>IF(IFERROR(INDEX(Consulta!$A:$DN,MATCH('ZM01'!$C52,Consulta!$D:$D,0),'ZM01'!K$2),"")=0,"",IFERROR(INDEX(Consulta!$A:$DN,MATCH('ZM01'!$C52,Consulta!$D:$D,0),'ZM01'!K$2),""))</f>
        <v/>
      </c>
      <c r="L52" s="43" t="str">
        <f t="shared" si="39"/>
        <v/>
      </c>
      <c r="M52" s="43" t="str">
        <f>IF(IFERROR(INDEX(Consulta!$A:$DN,MATCH('ZM01'!$C52,Consulta!$D:$D,0),'ZM01'!M$2),"")=0,"",IFERROR(INDEX(Consulta!$A:$DN,MATCH('ZM01'!$C52,Consulta!$D:$D,0),'ZM01'!M$2),""))</f>
        <v/>
      </c>
      <c r="N52" s="43" t="str">
        <f t="shared" si="40"/>
        <v/>
      </c>
      <c r="P52" s="45" t="s">
        <v>101</v>
      </c>
      <c r="Q52" s="45" t="s">
        <v>102</v>
      </c>
      <c r="R52" s="45" t="s">
        <v>103</v>
      </c>
      <c r="S52" s="45" t="s">
        <v>104</v>
      </c>
      <c r="T52" s="45" t="s">
        <v>105</v>
      </c>
      <c r="U52" s="45" t="s">
        <v>106</v>
      </c>
      <c r="V52" s="45" t="s">
        <v>107</v>
      </c>
      <c r="W52" s="45" t="s">
        <v>109</v>
      </c>
      <c r="X52" s="45" t="s">
        <v>110</v>
      </c>
      <c r="Y52" s="45"/>
      <c r="Z52" s="45"/>
      <c r="AA52" s="45" t="s">
        <v>112</v>
      </c>
      <c r="AB52" s="45" t="s">
        <v>113</v>
      </c>
      <c r="AC52" s="45" t="s">
        <v>114</v>
      </c>
      <c r="AD52" s="45" t="s">
        <v>115</v>
      </c>
      <c r="AE52" s="45" t="s">
        <v>117</v>
      </c>
      <c r="AF52" s="45" t="s">
        <v>118</v>
      </c>
      <c r="AG52" s="45" t="s">
        <v>119</v>
      </c>
      <c r="AH52" s="45" t="s">
        <v>120</v>
      </c>
      <c r="AI52" s="45" t="s">
        <v>121</v>
      </c>
      <c r="AJ52" s="45" t="s">
        <v>122</v>
      </c>
      <c r="AK52" s="45" t="s">
        <v>123</v>
      </c>
      <c r="AL52" s="45" t="s">
        <v>124</v>
      </c>
      <c r="AM52" s="45" t="s">
        <v>125</v>
      </c>
      <c r="AN52" s="45" t="s">
        <v>126</v>
      </c>
      <c r="AO52" s="45"/>
      <c r="AP52" s="45"/>
      <c r="AR52" s="44" t="s">
        <v>822</v>
      </c>
      <c r="AS52" s="43" t="str">
        <f>IF(IFERROR(INDEX(Consulta!$A:$DN,MATCH('ZM01'!$C52,Consulta!$D:$D,0),'ZM01'!AS$2),"")=0,"",IFERROR(INDEX(Consulta!$A:$DN,MATCH('ZM01'!$C52,Consulta!$D:$D,0),'ZM01'!AS$2),""))</f>
        <v/>
      </c>
      <c r="AT52" s="45"/>
      <c r="AU52" s="43" t="str">
        <f>IF(IFERROR(INDEX(Consulta!$A:$DN,MATCH('ZM01'!$C52,Consulta!$D:$D,0),'ZM01'!AU$2),"")=0,"",IFERROR(INDEX(Consulta!$A:$DN,MATCH('ZM01'!$C52,Consulta!$D:$D,0),'ZM01'!AU$2),""))</f>
        <v/>
      </c>
      <c r="AV52" s="43" t="str">
        <f>IF(IFERROR(INDEX(Consulta!$A:$DN,MATCH('ZM01'!$C52,Consulta!$D:$D,0),'ZM01'!AV$2),"")=0,"",IFERROR(INDEX(Consulta!$A:$DN,MATCH('ZM01'!$C52,Consulta!$D:$D,0),'ZM01'!AV$2),""))</f>
        <v/>
      </c>
      <c r="AW52" s="45"/>
      <c r="AX52" s="46" t="str">
        <f t="shared" ca="1" si="41"/>
        <v/>
      </c>
      <c r="AY52" s="47" t="s">
        <v>755</v>
      </c>
      <c r="AZ52" s="43" t="str">
        <f>IF(IFERROR(ROUND(INDEX(Consulta!$A:$DN,MATCH('ZM01'!$C52,Consulta!$D:$D,0),'ZM01'!AZ$2),3),"")=0,"",IFERROR(ROUND(INDEX(Consulta!$A:$DN,MATCH('ZM01'!$C52,Consulta!$D:$D,0),'ZM01'!AZ$2),3),""))</f>
        <v/>
      </c>
      <c r="BA52" s="43" t="str">
        <f t="shared" si="42"/>
        <v/>
      </c>
      <c r="BB52" s="48" t="s">
        <v>299</v>
      </c>
      <c r="BC52" s="48"/>
      <c r="BD52" s="43" t="str">
        <f>IF(IFERROR(INDEX(Consulta!$A:$DN,MATCH('ZM01'!$C52,Consulta!$D:$D,0),'ZM01'!BD$2),"")=0,"",IFERROR(INDEX(Consulta!$A:$DN,MATCH('ZM01'!$C52,Consulta!$D:$D,0),'ZM01'!BD$2),""))</f>
        <v/>
      </c>
      <c r="BE52" s="43" t="str">
        <f t="shared" si="0"/>
        <v/>
      </c>
      <c r="BF52" s="43" t="str">
        <f t="shared" si="43"/>
        <v/>
      </c>
      <c r="BG52" s="43" t="str">
        <f t="shared" si="1"/>
        <v/>
      </c>
      <c r="BH52" s="43" t="str">
        <f t="shared" si="44"/>
        <v>PC</v>
      </c>
      <c r="BI52" s="43" t="str">
        <f t="shared" si="24"/>
        <v/>
      </c>
      <c r="BJ52" s="43" t="str">
        <f t="shared" si="25"/>
        <v/>
      </c>
      <c r="BK52" s="43" t="str">
        <f t="shared" si="26"/>
        <v/>
      </c>
      <c r="BL52" s="43" t="str">
        <f t="shared" si="45"/>
        <v>PC</v>
      </c>
      <c r="BN52" s="44"/>
      <c r="BO52" s="44" t="s">
        <v>925</v>
      </c>
      <c r="BP52" s="43" t="str">
        <f>IF(OR(IFERROR(INDEX(Consulta!$A:$DN,MATCH('ZM01'!$C52,Consulta!$D:$D,0),'ZM01'!BP$2),"")=0,IFERROR(INDEX(Consulta!$A:$DN,MATCH('ZM01'!$C52,Consulta!$D:$D,0),'ZM01'!BP$2),"")=AR52),"",IFERROR(INDEX(Consulta!$A:$DN,MATCH('ZM01'!$C52,Consulta!$D:$D,0),'ZM01'!BP$2),""))</f>
        <v/>
      </c>
      <c r="BQ52" s="45">
        <v>99</v>
      </c>
      <c r="BR52" s="46" t="str">
        <f t="shared" ca="1" si="46"/>
        <v>24.05.2022</v>
      </c>
      <c r="BS52" s="49" t="str">
        <f t="shared" si="47"/>
        <v/>
      </c>
      <c r="BT52" s="50">
        <v>1</v>
      </c>
      <c r="BU52" s="50" t="s">
        <v>194</v>
      </c>
      <c r="BV52" s="90" t="str">
        <f t="shared" si="14"/>
        <v>01</v>
      </c>
      <c r="BW52" s="50" t="s">
        <v>755</v>
      </c>
      <c r="BX52" s="44">
        <v>1</v>
      </c>
      <c r="BY52" s="44" t="s">
        <v>372</v>
      </c>
      <c r="BZ52" s="50" t="s">
        <v>197</v>
      </c>
      <c r="CA52" s="50" t="s">
        <v>197</v>
      </c>
      <c r="CB52" s="43" t="str">
        <f>IF(IFERROR(INDEX(Consulta!$A:$DN,MATCH('ZM01'!$C52,Consulta!$D:$D,0),'ZM01'!CB$2),"")=0,"",IFERROR(INDEX(Consulta!$A:$DN,MATCH('ZM01'!$C52,Consulta!$D:$D,0),'ZM01'!CB$2),""))</f>
        <v/>
      </c>
      <c r="CC52" s="44" t="s">
        <v>392</v>
      </c>
      <c r="CD52" s="50">
        <v>0</v>
      </c>
      <c r="CE52" s="45" t="s">
        <v>403</v>
      </c>
      <c r="CF52" s="45" t="s">
        <v>84</v>
      </c>
      <c r="CG52" s="43" t="str">
        <f t="shared" si="15"/>
        <v/>
      </c>
      <c r="CH52" s="45" t="s">
        <v>430</v>
      </c>
      <c r="CI52" s="44">
        <v>0</v>
      </c>
      <c r="CJ52" s="43" t="str">
        <f t="shared" si="27"/>
        <v>E</v>
      </c>
      <c r="CK52" s="43" t="str">
        <f t="shared" si="28"/>
        <v/>
      </c>
      <c r="CL52" s="44">
        <v>2</v>
      </c>
      <c r="CM52" s="49" t="str">
        <f t="shared" si="48"/>
        <v/>
      </c>
      <c r="CN52" s="49" t="str">
        <f t="shared" si="49"/>
        <v/>
      </c>
      <c r="CO52" s="43" t="str">
        <f t="shared" si="29"/>
        <v/>
      </c>
      <c r="CP52" s="44">
        <v>1</v>
      </c>
      <c r="CQ52" s="50" t="s">
        <v>515</v>
      </c>
      <c r="CR52" s="44" t="s">
        <v>372</v>
      </c>
      <c r="CS52" s="44">
        <v>2</v>
      </c>
      <c r="CT52" s="44">
        <v>42</v>
      </c>
      <c r="CU52" s="44">
        <v>10</v>
      </c>
      <c r="CV52" s="43" t="str">
        <f t="shared" si="30"/>
        <v>K00_AO_</v>
      </c>
      <c r="CW52" s="43" t="str">
        <f t="shared" si="31"/>
        <v/>
      </c>
      <c r="CX52" s="43" t="str">
        <f t="shared" si="32"/>
        <v/>
      </c>
      <c r="CY52" s="44">
        <v>1</v>
      </c>
      <c r="CZ52" s="43" t="str">
        <f t="shared" si="33"/>
        <v/>
      </c>
      <c r="DA52" s="43" t="str">
        <f>IF(IFERROR(INDEX(Consulta!$A:$DN,MATCH('ZM01'!$C52,Consulta!$D:$D,0),'ZM01'!DA$2),"")=0,"",IFERROR(INDEX(Consulta!$A:$DN,MATCH('ZM01'!$C52,Consulta!$D:$D,0),'ZM01'!DA$2),""))</f>
        <v/>
      </c>
      <c r="DB52" s="43" t="str">
        <f>IF(IFERROR(INDEX(Consulta!$A:$DN,MATCH('ZM01'!$C52,Consulta!$D:$D,0),'ZM01'!DB$2),"")=0,"",IFERROR(INDEX(Consulta!$A:$DN,MATCH('ZM01'!$C52,Consulta!$D:$D,0),'ZM01'!DB$2),""))</f>
        <v/>
      </c>
      <c r="DC52" s="45">
        <v>0</v>
      </c>
      <c r="DD52" s="45">
        <v>0</v>
      </c>
      <c r="DE52" s="43" t="str">
        <f>IF(IFERROR(INDEX(Consulta!$A:$DN,MATCH('ZM01'!$C52,Consulta!$D:$D,0),'ZM01'!DE$2),"")=0,"",IFERROR(TEXT(VALUE(INDEX(Consulta!$A:$DN,MATCH('ZM01'!$C52,Consulta!$D:$D,0),'ZM01'!DE$2))/100,"0,00"),""))</f>
        <v/>
      </c>
      <c r="DG52" s="43">
        <f t="shared" si="50"/>
        <v>1</v>
      </c>
      <c r="DH52" s="43" t="str">
        <f>IF(IFERROR(INDEX(Consulta!$A:$DN,MATCH('ZM01'!$C52,Consulta!$D:$D,0),'ZM01'!DH$2),"")=0,"",IFERROR(VLOOKUP(INDEX(Consulta!$A:$DN,MATCH('ZM01'!$C52,Consulta!$D:$D,0),'ZM01'!DH$2),'Listas de Dados'!BU:BW,3,0),""))</f>
        <v/>
      </c>
      <c r="DI52" s="43" t="str">
        <f t="shared" ca="1" si="51"/>
        <v>24.05.2022</v>
      </c>
      <c r="DJ52" s="43" t="str">
        <f t="shared" si="52"/>
        <v>31.12.9999</v>
      </c>
      <c r="DL52" s="44">
        <v>1</v>
      </c>
      <c r="DM52" s="44" t="s">
        <v>1039</v>
      </c>
      <c r="DN52" s="44">
        <v>1</v>
      </c>
      <c r="DO52" s="43">
        <f t="shared" si="34"/>
        <v>1</v>
      </c>
      <c r="DP52" s="43" t="str">
        <f t="shared" si="35"/>
        <v>PC</v>
      </c>
      <c r="DQ52" s="43" t="str">
        <f t="shared" si="36"/>
        <v/>
      </c>
      <c r="DR52" s="44">
        <v>100</v>
      </c>
      <c r="DS52" s="71">
        <f t="shared" si="21"/>
        <v>1</v>
      </c>
      <c r="DT52" s="43">
        <f t="shared" si="53"/>
        <v>100</v>
      </c>
      <c r="DU52" s="44">
        <v>1</v>
      </c>
      <c r="DV52" s="44">
        <v>0</v>
      </c>
      <c r="DW52" s="44" t="s">
        <v>826</v>
      </c>
      <c r="DX52" s="45">
        <v>0</v>
      </c>
      <c r="DY52" s="44">
        <v>100</v>
      </c>
      <c r="DZ52" s="61"/>
    </row>
    <row r="53" spans="1:130" x14ac:dyDescent="0.2">
      <c r="A53" s="7" t="str">
        <f t="shared" si="2"/>
        <v>Execução 49</v>
      </c>
      <c r="B53" s="79"/>
      <c r="C53" s="85"/>
      <c r="D53" s="71" t="str">
        <f t="shared" si="37"/>
        <v/>
      </c>
      <c r="E53" s="71" t="str">
        <f t="shared" si="38"/>
        <v/>
      </c>
      <c r="F53" s="43" t="str">
        <f>IF(IFERROR(INDEX(Consulta!$A:$DN,MATCH('ZM01'!$C53,Consulta!$D:$D,0),'ZM01'!F$2),"")=0,"",IFERROR(INDEX(Consulta!$A:$DN,MATCH('ZM01'!$C53,Consulta!$D:$D,0),'ZM01'!F$2),""))</f>
        <v/>
      </c>
      <c r="G53" s="43" t="str">
        <f>IF(IFERROR(INDEX(Consulta!$A:$DN,MATCH('ZM01'!$C53,Consulta!$D:$D,0),'ZM01'!G$2),"")=0,"",IFERROR(INDEX(Consulta!$A:$DN,MATCH('ZM01'!$C53,Consulta!$D:$D,0),'ZM01'!G$2),""))</f>
        <v/>
      </c>
      <c r="H53" s="43" t="str">
        <f t="shared" si="23"/>
        <v/>
      </c>
      <c r="I53" s="44" t="s">
        <v>100</v>
      </c>
      <c r="J53" s="43" t="str">
        <f>IF(IFERROR(INDEX(Consulta!$A:$DN,MATCH('ZM01'!$C53,Consulta!$D:$D,0),'ZM01'!J$2),"")=0,"",IFERROR(INDEX(Consulta!$A:$DN,MATCH('ZM01'!$C53,Consulta!$D:$D,0),'ZM01'!J$2),""))</f>
        <v/>
      </c>
      <c r="K53" s="43" t="str">
        <f>IF(IFERROR(INDEX(Consulta!$A:$DN,MATCH('ZM01'!$C53,Consulta!$D:$D,0),'ZM01'!K$2),"")=0,"",IFERROR(INDEX(Consulta!$A:$DN,MATCH('ZM01'!$C53,Consulta!$D:$D,0),'ZM01'!K$2),""))</f>
        <v/>
      </c>
      <c r="L53" s="43" t="str">
        <f t="shared" si="39"/>
        <v/>
      </c>
      <c r="M53" s="43" t="str">
        <f>IF(IFERROR(INDEX(Consulta!$A:$DN,MATCH('ZM01'!$C53,Consulta!$D:$D,0),'ZM01'!M$2),"")=0,"",IFERROR(INDEX(Consulta!$A:$DN,MATCH('ZM01'!$C53,Consulta!$D:$D,0),'ZM01'!M$2),""))</f>
        <v/>
      </c>
      <c r="N53" s="43" t="str">
        <f t="shared" si="40"/>
        <v/>
      </c>
      <c r="P53" s="45" t="s">
        <v>101</v>
      </c>
      <c r="Q53" s="45" t="s">
        <v>102</v>
      </c>
      <c r="R53" s="45" t="s">
        <v>103</v>
      </c>
      <c r="S53" s="45" t="s">
        <v>104</v>
      </c>
      <c r="T53" s="45" t="s">
        <v>105</v>
      </c>
      <c r="U53" s="45" t="s">
        <v>106</v>
      </c>
      <c r="V53" s="45" t="s">
        <v>107</v>
      </c>
      <c r="W53" s="45" t="s">
        <v>109</v>
      </c>
      <c r="X53" s="45" t="s">
        <v>110</v>
      </c>
      <c r="Y53" s="45"/>
      <c r="Z53" s="45"/>
      <c r="AA53" s="45" t="s">
        <v>112</v>
      </c>
      <c r="AB53" s="45" t="s">
        <v>113</v>
      </c>
      <c r="AC53" s="45" t="s">
        <v>114</v>
      </c>
      <c r="AD53" s="45" t="s">
        <v>115</v>
      </c>
      <c r="AE53" s="45" t="s">
        <v>117</v>
      </c>
      <c r="AF53" s="45" t="s">
        <v>118</v>
      </c>
      <c r="AG53" s="45" t="s">
        <v>119</v>
      </c>
      <c r="AH53" s="45" t="s">
        <v>120</v>
      </c>
      <c r="AI53" s="45" t="s">
        <v>121</v>
      </c>
      <c r="AJ53" s="45" t="s">
        <v>122</v>
      </c>
      <c r="AK53" s="45" t="s">
        <v>123</v>
      </c>
      <c r="AL53" s="45" t="s">
        <v>124</v>
      </c>
      <c r="AM53" s="45" t="s">
        <v>125</v>
      </c>
      <c r="AN53" s="45" t="s">
        <v>126</v>
      </c>
      <c r="AO53" s="45"/>
      <c r="AP53" s="45"/>
      <c r="AR53" s="44" t="s">
        <v>822</v>
      </c>
      <c r="AS53" s="43" t="str">
        <f>IF(IFERROR(INDEX(Consulta!$A:$DN,MATCH('ZM01'!$C53,Consulta!$D:$D,0),'ZM01'!AS$2),"")=0,"",IFERROR(INDEX(Consulta!$A:$DN,MATCH('ZM01'!$C53,Consulta!$D:$D,0),'ZM01'!AS$2),""))</f>
        <v/>
      </c>
      <c r="AT53" s="45"/>
      <c r="AU53" s="43" t="str">
        <f>IF(IFERROR(INDEX(Consulta!$A:$DN,MATCH('ZM01'!$C53,Consulta!$D:$D,0),'ZM01'!AU$2),"")=0,"",IFERROR(INDEX(Consulta!$A:$DN,MATCH('ZM01'!$C53,Consulta!$D:$D,0),'ZM01'!AU$2),""))</f>
        <v/>
      </c>
      <c r="AV53" s="43" t="str">
        <f>IF(IFERROR(INDEX(Consulta!$A:$DN,MATCH('ZM01'!$C53,Consulta!$D:$D,0),'ZM01'!AV$2),"")=0,"",IFERROR(INDEX(Consulta!$A:$DN,MATCH('ZM01'!$C53,Consulta!$D:$D,0),'ZM01'!AV$2),""))</f>
        <v/>
      </c>
      <c r="AW53" s="45"/>
      <c r="AX53" s="46" t="str">
        <f t="shared" ca="1" si="41"/>
        <v/>
      </c>
      <c r="AY53" s="47" t="s">
        <v>755</v>
      </c>
      <c r="AZ53" s="43" t="str">
        <f>IF(IFERROR(ROUND(INDEX(Consulta!$A:$DN,MATCH('ZM01'!$C53,Consulta!$D:$D,0),'ZM01'!AZ$2),3),"")=0,"",IFERROR(ROUND(INDEX(Consulta!$A:$DN,MATCH('ZM01'!$C53,Consulta!$D:$D,0),'ZM01'!AZ$2),3),""))</f>
        <v/>
      </c>
      <c r="BA53" s="43" t="str">
        <f t="shared" si="42"/>
        <v/>
      </c>
      <c r="BB53" s="48" t="s">
        <v>299</v>
      </c>
      <c r="BC53" s="48"/>
      <c r="BD53" s="43" t="str">
        <f>IF(IFERROR(INDEX(Consulta!$A:$DN,MATCH('ZM01'!$C53,Consulta!$D:$D,0),'ZM01'!BD$2),"")=0,"",IFERROR(INDEX(Consulta!$A:$DN,MATCH('ZM01'!$C53,Consulta!$D:$D,0),'ZM01'!BD$2),""))</f>
        <v/>
      </c>
      <c r="BE53" s="43" t="str">
        <f t="shared" si="0"/>
        <v/>
      </c>
      <c r="BF53" s="43" t="str">
        <f t="shared" si="43"/>
        <v/>
      </c>
      <c r="BG53" s="43" t="str">
        <f t="shared" si="1"/>
        <v/>
      </c>
      <c r="BH53" s="43" t="str">
        <f t="shared" si="44"/>
        <v>PC</v>
      </c>
      <c r="BI53" s="43" t="str">
        <f t="shared" si="24"/>
        <v/>
      </c>
      <c r="BJ53" s="43" t="str">
        <f t="shared" si="25"/>
        <v/>
      </c>
      <c r="BK53" s="43" t="str">
        <f t="shared" si="26"/>
        <v/>
      </c>
      <c r="BL53" s="43" t="str">
        <f t="shared" si="45"/>
        <v>PC</v>
      </c>
      <c r="BN53" s="44"/>
      <c r="BO53" s="44" t="s">
        <v>925</v>
      </c>
      <c r="BP53" s="43" t="str">
        <f>IF(OR(IFERROR(INDEX(Consulta!$A:$DN,MATCH('ZM01'!$C53,Consulta!$D:$D,0),'ZM01'!BP$2),"")=0,IFERROR(INDEX(Consulta!$A:$DN,MATCH('ZM01'!$C53,Consulta!$D:$D,0),'ZM01'!BP$2),"")=AR53),"",IFERROR(INDEX(Consulta!$A:$DN,MATCH('ZM01'!$C53,Consulta!$D:$D,0),'ZM01'!BP$2),""))</f>
        <v/>
      </c>
      <c r="BQ53" s="45">
        <v>99</v>
      </c>
      <c r="BR53" s="46" t="str">
        <f t="shared" ca="1" si="46"/>
        <v>24.05.2022</v>
      </c>
      <c r="BS53" s="49" t="str">
        <f t="shared" si="47"/>
        <v/>
      </c>
      <c r="BT53" s="50">
        <v>1</v>
      </c>
      <c r="BU53" s="50" t="s">
        <v>194</v>
      </c>
      <c r="BV53" s="90" t="str">
        <f t="shared" si="14"/>
        <v>01</v>
      </c>
      <c r="BW53" s="50" t="s">
        <v>755</v>
      </c>
      <c r="BX53" s="44">
        <v>1</v>
      </c>
      <c r="BY53" s="44" t="s">
        <v>372</v>
      </c>
      <c r="BZ53" s="50" t="s">
        <v>197</v>
      </c>
      <c r="CA53" s="50" t="s">
        <v>197</v>
      </c>
      <c r="CB53" s="43" t="str">
        <f>IF(IFERROR(INDEX(Consulta!$A:$DN,MATCH('ZM01'!$C53,Consulta!$D:$D,0),'ZM01'!CB$2),"")=0,"",IFERROR(INDEX(Consulta!$A:$DN,MATCH('ZM01'!$C53,Consulta!$D:$D,0),'ZM01'!CB$2),""))</f>
        <v/>
      </c>
      <c r="CC53" s="44" t="s">
        <v>392</v>
      </c>
      <c r="CD53" s="50">
        <v>0</v>
      </c>
      <c r="CE53" s="45" t="s">
        <v>403</v>
      </c>
      <c r="CF53" s="45" t="s">
        <v>84</v>
      </c>
      <c r="CG53" s="43" t="str">
        <f t="shared" si="15"/>
        <v/>
      </c>
      <c r="CH53" s="45" t="s">
        <v>430</v>
      </c>
      <c r="CI53" s="44">
        <v>0</v>
      </c>
      <c r="CJ53" s="43" t="str">
        <f t="shared" si="27"/>
        <v>E</v>
      </c>
      <c r="CK53" s="43" t="str">
        <f t="shared" si="28"/>
        <v/>
      </c>
      <c r="CL53" s="44">
        <v>2</v>
      </c>
      <c r="CM53" s="49" t="str">
        <f t="shared" si="48"/>
        <v/>
      </c>
      <c r="CN53" s="49" t="str">
        <f t="shared" si="49"/>
        <v/>
      </c>
      <c r="CO53" s="43" t="str">
        <f t="shared" si="29"/>
        <v/>
      </c>
      <c r="CP53" s="44">
        <v>1</v>
      </c>
      <c r="CQ53" s="50" t="s">
        <v>515</v>
      </c>
      <c r="CR53" s="44" t="s">
        <v>372</v>
      </c>
      <c r="CS53" s="44">
        <v>2</v>
      </c>
      <c r="CT53" s="44">
        <v>42</v>
      </c>
      <c r="CU53" s="44">
        <v>10</v>
      </c>
      <c r="CV53" s="43" t="str">
        <f t="shared" si="30"/>
        <v>K00_AO_</v>
      </c>
      <c r="CW53" s="43" t="str">
        <f t="shared" si="31"/>
        <v/>
      </c>
      <c r="CX53" s="43" t="str">
        <f t="shared" si="32"/>
        <v/>
      </c>
      <c r="CY53" s="44">
        <v>1</v>
      </c>
      <c r="CZ53" s="43" t="str">
        <f t="shared" si="33"/>
        <v/>
      </c>
      <c r="DA53" s="43" t="str">
        <f>IF(IFERROR(INDEX(Consulta!$A:$DN,MATCH('ZM01'!$C53,Consulta!$D:$D,0),'ZM01'!DA$2),"")=0,"",IFERROR(INDEX(Consulta!$A:$DN,MATCH('ZM01'!$C53,Consulta!$D:$D,0),'ZM01'!DA$2),""))</f>
        <v/>
      </c>
      <c r="DB53" s="43" t="str">
        <f>IF(IFERROR(INDEX(Consulta!$A:$DN,MATCH('ZM01'!$C53,Consulta!$D:$D,0),'ZM01'!DB$2),"")=0,"",IFERROR(INDEX(Consulta!$A:$DN,MATCH('ZM01'!$C53,Consulta!$D:$D,0),'ZM01'!DB$2),""))</f>
        <v/>
      </c>
      <c r="DC53" s="45">
        <v>0</v>
      </c>
      <c r="DD53" s="45">
        <v>0</v>
      </c>
      <c r="DE53" s="43" t="str">
        <f>IF(IFERROR(INDEX(Consulta!$A:$DN,MATCH('ZM01'!$C53,Consulta!$D:$D,0),'ZM01'!DE$2),"")=0,"",IFERROR(TEXT(VALUE(INDEX(Consulta!$A:$DN,MATCH('ZM01'!$C53,Consulta!$D:$D,0),'ZM01'!DE$2))/100,"0,00"),""))</f>
        <v/>
      </c>
      <c r="DG53" s="43">
        <f t="shared" si="50"/>
        <v>1</v>
      </c>
      <c r="DH53" s="43" t="str">
        <f>IF(IFERROR(INDEX(Consulta!$A:$DN,MATCH('ZM01'!$C53,Consulta!$D:$D,0),'ZM01'!DH$2),"")=0,"",IFERROR(VLOOKUP(INDEX(Consulta!$A:$DN,MATCH('ZM01'!$C53,Consulta!$D:$D,0),'ZM01'!DH$2),'Listas de Dados'!BU:BW,3,0),""))</f>
        <v/>
      </c>
      <c r="DI53" s="43" t="str">
        <f t="shared" ca="1" si="51"/>
        <v>24.05.2022</v>
      </c>
      <c r="DJ53" s="43" t="str">
        <f t="shared" si="52"/>
        <v>31.12.9999</v>
      </c>
      <c r="DL53" s="44">
        <v>1</v>
      </c>
      <c r="DM53" s="44" t="s">
        <v>1039</v>
      </c>
      <c r="DN53" s="44">
        <v>1</v>
      </c>
      <c r="DO53" s="43">
        <f t="shared" si="34"/>
        <v>1</v>
      </c>
      <c r="DP53" s="43" t="str">
        <f t="shared" si="35"/>
        <v>PC</v>
      </c>
      <c r="DQ53" s="43" t="str">
        <f t="shared" si="36"/>
        <v/>
      </c>
      <c r="DR53" s="44">
        <v>100</v>
      </c>
      <c r="DS53" s="71">
        <f t="shared" si="21"/>
        <v>1</v>
      </c>
      <c r="DT53" s="43">
        <f t="shared" si="53"/>
        <v>100</v>
      </c>
      <c r="DU53" s="44">
        <v>1</v>
      </c>
      <c r="DV53" s="44">
        <v>0</v>
      </c>
      <c r="DW53" s="44" t="s">
        <v>826</v>
      </c>
      <c r="DX53" s="45">
        <v>0</v>
      </c>
      <c r="DY53" s="44">
        <v>100</v>
      </c>
      <c r="DZ53" s="60"/>
    </row>
    <row r="54" spans="1:130" x14ac:dyDescent="0.2">
      <c r="A54" s="7" t="str">
        <f t="shared" si="2"/>
        <v>Execução 50</v>
      </c>
      <c r="B54" s="75"/>
      <c r="C54" s="85"/>
      <c r="D54" s="71" t="str">
        <f t="shared" si="37"/>
        <v/>
      </c>
      <c r="E54" s="71" t="str">
        <f t="shared" si="38"/>
        <v/>
      </c>
      <c r="F54" s="43" t="str">
        <f>IF(IFERROR(INDEX(Consulta!$A:$DN,MATCH('ZM01'!$C54,Consulta!$D:$D,0),'ZM01'!F$2),"")=0,"",IFERROR(INDEX(Consulta!$A:$DN,MATCH('ZM01'!$C54,Consulta!$D:$D,0),'ZM01'!F$2),""))</f>
        <v/>
      </c>
      <c r="G54" s="43" t="str">
        <f>IF(IFERROR(INDEX(Consulta!$A:$DN,MATCH('ZM01'!$C54,Consulta!$D:$D,0),'ZM01'!G$2),"")=0,"",IFERROR(INDEX(Consulta!$A:$DN,MATCH('ZM01'!$C54,Consulta!$D:$D,0),'ZM01'!G$2),""))</f>
        <v/>
      </c>
      <c r="H54" s="43" t="str">
        <f t="shared" si="23"/>
        <v/>
      </c>
      <c r="I54" s="44" t="s">
        <v>100</v>
      </c>
      <c r="J54" s="43" t="str">
        <f>IF(IFERROR(INDEX(Consulta!$A:$DN,MATCH('ZM01'!$C54,Consulta!$D:$D,0),'ZM01'!J$2),"")=0,"",IFERROR(INDEX(Consulta!$A:$DN,MATCH('ZM01'!$C54,Consulta!$D:$D,0),'ZM01'!J$2),""))</f>
        <v/>
      </c>
      <c r="K54" s="43" t="str">
        <f>IF(IFERROR(INDEX(Consulta!$A:$DN,MATCH('ZM01'!$C54,Consulta!$D:$D,0),'ZM01'!K$2),"")=0,"",IFERROR(INDEX(Consulta!$A:$DN,MATCH('ZM01'!$C54,Consulta!$D:$D,0),'ZM01'!K$2),""))</f>
        <v/>
      </c>
      <c r="L54" s="43" t="str">
        <f t="shared" si="39"/>
        <v/>
      </c>
      <c r="M54" s="43" t="str">
        <f>IF(IFERROR(INDEX(Consulta!$A:$DN,MATCH('ZM01'!$C54,Consulta!$D:$D,0),'ZM01'!M$2),"")=0,"",IFERROR(INDEX(Consulta!$A:$DN,MATCH('ZM01'!$C54,Consulta!$D:$D,0),'ZM01'!M$2),""))</f>
        <v/>
      </c>
      <c r="N54" s="43" t="str">
        <f t="shared" si="40"/>
        <v/>
      </c>
      <c r="P54" s="45" t="s">
        <v>101</v>
      </c>
      <c r="Q54" s="45" t="s">
        <v>102</v>
      </c>
      <c r="R54" s="45" t="s">
        <v>103</v>
      </c>
      <c r="S54" s="45" t="s">
        <v>104</v>
      </c>
      <c r="T54" s="45" t="s">
        <v>105</v>
      </c>
      <c r="U54" s="45" t="s">
        <v>106</v>
      </c>
      <c r="V54" s="45" t="s">
        <v>107</v>
      </c>
      <c r="W54" s="45" t="s">
        <v>109</v>
      </c>
      <c r="X54" s="45" t="s">
        <v>110</v>
      </c>
      <c r="Y54" s="45"/>
      <c r="Z54" s="45"/>
      <c r="AA54" s="45" t="s">
        <v>112</v>
      </c>
      <c r="AB54" s="45" t="s">
        <v>113</v>
      </c>
      <c r="AC54" s="45" t="s">
        <v>114</v>
      </c>
      <c r="AD54" s="45" t="s">
        <v>115</v>
      </c>
      <c r="AE54" s="45" t="s">
        <v>117</v>
      </c>
      <c r="AF54" s="45" t="s">
        <v>118</v>
      </c>
      <c r="AG54" s="45" t="s">
        <v>119</v>
      </c>
      <c r="AH54" s="45" t="s">
        <v>120</v>
      </c>
      <c r="AI54" s="45" t="s">
        <v>121</v>
      </c>
      <c r="AJ54" s="45" t="s">
        <v>122</v>
      </c>
      <c r="AK54" s="45" t="s">
        <v>123</v>
      </c>
      <c r="AL54" s="45" t="s">
        <v>124</v>
      </c>
      <c r="AM54" s="45" t="s">
        <v>125</v>
      </c>
      <c r="AN54" s="45" t="s">
        <v>126</v>
      </c>
      <c r="AO54" s="45"/>
      <c r="AP54" s="45"/>
      <c r="AR54" s="44" t="s">
        <v>822</v>
      </c>
      <c r="AS54" s="43" t="str">
        <f>IF(IFERROR(INDEX(Consulta!$A:$DN,MATCH('ZM01'!$C54,Consulta!$D:$D,0),'ZM01'!AS$2),"")=0,"",IFERROR(INDEX(Consulta!$A:$DN,MATCH('ZM01'!$C54,Consulta!$D:$D,0),'ZM01'!AS$2),""))</f>
        <v/>
      </c>
      <c r="AT54" s="45"/>
      <c r="AU54" s="43" t="str">
        <f>IF(IFERROR(INDEX(Consulta!$A:$DN,MATCH('ZM01'!$C54,Consulta!$D:$D,0),'ZM01'!AU$2),"")=0,"",IFERROR(INDEX(Consulta!$A:$DN,MATCH('ZM01'!$C54,Consulta!$D:$D,0),'ZM01'!AU$2),""))</f>
        <v/>
      </c>
      <c r="AV54" s="43" t="str">
        <f>IF(IFERROR(INDEX(Consulta!$A:$DN,MATCH('ZM01'!$C54,Consulta!$D:$D,0),'ZM01'!AV$2),"")=0,"",IFERROR(INDEX(Consulta!$A:$DN,MATCH('ZM01'!$C54,Consulta!$D:$D,0),'ZM01'!AV$2),""))</f>
        <v/>
      </c>
      <c r="AW54" s="45"/>
      <c r="AX54" s="46" t="str">
        <f t="shared" ca="1" si="41"/>
        <v/>
      </c>
      <c r="AY54" s="47" t="s">
        <v>755</v>
      </c>
      <c r="AZ54" s="43" t="str">
        <f>IF(IFERROR(ROUND(INDEX(Consulta!$A:$DN,MATCH('ZM01'!$C54,Consulta!$D:$D,0),'ZM01'!AZ$2),3),"")=0,"",IFERROR(ROUND(INDEX(Consulta!$A:$DN,MATCH('ZM01'!$C54,Consulta!$D:$D,0),'ZM01'!AZ$2),3),""))</f>
        <v/>
      </c>
      <c r="BA54" s="43" t="str">
        <f t="shared" si="42"/>
        <v/>
      </c>
      <c r="BB54" s="48" t="s">
        <v>299</v>
      </c>
      <c r="BC54" s="48"/>
      <c r="BD54" s="43" t="str">
        <f>IF(IFERROR(INDEX(Consulta!$A:$DN,MATCH('ZM01'!$C54,Consulta!$D:$D,0),'ZM01'!BD$2),"")=0,"",IFERROR(INDEX(Consulta!$A:$DN,MATCH('ZM01'!$C54,Consulta!$D:$D,0),'ZM01'!BD$2),""))</f>
        <v/>
      </c>
      <c r="BE54" s="43" t="str">
        <f t="shared" si="0"/>
        <v/>
      </c>
      <c r="BF54" s="43" t="str">
        <f t="shared" si="43"/>
        <v/>
      </c>
      <c r="BG54" s="43" t="str">
        <f t="shared" si="1"/>
        <v/>
      </c>
      <c r="BH54" s="43" t="str">
        <f t="shared" si="44"/>
        <v>PC</v>
      </c>
      <c r="BI54" s="43" t="str">
        <f t="shared" si="24"/>
        <v/>
      </c>
      <c r="BJ54" s="43" t="str">
        <f t="shared" si="25"/>
        <v/>
      </c>
      <c r="BK54" s="43" t="str">
        <f t="shared" si="26"/>
        <v/>
      </c>
      <c r="BL54" s="43" t="str">
        <f t="shared" si="45"/>
        <v>PC</v>
      </c>
      <c r="BN54" s="44"/>
      <c r="BO54" s="44" t="s">
        <v>925</v>
      </c>
      <c r="BP54" s="43" t="str">
        <f>IF(OR(IFERROR(INDEX(Consulta!$A:$DN,MATCH('ZM01'!$C54,Consulta!$D:$D,0),'ZM01'!BP$2),"")=0,IFERROR(INDEX(Consulta!$A:$DN,MATCH('ZM01'!$C54,Consulta!$D:$D,0),'ZM01'!BP$2),"")=AR54),"",IFERROR(INDEX(Consulta!$A:$DN,MATCH('ZM01'!$C54,Consulta!$D:$D,0),'ZM01'!BP$2),""))</f>
        <v/>
      </c>
      <c r="BQ54" s="45">
        <v>99</v>
      </c>
      <c r="BR54" s="46" t="str">
        <f t="shared" ca="1" si="46"/>
        <v>24.05.2022</v>
      </c>
      <c r="BS54" s="49" t="str">
        <f t="shared" si="47"/>
        <v/>
      </c>
      <c r="BT54" s="50">
        <v>1</v>
      </c>
      <c r="BU54" s="50" t="s">
        <v>194</v>
      </c>
      <c r="BV54" s="90" t="str">
        <f t="shared" si="14"/>
        <v>01</v>
      </c>
      <c r="BW54" s="50" t="s">
        <v>755</v>
      </c>
      <c r="BX54" s="44">
        <v>1</v>
      </c>
      <c r="BY54" s="44" t="s">
        <v>372</v>
      </c>
      <c r="BZ54" s="50" t="s">
        <v>197</v>
      </c>
      <c r="CA54" s="50" t="s">
        <v>197</v>
      </c>
      <c r="CB54" s="43" t="str">
        <f>IF(IFERROR(INDEX(Consulta!$A:$DN,MATCH('ZM01'!$C54,Consulta!$D:$D,0),'ZM01'!CB$2),"")=0,"",IFERROR(INDEX(Consulta!$A:$DN,MATCH('ZM01'!$C54,Consulta!$D:$D,0),'ZM01'!CB$2),""))</f>
        <v/>
      </c>
      <c r="CC54" s="44" t="s">
        <v>392</v>
      </c>
      <c r="CD54" s="50">
        <v>0</v>
      </c>
      <c r="CE54" s="45" t="s">
        <v>403</v>
      </c>
      <c r="CF54" s="45" t="s">
        <v>84</v>
      </c>
      <c r="CG54" s="43" t="str">
        <f t="shared" si="15"/>
        <v/>
      </c>
      <c r="CH54" s="45" t="s">
        <v>430</v>
      </c>
      <c r="CI54" s="44">
        <v>0</v>
      </c>
      <c r="CJ54" s="43" t="str">
        <f t="shared" si="27"/>
        <v>E</v>
      </c>
      <c r="CK54" s="43" t="str">
        <f t="shared" si="28"/>
        <v/>
      </c>
      <c r="CL54" s="44">
        <v>2</v>
      </c>
      <c r="CM54" s="49" t="str">
        <f t="shared" si="48"/>
        <v/>
      </c>
      <c r="CN54" s="49" t="str">
        <f t="shared" si="49"/>
        <v/>
      </c>
      <c r="CO54" s="43" t="str">
        <f t="shared" si="29"/>
        <v/>
      </c>
      <c r="CP54" s="44">
        <v>1</v>
      </c>
      <c r="CQ54" s="50" t="s">
        <v>515</v>
      </c>
      <c r="CR54" s="44" t="s">
        <v>372</v>
      </c>
      <c r="CS54" s="44">
        <v>2</v>
      </c>
      <c r="CT54" s="44">
        <v>42</v>
      </c>
      <c r="CU54" s="44">
        <v>10</v>
      </c>
      <c r="CV54" s="43" t="str">
        <f t="shared" si="30"/>
        <v>K00_AO_</v>
      </c>
      <c r="CW54" s="43" t="str">
        <f t="shared" si="31"/>
        <v/>
      </c>
      <c r="CX54" s="43" t="str">
        <f t="shared" si="32"/>
        <v/>
      </c>
      <c r="CY54" s="44">
        <v>1</v>
      </c>
      <c r="CZ54" s="43" t="str">
        <f t="shared" si="33"/>
        <v/>
      </c>
      <c r="DA54" s="43" t="str">
        <f>IF(IFERROR(INDEX(Consulta!$A:$DN,MATCH('ZM01'!$C54,Consulta!$D:$D,0),'ZM01'!DA$2),"")=0,"",IFERROR(INDEX(Consulta!$A:$DN,MATCH('ZM01'!$C54,Consulta!$D:$D,0),'ZM01'!DA$2),""))</f>
        <v/>
      </c>
      <c r="DB54" s="43" t="str">
        <f>IF(IFERROR(INDEX(Consulta!$A:$DN,MATCH('ZM01'!$C54,Consulta!$D:$D,0),'ZM01'!DB$2),"")=0,"",IFERROR(INDEX(Consulta!$A:$DN,MATCH('ZM01'!$C54,Consulta!$D:$D,0),'ZM01'!DB$2),""))</f>
        <v/>
      </c>
      <c r="DC54" s="45">
        <v>0</v>
      </c>
      <c r="DD54" s="45">
        <v>0</v>
      </c>
      <c r="DE54" s="43" t="str">
        <f>IF(IFERROR(INDEX(Consulta!$A:$DN,MATCH('ZM01'!$C54,Consulta!$D:$D,0),'ZM01'!DE$2),"")=0,"",IFERROR(TEXT(VALUE(INDEX(Consulta!$A:$DN,MATCH('ZM01'!$C54,Consulta!$D:$D,0),'ZM01'!DE$2))/100,"0,00"),""))</f>
        <v/>
      </c>
      <c r="DG54" s="43">
        <f t="shared" si="50"/>
        <v>1</v>
      </c>
      <c r="DH54" s="43" t="str">
        <f>IF(IFERROR(INDEX(Consulta!$A:$DN,MATCH('ZM01'!$C54,Consulta!$D:$D,0),'ZM01'!DH$2),"")=0,"",IFERROR(VLOOKUP(INDEX(Consulta!$A:$DN,MATCH('ZM01'!$C54,Consulta!$D:$D,0),'ZM01'!DH$2),'Listas de Dados'!BU:BW,3,0),""))</f>
        <v/>
      </c>
      <c r="DI54" s="43" t="str">
        <f t="shared" ca="1" si="51"/>
        <v>24.05.2022</v>
      </c>
      <c r="DJ54" s="43" t="str">
        <f t="shared" si="52"/>
        <v>31.12.9999</v>
      </c>
      <c r="DL54" s="44">
        <v>1</v>
      </c>
      <c r="DM54" s="44" t="s">
        <v>1039</v>
      </c>
      <c r="DN54" s="44">
        <v>1</v>
      </c>
      <c r="DO54" s="43">
        <f t="shared" si="34"/>
        <v>1</v>
      </c>
      <c r="DP54" s="43" t="str">
        <f t="shared" si="35"/>
        <v>PC</v>
      </c>
      <c r="DQ54" s="43" t="str">
        <f t="shared" si="36"/>
        <v/>
      </c>
      <c r="DR54" s="44">
        <v>100</v>
      </c>
      <c r="DS54" s="71">
        <f t="shared" si="21"/>
        <v>1</v>
      </c>
      <c r="DT54" s="43">
        <f t="shared" si="53"/>
        <v>100</v>
      </c>
      <c r="DU54" s="44">
        <v>1</v>
      </c>
      <c r="DV54" s="44">
        <v>0</v>
      </c>
      <c r="DW54" s="44" t="s">
        <v>826</v>
      </c>
      <c r="DX54" s="45">
        <v>0</v>
      </c>
      <c r="DY54" s="44">
        <v>100</v>
      </c>
      <c r="DZ54" s="61"/>
    </row>
    <row r="55" spans="1:130" x14ac:dyDescent="0.2">
      <c r="A55" s="7" t="str">
        <f t="shared" si="2"/>
        <v>Execução 51</v>
      </c>
      <c r="B55" s="79"/>
      <c r="C55" s="85"/>
      <c r="D55" s="71" t="str">
        <f t="shared" si="37"/>
        <v/>
      </c>
      <c r="E55" s="71" t="str">
        <f t="shared" si="38"/>
        <v/>
      </c>
      <c r="F55" s="43" t="str">
        <f>IF(IFERROR(INDEX(Consulta!$A:$DN,MATCH('ZM01'!$C55,Consulta!$D:$D,0),'ZM01'!F$2),"")=0,"",IFERROR(INDEX(Consulta!$A:$DN,MATCH('ZM01'!$C55,Consulta!$D:$D,0),'ZM01'!F$2),""))</f>
        <v/>
      </c>
      <c r="G55" s="43" t="str">
        <f>IF(IFERROR(INDEX(Consulta!$A:$DN,MATCH('ZM01'!$C55,Consulta!$D:$D,0),'ZM01'!G$2),"")=0,"",IFERROR(INDEX(Consulta!$A:$DN,MATCH('ZM01'!$C55,Consulta!$D:$D,0),'ZM01'!G$2),""))</f>
        <v/>
      </c>
      <c r="H55" s="43" t="str">
        <f t="shared" si="23"/>
        <v/>
      </c>
      <c r="I55" s="44" t="s">
        <v>100</v>
      </c>
      <c r="J55" s="43" t="str">
        <f>IF(IFERROR(INDEX(Consulta!$A:$DN,MATCH('ZM01'!$C55,Consulta!$D:$D,0),'ZM01'!J$2),"")=0,"",IFERROR(INDEX(Consulta!$A:$DN,MATCH('ZM01'!$C55,Consulta!$D:$D,0),'ZM01'!J$2),""))</f>
        <v/>
      </c>
      <c r="K55" s="43" t="str">
        <f>IF(IFERROR(INDEX(Consulta!$A:$DN,MATCH('ZM01'!$C55,Consulta!$D:$D,0),'ZM01'!K$2),"")=0,"",IFERROR(INDEX(Consulta!$A:$DN,MATCH('ZM01'!$C55,Consulta!$D:$D,0),'ZM01'!K$2),""))</f>
        <v/>
      </c>
      <c r="L55" s="43" t="str">
        <f t="shared" si="39"/>
        <v/>
      </c>
      <c r="M55" s="43" t="str">
        <f>IF(IFERROR(INDEX(Consulta!$A:$DN,MATCH('ZM01'!$C55,Consulta!$D:$D,0),'ZM01'!M$2),"")=0,"",IFERROR(INDEX(Consulta!$A:$DN,MATCH('ZM01'!$C55,Consulta!$D:$D,0),'ZM01'!M$2),""))</f>
        <v/>
      </c>
      <c r="N55" s="43" t="str">
        <f t="shared" si="40"/>
        <v/>
      </c>
      <c r="P55" s="45" t="s">
        <v>101</v>
      </c>
      <c r="Q55" s="45" t="s">
        <v>102</v>
      </c>
      <c r="R55" s="45" t="s">
        <v>103</v>
      </c>
      <c r="S55" s="45" t="s">
        <v>104</v>
      </c>
      <c r="T55" s="45" t="s">
        <v>105</v>
      </c>
      <c r="U55" s="45" t="s">
        <v>106</v>
      </c>
      <c r="V55" s="45" t="s">
        <v>107</v>
      </c>
      <c r="W55" s="45" t="s">
        <v>109</v>
      </c>
      <c r="X55" s="45" t="s">
        <v>110</v>
      </c>
      <c r="Y55" s="45"/>
      <c r="Z55" s="45"/>
      <c r="AA55" s="45" t="s">
        <v>112</v>
      </c>
      <c r="AB55" s="45" t="s">
        <v>113</v>
      </c>
      <c r="AC55" s="45" t="s">
        <v>114</v>
      </c>
      <c r="AD55" s="45" t="s">
        <v>115</v>
      </c>
      <c r="AE55" s="45" t="s">
        <v>117</v>
      </c>
      <c r="AF55" s="45" t="s">
        <v>118</v>
      </c>
      <c r="AG55" s="45" t="s">
        <v>119</v>
      </c>
      <c r="AH55" s="45" t="s">
        <v>120</v>
      </c>
      <c r="AI55" s="45" t="s">
        <v>121</v>
      </c>
      <c r="AJ55" s="45" t="s">
        <v>122</v>
      </c>
      <c r="AK55" s="45" t="s">
        <v>123</v>
      </c>
      <c r="AL55" s="45" t="s">
        <v>124</v>
      </c>
      <c r="AM55" s="45" t="s">
        <v>125</v>
      </c>
      <c r="AN55" s="45" t="s">
        <v>126</v>
      </c>
      <c r="AO55" s="45"/>
      <c r="AP55" s="45"/>
      <c r="AR55" s="44" t="s">
        <v>822</v>
      </c>
      <c r="AS55" s="43" t="str">
        <f>IF(IFERROR(INDEX(Consulta!$A:$DN,MATCH('ZM01'!$C55,Consulta!$D:$D,0),'ZM01'!AS$2),"")=0,"",IFERROR(INDEX(Consulta!$A:$DN,MATCH('ZM01'!$C55,Consulta!$D:$D,0),'ZM01'!AS$2),""))</f>
        <v/>
      </c>
      <c r="AT55" s="45"/>
      <c r="AU55" s="43" t="str">
        <f>IF(IFERROR(INDEX(Consulta!$A:$DN,MATCH('ZM01'!$C55,Consulta!$D:$D,0),'ZM01'!AU$2),"")=0,"",IFERROR(INDEX(Consulta!$A:$DN,MATCH('ZM01'!$C55,Consulta!$D:$D,0),'ZM01'!AU$2),""))</f>
        <v/>
      </c>
      <c r="AV55" s="43" t="str">
        <f>IF(IFERROR(INDEX(Consulta!$A:$DN,MATCH('ZM01'!$C55,Consulta!$D:$D,0),'ZM01'!AV$2),"")=0,"",IFERROR(INDEX(Consulta!$A:$DN,MATCH('ZM01'!$C55,Consulta!$D:$D,0),'ZM01'!AV$2),""))</f>
        <v/>
      </c>
      <c r="AW55" s="45"/>
      <c r="AX55" s="46" t="str">
        <f t="shared" ca="1" si="41"/>
        <v/>
      </c>
      <c r="AY55" s="47" t="s">
        <v>755</v>
      </c>
      <c r="AZ55" s="43" t="str">
        <f>IF(IFERROR(ROUND(INDEX(Consulta!$A:$DN,MATCH('ZM01'!$C55,Consulta!$D:$D,0),'ZM01'!AZ$2),3),"")=0,"",IFERROR(ROUND(INDEX(Consulta!$A:$DN,MATCH('ZM01'!$C55,Consulta!$D:$D,0),'ZM01'!AZ$2),3),""))</f>
        <v/>
      </c>
      <c r="BA55" s="43" t="str">
        <f t="shared" si="42"/>
        <v/>
      </c>
      <c r="BB55" s="48" t="s">
        <v>299</v>
      </c>
      <c r="BC55" s="48"/>
      <c r="BD55" s="43" t="str">
        <f>IF(IFERROR(INDEX(Consulta!$A:$DN,MATCH('ZM01'!$C55,Consulta!$D:$D,0),'ZM01'!BD$2),"")=0,"",IFERROR(INDEX(Consulta!$A:$DN,MATCH('ZM01'!$C55,Consulta!$D:$D,0),'ZM01'!BD$2),""))</f>
        <v/>
      </c>
      <c r="BE55" s="43" t="str">
        <f t="shared" si="0"/>
        <v/>
      </c>
      <c r="BF55" s="43" t="str">
        <f t="shared" si="43"/>
        <v/>
      </c>
      <c r="BG55" s="43" t="str">
        <f t="shared" si="1"/>
        <v/>
      </c>
      <c r="BH55" s="43" t="str">
        <f t="shared" si="44"/>
        <v>PC</v>
      </c>
      <c r="BI55" s="43" t="str">
        <f t="shared" si="24"/>
        <v/>
      </c>
      <c r="BJ55" s="43" t="str">
        <f t="shared" si="25"/>
        <v/>
      </c>
      <c r="BK55" s="43" t="str">
        <f t="shared" si="26"/>
        <v/>
      </c>
      <c r="BL55" s="43" t="str">
        <f t="shared" si="45"/>
        <v>PC</v>
      </c>
      <c r="BN55" s="44"/>
      <c r="BO55" s="44" t="s">
        <v>925</v>
      </c>
      <c r="BP55" s="43" t="str">
        <f>IF(OR(IFERROR(INDEX(Consulta!$A:$DN,MATCH('ZM01'!$C55,Consulta!$D:$D,0),'ZM01'!BP$2),"")=0,IFERROR(INDEX(Consulta!$A:$DN,MATCH('ZM01'!$C55,Consulta!$D:$D,0),'ZM01'!BP$2),"")=AR55),"",IFERROR(INDEX(Consulta!$A:$DN,MATCH('ZM01'!$C55,Consulta!$D:$D,0),'ZM01'!BP$2),""))</f>
        <v/>
      </c>
      <c r="BQ55" s="45">
        <v>99</v>
      </c>
      <c r="BR55" s="46" t="str">
        <f t="shared" ca="1" si="46"/>
        <v>24.05.2022</v>
      </c>
      <c r="BS55" s="49" t="str">
        <f t="shared" si="47"/>
        <v/>
      </c>
      <c r="BT55" s="50">
        <v>1</v>
      </c>
      <c r="BU55" s="50" t="s">
        <v>194</v>
      </c>
      <c r="BV55" s="90" t="str">
        <f t="shared" si="14"/>
        <v>01</v>
      </c>
      <c r="BW55" s="50" t="s">
        <v>755</v>
      </c>
      <c r="BX55" s="44">
        <v>1</v>
      </c>
      <c r="BY55" s="44" t="s">
        <v>372</v>
      </c>
      <c r="BZ55" s="50" t="s">
        <v>197</v>
      </c>
      <c r="CA55" s="50" t="s">
        <v>197</v>
      </c>
      <c r="CB55" s="43" t="str">
        <f>IF(IFERROR(INDEX(Consulta!$A:$DN,MATCH('ZM01'!$C55,Consulta!$D:$D,0),'ZM01'!CB$2),"")=0,"",IFERROR(INDEX(Consulta!$A:$DN,MATCH('ZM01'!$C55,Consulta!$D:$D,0),'ZM01'!CB$2),""))</f>
        <v/>
      </c>
      <c r="CC55" s="44" t="s">
        <v>392</v>
      </c>
      <c r="CD55" s="50">
        <v>0</v>
      </c>
      <c r="CE55" s="45" t="s">
        <v>403</v>
      </c>
      <c r="CF55" s="45" t="s">
        <v>84</v>
      </c>
      <c r="CG55" s="43" t="str">
        <f t="shared" si="15"/>
        <v/>
      </c>
      <c r="CH55" s="45" t="s">
        <v>430</v>
      </c>
      <c r="CI55" s="44">
        <v>0</v>
      </c>
      <c r="CJ55" s="43" t="str">
        <f t="shared" si="27"/>
        <v>E</v>
      </c>
      <c r="CK55" s="43" t="str">
        <f t="shared" si="28"/>
        <v/>
      </c>
      <c r="CL55" s="44">
        <v>2</v>
      </c>
      <c r="CM55" s="49" t="str">
        <f t="shared" si="48"/>
        <v/>
      </c>
      <c r="CN55" s="49" t="str">
        <f t="shared" si="49"/>
        <v/>
      </c>
      <c r="CO55" s="43" t="str">
        <f t="shared" si="29"/>
        <v/>
      </c>
      <c r="CP55" s="44">
        <v>1</v>
      </c>
      <c r="CQ55" s="50" t="s">
        <v>515</v>
      </c>
      <c r="CR55" s="44" t="s">
        <v>372</v>
      </c>
      <c r="CS55" s="44">
        <v>2</v>
      </c>
      <c r="CT55" s="44">
        <v>42</v>
      </c>
      <c r="CU55" s="44">
        <v>10</v>
      </c>
      <c r="CV55" s="43" t="str">
        <f t="shared" si="30"/>
        <v>K00_AO_</v>
      </c>
      <c r="CW55" s="43" t="str">
        <f t="shared" si="31"/>
        <v/>
      </c>
      <c r="CX55" s="43" t="str">
        <f t="shared" si="32"/>
        <v/>
      </c>
      <c r="CY55" s="44">
        <v>1</v>
      </c>
      <c r="CZ55" s="43" t="str">
        <f t="shared" si="33"/>
        <v/>
      </c>
      <c r="DA55" s="43" t="str">
        <f>IF(IFERROR(INDEX(Consulta!$A:$DN,MATCH('ZM01'!$C55,Consulta!$D:$D,0),'ZM01'!DA$2),"")=0,"",IFERROR(INDEX(Consulta!$A:$DN,MATCH('ZM01'!$C55,Consulta!$D:$D,0),'ZM01'!DA$2),""))</f>
        <v/>
      </c>
      <c r="DB55" s="43" t="str">
        <f>IF(IFERROR(INDEX(Consulta!$A:$DN,MATCH('ZM01'!$C55,Consulta!$D:$D,0),'ZM01'!DB$2),"")=0,"",IFERROR(INDEX(Consulta!$A:$DN,MATCH('ZM01'!$C55,Consulta!$D:$D,0),'ZM01'!DB$2),""))</f>
        <v/>
      </c>
      <c r="DC55" s="45">
        <v>0</v>
      </c>
      <c r="DD55" s="45">
        <v>0</v>
      </c>
      <c r="DE55" s="43" t="str">
        <f>IF(IFERROR(INDEX(Consulta!$A:$DN,MATCH('ZM01'!$C55,Consulta!$D:$D,0),'ZM01'!DE$2),"")=0,"",IFERROR(TEXT(VALUE(INDEX(Consulta!$A:$DN,MATCH('ZM01'!$C55,Consulta!$D:$D,0),'ZM01'!DE$2))/100,"0,00"),""))</f>
        <v/>
      </c>
      <c r="DG55" s="43">
        <f t="shared" si="50"/>
        <v>1</v>
      </c>
      <c r="DH55" s="43" t="str">
        <f>IF(IFERROR(INDEX(Consulta!$A:$DN,MATCH('ZM01'!$C55,Consulta!$D:$D,0),'ZM01'!DH$2),"")=0,"",IFERROR(VLOOKUP(INDEX(Consulta!$A:$DN,MATCH('ZM01'!$C55,Consulta!$D:$D,0),'ZM01'!DH$2),'Listas de Dados'!BU:BW,3,0),""))</f>
        <v/>
      </c>
      <c r="DI55" s="43" t="str">
        <f t="shared" ca="1" si="51"/>
        <v>24.05.2022</v>
      </c>
      <c r="DJ55" s="43" t="str">
        <f t="shared" si="52"/>
        <v>31.12.9999</v>
      </c>
      <c r="DL55" s="44">
        <v>1</v>
      </c>
      <c r="DM55" s="44" t="s">
        <v>1039</v>
      </c>
      <c r="DN55" s="44">
        <v>1</v>
      </c>
      <c r="DO55" s="43">
        <f t="shared" si="34"/>
        <v>1</v>
      </c>
      <c r="DP55" s="43" t="str">
        <f t="shared" si="35"/>
        <v>PC</v>
      </c>
      <c r="DQ55" s="43" t="str">
        <f t="shared" si="36"/>
        <v/>
      </c>
      <c r="DR55" s="44">
        <v>100</v>
      </c>
      <c r="DS55" s="71">
        <f t="shared" si="21"/>
        <v>1</v>
      </c>
      <c r="DT55" s="43">
        <f t="shared" si="53"/>
        <v>100</v>
      </c>
      <c r="DU55" s="44">
        <v>1</v>
      </c>
      <c r="DV55" s="44">
        <v>0</v>
      </c>
      <c r="DW55" s="44" t="s">
        <v>826</v>
      </c>
      <c r="DX55" s="45">
        <v>0</v>
      </c>
      <c r="DY55" s="44">
        <v>100</v>
      </c>
      <c r="DZ55" s="60"/>
    </row>
    <row r="56" spans="1:130" x14ac:dyDescent="0.2">
      <c r="A56" s="7" t="str">
        <f t="shared" si="2"/>
        <v>Execução 52</v>
      </c>
      <c r="B56" s="75"/>
      <c r="C56" s="85"/>
      <c r="D56" s="71" t="str">
        <f t="shared" si="37"/>
        <v/>
      </c>
      <c r="E56" s="71" t="str">
        <f t="shared" si="38"/>
        <v/>
      </c>
      <c r="F56" s="43" t="str">
        <f>IF(IFERROR(INDEX(Consulta!$A:$DN,MATCH('ZM01'!$C56,Consulta!$D:$D,0),'ZM01'!F$2),"")=0,"",IFERROR(INDEX(Consulta!$A:$DN,MATCH('ZM01'!$C56,Consulta!$D:$D,0),'ZM01'!F$2),""))</f>
        <v/>
      </c>
      <c r="G56" s="43" t="str">
        <f>IF(IFERROR(INDEX(Consulta!$A:$DN,MATCH('ZM01'!$C56,Consulta!$D:$D,0),'ZM01'!G$2),"")=0,"",IFERROR(INDEX(Consulta!$A:$DN,MATCH('ZM01'!$C56,Consulta!$D:$D,0),'ZM01'!G$2),""))</f>
        <v/>
      </c>
      <c r="H56" s="43" t="str">
        <f t="shared" si="23"/>
        <v/>
      </c>
      <c r="I56" s="44" t="s">
        <v>100</v>
      </c>
      <c r="J56" s="43" t="str">
        <f>IF(IFERROR(INDEX(Consulta!$A:$DN,MATCH('ZM01'!$C56,Consulta!$D:$D,0),'ZM01'!J$2),"")=0,"",IFERROR(INDEX(Consulta!$A:$DN,MATCH('ZM01'!$C56,Consulta!$D:$D,0),'ZM01'!J$2),""))</f>
        <v/>
      </c>
      <c r="K56" s="43" t="str">
        <f>IF(IFERROR(INDEX(Consulta!$A:$DN,MATCH('ZM01'!$C56,Consulta!$D:$D,0),'ZM01'!K$2),"")=0,"",IFERROR(INDEX(Consulta!$A:$DN,MATCH('ZM01'!$C56,Consulta!$D:$D,0),'ZM01'!K$2),""))</f>
        <v/>
      </c>
      <c r="L56" s="43" t="str">
        <f t="shared" si="39"/>
        <v/>
      </c>
      <c r="M56" s="43" t="str">
        <f>IF(IFERROR(INDEX(Consulta!$A:$DN,MATCH('ZM01'!$C56,Consulta!$D:$D,0),'ZM01'!M$2),"")=0,"",IFERROR(INDEX(Consulta!$A:$DN,MATCH('ZM01'!$C56,Consulta!$D:$D,0),'ZM01'!M$2),""))</f>
        <v/>
      </c>
      <c r="N56" s="43" t="str">
        <f t="shared" si="40"/>
        <v/>
      </c>
      <c r="P56" s="45" t="s">
        <v>101</v>
      </c>
      <c r="Q56" s="45" t="s">
        <v>102</v>
      </c>
      <c r="R56" s="45" t="s">
        <v>103</v>
      </c>
      <c r="S56" s="45" t="s">
        <v>104</v>
      </c>
      <c r="T56" s="45" t="s">
        <v>105</v>
      </c>
      <c r="U56" s="45" t="s">
        <v>106</v>
      </c>
      <c r="V56" s="45" t="s">
        <v>107</v>
      </c>
      <c r="W56" s="45" t="s">
        <v>109</v>
      </c>
      <c r="X56" s="45" t="s">
        <v>110</v>
      </c>
      <c r="Y56" s="45"/>
      <c r="Z56" s="45"/>
      <c r="AA56" s="45" t="s">
        <v>112</v>
      </c>
      <c r="AB56" s="45" t="s">
        <v>113</v>
      </c>
      <c r="AC56" s="45" t="s">
        <v>114</v>
      </c>
      <c r="AD56" s="45" t="s">
        <v>115</v>
      </c>
      <c r="AE56" s="45" t="s">
        <v>117</v>
      </c>
      <c r="AF56" s="45" t="s">
        <v>118</v>
      </c>
      <c r="AG56" s="45" t="s">
        <v>119</v>
      </c>
      <c r="AH56" s="45" t="s">
        <v>120</v>
      </c>
      <c r="AI56" s="45" t="s">
        <v>121</v>
      </c>
      <c r="AJ56" s="45" t="s">
        <v>122</v>
      </c>
      <c r="AK56" s="45" t="s">
        <v>123</v>
      </c>
      <c r="AL56" s="45" t="s">
        <v>124</v>
      </c>
      <c r="AM56" s="45" t="s">
        <v>125</v>
      </c>
      <c r="AN56" s="45" t="s">
        <v>126</v>
      </c>
      <c r="AO56" s="45"/>
      <c r="AP56" s="45"/>
      <c r="AR56" s="44" t="s">
        <v>822</v>
      </c>
      <c r="AS56" s="43" t="str">
        <f>IF(IFERROR(INDEX(Consulta!$A:$DN,MATCH('ZM01'!$C56,Consulta!$D:$D,0),'ZM01'!AS$2),"")=0,"",IFERROR(INDEX(Consulta!$A:$DN,MATCH('ZM01'!$C56,Consulta!$D:$D,0),'ZM01'!AS$2),""))</f>
        <v/>
      </c>
      <c r="AT56" s="45"/>
      <c r="AU56" s="43" t="str">
        <f>IF(IFERROR(INDEX(Consulta!$A:$DN,MATCH('ZM01'!$C56,Consulta!$D:$D,0),'ZM01'!AU$2),"")=0,"",IFERROR(INDEX(Consulta!$A:$DN,MATCH('ZM01'!$C56,Consulta!$D:$D,0),'ZM01'!AU$2),""))</f>
        <v/>
      </c>
      <c r="AV56" s="43" t="str">
        <f>IF(IFERROR(INDEX(Consulta!$A:$DN,MATCH('ZM01'!$C56,Consulta!$D:$D,0),'ZM01'!AV$2),"")=0,"",IFERROR(INDEX(Consulta!$A:$DN,MATCH('ZM01'!$C56,Consulta!$D:$D,0),'ZM01'!AV$2),""))</f>
        <v/>
      </c>
      <c r="AW56" s="45"/>
      <c r="AX56" s="46" t="str">
        <f t="shared" ca="1" si="41"/>
        <v/>
      </c>
      <c r="AY56" s="47" t="s">
        <v>755</v>
      </c>
      <c r="AZ56" s="43" t="str">
        <f>IF(IFERROR(ROUND(INDEX(Consulta!$A:$DN,MATCH('ZM01'!$C56,Consulta!$D:$D,0),'ZM01'!AZ$2),3),"")=0,"",IFERROR(ROUND(INDEX(Consulta!$A:$DN,MATCH('ZM01'!$C56,Consulta!$D:$D,0),'ZM01'!AZ$2),3),""))</f>
        <v/>
      </c>
      <c r="BA56" s="43" t="str">
        <f t="shared" si="42"/>
        <v/>
      </c>
      <c r="BB56" s="48" t="s">
        <v>299</v>
      </c>
      <c r="BC56" s="48"/>
      <c r="BD56" s="43" t="str">
        <f>IF(IFERROR(INDEX(Consulta!$A:$DN,MATCH('ZM01'!$C56,Consulta!$D:$D,0),'ZM01'!BD$2),"")=0,"",IFERROR(INDEX(Consulta!$A:$DN,MATCH('ZM01'!$C56,Consulta!$D:$D,0),'ZM01'!BD$2),""))</f>
        <v/>
      </c>
      <c r="BE56" s="43" t="str">
        <f t="shared" si="0"/>
        <v/>
      </c>
      <c r="BF56" s="43" t="str">
        <f t="shared" si="43"/>
        <v/>
      </c>
      <c r="BG56" s="43" t="str">
        <f t="shared" si="1"/>
        <v/>
      </c>
      <c r="BH56" s="43" t="str">
        <f t="shared" si="44"/>
        <v>PC</v>
      </c>
      <c r="BI56" s="43" t="str">
        <f t="shared" si="24"/>
        <v/>
      </c>
      <c r="BJ56" s="43" t="str">
        <f t="shared" si="25"/>
        <v/>
      </c>
      <c r="BK56" s="43" t="str">
        <f t="shared" si="26"/>
        <v/>
      </c>
      <c r="BL56" s="43" t="str">
        <f t="shared" si="45"/>
        <v>PC</v>
      </c>
      <c r="BN56" s="44"/>
      <c r="BO56" s="44" t="s">
        <v>925</v>
      </c>
      <c r="BP56" s="43" t="str">
        <f>IF(OR(IFERROR(INDEX(Consulta!$A:$DN,MATCH('ZM01'!$C56,Consulta!$D:$D,0),'ZM01'!BP$2),"")=0,IFERROR(INDEX(Consulta!$A:$DN,MATCH('ZM01'!$C56,Consulta!$D:$D,0),'ZM01'!BP$2),"")=AR56),"",IFERROR(INDEX(Consulta!$A:$DN,MATCH('ZM01'!$C56,Consulta!$D:$D,0),'ZM01'!BP$2),""))</f>
        <v/>
      </c>
      <c r="BQ56" s="45">
        <v>99</v>
      </c>
      <c r="BR56" s="46" t="str">
        <f t="shared" ca="1" si="46"/>
        <v>24.05.2022</v>
      </c>
      <c r="BS56" s="49" t="str">
        <f t="shared" si="47"/>
        <v/>
      </c>
      <c r="BT56" s="50">
        <v>1</v>
      </c>
      <c r="BU56" s="50" t="s">
        <v>194</v>
      </c>
      <c r="BV56" s="90" t="str">
        <f t="shared" si="14"/>
        <v>01</v>
      </c>
      <c r="BW56" s="50" t="s">
        <v>755</v>
      </c>
      <c r="BX56" s="44">
        <v>1</v>
      </c>
      <c r="BY56" s="44" t="s">
        <v>372</v>
      </c>
      <c r="BZ56" s="50" t="s">
        <v>197</v>
      </c>
      <c r="CA56" s="50" t="s">
        <v>197</v>
      </c>
      <c r="CB56" s="43" t="str">
        <f>IF(IFERROR(INDEX(Consulta!$A:$DN,MATCH('ZM01'!$C56,Consulta!$D:$D,0),'ZM01'!CB$2),"")=0,"",IFERROR(INDEX(Consulta!$A:$DN,MATCH('ZM01'!$C56,Consulta!$D:$D,0),'ZM01'!CB$2),""))</f>
        <v/>
      </c>
      <c r="CC56" s="44" t="s">
        <v>392</v>
      </c>
      <c r="CD56" s="50">
        <v>0</v>
      </c>
      <c r="CE56" s="45" t="s">
        <v>403</v>
      </c>
      <c r="CF56" s="45" t="s">
        <v>84</v>
      </c>
      <c r="CG56" s="43" t="str">
        <f t="shared" si="15"/>
        <v/>
      </c>
      <c r="CH56" s="45" t="s">
        <v>430</v>
      </c>
      <c r="CI56" s="44">
        <v>0</v>
      </c>
      <c r="CJ56" s="43" t="str">
        <f t="shared" si="27"/>
        <v>E</v>
      </c>
      <c r="CK56" s="43" t="str">
        <f t="shared" si="28"/>
        <v/>
      </c>
      <c r="CL56" s="44">
        <v>2</v>
      </c>
      <c r="CM56" s="49" t="str">
        <f t="shared" si="48"/>
        <v/>
      </c>
      <c r="CN56" s="49" t="str">
        <f t="shared" si="49"/>
        <v/>
      </c>
      <c r="CO56" s="43" t="str">
        <f t="shared" si="29"/>
        <v/>
      </c>
      <c r="CP56" s="44">
        <v>1</v>
      </c>
      <c r="CQ56" s="50" t="s">
        <v>515</v>
      </c>
      <c r="CR56" s="44" t="s">
        <v>372</v>
      </c>
      <c r="CS56" s="44">
        <v>2</v>
      </c>
      <c r="CT56" s="44">
        <v>42</v>
      </c>
      <c r="CU56" s="44">
        <v>10</v>
      </c>
      <c r="CV56" s="43" t="str">
        <f t="shared" si="30"/>
        <v>K00_AO_</v>
      </c>
      <c r="CW56" s="43" t="str">
        <f t="shared" si="31"/>
        <v/>
      </c>
      <c r="CX56" s="43" t="str">
        <f t="shared" si="32"/>
        <v/>
      </c>
      <c r="CY56" s="44">
        <v>1</v>
      </c>
      <c r="CZ56" s="43" t="str">
        <f t="shared" si="33"/>
        <v/>
      </c>
      <c r="DA56" s="43" t="str">
        <f>IF(IFERROR(INDEX(Consulta!$A:$DN,MATCH('ZM01'!$C56,Consulta!$D:$D,0),'ZM01'!DA$2),"")=0,"",IFERROR(INDEX(Consulta!$A:$DN,MATCH('ZM01'!$C56,Consulta!$D:$D,0),'ZM01'!DA$2),""))</f>
        <v/>
      </c>
      <c r="DB56" s="43" t="str">
        <f>IF(IFERROR(INDEX(Consulta!$A:$DN,MATCH('ZM01'!$C56,Consulta!$D:$D,0),'ZM01'!DB$2),"")=0,"",IFERROR(INDEX(Consulta!$A:$DN,MATCH('ZM01'!$C56,Consulta!$D:$D,0),'ZM01'!DB$2),""))</f>
        <v/>
      </c>
      <c r="DC56" s="45">
        <v>0</v>
      </c>
      <c r="DD56" s="45">
        <v>0</v>
      </c>
      <c r="DE56" s="43" t="str">
        <f>IF(IFERROR(INDEX(Consulta!$A:$DN,MATCH('ZM01'!$C56,Consulta!$D:$D,0),'ZM01'!DE$2),"")=0,"",IFERROR(TEXT(VALUE(INDEX(Consulta!$A:$DN,MATCH('ZM01'!$C56,Consulta!$D:$D,0),'ZM01'!DE$2))/100,"0,00"),""))</f>
        <v/>
      </c>
      <c r="DG56" s="43">
        <f t="shared" si="50"/>
        <v>1</v>
      </c>
      <c r="DH56" s="43" t="str">
        <f>IF(IFERROR(INDEX(Consulta!$A:$DN,MATCH('ZM01'!$C56,Consulta!$D:$D,0),'ZM01'!DH$2),"")=0,"",IFERROR(VLOOKUP(INDEX(Consulta!$A:$DN,MATCH('ZM01'!$C56,Consulta!$D:$D,0),'ZM01'!DH$2),'Listas de Dados'!BU:BW,3,0),""))</f>
        <v/>
      </c>
      <c r="DI56" s="43" t="str">
        <f t="shared" ca="1" si="51"/>
        <v>24.05.2022</v>
      </c>
      <c r="DJ56" s="43" t="str">
        <f t="shared" si="52"/>
        <v>31.12.9999</v>
      </c>
      <c r="DL56" s="44">
        <v>1</v>
      </c>
      <c r="DM56" s="44" t="s">
        <v>1039</v>
      </c>
      <c r="DN56" s="44">
        <v>1</v>
      </c>
      <c r="DO56" s="43">
        <f t="shared" si="34"/>
        <v>1</v>
      </c>
      <c r="DP56" s="43" t="str">
        <f t="shared" si="35"/>
        <v>PC</v>
      </c>
      <c r="DQ56" s="43" t="str">
        <f t="shared" si="36"/>
        <v/>
      </c>
      <c r="DR56" s="44">
        <v>100</v>
      </c>
      <c r="DS56" s="71">
        <f t="shared" si="21"/>
        <v>1</v>
      </c>
      <c r="DT56" s="43">
        <f t="shared" si="53"/>
        <v>100</v>
      </c>
      <c r="DU56" s="44">
        <v>1</v>
      </c>
      <c r="DV56" s="44">
        <v>0</v>
      </c>
      <c r="DW56" s="44" t="s">
        <v>826</v>
      </c>
      <c r="DX56" s="45">
        <v>0</v>
      </c>
      <c r="DY56" s="44">
        <v>100</v>
      </c>
      <c r="DZ56" s="61"/>
    </row>
    <row r="57" spans="1:130" x14ac:dyDescent="0.2">
      <c r="A57" s="7" t="str">
        <f t="shared" si="2"/>
        <v>Execução 53</v>
      </c>
      <c r="B57" s="79"/>
      <c r="C57" s="85"/>
      <c r="D57" s="71" t="str">
        <f t="shared" si="37"/>
        <v/>
      </c>
      <c r="E57" s="71" t="str">
        <f t="shared" si="38"/>
        <v/>
      </c>
      <c r="F57" s="43" t="str">
        <f>IF(IFERROR(INDEX(Consulta!$A:$DN,MATCH('ZM01'!$C57,Consulta!$D:$D,0),'ZM01'!F$2),"")=0,"",IFERROR(INDEX(Consulta!$A:$DN,MATCH('ZM01'!$C57,Consulta!$D:$D,0),'ZM01'!F$2),""))</f>
        <v/>
      </c>
      <c r="G57" s="43" t="str">
        <f>IF(IFERROR(INDEX(Consulta!$A:$DN,MATCH('ZM01'!$C57,Consulta!$D:$D,0),'ZM01'!G$2),"")=0,"",IFERROR(INDEX(Consulta!$A:$DN,MATCH('ZM01'!$C57,Consulta!$D:$D,0),'ZM01'!G$2),""))</f>
        <v/>
      </c>
      <c r="H57" s="43" t="str">
        <f t="shared" si="23"/>
        <v/>
      </c>
      <c r="I57" s="44" t="s">
        <v>100</v>
      </c>
      <c r="J57" s="43" t="str">
        <f>IF(IFERROR(INDEX(Consulta!$A:$DN,MATCH('ZM01'!$C57,Consulta!$D:$D,0),'ZM01'!J$2),"")=0,"",IFERROR(INDEX(Consulta!$A:$DN,MATCH('ZM01'!$C57,Consulta!$D:$D,0),'ZM01'!J$2),""))</f>
        <v/>
      </c>
      <c r="K57" s="43" t="str">
        <f>IF(IFERROR(INDEX(Consulta!$A:$DN,MATCH('ZM01'!$C57,Consulta!$D:$D,0),'ZM01'!K$2),"")=0,"",IFERROR(INDEX(Consulta!$A:$DN,MATCH('ZM01'!$C57,Consulta!$D:$D,0),'ZM01'!K$2),""))</f>
        <v/>
      </c>
      <c r="L57" s="43" t="str">
        <f t="shared" si="39"/>
        <v/>
      </c>
      <c r="M57" s="43" t="str">
        <f>IF(IFERROR(INDEX(Consulta!$A:$DN,MATCH('ZM01'!$C57,Consulta!$D:$D,0),'ZM01'!M$2),"")=0,"",IFERROR(INDEX(Consulta!$A:$DN,MATCH('ZM01'!$C57,Consulta!$D:$D,0),'ZM01'!M$2),""))</f>
        <v/>
      </c>
      <c r="N57" s="43" t="str">
        <f t="shared" si="40"/>
        <v/>
      </c>
      <c r="P57" s="45" t="s">
        <v>101</v>
      </c>
      <c r="Q57" s="45" t="s">
        <v>102</v>
      </c>
      <c r="R57" s="45" t="s">
        <v>103</v>
      </c>
      <c r="S57" s="45" t="s">
        <v>104</v>
      </c>
      <c r="T57" s="45" t="s">
        <v>105</v>
      </c>
      <c r="U57" s="45" t="s">
        <v>106</v>
      </c>
      <c r="V57" s="45" t="s">
        <v>107</v>
      </c>
      <c r="W57" s="45" t="s">
        <v>109</v>
      </c>
      <c r="X57" s="45" t="s">
        <v>110</v>
      </c>
      <c r="Y57" s="45"/>
      <c r="Z57" s="45"/>
      <c r="AA57" s="45" t="s">
        <v>112</v>
      </c>
      <c r="AB57" s="45" t="s">
        <v>113</v>
      </c>
      <c r="AC57" s="45" t="s">
        <v>114</v>
      </c>
      <c r="AD57" s="45" t="s">
        <v>115</v>
      </c>
      <c r="AE57" s="45" t="s">
        <v>117</v>
      </c>
      <c r="AF57" s="45" t="s">
        <v>118</v>
      </c>
      <c r="AG57" s="45" t="s">
        <v>119</v>
      </c>
      <c r="AH57" s="45" t="s">
        <v>120</v>
      </c>
      <c r="AI57" s="45" t="s">
        <v>121</v>
      </c>
      <c r="AJ57" s="45" t="s">
        <v>122</v>
      </c>
      <c r="AK57" s="45" t="s">
        <v>123</v>
      </c>
      <c r="AL57" s="45" t="s">
        <v>124</v>
      </c>
      <c r="AM57" s="45" t="s">
        <v>125</v>
      </c>
      <c r="AN57" s="45" t="s">
        <v>126</v>
      </c>
      <c r="AO57" s="45"/>
      <c r="AP57" s="45"/>
      <c r="AR57" s="44" t="s">
        <v>822</v>
      </c>
      <c r="AS57" s="43" t="str">
        <f>IF(IFERROR(INDEX(Consulta!$A:$DN,MATCH('ZM01'!$C57,Consulta!$D:$D,0),'ZM01'!AS$2),"")=0,"",IFERROR(INDEX(Consulta!$A:$DN,MATCH('ZM01'!$C57,Consulta!$D:$D,0),'ZM01'!AS$2),""))</f>
        <v/>
      </c>
      <c r="AT57" s="45"/>
      <c r="AU57" s="43" t="str">
        <f>IF(IFERROR(INDEX(Consulta!$A:$DN,MATCH('ZM01'!$C57,Consulta!$D:$D,0),'ZM01'!AU$2),"")=0,"",IFERROR(INDEX(Consulta!$A:$DN,MATCH('ZM01'!$C57,Consulta!$D:$D,0),'ZM01'!AU$2),""))</f>
        <v/>
      </c>
      <c r="AV57" s="43" t="str">
        <f>IF(IFERROR(INDEX(Consulta!$A:$DN,MATCH('ZM01'!$C57,Consulta!$D:$D,0),'ZM01'!AV$2),"")=0,"",IFERROR(INDEX(Consulta!$A:$DN,MATCH('ZM01'!$C57,Consulta!$D:$D,0),'ZM01'!AV$2),""))</f>
        <v/>
      </c>
      <c r="AW57" s="45"/>
      <c r="AX57" s="46" t="str">
        <f t="shared" ca="1" si="41"/>
        <v/>
      </c>
      <c r="AY57" s="47" t="s">
        <v>755</v>
      </c>
      <c r="AZ57" s="43" t="str">
        <f>IF(IFERROR(ROUND(INDEX(Consulta!$A:$DN,MATCH('ZM01'!$C57,Consulta!$D:$D,0),'ZM01'!AZ$2),3),"")=0,"",IFERROR(ROUND(INDEX(Consulta!$A:$DN,MATCH('ZM01'!$C57,Consulta!$D:$D,0),'ZM01'!AZ$2),3),""))</f>
        <v/>
      </c>
      <c r="BA57" s="43" t="str">
        <f t="shared" si="42"/>
        <v/>
      </c>
      <c r="BB57" s="48" t="s">
        <v>299</v>
      </c>
      <c r="BC57" s="48"/>
      <c r="BD57" s="43" t="str">
        <f>IF(IFERROR(INDEX(Consulta!$A:$DN,MATCH('ZM01'!$C57,Consulta!$D:$D,0),'ZM01'!BD$2),"")=0,"",IFERROR(INDEX(Consulta!$A:$DN,MATCH('ZM01'!$C57,Consulta!$D:$D,0),'ZM01'!BD$2),""))</f>
        <v/>
      </c>
      <c r="BE57" s="43" t="str">
        <f t="shared" si="0"/>
        <v/>
      </c>
      <c r="BF57" s="43" t="str">
        <f t="shared" si="43"/>
        <v/>
      </c>
      <c r="BG57" s="43" t="str">
        <f t="shared" si="1"/>
        <v/>
      </c>
      <c r="BH57" s="43" t="str">
        <f t="shared" si="44"/>
        <v>PC</v>
      </c>
      <c r="BI57" s="43" t="str">
        <f t="shared" si="24"/>
        <v/>
      </c>
      <c r="BJ57" s="43" t="str">
        <f t="shared" si="25"/>
        <v/>
      </c>
      <c r="BK57" s="43" t="str">
        <f t="shared" si="26"/>
        <v/>
      </c>
      <c r="BL57" s="43" t="str">
        <f t="shared" si="45"/>
        <v>PC</v>
      </c>
      <c r="BN57" s="44"/>
      <c r="BO57" s="44" t="s">
        <v>925</v>
      </c>
      <c r="BP57" s="43" t="str">
        <f>IF(OR(IFERROR(INDEX(Consulta!$A:$DN,MATCH('ZM01'!$C57,Consulta!$D:$D,0),'ZM01'!BP$2),"")=0,IFERROR(INDEX(Consulta!$A:$DN,MATCH('ZM01'!$C57,Consulta!$D:$D,0),'ZM01'!BP$2),"")=AR57),"",IFERROR(INDEX(Consulta!$A:$DN,MATCH('ZM01'!$C57,Consulta!$D:$D,0),'ZM01'!BP$2),""))</f>
        <v/>
      </c>
      <c r="BQ57" s="45">
        <v>99</v>
      </c>
      <c r="BR57" s="46" t="str">
        <f t="shared" ca="1" si="46"/>
        <v>24.05.2022</v>
      </c>
      <c r="BS57" s="49" t="str">
        <f t="shared" si="47"/>
        <v/>
      </c>
      <c r="BT57" s="50">
        <v>1</v>
      </c>
      <c r="BU57" s="50" t="s">
        <v>194</v>
      </c>
      <c r="BV57" s="90" t="str">
        <f t="shared" si="14"/>
        <v>01</v>
      </c>
      <c r="BW57" s="50" t="s">
        <v>755</v>
      </c>
      <c r="BX57" s="44">
        <v>1</v>
      </c>
      <c r="BY57" s="44" t="s">
        <v>372</v>
      </c>
      <c r="BZ57" s="50" t="s">
        <v>197</v>
      </c>
      <c r="CA57" s="50" t="s">
        <v>197</v>
      </c>
      <c r="CB57" s="43" t="str">
        <f>IF(IFERROR(INDEX(Consulta!$A:$DN,MATCH('ZM01'!$C57,Consulta!$D:$D,0),'ZM01'!CB$2),"")=0,"",IFERROR(INDEX(Consulta!$A:$DN,MATCH('ZM01'!$C57,Consulta!$D:$D,0),'ZM01'!CB$2),""))</f>
        <v/>
      </c>
      <c r="CC57" s="44" t="s">
        <v>392</v>
      </c>
      <c r="CD57" s="50">
        <v>0</v>
      </c>
      <c r="CE57" s="45" t="s">
        <v>403</v>
      </c>
      <c r="CF57" s="45" t="s">
        <v>84</v>
      </c>
      <c r="CG57" s="43" t="str">
        <f t="shared" si="15"/>
        <v/>
      </c>
      <c r="CH57" s="45" t="s">
        <v>430</v>
      </c>
      <c r="CI57" s="44">
        <v>0</v>
      </c>
      <c r="CJ57" s="43" t="str">
        <f t="shared" si="27"/>
        <v>E</v>
      </c>
      <c r="CK57" s="43" t="str">
        <f t="shared" si="28"/>
        <v/>
      </c>
      <c r="CL57" s="44">
        <v>2</v>
      </c>
      <c r="CM57" s="49" t="str">
        <f t="shared" si="48"/>
        <v/>
      </c>
      <c r="CN57" s="49" t="str">
        <f t="shared" si="49"/>
        <v/>
      </c>
      <c r="CO57" s="43" t="str">
        <f t="shared" si="29"/>
        <v/>
      </c>
      <c r="CP57" s="44">
        <v>1</v>
      </c>
      <c r="CQ57" s="50" t="s">
        <v>515</v>
      </c>
      <c r="CR57" s="44" t="s">
        <v>372</v>
      </c>
      <c r="CS57" s="44">
        <v>2</v>
      </c>
      <c r="CT57" s="44">
        <v>42</v>
      </c>
      <c r="CU57" s="44">
        <v>10</v>
      </c>
      <c r="CV57" s="43" t="str">
        <f t="shared" si="30"/>
        <v>K00_AO_</v>
      </c>
      <c r="CW57" s="43" t="str">
        <f t="shared" si="31"/>
        <v/>
      </c>
      <c r="CX57" s="43" t="str">
        <f t="shared" si="32"/>
        <v/>
      </c>
      <c r="CY57" s="44">
        <v>1</v>
      </c>
      <c r="CZ57" s="43" t="str">
        <f t="shared" si="33"/>
        <v/>
      </c>
      <c r="DA57" s="43" t="str">
        <f>IF(IFERROR(INDEX(Consulta!$A:$DN,MATCH('ZM01'!$C57,Consulta!$D:$D,0),'ZM01'!DA$2),"")=0,"",IFERROR(INDEX(Consulta!$A:$DN,MATCH('ZM01'!$C57,Consulta!$D:$D,0),'ZM01'!DA$2),""))</f>
        <v/>
      </c>
      <c r="DB57" s="43" t="str">
        <f>IF(IFERROR(INDEX(Consulta!$A:$DN,MATCH('ZM01'!$C57,Consulta!$D:$D,0),'ZM01'!DB$2),"")=0,"",IFERROR(INDEX(Consulta!$A:$DN,MATCH('ZM01'!$C57,Consulta!$D:$D,0),'ZM01'!DB$2),""))</f>
        <v/>
      </c>
      <c r="DC57" s="45">
        <v>0</v>
      </c>
      <c r="DD57" s="45">
        <v>0</v>
      </c>
      <c r="DE57" s="43" t="str">
        <f>IF(IFERROR(INDEX(Consulta!$A:$DN,MATCH('ZM01'!$C57,Consulta!$D:$D,0),'ZM01'!DE$2),"")=0,"",IFERROR(TEXT(VALUE(INDEX(Consulta!$A:$DN,MATCH('ZM01'!$C57,Consulta!$D:$D,0),'ZM01'!DE$2))/100,"0,00"),""))</f>
        <v/>
      </c>
      <c r="DG57" s="43">
        <f t="shared" si="50"/>
        <v>1</v>
      </c>
      <c r="DH57" s="43" t="str">
        <f>IF(IFERROR(INDEX(Consulta!$A:$DN,MATCH('ZM01'!$C57,Consulta!$D:$D,0),'ZM01'!DH$2),"")=0,"",IFERROR(VLOOKUP(INDEX(Consulta!$A:$DN,MATCH('ZM01'!$C57,Consulta!$D:$D,0),'ZM01'!DH$2),'Listas de Dados'!BU:BW,3,0),""))</f>
        <v/>
      </c>
      <c r="DI57" s="43" t="str">
        <f t="shared" ca="1" si="51"/>
        <v>24.05.2022</v>
      </c>
      <c r="DJ57" s="43" t="str">
        <f t="shared" si="52"/>
        <v>31.12.9999</v>
      </c>
      <c r="DL57" s="44">
        <v>1</v>
      </c>
      <c r="DM57" s="44" t="s">
        <v>1039</v>
      </c>
      <c r="DN57" s="44">
        <v>1</v>
      </c>
      <c r="DO57" s="43">
        <f t="shared" si="34"/>
        <v>1</v>
      </c>
      <c r="DP57" s="43" t="str">
        <f t="shared" si="35"/>
        <v>PC</v>
      </c>
      <c r="DQ57" s="43" t="str">
        <f t="shared" si="36"/>
        <v/>
      </c>
      <c r="DR57" s="44">
        <v>100</v>
      </c>
      <c r="DS57" s="71">
        <f t="shared" si="21"/>
        <v>1</v>
      </c>
      <c r="DT57" s="43">
        <f t="shared" si="53"/>
        <v>100</v>
      </c>
      <c r="DU57" s="44">
        <v>1</v>
      </c>
      <c r="DV57" s="44">
        <v>0</v>
      </c>
      <c r="DW57" s="44" t="s">
        <v>826</v>
      </c>
      <c r="DX57" s="45">
        <v>0</v>
      </c>
      <c r="DY57" s="44">
        <v>100</v>
      </c>
      <c r="DZ57" s="60"/>
    </row>
    <row r="58" spans="1:130" x14ac:dyDescent="0.2">
      <c r="A58" s="7" t="str">
        <f t="shared" si="2"/>
        <v>Execução 54</v>
      </c>
      <c r="B58" s="75"/>
      <c r="C58" s="85"/>
      <c r="D58" s="71" t="str">
        <f t="shared" si="37"/>
        <v/>
      </c>
      <c r="E58" s="71" t="str">
        <f t="shared" si="38"/>
        <v/>
      </c>
      <c r="F58" s="43" t="str">
        <f>IF(IFERROR(INDEX(Consulta!$A:$DN,MATCH('ZM01'!$C58,Consulta!$D:$D,0),'ZM01'!F$2),"")=0,"",IFERROR(INDEX(Consulta!$A:$DN,MATCH('ZM01'!$C58,Consulta!$D:$D,0),'ZM01'!F$2),""))</f>
        <v/>
      </c>
      <c r="G58" s="43" t="str">
        <f>IF(IFERROR(INDEX(Consulta!$A:$DN,MATCH('ZM01'!$C58,Consulta!$D:$D,0),'ZM01'!G$2),"")=0,"",IFERROR(INDEX(Consulta!$A:$DN,MATCH('ZM01'!$C58,Consulta!$D:$D,0),'ZM01'!G$2),""))</f>
        <v/>
      </c>
      <c r="H58" s="43" t="str">
        <f t="shared" si="23"/>
        <v/>
      </c>
      <c r="I58" s="44" t="s">
        <v>100</v>
      </c>
      <c r="J58" s="43" t="str">
        <f>IF(IFERROR(INDEX(Consulta!$A:$DN,MATCH('ZM01'!$C58,Consulta!$D:$D,0),'ZM01'!J$2),"")=0,"",IFERROR(INDEX(Consulta!$A:$DN,MATCH('ZM01'!$C58,Consulta!$D:$D,0),'ZM01'!J$2),""))</f>
        <v/>
      </c>
      <c r="K58" s="43" t="str">
        <f>IF(IFERROR(INDEX(Consulta!$A:$DN,MATCH('ZM01'!$C58,Consulta!$D:$D,0),'ZM01'!K$2),"")=0,"",IFERROR(INDEX(Consulta!$A:$DN,MATCH('ZM01'!$C58,Consulta!$D:$D,0),'ZM01'!K$2),""))</f>
        <v/>
      </c>
      <c r="L58" s="43" t="str">
        <f t="shared" si="39"/>
        <v/>
      </c>
      <c r="M58" s="43" t="str">
        <f>IF(IFERROR(INDEX(Consulta!$A:$DN,MATCH('ZM01'!$C58,Consulta!$D:$D,0),'ZM01'!M$2),"")=0,"",IFERROR(INDEX(Consulta!$A:$DN,MATCH('ZM01'!$C58,Consulta!$D:$D,0),'ZM01'!M$2),""))</f>
        <v/>
      </c>
      <c r="N58" s="43" t="str">
        <f t="shared" si="40"/>
        <v/>
      </c>
      <c r="P58" s="45" t="s">
        <v>101</v>
      </c>
      <c r="Q58" s="45" t="s">
        <v>102</v>
      </c>
      <c r="R58" s="45" t="s">
        <v>103</v>
      </c>
      <c r="S58" s="45" t="s">
        <v>104</v>
      </c>
      <c r="T58" s="45" t="s">
        <v>105</v>
      </c>
      <c r="U58" s="45" t="s">
        <v>106</v>
      </c>
      <c r="V58" s="45" t="s">
        <v>107</v>
      </c>
      <c r="W58" s="45" t="s">
        <v>109</v>
      </c>
      <c r="X58" s="45" t="s">
        <v>110</v>
      </c>
      <c r="Y58" s="45"/>
      <c r="Z58" s="45"/>
      <c r="AA58" s="45" t="s">
        <v>112</v>
      </c>
      <c r="AB58" s="45" t="s">
        <v>113</v>
      </c>
      <c r="AC58" s="45" t="s">
        <v>114</v>
      </c>
      <c r="AD58" s="45" t="s">
        <v>115</v>
      </c>
      <c r="AE58" s="45" t="s">
        <v>117</v>
      </c>
      <c r="AF58" s="45" t="s">
        <v>118</v>
      </c>
      <c r="AG58" s="45" t="s">
        <v>119</v>
      </c>
      <c r="AH58" s="45" t="s">
        <v>120</v>
      </c>
      <c r="AI58" s="45" t="s">
        <v>121</v>
      </c>
      <c r="AJ58" s="45" t="s">
        <v>122</v>
      </c>
      <c r="AK58" s="45" t="s">
        <v>123</v>
      </c>
      <c r="AL58" s="45" t="s">
        <v>124</v>
      </c>
      <c r="AM58" s="45" t="s">
        <v>125</v>
      </c>
      <c r="AN58" s="45" t="s">
        <v>126</v>
      </c>
      <c r="AO58" s="45"/>
      <c r="AP58" s="45"/>
      <c r="AR58" s="44" t="s">
        <v>822</v>
      </c>
      <c r="AS58" s="43" t="str">
        <f>IF(IFERROR(INDEX(Consulta!$A:$DN,MATCH('ZM01'!$C58,Consulta!$D:$D,0),'ZM01'!AS$2),"")=0,"",IFERROR(INDEX(Consulta!$A:$DN,MATCH('ZM01'!$C58,Consulta!$D:$D,0),'ZM01'!AS$2),""))</f>
        <v/>
      </c>
      <c r="AT58" s="45"/>
      <c r="AU58" s="43" t="str">
        <f>IF(IFERROR(INDEX(Consulta!$A:$DN,MATCH('ZM01'!$C58,Consulta!$D:$D,0),'ZM01'!AU$2),"")=0,"",IFERROR(INDEX(Consulta!$A:$DN,MATCH('ZM01'!$C58,Consulta!$D:$D,0),'ZM01'!AU$2),""))</f>
        <v/>
      </c>
      <c r="AV58" s="43" t="str">
        <f>IF(IFERROR(INDEX(Consulta!$A:$DN,MATCH('ZM01'!$C58,Consulta!$D:$D,0),'ZM01'!AV$2),"")=0,"",IFERROR(INDEX(Consulta!$A:$DN,MATCH('ZM01'!$C58,Consulta!$D:$D,0),'ZM01'!AV$2),""))</f>
        <v/>
      </c>
      <c r="AW58" s="45"/>
      <c r="AX58" s="46" t="str">
        <f t="shared" ca="1" si="41"/>
        <v/>
      </c>
      <c r="AY58" s="47" t="s">
        <v>755</v>
      </c>
      <c r="AZ58" s="43" t="str">
        <f>IF(IFERROR(ROUND(INDEX(Consulta!$A:$DN,MATCH('ZM01'!$C58,Consulta!$D:$D,0),'ZM01'!AZ$2),3),"")=0,"",IFERROR(ROUND(INDEX(Consulta!$A:$DN,MATCH('ZM01'!$C58,Consulta!$D:$D,0),'ZM01'!AZ$2),3),""))</f>
        <v/>
      </c>
      <c r="BA58" s="43" t="str">
        <f t="shared" si="42"/>
        <v/>
      </c>
      <c r="BB58" s="48" t="s">
        <v>299</v>
      </c>
      <c r="BC58" s="48"/>
      <c r="BD58" s="43" t="str">
        <f>IF(IFERROR(INDEX(Consulta!$A:$DN,MATCH('ZM01'!$C58,Consulta!$D:$D,0),'ZM01'!BD$2),"")=0,"",IFERROR(INDEX(Consulta!$A:$DN,MATCH('ZM01'!$C58,Consulta!$D:$D,0),'ZM01'!BD$2),""))</f>
        <v/>
      </c>
      <c r="BE58" s="43" t="str">
        <f t="shared" si="0"/>
        <v/>
      </c>
      <c r="BF58" s="43" t="str">
        <f t="shared" si="43"/>
        <v/>
      </c>
      <c r="BG58" s="43" t="str">
        <f t="shared" si="1"/>
        <v/>
      </c>
      <c r="BH58" s="43" t="str">
        <f t="shared" si="44"/>
        <v>PC</v>
      </c>
      <c r="BI58" s="43" t="str">
        <f t="shared" si="24"/>
        <v/>
      </c>
      <c r="BJ58" s="43" t="str">
        <f t="shared" si="25"/>
        <v/>
      </c>
      <c r="BK58" s="43" t="str">
        <f t="shared" si="26"/>
        <v/>
      </c>
      <c r="BL58" s="43" t="str">
        <f t="shared" si="45"/>
        <v>PC</v>
      </c>
      <c r="BN58" s="44"/>
      <c r="BO58" s="44" t="s">
        <v>925</v>
      </c>
      <c r="BP58" s="43" t="str">
        <f>IF(OR(IFERROR(INDEX(Consulta!$A:$DN,MATCH('ZM01'!$C58,Consulta!$D:$D,0),'ZM01'!BP$2),"")=0,IFERROR(INDEX(Consulta!$A:$DN,MATCH('ZM01'!$C58,Consulta!$D:$D,0),'ZM01'!BP$2),"")=AR58),"",IFERROR(INDEX(Consulta!$A:$DN,MATCH('ZM01'!$C58,Consulta!$D:$D,0),'ZM01'!BP$2),""))</f>
        <v/>
      </c>
      <c r="BQ58" s="45">
        <v>99</v>
      </c>
      <c r="BR58" s="46" t="str">
        <f t="shared" ca="1" si="46"/>
        <v>24.05.2022</v>
      </c>
      <c r="BS58" s="49" t="str">
        <f t="shared" si="47"/>
        <v/>
      </c>
      <c r="BT58" s="50">
        <v>1</v>
      </c>
      <c r="BU58" s="50" t="s">
        <v>194</v>
      </c>
      <c r="BV58" s="90" t="str">
        <f t="shared" si="14"/>
        <v>01</v>
      </c>
      <c r="BW58" s="50" t="s">
        <v>755</v>
      </c>
      <c r="BX58" s="44">
        <v>1</v>
      </c>
      <c r="BY58" s="44" t="s">
        <v>372</v>
      </c>
      <c r="BZ58" s="50" t="s">
        <v>197</v>
      </c>
      <c r="CA58" s="50" t="s">
        <v>197</v>
      </c>
      <c r="CB58" s="43" t="str">
        <f>IF(IFERROR(INDEX(Consulta!$A:$DN,MATCH('ZM01'!$C58,Consulta!$D:$D,0),'ZM01'!CB$2),"")=0,"",IFERROR(INDEX(Consulta!$A:$DN,MATCH('ZM01'!$C58,Consulta!$D:$D,0),'ZM01'!CB$2),""))</f>
        <v/>
      </c>
      <c r="CC58" s="44" t="s">
        <v>392</v>
      </c>
      <c r="CD58" s="50">
        <v>0</v>
      </c>
      <c r="CE58" s="45" t="s">
        <v>403</v>
      </c>
      <c r="CF58" s="45" t="s">
        <v>84</v>
      </c>
      <c r="CG58" s="43" t="str">
        <f t="shared" si="15"/>
        <v/>
      </c>
      <c r="CH58" s="45" t="s">
        <v>430</v>
      </c>
      <c r="CI58" s="44">
        <v>0</v>
      </c>
      <c r="CJ58" s="43" t="str">
        <f t="shared" si="27"/>
        <v>E</v>
      </c>
      <c r="CK58" s="43" t="str">
        <f t="shared" si="28"/>
        <v/>
      </c>
      <c r="CL58" s="44">
        <v>2</v>
      </c>
      <c r="CM58" s="49" t="str">
        <f t="shared" si="48"/>
        <v/>
      </c>
      <c r="CN58" s="49" t="str">
        <f t="shared" si="49"/>
        <v/>
      </c>
      <c r="CO58" s="43" t="str">
        <f t="shared" si="29"/>
        <v/>
      </c>
      <c r="CP58" s="44">
        <v>1</v>
      </c>
      <c r="CQ58" s="50" t="s">
        <v>515</v>
      </c>
      <c r="CR58" s="44" t="s">
        <v>372</v>
      </c>
      <c r="CS58" s="44">
        <v>2</v>
      </c>
      <c r="CT58" s="44">
        <v>42</v>
      </c>
      <c r="CU58" s="44">
        <v>10</v>
      </c>
      <c r="CV58" s="43" t="str">
        <f t="shared" si="30"/>
        <v>K00_AO_</v>
      </c>
      <c r="CW58" s="43" t="str">
        <f t="shared" si="31"/>
        <v/>
      </c>
      <c r="CX58" s="43" t="str">
        <f t="shared" si="32"/>
        <v/>
      </c>
      <c r="CY58" s="44">
        <v>1</v>
      </c>
      <c r="CZ58" s="43" t="str">
        <f t="shared" si="33"/>
        <v/>
      </c>
      <c r="DA58" s="43" t="str">
        <f>IF(IFERROR(INDEX(Consulta!$A:$DN,MATCH('ZM01'!$C58,Consulta!$D:$D,0),'ZM01'!DA$2),"")=0,"",IFERROR(INDEX(Consulta!$A:$DN,MATCH('ZM01'!$C58,Consulta!$D:$D,0),'ZM01'!DA$2),""))</f>
        <v/>
      </c>
      <c r="DB58" s="43" t="str">
        <f>IF(IFERROR(INDEX(Consulta!$A:$DN,MATCH('ZM01'!$C58,Consulta!$D:$D,0),'ZM01'!DB$2),"")=0,"",IFERROR(INDEX(Consulta!$A:$DN,MATCH('ZM01'!$C58,Consulta!$D:$D,0),'ZM01'!DB$2),""))</f>
        <v/>
      </c>
      <c r="DC58" s="45">
        <v>0</v>
      </c>
      <c r="DD58" s="45">
        <v>0</v>
      </c>
      <c r="DE58" s="43" t="str">
        <f>IF(IFERROR(INDEX(Consulta!$A:$DN,MATCH('ZM01'!$C58,Consulta!$D:$D,0),'ZM01'!DE$2),"")=0,"",IFERROR(TEXT(VALUE(INDEX(Consulta!$A:$DN,MATCH('ZM01'!$C58,Consulta!$D:$D,0),'ZM01'!DE$2))/100,"0,00"),""))</f>
        <v/>
      </c>
      <c r="DG58" s="43">
        <f t="shared" si="50"/>
        <v>1</v>
      </c>
      <c r="DH58" s="43" t="str">
        <f>IF(IFERROR(INDEX(Consulta!$A:$DN,MATCH('ZM01'!$C58,Consulta!$D:$D,0),'ZM01'!DH$2),"")=0,"",IFERROR(VLOOKUP(INDEX(Consulta!$A:$DN,MATCH('ZM01'!$C58,Consulta!$D:$D,0),'ZM01'!DH$2),'Listas de Dados'!BU:BW,3,0),""))</f>
        <v/>
      </c>
      <c r="DI58" s="43" t="str">
        <f t="shared" ca="1" si="51"/>
        <v>24.05.2022</v>
      </c>
      <c r="DJ58" s="43" t="str">
        <f t="shared" si="52"/>
        <v>31.12.9999</v>
      </c>
      <c r="DL58" s="44">
        <v>1</v>
      </c>
      <c r="DM58" s="44" t="s">
        <v>1039</v>
      </c>
      <c r="DN58" s="44">
        <v>1</v>
      </c>
      <c r="DO58" s="43">
        <f t="shared" si="34"/>
        <v>1</v>
      </c>
      <c r="DP58" s="43" t="str">
        <f t="shared" si="35"/>
        <v>PC</v>
      </c>
      <c r="DQ58" s="43" t="str">
        <f t="shared" si="36"/>
        <v/>
      </c>
      <c r="DR58" s="44">
        <v>100</v>
      </c>
      <c r="DS58" s="71">
        <f t="shared" si="21"/>
        <v>1</v>
      </c>
      <c r="DT58" s="43">
        <f t="shared" si="53"/>
        <v>100</v>
      </c>
      <c r="DU58" s="44">
        <v>1</v>
      </c>
      <c r="DV58" s="44">
        <v>0</v>
      </c>
      <c r="DW58" s="44" t="s">
        <v>826</v>
      </c>
      <c r="DX58" s="45">
        <v>0</v>
      </c>
      <c r="DY58" s="44">
        <v>100</v>
      </c>
      <c r="DZ58" s="61"/>
    </row>
    <row r="59" spans="1:130" x14ac:dyDescent="0.2">
      <c r="A59" s="7" t="str">
        <f t="shared" si="2"/>
        <v>Execução 55</v>
      </c>
      <c r="B59" s="79"/>
      <c r="C59" s="85"/>
      <c r="D59" s="71" t="str">
        <f t="shared" si="37"/>
        <v/>
      </c>
      <c r="E59" s="71" t="str">
        <f t="shared" si="38"/>
        <v/>
      </c>
      <c r="F59" s="43" t="str">
        <f>IF(IFERROR(INDEX(Consulta!$A:$DN,MATCH('ZM01'!$C59,Consulta!$D:$D,0),'ZM01'!F$2),"")=0,"",IFERROR(INDEX(Consulta!$A:$DN,MATCH('ZM01'!$C59,Consulta!$D:$D,0),'ZM01'!F$2),""))</f>
        <v/>
      </c>
      <c r="G59" s="43" t="str">
        <f>IF(IFERROR(INDEX(Consulta!$A:$DN,MATCH('ZM01'!$C59,Consulta!$D:$D,0),'ZM01'!G$2),"")=0,"",IFERROR(INDEX(Consulta!$A:$DN,MATCH('ZM01'!$C59,Consulta!$D:$D,0),'ZM01'!G$2),""))</f>
        <v/>
      </c>
      <c r="H59" s="43" t="str">
        <f t="shared" si="23"/>
        <v/>
      </c>
      <c r="I59" s="44" t="s">
        <v>100</v>
      </c>
      <c r="J59" s="43" t="str">
        <f>IF(IFERROR(INDEX(Consulta!$A:$DN,MATCH('ZM01'!$C59,Consulta!$D:$D,0),'ZM01'!J$2),"")=0,"",IFERROR(INDEX(Consulta!$A:$DN,MATCH('ZM01'!$C59,Consulta!$D:$D,0),'ZM01'!J$2),""))</f>
        <v/>
      </c>
      <c r="K59" s="43" t="str">
        <f>IF(IFERROR(INDEX(Consulta!$A:$DN,MATCH('ZM01'!$C59,Consulta!$D:$D,0),'ZM01'!K$2),"")=0,"",IFERROR(INDEX(Consulta!$A:$DN,MATCH('ZM01'!$C59,Consulta!$D:$D,0),'ZM01'!K$2),""))</f>
        <v/>
      </c>
      <c r="L59" s="43" t="str">
        <f t="shared" si="39"/>
        <v/>
      </c>
      <c r="M59" s="43" t="str">
        <f>IF(IFERROR(INDEX(Consulta!$A:$DN,MATCH('ZM01'!$C59,Consulta!$D:$D,0),'ZM01'!M$2),"")=0,"",IFERROR(INDEX(Consulta!$A:$DN,MATCH('ZM01'!$C59,Consulta!$D:$D,0),'ZM01'!M$2),""))</f>
        <v/>
      </c>
      <c r="N59" s="43" t="str">
        <f t="shared" si="40"/>
        <v/>
      </c>
      <c r="P59" s="45" t="s">
        <v>101</v>
      </c>
      <c r="Q59" s="45" t="s">
        <v>102</v>
      </c>
      <c r="R59" s="45" t="s">
        <v>103</v>
      </c>
      <c r="S59" s="45" t="s">
        <v>104</v>
      </c>
      <c r="T59" s="45" t="s">
        <v>105</v>
      </c>
      <c r="U59" s="45" t="s">
        <v>106</v>
      </c>
      <c r="V59" s="45" t="s">
        <v>107</v>
      </c>
      <c r="W59" s="45" t="s">
        <v>109</v>
      </c>
      <c r="X59" s="45" t="s">
        <v>110</v>
      </c>
      <c r="Y59" s="45"/>
      <c r="Z59" s="45"/>
      <c r="AA59" s="45" t="s">
        <v>112</v>
      </c>
      <c r="AB59" s="45" t="s">
        <v>113</v>
      </c>
      <c r="AC59" s="45" t="s">
        <v>114</v>
      </c>
      <c r="AD59" s="45" t="s">
        <v>115</v>
      </c>
      <c r="AE59" s="45" t="s">
        <v>117</v>
      </c>
      <c r="AF59" s="45" t="s">
        <v>118</v>
      </c>
      <c r="AG59" s="45" t="s">
        <v>119</v>
      </c>
      <c r="AH59" s="45" t="s">
        <v>120</v>
      </c>
      <c r="AI59" s="45" t="s">
        <v>121</v>
      </c>
      <c r="AJ59" s="45" t="s">
        <v>122</v>
      </c>
      <c r="AK59" s="45" t="s">
        <v>123</v>
      </c>
      <c r="AL59" s="45" t="s">
        <v>124</v>
      </c>
      <c r="AM59" s="45" t="s">
        <v>125</v>
      </c>
      <c r="AN59" s="45" t="s">
        <v>126</v>
      </c>
      <c r="AO59" s="45"/>
      <c r="AP59" s="45"/>
      <c r="AR59" s="44" t="s">
        <v>822</v>
      </c>
      <c r="AS59" s="43" t="str">
        <f>IF(IFERROR(INDEX(Consulta!$A:$DN,MATCH('ZM01'!$C59,Consulta!$D:$D,0),'ZM01'!AS$2),"")=0,"",IFERROR(INDEX(Consulta!$A:$DN,MATCH('ZM01'!$C59,Consulta!$D:$D,0),'ZM01'!AS$2),""))</f>
        <v/>
      </c>
      <c r="AT59" s="45"/>
      <c r="AU59" s="43" t="str">
        <f>IF(IFERROR(INDEX(Consulta!$A:$DN,MATCH('ZM01'!$C59,Consulta!$D:$D,0),'ZM01'!AU$2),"")=0,"",IFERROR(INDEX(Consulta!$A:$DN,MATCH('ZM01'!$C59,Consulta!$D:$D,0),'ZM01'!AU$2),""))</f>
        <v/>
      </c>
      <c r="AV59" s="43" t="str">
        <f>IF(IFERROR(INDEX(Consulta!$A:$DN,MATCH('ZM01'!$C59,Consulta!$D:$D,0),'ZM01'!AV$2),"")=0,"",IFERROR(INDEX(Consulta!$A:$DN,MATCH('ZM01'!$C59,Consulta!$D:$D,0),'ZM01'!AV$2),""))</f>
        <v/>
      </c>
      <c r="AW59" s="45"/>
      <c r="AX59" s="46" t="str">
        <f t="shared" ca="1" si="41"/>
        <v/>
      </c>
      <c r="AY59" s="47" t="s">
        <v>755</v>
      </c>
      <c r="AZ59" s="43" t="str">
        <f>IF(IFERROR(ROUND(INDEX(Consulta!$A:$DN,MATCH('ZM01'!$C59,Consulta!$D:$D,0),'ZM01'!AZ$2),3),"")=0,"",IFERROR(ROUND(INDEX(Consulta!$A:$DN,MATCH('ZM01'!$C59,Consulta!$D:$D,0),'ZM01'!AZ$2),3),""))</f>
        <v/>
      </c>
      <c r="BA59" s="43" t="str">
        <f t="shared" si="42"/>
        <v/>
      </c>
      <c r="BB59" s="48" t="s">
        <v>299</v>
      </c>
      <c r="BC59" s="48"/>
      <c r="BD59" s="43" t="str">
        <f>IF(IFERROR(INDEX(Consulta!$A:$DN,MATCH('ZM01'!$C59,Consulta!$D:$D,0),'ZM01'!BD$2),"")=0,"",IFERROR(INDEX(Consulta!$A:$DN,MATCH('ZM01'!$C59,Consulta!$D:$D,0),'ZM01'!BD$2),""))</f>
        <v/>
      </c>
      <c r="BE59" s="43" t="str">
        <f t="shared" si="0"/>
        <v/>
      </c>
      <c r="BF59" s="43" t="str">
        <f t="shared" si="43"/>
        <v/>
      </c>
      <c r="BG59" s="43" t="str">
        <f t="shared" si="1"/>
        <v/>
      </c>
      <c r="BH59" s="43" t="str">
        <f t="shared" si="44"/>
        <v>PC</v>
      </c>
      <c r="BI59" s="43" t="str">
        <f t="shared" si="24"/>
        <v/>
      </c>
      <c r="BJ59" s="43" t="str">
        <f t="shared" si="25"/>
        <v/>
      </c>
      <c r="BK59" s="43" t="str">
        <f t="shared" si="26"/>
        <v/>
      </c>
      <c r="BL59" s="43" t="str">
        <f t="shared" si="45"/>
        <v>PC</v>
      </c>
      <c r="BN59" s="44"/>
      <c r="BO59" s="44" t="s">
        <v>925</v>
      </c>
      <c r="BP59" s="43" t="str">
        <f>IF(OR(IFERROR(INDEX(Consulta!$A:$DN,MATCH('ZM01'!$C59,Consulta!$D:$D,0),'ZM01'!BP$2),"")=0,IFERROR(INDEX(Consulta!$A:$DN,MATCH('ZM01'!$C59,Consulta!$D:$D,0),'ZM01'!BP$2),"")=AR59),"",IFERROR(INDEX(Consulta!$A:$DN,MATCH('ZM01'!$C59,Consulta!$D:$D,0),'ZM01'!BP$2),""))</f>
        <v/>
      </c>
      <c r="BQ59" s="45">
        <v>99</v>
      </c>
      <c r="BR59" s="46" t="str">
        <f t="shared" ca="1" si="46"/>
        <v>24.05.2022</v>
      </c>
      <c r="BS59" s="49" t="str">
        <f t="shared" si="47"/>
        <v/>
      </c>
      <c r="BT59" s="50">
        <v>1</v>
      </c>
      <c r="BU59" s="50" t="s">
        <v>194</v>
      </c>
      <c r="BV59" s="90" t="str">
        <f t="shared" si="14"/>
        <v>01</v>
      </c>
      <c r="BW59" s="50" t="s">
        <v>755</v>
      </c>
      <c r="BX59" s="44">
        <v>1</v>
      </c>
      <c r="BY59" s="44" t="s">
        <v>372</v>
      </c>
      <c r="BZ59" s="50" t="s">
        <v>197</v>
      </c>
      <c r="CA59" s="50" t="s">
        <v>197</v>
      </c>
      <c r="CB59" s="43" t="str">
        <f>IF(IFERROR(INDEX(Consulta!$A:$DN,MATCH('ZM01'!$C59,Consulta!$D:$D,0),'ZM01'!CB$2),"")=0,"",IFERROR(INDEX(Consulta!$A:$DN,MATCH('ZM01'!$C59,Consulta!$D:$D,0),'ZM01'!CB$2),""))</f>
        <v/>
      </c>
      <c r="CC59" s="44" t="s">
        <v>392</v>
      </c>
      <c r="CD59" s="50">
        <v>0</v>
      </c>
      <c r="CE59" s="45" t="s">
        <v>403</v>
      </c>
      <c r="CF59" s="45" t="s">
        <v>84</v>
      </c>
      <c r="CG59" s="43" t="str">
        <f t="shared" si="15"/>
        <v/>
      </c>
      <c r="CH59" s="45" t="s">
        <v>430</v>
      </c>
      <c r="CI59" s="44">
        <v>0</v>
      </c>
      <c r="CJ59" s="43" t="str">
        <f t="shared" si="27"/>
        <v>E</v>
      </c>
      <c r="CK59" s="43" t="str">
        <f t="shared" si="28"/>
        <v/>
      </c>
      <c r="CL59" s="44">
        <v>2</v>
      </c>
      <c r="CM59" s="49" t="str">
        <f t="shared" si="48"/>
        <v/>
      </c>
      <c r="CN59" s="49" t="str">
        <f t="shared" si="49"/>
        <v/>
      </c>
      <c r="CO59" s="43" t="str">
        <f t="shared" si="29"/>
        <v/>
      </c>
      <c r="CP59" s="44">
        <v>1</v>
      </c>
      <c r="CQ59" s="50" t="s">
        <v>515</v>
      </c>
      <c r="CR59" s="44" t="s">
        <v>372</v>
      </c>
      <c r="CS59" s="44">
        <v>2</v>
      </c>
      <c r="CT59" s="44">
        <v>42</v>
      </c>
      <c r="CU59" s="44">
        <v>10</v>
      </c>
      <c r="CV59" s="43" t="str">
        <f t="shared" si="30"/>
        <v>K00_AO_</v>
      </c>
      <c r="CW59" s="43" t="str">
        <f t="shared" si="31"/>
        <v/>
      </c>
      <c r="CX59" s="43" t="str">
        <f t="shared" si="32"/>
        <v/>
      </c>
      <c r="CY59" s="44">
        <v>1</v>
      </c>
      <c r="CZ59" s="43" t="str">
        <f t="shared" si="33"/>
        <v/>
      </c>
      <c r="DA59" s="43" t="str">
        <f>IF(IFERROR(INDEX(Consulta!$A:$DN,MATCH('ZM01'!$C59,Consulta!$D:$D,0),'ZM01'!DA$2),"")=0,"",IFERROR(INDEX(Consulta!$A:$DN,MATCH('ZM01'!$C59,Consulta!$D:$D,0),'ZM01'!DA$2),""))</f>
        <v/>
      </c>
      <c r="DB59" s="43" t="str">
        <f>IF(IFERROR(INDEX(Consulta!$A:$DN,MATCH('ZM01'!$C59,Consulta!$D:$D,0),'ZM01'!DB$2),"")=0,"",IFERROR(INDEX(Consulta!$A:$DN,MATCH('ZM01'!$C59,Consulta!$D:$D,0),'ZM01'!DB$2),""))</f>
        <v/>
      </c>
      <c r="DC59" s="45">
        <v>0</v>
      </c>
      <c r="DD59" s="45">
        <v>0</v>
      </c>
      <c r="DE59" s="43" t="str">
        <f>IF(IFERROR(INDEX(Consulta!$A:$DN,MATCH('ZM01'!$C59,Consulta!$D:$D,0),'ZM01'!DE$2),"")=0,"",IFERROR(TEXT(VALUE(INDEX(Consulta!$A:$DN,MATCH('ZM01'!$C59,Consulta!$D:$D,0),'ZM01'!DE$2))/100,"0,00"),""))</f>
        <v/>
      </c>
      <c r="DG59" s="43">
        <f t="shared" si="50"/>
        <v>1</v>
      </c>
      <c r="DH59" s="43" t="str">
        <f>IF(IFERROR(INDEX(Consulta!$A:$DN,MATCH('ZM01'!$C59,Consulta!$D:$D,0),'ZM01'!DH$2),"")=0,"",IFERROR(VLOOKUP(INDEX(Consulta!$A:$DN,MATCH('ZM01'!$C59,Consulta!$D:$D,0),'ZM01'!DH$2),'Listas de Dados'!BU:BW,3,0),""))</f>
        <v/>
      </c>
      <c r="DI59" s="43" t="str">
        <f t="shared" ca="1" si="51"/>
        <v>24.05.2022</v>
      </c>
      <c r="DJ59" s="43" t="str">
        <f t="shared" si="52"/>
        <v>31.12.9999</v>
      </c>
      <c r="DL59" s="44">
        <v>1</v>
      </c>
      <c r="DM59" s="44" t="s">
        <v>1039</v>
      </c>
      <c r="DN59" s="44">
        <v>1</v>
      </c>
      <c r="DO59" s="43">
        <f t="shared" si="34"/>
        <v>1</v>
      </c>
      <c r="DP59" s="43" t="str">
        <f t="shared" si="35"/>
        <v>PC</v>
      </c>
      <c r="DQ59" s="43" t="str">
        <f t="shared" si="36"/>
        <v/>
      </c>
      <c r="DR59" s="44">
        <v>100</v>
      </c>
      <c r="DS59" s="71">
        <f t="shared" si="21"/>
        <v>1</v>
      </c>
      <c r="DT59" s="43">
        <f t="shared" si="53"/>
        <v>100</v>
      </c>
      <c r="DU59" s="44">
        <v>1</v>
      </c>
      <c r="DV59" s="44">
        <v>0</v>
      </c>
      <c r="DW59" s="44" t="s">
        <v>826</v>
      </c>
      <c r="DX59" s="45">
        <v>0</v>
      </c>
      <c r="DY59" s="44">
        <v>100</v>
      </c>
      <c r="DZ59" s="60"/>
    </row>
    <row r="60" spans="1:130" x14ac:dyDescent="0.2">
      <c r="A60" s="7" t="str">
        <f t="shared" si="2"/>
        <v>Execução 56</v>
      </c>
      <c r="B60" s="75"/>
      <c r="C60" s="85"/>
      <c r="D60" s="71" t="str">
        <f t="shared" si="37"/>
        <v/>
      </c>
      <c r="E60" s="71" t="str">
        <f t="shared" si="38"/>
        <v/>
      </c>
      <c r="F60" s="43" t="str">
        <f>IF(IFERROR(INDEX(Consulta!$A:$DN,MATCH('ZM01'!$C60,Consulta!$D:$D,0),'ZM01'!F$2),"")=0,"",IFERROR(INDEX(Consulta!$A:$DN,MATCH('ZM01'!$C60,Consulta!$D:$D,0),'ZM01'!F$2),""))</f>
        <v/>
      </c>
      <c r="G60" s="43" t="str">
        <f>IF(IFERROR(INDEX(Consulta!$A:$DN,MATCH('ZM01'!$C60,Consulta!$D:$D,0),'ZM01'!G$2),"")=0,"",IFERROR(INDEX(Consulta!$A:$DN,MATCH('ZM01'!$C60,Consulta!$D:$D,0),'ZM01'!G$2),""))</f>
        <v/>
      </c>
      <c r="H60" s="43" t="str">
        <f t="shared" si="23"/>
        <v/>
      </c>
      <c r="I60" s="44" t="s">
        <v>100</v>
      </c>
      <c r="J60" s="43" t="str">
        <f>IF(IFERROR(INDEX(Consulta!$A:$DN,MATCH('ZM01'!$C60,Consulta!$D:$D,0),'ZM01'!J$2),"")=0,"",IFERROR(INDEX(Consulta!$A:$DN,MATCH('ZM01'!$C60,Consulta!$D:$D,0),'ZM01'!J$2),""))</f>
        <v/>
      </c>
      <c r="K60" s="43" t="str">
        <f>IF(IFERROR(INDEX(Consulta!$A:$DN,MATCH('ZM01'!$C60,Consulta!$D:$D,0),'ZM01'!K$2),"")=0,"",IFERROR(INDEX(Consulta!$A:$DN,MATCH('ZM01'!$C60,Consulta!$D:$D,0),'ZM01'!K$2),""))</f>
        <v/>
      </c>
      <c r="L60" s="43" t="str">
        <f t="shared" si="39"/>
        <v/>
      </c>
      <c r="M60" s="43" t="str">
        <f>IF(IFERROR(INDEX(Consulta!$A:$DN,MATCH('ZM01'!$C60,Consulta!$D:$D,0),'ZM01'!M$2),"")=0,"",IFERROR(INDEX(Consulta!$A:$DN,MATCH('ZM01'!$C60,Consulta!$D:$D,0),'ZM01'!M$2),""))</f>
        <v/>
      </c>
      <c r="N60" s="43" t="str">
        <f t="shared" si="40"/>
        <v/>
      </c>
      <c r="P60" s="45" t="s">
        <v>101</v>
      </c>
      <c r="Q60" s="45" t="s">
        <v>102</v>
      </c>
      <c r="R60" s="45" t="s">
        <v>103</v>
      </c>
      <c r="S60" s="45" t="s">
        <v>104</v>
      </c>
      <c r="T60" s="45" t="s">
        <v>105</v>
      </c>
      <c r="U60" s="45" t="s">
        <v>106</v>
      </c>
      <c r="V60" s="45" t="s">
        <v>107</v>
      </c>
      <c r="W60" s="45" t="s">
        <v>109</v>
      </c>
      <c r="X60" s="45" t="s">
        <v>110</v>
      </c>
      <c r="Y60" s="45"/>
      <c r="Z60" s="45"/>
      <c r="AA60" s="45" t="s">
        <v>112</v>
      </c>
      <c r="AB60" s="45" t="s">
        <v>113</v>
      </c>
      <c r="AC60" s="45" t="s">
        <v>114</v>
      </c>
      <c r="AD60" s="45" t="s">
        <v>115</v>
      </c>
      <c r="AE60" s="45" t="s">
        <v>117</v>
      </c>
      <c r="AF60" s="45" t="s">
        <v>118</v>
      </c>
      <c r="AG60" s="45" t="s">
        <v>119</v>
      </c>
      <c r="AH60" s="45" t="s">
        <v>120</v>
      </c>
      <c r="AI60" s="45" t="s">
        <v>121</v>
      </c>
      <c r="AJ60" s="45" t="s">
        <v>122</v>
      </c>
      <c r="AK60" s="45" t="s">
        <v>123</v>
      </c>
      <c r="AL60" s="45" t="s">
        <v>124</v>
      </c>
      <c r="AM60" s="45" t="s">
        <v>125</v>
      </c>
      <c r="AN60" s="45" t="s">
        <v>126</v>
      </c>
      <c r="AO60" s="45"/>
      <c r="AP60" s="45"/>
      <c r="AR60" s="44" t="s">
        <v>822</v>
      </c>
      <c r="AS60" s="43" t="str">
        <f>IF(IFERROR(INDEX(Consulta!$A:$DN,MATCH('ZM01'!$C60,Consulta!$D:$D,0),'ZM01'!AS$2),"")=0,"",IFERROR(INDEX(Consulta!$A:$DN,MATCH('ZM01'!$C60,Consulta!$D:$D,0),'ZM01'!AS$2),""))</f>
        <v/>
      </c>
      <c r="AT60" s="45"/>
      <c r="AU60" s="43" t="str">
        <f>IF(IFERROR(INDEX(Consulta!$A:$DN,MATCH('ZM01'!$C60,Consulta!$D:$D,0),'ZM01'!AU$2),"")=0,"",IFERROR(INDEX(Consulta!$A:$DN,MATCH('ZM01'!$C60,Consulta!$D:$D,0),'ZM01'!AU$2),""))</f>
        <v/>
      </c>
      <c r="AV60" s="43" t="str">
        <f>IF(IFERROR(INDEX(Consulta!$A:$DN,MATCH('ZM01'!$C60,Consulta!$D:$D,0),'ZM01'!AV$2),"")=0,"",IFERROR(INDEX(Consulta!$A:$DN,MATCH('ZM01'!$C60,Consulta!$D:$D,0),'ZM01'!AV$2),""))</f>
        <v/>
      </c>
      <c r="AW60" s="45"/>
      <c r="AX60" s="46" t="str">
        <f t="shared" ca="1" si="41"/>
        <v/>
      </c>
      <c r="AY60" s="47" t="s">
        <v>755</v>
      </c>
      <c r="AZ60" s="43" t="str">
        <f>IF(IFERROR(ROUND(INDEX(Consulta!$A:$DN,MATCH('ZM01'!$C60,Consulta!$D:$D,0),'ZM01'!AZ$2),3),"")=0,"",IFERROR(ROUND(INDEX(Consulta!$A:$DN,MATCH('ZM01'!$C60,Consulta!$D:$D,0),'ZM01'!AZ$2),3),""))</f>
        <v/>
      </c>
      <c r="BA60" s="43" t="str">
        <f t="shared" si="42"/>
        <v/>
      </c>
      <c r="BB60" s="48" t="s">
        <v>299</v>
      </c>
      <c r="BC60" s="48"/>
      <c r="BD60" s="43" t="str">
        <f>IF(IFERROR(INDEX(Consulta!$A:$DN,MATCH('ZM01'!$C60,Consulta!$D:$D,0),'ZM01'!BD$2),"")=0,"",IFERROR(INDEX(Consulta!$A:$DN,MATCH('ZM01'!$C60,Consulta!$D:$D,0),'ZM01'!BD$2),""))</f>
        <v/>
      </c>
      <c r="BE60" s="43" t="str">
        <f t="shared" si="0"/>
        <v/>
      </c>
      <c r="BF60" s="43" t="str">
        <f t="shared" si="43"/>
        <v/>
      </c>
      <c r="BG60" s="43" t="str">
        <f t="shared" si="1"/>
        <v/>
      </c>
      <c r="BH60" s="43" t="str">
        <f t="shared" si="44"/>
        <v>PC</v>
      </c>
      <c r="BI60" s="43" t="str">
        <f t="shared" si="24"/>
        <v/>
      </c>
      <c r="BJ60" s="43" t="str">
        <f t="shared" si="25"/>
        <v/>
      </c>
      <c r="BK60" s="43" t="str">
        <f t="shared" si="26"/>
        <v/>
      </c>
      <c r="BL60" s="43" t="str">
        <f t="shared" si="45"/>
        <v>PC</v>
      </c>
      <c r="BN60" s="44"/>
      <c r="BO60" s="44" t="s">
        <v>925</v>
      </c>
      <c r="BP60" s="43" t="str">
        <f>IF(OR(IFERROR(INDEX(Consulta!$A:$DN,MATCH('ZM01'!$C60,Consulta!$D:$D,0),'ZM01'!BP$2),"")=0,IFERROR(INDEX(Consulta!$A:$DN,MATCH('ZM01'!$C60,Consulta!$D:$D,0),'ZM01'!BP$2),"")=AR60),"",IFERROR(INDEX(Consulta!$A:$DN,MATCH('ZM01'!$C60,Consulta!$D:$D,0),'ZM01'!BP$2),""))</f>
        <v/>
      </c>
      <c r="BQ60" s="45">
        <v>99</v>
      </c>
      <c r="BR60" s="46" t="str">
        <f t="shared" ca="1" si="46"/>
        <v>24.05.2022</v>
      </c>
      <c r="BS60" s="49" t="str">
        <f t="shared" si="47"/>
        <v/>
      </c>
      <c r="BT60" s="50">
        <v>1</v>
      </c>
      <c r="BU60" s="50" t="s">
        <v>194</v>
      </c>
      <c r="BV60" s="90" t="str">
        <f t="shared" si="14"/>
        <v>01</v>
      </c>
      <c r="BW60" s="50" t="s">
        <v>755</v>
      </c>
      <c r="BX60" s="44">
        <v>1</v>
      </c>
      <c r="BY60" s="44" t="s">
        <v>372</v>
      </c>
      <c r="BZ60" s="50" t="s">
        <v>197</v>
      </c>
      <c r="CA60" s="50" t="s">
        <v>197</v>
      </c>
      <c r="CB60" s="43" t="str">
        <f>IF(IFERROR(INDEX(Consulta!$A:$DN,MATCH('ZM01'!$C60,Consulta!$D:$D,0),'ZM01'!CB$2),"")=0,"",IFERROR(INDEX(Consulta!$A:$DN,MATCH('ZM01'!$C60,Consulta!$D:$D,0),'ZM01'!CB$2),""))</f>
        <v/>
      </c>
      <c r="CC60" s="44" t="s">
        <v>392</v>
      </c>
      <c r="CD60" s="50">
        <v>0</v>
      </c>
      <c r="CE60" s="45" t="s">
        <v>403</v>
      </c>
      <c r="CF60" s="45" t="s">
        <v>84</v>
      </c>
      <c r="CG60" s="43" t="str">
        <f t="shared" si="15"/>
        <v/>
      </c>
      <c r="CH60" s="45" t="s">
        <v>430</v>
      </c>
      <c r="CI60" s="44">
        <v>0</v>
      </c>
      <c r="CJ60" s="43" t="str">
        <f t="shared" si="27"/>
        <v>E</v>
      </c>
      <c r="CK60" s="43" t="str">
        <f t="shared" si="28"/>
        <v/>
      </c>
      <c r="CL60" s="44">
        <v>2</v>
      </c>
      <c r="CM60" s="49" t="str">
        <f t="shared" si="48"/>
        <v/>
      </c>
      <c r="CN60" s="49" t="str">
        <f t="shared" si="49"/>
        <v/>
      </c>
      <c r="CO60" s="43" t="str">
        <f t="shared" si="29"/>
        <v/>
      </c>
      <c r="CP60" s="44">
        <v>1</v>
      </c>
      <c r="CQ60" s="50" t="s">
        <v>515</v>
      </c>
      <c r="CR60" s="44" t="s">
        <v>372</v>
      </c>
      <c r="CS60" s="44">
        <v>2</v>
      </c>
      <c r="CT60" s="44">
        <v>42</v>
      </c>
      <c r="CU60" s="44">
        <v>10</v>
      </c>
      <c r="CV60" s="43" t="str">
        <f t="shared" si="30"/>
        <v>K00_AO_</v>
      </c>
      <c r="CW60" s="43" t="str">
        <f t="shared" si="31"/>
        <v/>
      </c>
      <c r="CX60" s="43" t="str">
        <f t="shared" si="32"/>
        <v/>
      </c>
      <c r="CY60" s="44">
        <v>1</v>
      </c>
      <c r="CZ60" s="43" t="str">
        <f t="shared" si="33"/>
        <v/>
      </c>
      <c r="DA60" s="43" t="str">
        <f>IF(IFERROR(INDEX(Consulta!$A:$DN,MATCH('ZM01'!$C60,Consulta!$D:$D,0),'ZM01'!DA$2),"")=0,"",IFERROR(INDEX(Consulta!$A:$DN,MATCH('ZM01'!$C60,Consulta!$D:$D,0),'ZM01'!DA$2),""))</f>
        <v/>
      </c>
      <c r="DB60" s="43" t="str">
        <f>IF(IFERROR(INDEX(Consulta!$A:$DN,MATCH('ZM01'!$C60,Consulta!$D:$D,0),'ZM01'!DB$2),"")=0,"",IFERROR(INDEX(Consulta!$A:$DN,MATCH('ZM01'!$C60,Consulta!$D:$D,0),'ZM01'!DB$2),""))</f>
        <v/>
      </c>
      <c r="DC60" s="45">
        <v>0</v>
      </c>
      <c r="DD60" s="45">
        <v>0</v>
      </c>
      <c r="DE60" s="43" t="str">
        <f>IF(IFERROR(INDEX(Consulta!$A:$DN,MATCH('ZM01'!$C60,Consulta!$D:$D,0),'ZM01'!DE$2),"")=0,"",IFERROR(TEXT(VALUE(INDEX(Consulta!$A:$DN,MATCH('ZM01'!$C60,Consulta!$D:$D,0),'ZM01'!DE$2))/100,"0,00"),""))</f>
        <v/>
      </c>
      <c r="DG60" s="43">
        <f t="shared" si="50"/>
        <v>1</v>
      </c>
      <c r="DH60" s="43" t="str">
        <f>IF(IFERROR(INDEX(Consulta!$A:$DN,MATCH('ZM01'!$C60,Consulta!$D:$D,0),'ZM01'!DH$2),"")=0,"",IFERROR(VLOOKUP(INDEX(Consulta!$A:$DN,MATCH('ZM01'!$C60,Consulta!$D:$D,0),'ZM01'!DH$2),'Listas de Dados'!BU:BW,3,0),""))</f>
        <v/>
      </c>
      <c r="DI60" s="43" t="str">
        <f t="shared" ca="1" si="51"/>
        <v>24.05.2022</v>
      </c>
      <c r="DJ60" s="43" t="str">
        <f t="shared" si="52"/>
        <v>31.12.9999</v>
      </c>
      <c r="DL60" s="44">
        <v>1</v>
      </c>
      <c r="DM60" s="44" t="s">
        <v>1039</v>
      </c>
      <c r="DN60" s="44">
        <v>1</v>
      </c>
      <c r="DO60" s="43">
        <f t="shared" si="34"/>
        <v>1</v>
      </c>
      <c r="DP60" s="43" t="str">
        <f t="shared" si="35"/>
        <v>PC</v>
      </c>
      <c r="DQ60" s="43" t="str">
        <f t="shared" si="36"/>
        <v/>
      </c>
      <c r="DR60" s="44">
        <v>100</v>
      </c>
      <c r="DS60" s="71">
        <f t="shared" si="21"/>
        <v>1</v>
      </c>
      <c r="DT60" s="43">
        <f t="shared" si="53"/>
        <v>100</v>
      </c>
      <c r="DU60" s="44">
        <v>1</v>
      </c>
      <c r="DV60" s="44">
        <v>0</v>
      </c>
      <c r="DW60" s="44" t="s">
        <v>826</v>
      </c>
      <c r="DX60" s="45">
        <v>0</v>
      </c>
      <c r="DY60" s="44">
        <v>100</v>
      </c>
      <c r="DZ60" s="61"/>
    </row>
    <row r="61" spans="1:130" x14ac:dyDescent="0.2">
      <c r="A61" s="7" t="str">
        <f t="shared" si="2"/>
        <v>Execução 57</v>
      </c>
      <c r="B61" s="79"/>
      <c r="C61" s="85"/>
      <c r="D61" s="71" t="str">
        <f t="shared" si="37"/>
        <v/>
      </c>
      <c r="E61" s="71" t="str">
        <f t="shared" si="38"/>
        <v/>
      </c>
      <c r="F61" s="43" t="str">
        <f>IF(IFERROR(INDEX(Consulta!$A:$DN,MATCH('ZM01'!$C61,Consulta!$D:$D,0),'ZM01'!F$2),"")=0,"",IFERROR(INDEX(Consulta!$A:$DN,MATCH('ZM01'!$C61,Consulta!$D:$D,0),'ZM01'!F$2),""))</f>
        <v/>
      </c>
      <c r="G61" s="43" t="str">
        <f>IF(IFERROR(INDEX(Consulta!$A:$DN,MATCH('ZM01'!$C61,Consulta!$D:$D,0),'ZM01'!G$2),"")=0,"",IFERROR(INDEX(Consulta!$A:$DN,MATCH('ZM01'!$C61,Consulta!$D:$D,0),'ZM01'!G$2),""))</f>
        <v/>
      </c>
      <c r="H61" s="43" t="str">
        <f t="shared" si="23"/>
        <v/>
      </c>
      <c r="I61" s="44" t="s">
        <v>100</v>
      </c>
      <c r="J61" s="43" t="str">
        <f>IF(IFERROR(INDEX(Consulta!$A:$DN,MATCH('ZM01'!$C61,Consulta!$D:$D,0),'ZM01'!J$2),"")=0,"",IFERROR(INDEX(Consulta!$A:$DN,MATCH('ZM01'!$C61,Consulta!$D:$D,0),'ZM01'!J$2),""))</f>
        <v/>
      </c>
      <c r="K61" s="43" t="str">
        <f>IF(IFERROR(INDEX(Consulta!$A:$DN,MATCH('ZM01'!$C61,Consulta!$D:$D,0),'ZM01'!K$2),"")=0,"",IFERROR(INDEX(Consulta!$A:$DN,MATCH('ZM01'!$C61,Consulta!$D:$D,0),'ZM01'!K$2),""))</f>
        <v/>
      </c>
      <c r="L61" s="43" t="str">
        <f t="shared" si="39"/>
        <v/>
      </c>
      <c r="M61" s="43" t="str">
        <f>IF(IFERROR(INDEX(Consulta!$A:$DN,MATCH('ZM01'!$C61,Consulta!$D:$D,0),'ZM01'!M$2),"")=0,"",IFERROR(INDEX(Consulta!$A:$DN,MATCH('ZM01'!$C61,Consulta!$D:$D,0),'ZM01'!M$2),""))</f>
        <v/>
      </c>
      <c r="N61" s="43" t="str">
        <f t="shared" si="40"/>
        <v/>
      </c>
      <c r="P61" s="45" t="s">
        <v>101</v>
      </c>
      <c r="Q61" s="45" t="s">
        <v>102</v>
      </c>
      <c r="R61" s="45" t="s">
        <v>103</v>
      </c>
      <c r="S61" s="45" t="s">
        <v>104</v>
      </c>
      <c r="T61" s="45" t="s">
        <v>105</v>
      </c>
      <c r="U61" s="45" t="s">
        <v>106</v>
      </c>
      <c r="V61" s="45" t="s">
        <v>107</v>
      </c>
      <c r="W61" s="45" t="s">
        <v>109</v>
      </c>
      <c r="X61" s="45" t="s">
        <v>110</v>
      </c>
      <c r="Y61" s="45"/>
      <c r="Z61" s="45"/>
      <c r="AA61" s="45" t="s">
        <v>112</v>
      </c>
      <c r="AB61" s="45" t="s">
        <v>113</v>
      </c>
      <c r="AC61" s="45" t="s">
        <v>114</v>
      </c>
      <c r="AD61" s="45" t="s">
        <v>115</v>
      </c>
      <c r="AE61" s="45" t="s">
        <v>117</v>
      </c>
      <c r="AF61" s="45" t="s">
        <v>118</v>
      </c>
      <c r="AG61" s="45" t="s">
        <v>119</v>
      </c>
      <c r="AH61" s="45" t="s">
        <v>120</v>
      </c>
      <c r="AI61" s="45" t="s">
        <v>121</v>
      </c>
      <c r="AJ61" s="45" t="s">
        <v>122</v>
      </c>
      <c r="AK61" s="45" t="s">
        <v>123</v>
      </c>
      <c r="AL61" s="45" t="s">
        <v>124</v>
      </c>
      <c r="AM61" s="45" t="s">
        <v>125</v>
      </c>
      <c r="AN61" s="45" t="s">
        <v>126</v>
      </c>
      <c r="AO61" s="45"/>
      <c r="AP61" s="45"/>
      <c r="AR61" s="44" t="s">
        <v>822</v>
      </c>
      <c r="AS61" s="43" t="str">
        <f>IF(IFERROR(INDEX(Consulta!$A:$DN,MATCH('ZM01'!$C61,Consulta!$D:$D,0),'ZM01'!AS$2),"")=0,"",IFERROR(INDEX(Consulta!$A:$DN,MATCH('ZM01'!$C61,Consulta!$D:$D,0),'ZM01'!AS$2),""))</f>
        <v/>
      </c>
      <c r="AT61" s="45"/>
      <c r="AU61" s="43" t="str">
        <f>IF(IFERROR(INDEX(Consulta!$A:$DN,MATCH('ZM01'!$C61,Consulta!$D:$D,0),'ZM01'!AU$2),"")=0,"",IFERROR(INDEX(Consulta!$A:$DN,MATCH('ZM01'!$C61,Consulta!$D:$D,0),'ZM01'!AU$2),""))</f>
        <v/>
      </c>
      <c r="AV61" s="43" t="str">
        <f>IF(IFERROR(INDEX(Consulta!$A:$DN,MATCH('ZM01'!$C61,Consulta!$D:$D,0),'ZM01'!AV$2),"")=0,"",IFERROR(INDEX(Consulta!$A:$DN,MATCH('ZM01'!$C61,Consulta!$D:$D,0),'ZM01'!AV$2),""))</f>
        <v/>
      </c>
      <c r="AW61" s="45"/>
      <c r="AX61" s="46" t="str">
        <f t="shared" ca="1" si="41"/>
        <v/>
      </c>
      <c r="AY61" s="47" t="s">
        <v>755</v>
      </c>
      <c r="AZ61" s="43" t="str">
        <f>IF(IFERROR(ROUND(INDEX(Consulta!$A:$DN,MATCH('ZM01'!$C61,Consulta!$D:$D,0),'ZM01'!AZ$2),3),"")=0,"",IFERROR(ROUND(INDEX(Consulta!$A:$DN,MATCH('ZM01'!$C61,Consulta!$D:$D,0),'ZM01'!AZ$2),3),""))</f>
        <v/>
      </c>
      <c r="BA61" s="43" t="str">
        <f t="shared" si="42"/>
        <v/>
      </c>
      <c r="BB61" s="48" t="s">
        <v>299</v>
      </c>
      <c r="BC61" s="48"/>
      <c r="BD61" s="43" t="str">
        <f>IF(IFERROR(INDEX(Consulta!$A:$DN,MATCH('ZM01'!$C61,Consulta!$D:$D,0),'ZM01'!BD$2),"")=0,"",IFERROR(INDEX(Consulta!$A:$DN,MATCH('ZM01'!$C61,Consulta!$D:$D,0),'ZM01'!BD$2),""))</f>
        <v/>
      </c>
      <c r="BE61" s="43" t="str">
        <f t="shared" si="0"/>
        <v/>
      </c>
      <c r="BF61" s="43" t="str">
        <f t="shared" si="43"/>
        <v/>
      </c>
      <c r="BG61" s="43" t="str">
        <f t="shared" si="1"/>
        <v/>
      </c>
      <c r="BH61" s="43" t="str">
        <f t="shared" si="44"/>
        <v>PC</v>
      </c>
      <c r="BI61" s="43" t="str">
        <f t="shared" si="24"/>
        <v/>
      </c>
      <c r="BJ61" s="43" t="str">
        <f t="shared" si="25"/>
        <v/>
      </c>
      <c r="BK61" s="43" t="str">
        <f t="shared" si="26"/>
        <v/>
      </c>
      <c r="BL61" s="43" t="str">
        <f t="shared" si="45"/>
        <v>PC</v>
      </c>
      <c r="BN61" s="44"/>
      <c r="BO61" s="44" t="s">
        <v>925</v>
      </c>
      <c r="BP61" s="43" t="str">
        <f>IF(OR(IFERROR(INDEX(Consulta!$A:$DN,MATCH('ZM01'!$C61,Consulta!$D:$D,0),'ZM01'!BP$2),"")=0,IFERROR(INDEX(Consulta!$A:$DN,MATCH('ZM01'!$C61,Consulta!$D:$D,0),'ZM01'!BP$2),"")=AR61),"",IFERROR(INDEX(Consulta!$A:$DN,MATCH('ZM01'!$C61,Consulta!$D:$D,0),'ZM01'!BP$2),""))</f>
        <v/>
      </c>
      <c r="BQ61" s="45">
        <v>99</v>
      </c>
      <c r="BR61" s="46" t="str">
        <f t="shared" ca="1" si="46"/>
        <v>24.05.2022</v>
      </c>
      <c r="BS61" s="49" t="str">
        <f t="shared" si="47"/>
        <v/>
      </c>
      <c r="BT61" s="50">
        <v>1</v>
      </c>
      <c r="BU61" s="50" t="s">
        <v>194</v>
      </c>
      <c r="BV61" s="90" t="str">
        <f t="shared" si="14"/>
        <v>01</v>
      </c>
      <c r="BW61" s="50" t="s">
        <v>755</v>
      </c>
      <c r="BX61" s="44">
        <v>1</v>
      </c>
      <c r="BY61" s="44" t="s">
        <v>372</v>
      </c>
      <c r="BZ61" s="50" t="s">
        <v>197</v>
      </c>
      <c r="CA61" s="50" t="s">
        <v>197</v>
      </c>
      <c r="CB61" s="43" t="str">
        <f>IF(IFERROR(INDEX(Consulta!$A:$DN,MATCH('ZM01'!$C61,Consulta!$D:$D,0),'ZM01'!CB$2),"")=0,"",IFERROR(INDEX(Consulta!$A:$DN,MATCH('ZM01'!$C61,Consulta!$D:$D,0),'ZM01'!CB$2),""))</f>
        <v/>
      </c>
      <c r="CC61" s="44" t="s">
        <v>392</v>
      </c>
      <c r="CD61" s="50">
        <v>0</v>
      </c>
      <c r="CE61" s="45" t="s">
        <v>403</v>
      </c>
      <c r="CF61" s="45" t="s">
        <v>84</v>
      </c>
      <c r="CG61" s="43" t="str">
        <f t="shared" si="15"/>
        <v/>
      </c>
      <c r="CH61" s="45" t="s">
        <v>430</v>
      </c>
      <c r="CI61" s="44">
        <v>0</v>
      </c>
      <c r="CJ61" s="43" t="str">
        <f t="shared" si="27"/>
        <v>E</v>
      </c>
      <c r="CK61" s="43" t="str">
        <f t="shared" si="28"/>
        <v/>
      </c>
      <c r="CL61" s="44">
        <v>2</v>
      </c>
      <c r="CM61" s="49" t="str">
        <f t="shared" si="48"/>
        <v/>
      </c>
      <c r="CN61" s="49" t="str">
        <f t="shared" si="49"/>
        <v/>
      </c>
      <c r="CO61" s="43" t="str">
        <f t="shared" si="29"/>
        <v/>
      </c>
      <c r="CP61" s="44">
        <v>1</v>
      </c>
      <c r="CQ61" s="50" t="s">
        <v>515</v>
      </c>
      <c r="CR61" s="44" t="s">
        <v>372</v>
      </c>
      <c r="CS61" s="44">
        <v>2</v>
      </c>
      <c r="CT61" s="44">
        <v>42</v>
      </c>
      <c r="CU61" s="44">
        <v>10</v>
      </c>
      <c r="CV61" s="43" t="str">
        <f t="shared" si="30"/>
        <v>K00_AO_</v>
      </c>
      <c r="CW61" s="43" t="str">
        <f t="shared" si="31"/>
        <v/>
      </c>
      <c r="CX61" s="43" t="str">
        <f t="shared" si="32"/>
        <v/>
      </c>
      <c r="CY61" s="44">
        <v>1</v>
      </c>
      <c r="CZ61" s="43" t="str">
        <f t="shared" si="33"/>
        <v/>
      </c>
      <c r="DA61" s="43" t="str">
        <f>IF(IFERROR(INDEX(Consulta!$A:$DN,MATCH('ZM01'!$C61,Consulta!$D:$D,0),'ZM01'!DA$2),"")=0,"",IFERROR(INDEX(Consulta!$A:$DN,MATCH('ZM01'!$C61,Consulta!$D:$D,0),'ZM01'!DA$2),""))</f>
        <v/>
      </c>
      <c r="DB61" s="43" t="str">
        <f>IF(IFERROR(INDEX(Consulta!$A:$DN,MATCH('ZM01'!$C61,Consulta!$D:$D,0),'ZM01'!DB$2),"")=0,"",IFERROR(INDEX(Consulta!$A:$DN,MATCH('ZM01'!$C61,Consulta!$D:$D,0),'ZM01'!DB$2),""))</f>
        <v/>
      </c>
      <c r="DC61" s="45">
        <v>0</v>
      </c>
      <c r="DD61" s="45">
        <v>0</v>
      </c>
      <c r="DE61" s="43" t="str">
        <f>IF(IFERROR(INDEX(Consulta!$A:$DN,MATCH('ZM01'!$C61,Consulta!$D:$D,0),'ZM01'!DE$2),"")=0,"",IFERROR(TEXT(VALUE(INDEX(Consulta!$A:$DN,MATCH('ZM01'!$C61,Consulta!$D:$D,0),'ZM01'!DE$2))/100,"0,00"),""))</f>
        <v/>
      </c>
      <c r="DG61" s="43">
        <f t="shared" si="50"/>
        <v>1</v>
      </c>
      <c r="DH61" s="43" t="str">
        <f>IF(IFERROR(INDEX(Consulta!$A:$DN,MATCH('ZM01'!$C61,Consulta!$D:$D,0),'ZM01'!DH$2),"")=0,"",IFERROR(VLOOKUP(INDEX(Consulta!$A:$DN,MATCH('ZM01'!$C61,Consulta!$D:$D,0),'ZM01'!DH$2),'Listas de Dados'!BU:BW,3,0),""))</f>
        <v/>
      </c>
      <c r="DI61" s="43" t="str">
        <f t="shared" ca="1" si="51"/>
        <v>24.05.2022</v>
      </c>
      <c r="DJ61" s="43" t="str">
        <f t="shared" si="52"/>
        <v>31.12.9999</v>
      </c>
      <c r="DL61" s="44">
        <v>1</v>
      </c>
      <c r="DM61" s="44" t="s">
        <v>1039</v>
      </c>
      <c r="DN61" s="44">
        <v>1</v>
      </c>
      <c r="DO61" s="43">
        <f t="shared" si="34"/>
        <v>1</v>
      </c>
      <c r="DP61" s="43" t="str">
        <f t="shared" si="35"/>
        <v>PC</v>
      </c>
      <c r="DQ61" s="43" t="str">
        <f t="shared" si="36"/>
        <v/>
      </c>
      <c r="DR61" s="44">
        <v>100</v>
      </c>
      <c r="DS61" s="71">
        <f t="shared" si="21"/>
        <v>1</v>
      </c>
      <c r="DT61" s="43">
        <f t="shared" si="53"/>
        <v>100</v>
      </c>
      <c r="DU61" s="44">
        <v>1</v>
      </c>
      <c r="DV61" s="44">
        <v>0</v>
      </c>
      <c r="DW61" s="44" t="s">
        <v>826</v>
      </c>
      <c r="DX61" s="45">
        <v>0</v>
      </c>
      <c r="DY61" s="44">
        <v>100</v>
      </c>
      <c r="DZ61" s="60"/>
    </row>
    <row r="62" spans="1:130" x14ac:dyDescent="0.2">
      <c r="A62" s="7" t="str">
        <f t="shared" si="2"/>
        <v>Execução 58</v>
      </c>
      <c r="B62" s="75"/>
      <c r="C62" s="85"/>
      <c r="D62" s="71" t="str">
        <f t="shared" si="37"/>
        <v/>
      </c>
      <c r="E62" s="71" t="str">
        <f t="shared" si="38"/>
        <v/>
      </c>
      <c r="F62" s="43" t="str">
        <f>IF(IFERROR(INDEX(Consulta!$A:$DN,MATCH('ZM01'!$C62,Consulta!$D:$D,0),'ZM01'!F$2),"")=0,"",IFERROR(INDEX(Consulta!$A:$DN,MATCH('ZM01'!$C62,Consulta!$D:$D,0),'ZM01'!F$2),""))</f>
        <v/>
      </c>
      <c r="G62" s="43" t="str">
        <f>IF(IFERROR(INDEX(Consulta!$A:$DN,MATCH('ZM01'!$C62,Consulta!$D:$D,0),'ZM01'!G$2),"")=0,"",IFERROR(INDEX(Consulta!$A:$DN,MATCH('ZM01'!$C62,Consulta!$D:$D,0),'ZM01'!G$2),""))</f>
        <v/>
      </c>
      <c r="H62" s="43" t="str">
        <f t="shared" si="23"/>
        <v/>
      </c>
      <c r="I62" s="44" t="s">
        <v>100</v>
      </c>
      <c r="J62" s="43" t="str">
        <f>IF(IFERROR(INDEX(Consulta!$A:$DN,MATCH('ZM01'!$C62,Consulta!$D:$D,0),'ZM01'!J$2),"")=0,"",IFERROR(INDEX(Consulta!$A:$DN,MATCH('ZM01'!$C62,Consulta!$D:$D,0),'ZM01'!J$2),""))</f>
        <v/>
      </c>
      <c r="K62" s="43" t="str">
        <f>IF(IFERROR(INDEX(Consulta!$A:$DN,MATCH('ZM01'!$C62,Consulta!$D:$D,0),'ZM01'!K$2),"")=0,"",IFERROR(INDEX(Consulta!$A:$DN,MATCH('ZM01'!$C62,Consulta!$D:$D,0),'ZM01'!K$2),""))</f>
        <v/>
      </c>
      <c r="L62" s="43" t="str">
        <f t="shared" si="39"/>
        <v/>
      </c>
      <c r="M62" s="43" t="str">
        <f>IF(IFERROR(INDEX(Consulta!$A:$DN,MATCH('ZM01'!$C62,Consulta!$D:$D,0),'ZM01'!M$2),"")=0,"",IFERROR(INDEX(Consulta!$A:$DN,MATCH('ZM01'!$C62,Consulta!$D:$D,0),'ZM01'!M$2),""))</f>
        <v/>
      </c>
      <c r="N62" s="43" t="str">
        <f t="shared" si="40"/>
        <v/>
      </c>
      <c r="P62" s="45" t="s">
        <v>101</v>
      </c>
      <c r="Q62" s="45" t="s">
        <v>102</v>
      </c>
      <c r="R62" s="45" t="s">
        <v>103</v>
      </c>
      <c r="S62" s="45" t="s">
        <v>104</v>
      </c>
      <c r="T62" s="45" t="s">
        <v>105</v>
      </c>
      <c r="U62" s="45" t="s">
        <v>106</v>
      </c>
      <c r="V62" s="45" t="s">
        <v>107</v>
      </c>
      <c r="W62" s="45" t="s">
        <v>109</v>
      </c>
      <c r="X62" s="45" t="s">
        <v>110</v>
      </c>
      <c r="Y62" s="45"/>
      <c r="Z62" s="45"/>
      <c r="AA62" s="45" t="s">
        <v>112</v>
      </c>
      <c r="AB62" s="45" t="s">
        <v>113</v>
      </c>
      <c r="AC62" s="45" t="s">
        <v>114</v>
      </c>
      <c r="AD62" s="45" t="s">
        <v>115</v>
      </c>
      <c r="AE62" s="45" t="s">
        <v>117</v>
      </c>
      <c r="AF62" s="45" t="s">
        <v>118</v>
      </c>
      <c r="AG62" s="45" t="s">
        <v>119</v>
      </c>
      <c r="AH62" s="45" t="s">
        <v>120</v>
      </c>
      <c r="AI62" s="45" t="s">
        <v>121</v>
      </c>
      <c r="AJ62" s="45" t="s">
        <v>122</v>
      </c>
      <c r="AK62" s="45" t="s">
        <v>123</v>
      </c>
      <c r="AL62" s="45" t="s">
        <v>124</v>
      </c>
      <c r="AM62" s="45" t="s">
        <v>125</v>
      </c>
      <c r="AN62" s="45" t="s">
        <v>126</v>
      </c>
      <c r="AO62" s="45"/>
      <c r="AP62" s="45"/>
      <c r="AR62" s="44" t="s">
        <v>822</v>
      </c>
      <c r="AS62" s="43" t="str">
        <f>IF(IFERROR(INDEX(Consulta!$A:$DN,MATCH('ZM01'!$C62,Consulta!$D:$D,0),'ZM01'!AS$2),"")=0,"",IFERROR(INDEX(Consulta!$A:$DN,MATCH('ZM01'!$C62,Consulta!$D:$D,0),'ZM01'!AS$2),""))</f>
        <v/>
      </c>
      <c r="AT62" s="45"/>
      <c r="AU62" s="43" t="str">
        <f>IF(IFERROR(INDEX(Consulta!$A:$DN,MATCH('ZM01'!$C62,Consulta!$D:$D,0),'ZM01'!AU$2),"")=0,"",IFERROR(INDEX(Consulta!$A:$DN,MATCH('ZM01'!$C62,Consulta!$D:$D,0),'ZM01'!AU$2),""))</f>
        <v/>
      </c>
      <c r="AV62" s="43" t="str">
        <f>IF(IFERROR(INDEX(Consulta!$A:$DN,MATCH('ZM01'!$C62,Consulta!$D:$D,0),'ZM01'!AV$2),"")=0,"",IFERROR(INDEX(Consulta!$A:$DN,MATCH('ZM01'!$C62,Consulta!$D:$D,0),'ZM01'!AV$2),""))</f>
        <v/>
      </c>
      <c r="AW62" s="45"/>
      <c r="AX62" s="46" t="str">
        <f t="shared" ca="1" si="41"/>
        <v/>
      </c>
      <c r="AY62" s="47" t="s">
        <v>755</v>
      </c>
      <c r="AZ62" s="43" t="str">
        <f>IF(IFERROR(ROUND(INDEX(Consulta!$A:$DN,MATCH('ZM01'!$C62,Consulta!$D:$D,0),'ZM01'!AZ$2),3),"")=0,"",IFERROR(ROUND(INDEX(Consulta!$A:$DN,MATCH('ZM01'!$C62,Consulta!$D:$D,0),'ZM01'!AZ$2),3),""))</f>
        <v/>
      </c>
      <c r="BA62" s="43" t="str">
        <f t="shared" si="42"/>
        <v/>
      </c>
      <c r="BB62" s="48" t="s">
        <v>299</v>
      </c>
      <c r="BC62" s="48"/>
      <c r="BD62" s="43" t="str">
        <f>IF(IFERROR(INDEX(Consulta!$A:$DN,MATCH('ZM01'!$C62,Consulta!$D:$D,0),'ZM01'!BD$2),"")=0,"",IFERROR(INDEX(Consulta!$A:$DN,MATCH('ZM01'!$C62,Consulta!$D:$D,0),'ZM01'!BD$2),""))</f>
        <v/>
      </c>
      <c r="BE62" s="43" t="str">
        <f t="shared" si="0"/>
        <v/>
      </c>
      <c r="BF62" s="43" t="str">
        <f t="shared" si="43"/>
        <v/>
      </c>
      <c r="BG62" s="43" t="str">
        <f t="shared" si="1"/>
        <v/>
      </c>
      <c r="BH62" s="43" t="str">
        <f t="shared" si="44"/>
        <v>PC</v>
      </c>
      <c r="BI62" s="43" t="str">
        <f t="shared" si="24"/>
        <v/>
      </c>
      <c r="BJ62" s="43" t="str">
        <f t="shared" si="25"/>
        <v/>
      </c>
      <c r="BK62" s="43" t="str">
        <f t="shared" si="26"/>
        <v/>
      </c>
      <c r="BL62" s="43" t="str">
        <f t="shared" si="45"/>
        <v>PC</v>
      </c>
      <c r="BN62" s="44"/>
      <c r="BO62" s="44" t="s">
        <v>925</v>
      </c>
      <c r="BP62" s="43" t="str">
        <f>IF(OR(IFERROR(INDEX(Consulta!$A:$DN,MATCH('ZM01'!$C62,Consulta!$D:$D,0),'ZM01'!BP$2),"")=0,IFERROR(INDEX(Consulta!$A:$DN,MATCH('ZM01'!$C62,Consulta!$D:$D,0),'ZM01'!BP$2),"")=AR62),"",IFERROR(INDEX(Consulta!$A:$DN,MATCH('ZM01'!$C62,Consulta!$D:$D,0),'ZM01'!BP$2),""))</f>
        <v/>
      </c>
      <c r="BQ62" s="45">
        <v>99</v>
      </c>
      <c r="BR62" s="46" t="str">
        <f t="shared" ca="1" si="46"/>
        <v>24.05.2022</v>
      </c>
      <c r="BS62" s="49" t="str">
        <f t="shared" si="47"/>
        <v/>
      </c>
      <c r="BT62" s="50">
        <v>1</v>
      </c>
      <c r="BU62" s="50" t="s">
        <v>194</v>
      </c>
      <c r="BV62" s="90" t="str">
        <f t="shared" si="14"/>
        <v>01</v>
      </c>
      <c r="BW62" s="50" t="s">
        <v>755</v>
      </c>
      <c r="BX62" s="44">
        <v>1</v>
      </c>
      <c r="BY62" s="44" t="s">
        <v>372</v>
      </c>
      <c r="BZ62" s="50" t="s">
        <v>197</v>
      </c>
      <c r="CA62" s="50" t="s">
        <v>197</v>
      </c>
      <c r="CB62" s="43" t="str">
        <f>IF(IFERROR(INDEX(Consulta!$A:$DN,MATCH('ZM01'!$C62,Consulta!$D:$D,0),'ZM01'!CB$2),"")=0,"",IFERROR(INDEX(Consulta!$A:$DN,MATCH('ZM01'!$C62,Consulta!$D:$D,0),'ZM01'!CB$2),""))</f>
        <v/>
      </c>
      <c r="CC62" s="44" t="s">
        <v>392</v>
      </c>
      <c r="CD62" s="50">
        <v>0</v>
      </c>
      <c r="CE62" s="45" t="s">
        <v>403</v>
      </c>
      <c r="CF62" s="45" t="s">
        <v>84</v>
      </c>
      <c r="CG62" s="43" t="str">
        <f t="shared" si="15"/>
        <v/>
      </c>
      <c r="CH62" s="45" t="s">
        <v>430</v>
      </c>
      <c r="CI62" s="44">
        <v>0</v>
      </c>
      <c r="CJ62" s="43" t="str">
        <f t="shared" si="27"/>
        <v>E</v>
      </c>
      <c r="CK62" s="43" t="str">
        <f t="shared" si="28"/>
        <v/>
      </c>
      <c r="CL62" s="44">
        <v>2</v>
      </c>
      <c r="CM62" s="49" t="str">
        <f t="shared" si="48"/>
        <v/>
      </c>
      <c r="CN62" s="49" t="str">
        <f t="shared" si="49"/>
        <v/>
      </c>
      <c r="CO62" s="43" t="str">
        <f t="shared" si="29"/>
        <v/>
      </c>
      <c r="CP62" s="44">
        <v>1</v>
      </c>
      <c r="CQ62" s="50" t="s">
        <v>515</v>
      </c>
      <c r="CR62" s="44" t="s">
        <v>372</v>
      </c>
      <c r="CS62" s="44">
        <v>2</v>
      </c>
      <c r="CT62" s="44">
        <v>42</v>
      </c>
      <c r="CU62" s="44">
        <v>10</v>
      </c>
      <c r="CV62" s="43" t="str">
        <f t="shared" si="30"/>
        <v>K00_AO_</v>
      </c>
      <c r="CW62" s="43" t="str">
        <f t="shared" si="31"/>
        <v/>
      </c>
      <c r="CX62" s="43" t="str">
        <f t="shared" si="32"/>
        <v/>
      </c>
      <c r="CY62" s="44">
        <v>1</v>
      </c>
      <c r="CZ62" s="43" t="str">
        <f t="shared" si="33"/>
        <v/>
      </c>
      <c r="DA62" s="43" t="str">
        <f>IF(IFERROR(INDEX(Consulta!$A:$DN,MATCH('ZM01'!$C62,Consulta!$D:$D,0),'ZM01'!DA$2),"")=0,"",IFERROR(INDEX(Consulta!$A:$DN,MATCH('ZM01'!$C62,Consulta!$D:$D,0),'ZM01'!DA$2),""))</f>
        <v/>
      </c>
      <c r="DB62" s="43" t="str">
        <f>IF(IFERROR(INDEX(Consulta!$A:$DN,MATCH('ZM01'!$C62,Consulta!$D:$D,0),'ZM01'!DB$2),"")=0,"",IFERROR(INDEX(Consulta!$A:$DN,MATCH('ZM01'!$C62,Consulta!$D:$D,0),'ZM01'!DB$2),""))</f>
        <v/>
      </c>
      <c r="DC62" s="45">
        <v>0</v>
      </c>
      <c r="DD62" s="45">
        <v>0</v>
      </c>
      <c r="DE62" s="43" t="str">
        <f>IF(IFERROR(INDEX(Consulta!$A:$DN,MATCH('ZM01'!$C62,Consulta!$D:$D,0),'ZM01'!DE$2),"")=0,"",IFERROR(TEXT(VALUE(INDEX(Consulta!$A:$DN,MATCH('ZM01'!$C62,Consulta!$D:$D,0),'ZM01'!DE$2))/100,"0,00"),""))</f>
        <v/>
      </c>
      <c r="DG62" s="43">
        <f t="shared" si="50"/>
        <v>1</v>
      </c>
      <c r="DH62" s="43" t="str">
        <f>IF(IFERROR(INDEX(Consulta!$A:$DN,MATCH('ZM01'!$C62,Consulta!$D:$D,0),'ZM01'!DH$2),"")=0,"",IFERROR(VLOOKUP(INDEX(Consulta!$A:$DN,MATCH('ZM01'!$C62,Consulta!$D:$D,0),'ZM01'!DH$2),'Listas de Dados'!BU:BW,3,0),""))</f>
        <v/>
      </c>
      <c r="DI62" s="43" t="str">
        <f t="shared" ca="1" si="51"/>
        <v>24.05.2022</v>
      </c>
      <c r="DJ62" s="43" t="str">
        <f t="shared" si="52"/>
        <v>31.12.9999</v>
      </c>
      <c r="DL62" s="44">
        <v>1</v>
      </c>
      <c r="DM62" s="44" t="s">
        <v>1039</v>
      </c>
      <c r="DN62" s="44">
        <v>1</v>
      </c>
      <c r="DO62" s="43">
        <f t="shared" si="34"/>
        <v>1</v>
      </c>
      <c r="DP62" s="43" t="str">
        <f t="shared" si="35"/>
        <v>PC</v>
      </c>
      <c r="DQ62" s="43" t="str">
        <f t="shared" si="36"/>
        <v/>
      </c>
      <c r="DR62" s="44">
        <v>100</v>
      </c>
      <c r="DS62" s="71">
        <f t="shared" si="21"/>
        <v>1</v>
      </c>
      <c r="DT62" s="43">
        <f t="shared" si="53"/>
        <v>100</v>
      </c>
      <c r="DU62" s="44">
        <v>1</v>
      </c>
      <c r="DV62" s="44">
        <v>0</v>
      </c>
      <c r="DW62" s="44" t="s">
        <v>826</v>
      </c>
      <c r="DX62" s="45">
        <v>0</v>
      </c>
      <c r="DY62" s="44">
        <v>100</v>
      </c>
      <c r="DZ62" s="61"/>
    </row>
    <row r="63" spans="1:130" x14ac:dyDescent="0.2">
      <c r="A63" s="7" t="str">
        <f t="shared" si="2"/>
        <v>Execução 59</v>
      </c>
      <c r="B63" s="79"/>
      <c r="C63" s="85"/>
      <c r="D63" s="71" t="str">
        <f t="shared" si="37"/>
        <v/>
      </c>
      <c r="E63" s="71" t="str">
        <f t="shared" si="38"/>
        <v/>
      </c>
      <c r="F63" s="43" t="str">
        <f>IF(IFERROR(INDEX(Consulta!$A:$DN,MATCH('ZM01'!$C63,Consulta!$D:$D,0),'ZM01'!F$2),"")=0,"",IFERROR(INDEX(Consulta!$A:$DN,MATCH('ZM01'!$C63,Consulta!$D:$D,0),'ZM01'!F$2),""))</f>
        <v/>
      </c>
      <c r="G63" s="43" t="str">
        <f>IF(IFERROR(INDEX(Consulta!$A:$DN,MATCH('ZM01'!$C63,Consulta!$D:$D,0),'ZM01'!G$2),"")=0,"",IFERROR(INDEX(Consulta!$A:$DN,MATCH('ZM01'!$C63,Consulta!$D:$D,0),'ZM01'!G$2),""))</f>
        <v/>
      </c>
      <c r="H63" s="43" t="str">
        <f t="shared" si="23"/>
        <v/>
      </c>
      <c r="I63" s="44" t="s">
        <v>100</v>
      </c>
      <c r="J63" s="43" t="str">
        <f>IF(IFERROR(INDEX(Consulta!$A:$DN,MATCH('ZM01'!$C63,Consulta!$D:$D,0),'ZM01'!J$2),"")=0,"",IFERROR(INDEX(Consulta!$A:$DN,MATCH('ZM01'!$C63,Consulta!$D:$D,0),'ZM01'!J$2),""))</f>
        <v/>
      </c>
      <c r="K63" s="43" t="str">
        <f>IF(IFERROR(INDEX(Consulta!$A:$DN,MATCH('ZM01'!$C63,Consulta!$D:$D,0),'ZM01'!K$2),"")=0,"",IFERROR(INDEX(Consulta!$A:$DN,MATCH('ZM01'!$C63,Consulta!$D:$D,0),'ZM01'!K$2),""))</f>
        <v/>
      </c>
      <c r="L63" s="43" t="str">
        <f t="shared" si="39"/>
        <v/>
      </c>
      <c r="M63" s="43" t="str">
        <f>IF(IFERROR(INDEX(Consulta!$A:$DN,MATCH('ZM01'!$C63,Consulta!$D:$D,0),'ZM01'!M$2),"")=0,"",IFERROR(INDEX(Consulta!$A:$DN,MATCH('ZM01'!$C63,Consulta!$D:$D,0),'ZM01'!M$2),""))</f>
        <v/>
      </c>
      <c r="N63" s="43" t="str">
        <f t="shared" si="40"/>
        <v/>
      </c>
      <c r="P63" s="45" t="s">
        <v>101</v>
      </c>
      <c r="Q63" s="45" t="s">
        <v>102</v>
      </c>
      <c r="R63" s="45" t="s">
        <v>103</v>
      </c>
      <c r="S63" s="45" t="s">
        <v>104</v>
      </c>
      <c r="T63" s="45" t="s">
        <v>105</v>
      </c>
      <c r="U63" s="45" t="s">
        <v>106</v>
      </c>
      <c r="V63" s="45" t="s">
        <v>107</v>
      </c>
      <c r="W63" s="45" t="s">
        <v>109</v>
      </c>
      <c r="X63" s="45" t="s">
        <v>110</v>
      </c>
      <c r="Y63" s="45"/>
      <c r="Z63" s="45"/>
      <c r="AA63" s="45" t="s">
        <v>112</v>
      </c>
      <c r="AB63" s="45" t="s">
        <v>113</v>
      </c>
      <c r="AC63" s="45" t="s">
        <v>114</v>
      </c>
      <c r="AD63" s="45" t="s">
        <v>115</v>
      </c>
      <c r="AE63" s="45" t="s">
        <v>117</v>
      </c>
      <c r="AF63" s="45" t="s">
        <v>118</v>
      </c>
      <c r="AG63" s="45" t="s">
        <v>119</v>
      </c>
      <c r="AH63" s="45" t="s">
        <v>120</v>
      </c>
      <c r="AI63" s="45" t="s">
        <v>121</v>
      </c>
      <c r="AJ63" s="45" t="s">
        <v>122</v>
      </c>
      <c r="AK63" s="45" t="s">
        <v>123</v>
      </c>
      <c r="AL63" s="45" t="s">
        <v>124</v>
      </c>
      <c r="AM63" s="45" t="s">
        <v>125</v>
      </c>
      <c r="AN63" s="45" t="s">
        <v>126</v>
      </c>
      <c r="AO63" s="45"/>
      <c r="AP63" s="45"/>
      <c r="AR63" s="44" t="s">
        <v>822</v>
      </c>
      <c r="AS63" s="43" t="str">
        <f>IF(IFERROR(INDEX(Consulta!$A:$DN,MATCH('ZM01'!$C63,Consulta!$D:$D,0),'ZM01'!AS$2),"")=0,"",IFERROR(INDEX(Consulta!$A:$DN,MATCH('ZM01'!$C63,Consulta!$D:$D,0),'ZM01'!AS$2),""))</f>
        <v/>
      </c>
      <c r="AT63" s="45"/>
      <c r="AU63" s="43" t="str">
        <f>IF(IFERROR(INDEX(Consulta!$A:$DN,MATCH('ZM01'!$C63,Consulta!$D:$D,0),'ZM01'!AU$2),"")=0,"",IFERROR(INDEX(Consulta!$A:$DN,MATCH('ZM01'!$C63,Consulta!$D:$D,0),'ZM01'!AU$2),""))</f>
        <v/>
      </c>
      <c r="AV63" s="43" t="str">
        <f>IF(IFERROR(INDEX(Consulta!$A:$DN,MATCH('ZM01'!$C63,Consulta!$D:$D,0),'ZM01'!AV$2),"")=0,"",IFERROR(INDEX(Consulta!$A:$DN,MATCH('ZM01'!$C63,Consulta!$D:$D,0),'ZM01'!AV$2),""))</f>
        <v/>
      </c>
      <c r="AW63" s="45"/>
      <c r="AX63" s="46" t="str">
        <f t="shared" ca="1" si="41"/>
        <v/>
      </c>
      <c r="AY63" s="47" t="s">
        <v>755</v>
      </c>
      <c r="AZ63" s="43" t="str">
        <f>IF(IFERROR(ROUND(INDEX(Consulta!$A:$DN,MATCH('ZM01'!$C63,Consulta!$D:$D,0),'ZM01'!AZ$2),3),"")=0,"",IFERROR(ROUND(INDEX(Consulta!$A:$DN,MATCH('ZM01'!$C63,Consulta!$D:$D,0),'ZM01'!AZ$2),3),""))</f>
        <v/>
      </c>
      <c r="BA63" s="43" t="str">
        <f t="shared" si="42"/>
        <v/>
      </c>
      <c r="BB63" s="48" t="s">
        <v>299</v>
      </c>
      <c r="BC63" s="48"/>
      <c r="BD63" s="43" t="str">
        <f>IF(IFERROR(INDEX(Consulta!$A:$DN,MATCH('ZM01'!$C63,Consulta!$D:$D,0),'ZM01'!BD$2),"")=0,"",IFERROR(INDEX(Consulta!$A:$DN,MATCH('ZM01'!$C63,Consulta!$D:$D,0),'ZM01'!BD$2),""))</f>
        <v/>
      </c>
      <c r="BE63" s="43" t="str">
        <f t="shared" si="0"/>
        <v/>
      </c>
      <c r="BF63" s="43" t="str">
        <f t="shared" si="43"/>
        <v/>
      </c>
      <c r="BG63" s="43" t="str">
        <f t="shared" si="1"/>
        <v/>
      </c>
      <c r="BH63" s="43" t="str">
        <f t="shared" si="44"/>
        <v>PC</v>
      </c>
      <c r="BI63" s="43" t="str">
        <f t="shared" si="24"/>
        <v/>
      </c>
      <c r="BJ63" s="43" t="str">
        <f t="shared" si="25"/>
        <v/>
      </c>
      <c r="BK63" s="43" t="str">
        <f t="shared" si="26"/>
        <v/>
      </c>
      <c r="BL63" s="43" t="str">
        <f t="shared" si="45"/>
        <v>PC</v>
      </c>
      <c r="BN63" s="44"/>
      <c r="BO63" s="44" t="s">
        <v>925</v>
      </c>
      <c r="BP63" s="43" t="str">
        <f>IF(OR(IFERROR(INDEX(Consulta!$A:$DN,MATCH('ZM01'!$C63,Consulta!$D:$D,0),'ZM01'!BP$2),"")=0,IFERROR(INDEX(Consulta!$A:$DN,MATCH('ZM01'!$C63,Consulta!$D:$D,0),'ZM01'!BP$2),"")=AR63),"",IFERROR(INDEX(Consulta!$A:$DN,MATCH('ZM01'!$C63,Consulta!$D:$D,0),'ZM01'!BP$2),""))</f>
        <v/>
      </c>
      <c r="BQ63" s="45">
        <v>99</v>
      </c>
      <c r="BR63" s="46" t="str">
        <f t="shared" ca="1" si="46"/>
        <v>24.05.2022</v>
      </c>
      <c r="BS63" s="49" t="str">
        <f t="shared" si="47"/>
        <v/>
      </c>
      <c r="BT63" s="50">
        <v>1</v>
      </c>
      <c r="BU63" s="50" t="s">
        <v>194</v>
      </c>
      <c r="BV63" s="90" t="str">
        <f t="shared" si="14"/>
        <v>01</v>
      </c>
      <c r="BW63" s="50" t="s">
        <v>755</v>
      </c>
      <c r="BX63" s="44">
        <v>1</v>
      </c>
      <c r="BY63" s="44" t="s">
        <v>372</v>
      </c>
      <c r="BZ63" s="50" t="s">
        <v>197</v>
      </c>
      <c r="CA63" s="50" t="s">
        <v>197</v>
      </c>
      <c r="CB63" s="43" t="str">
        <f>IF(IFERROR(INDEX(Consulta!$A:$DN,MATCH('ZM01'!$C63,Consulta!$D:$D,0),'ZM01'!CB$2),"")=0,"",IFERROR(INDEX(Consulta!$A:$DN,MATCH('ZM01'!$C63,Consulta!$D:$D,0),'ZM01'!CB$2),""))</f>
        <v/>
      </c>
      <c r="CC63" s="44" t="s">
        <v>392</v>
      </c>
      <c r="CD63" s="50">
        <v>0</v>
      </c>
      <c r="CE63" s="45" t="s">
        <v>403</v>
      </c>
      <c r="CF63" s="45" t="s">
        <v>84</v>
      </c>
      <c r="CG63" s="43" t="str">
        <f t="shared" si="15"/>
        <v/>
      </c>
      <c r="CH63" s="45" t="s">
        <v>430</v>
      </c>
      <c r="CI63" s="44">
        <v>0</v>
      </c>
      <c r="CJ63" s="43" t="str">
        <f t="shared" si="27"/>
        <v>E</v>
      </c>
      <c r="CK63" s="43" t="str">
        <f t="shared" si="28"/>
        <v/>
      </c>
      <c r="CL63" s="44">
        <v>2</v>
      </c>
      <c r="CM63" s="49" t="str">
        <f t="shared" si="48"/>
        <v/>
      </c>
      <c r="CN63" s="49" t="str">
        <f t="shared" si="49"/>
        <v/>
      </c>
      <c r="CO63" s="43" t="str">
        <f t="shared" si="29"/>
        <v/>
      </c>
      <c r="CP63" s="44">
        <v>1</v>
      </c>
      <c r="CQ63" s="50" t="s">
        <v>515</v>
      </c>
      <c r="CR63" s="44" t="s">
        <v>372</v>
      </c>
      <c r="CS63" s="44">
        <v>2</v>
      </c>
      <c r="CT63" s="44">
        <v>42</v>
      </c>
      <c r="CU63" s="44">
        <v>10</v>
      </c>
      <c r="CV63" s="43" t="str">
        <f t="shared" si="30"/>
        <v>K00_AO_</v>
      </c>
      <c r="CW63" s="43" t="str">
        <f t="shared" si="31"/>
        <v/>
      </c>
      <c r="CX63" s="43" t="str">
        <f t="shared" si="32"/>
        <v/>
      </c>
      <c r="CY63" s="44">
        <v>1</v>
      </c>
      <c r="CZ63" s="43" t="str">
        <f t="shared" si="33"/>
        <v/>
      </c>
      <c r="DA63" s="43" t="str">
        <f>IF(IFERROR(INDEX(Consulta!$A:$DN,MATCH('ZM01'!$C63,Consulta!$D:$D,0),'ZM01'!DA$2),"")=0,"",IFERROR(INDEX(Consulta!$A:$DN,MATCH('ZM01'!$C63,Consulta!$D:$D,0),'ZM01'!DA$2),""))</f>
        <v/>
      </c>
      <c r="DB63" s="43" t="str">
        <f>IF(IFERROR(INDEX(Consulta!$A:$DN,MATCH('ZM01'!$C63,Consulta!$D:$D,0),'ZM01'!DB$2),"")=0,"",IFERROR(INDEX(Consulta!$A:$DN,MATCH('ZM01'!$C63,Consulta!$D:$D,0),'ZM01'!DB$2),""))</f>
        <v/>
      </c>
      <c r="DC63" s="45">
        <v>0</v>
      </c>
      <c r="DD63" s="45">
        <v>0</v>
      </c>
      <c r="DE63" s="43" t="str">
        <f>IF(IFERROR(INDEX(Consulta!$A:$DN,MATCH('ZM01'!$C63,Consulta!$D:$D,0),'ZM01'!DE$2),"")=0,"",IFERROR(TEXT(VALUE(INDEX(Consulta!$A:$DN,MATCH('ZM01'!$C63,Consulta!$D:$D,0),'ZM01'!DE$2))/100,"0,00"),""))</f>
        <v/>
      </c>
      <c r="DG63" s="43">
        <f t="shared" si="50"/>
        <v>1</v>
      </c>
      <c r="DH63" s="43" t="str">
        <f>IF(IFERROR(INDEX(Consulta!$A:$DN,MATCH('ZM01'!$C63,Consulta!$D:$D,0),'ZM01'!DH$2),"")=0,"",IFERROR(VLOOKUP(INDEX(Consulta!$A:$DN,MATCH('ZM01'!$C63,Consulta!$D:$D,0),'ZM01'!DH$2),'Listas de Dados'!BU:BW,3,0),""))</f>
        <v/>
      </c>
      <c r="DI63" s="43" t="str">
        <f t="shared" ca="1" si="51"/>
        <v>24.05.2022</v>
      </c>
      <c r="DJ63" s="43" t="str">
        <f t="shared" si="52"/>
        <v>31.12.9999</v>
      </c>
      <c r="DL63" s="44">
        <v>1</v>
      </c>
      <c r="DM63" s="44" t="s">
        <v>1039</v>
      </c>
      <c r="DN63" s="44">
        <v>1</v>
      </c>
      <c r="DO63" s="43">
        <f t="shared" si="34"/>
        <v>1</v>
      </c>
      <c r="DP63" s="43" t="str">
        <f t="shared" si="35"/>
        <v>PC</v>
      </c>
      <c r="DQ63" s="43" t="str">
        <f t="shared" si="36"/>
        <v/>
      </c>
      <c r="DR63" s="44">
        <v>100</v>
      </c>
      <c r="DS63" s="71">
        <f t="shared" si="21"/>
        <v>1</v>
      </c>
      <c r="DT63" s="43">
        <f t="shared" si="53"/>
        <v>100</v>
      </c>
      <c r="DU63" s="44">
        <v>1</v>
      </c>
      <c r="DV63" s="44">
        <v>0</v>
      </c>
      <c r="DW63" s="44" t="s">
        <v>826</v>
      </c>
      <c r="DX63" s="45">
        <v>0</v>
      </c>
      <c r="DY63" s="44">
        <v>100</v>
      </c>
      <c r="DZ63" s="60"/>
    </row>
    <row r="64" spans="1:130" x14ac:dyDescent="0.2">
      <c r="A64" s="7" t="str">
        <f t="shared" si="2"/>
        <v>Execução 60</v>
      </c>
      <c r="B64" s="75"/>
      <c r="C64" s="85"/>
      <c r="D64" s="71" t="str">
        <f t="shared" si="37"/>
        <v/>
      </c>
      <c r="E64" s="71" t="str">
        <f t="shared" si="38"/>
        <v/>
      </c>
      <c r="F64" s="43" t="str">
        <f>IF(IFERROR(INDEX(Consulta!$A:$DN,MATCH('ZM01'!$C64,Consulta!$D:$D,0),'ZM01'!F$2),"")=0,"",IFERROR(INDEX(Consulta!$A:$DN,MATCH('ZM01'!$C64,Consulta!$D:$D,0),'ZM01'!F$2),""))</f>
        <v/>
      </c>
      <c r="G64" s="43" t="str">
        <f>IF(IFERROR(INDEX(Consulta!$A:$DN,MATCH('ZM01'!$C64,Consulta!$D:$D,0),'ZM01'!G$2),"")=0,"",IFERROR(INDEX(Consulta!$A:$DN,MATCH('ZM01'!$C64,Consulta!$D:$D,0),'ZM01'!G$2),""))</f>
        <v/>
      </c>
      <c r="H64" s="43" t="str">
        <f t="shared" si="23"/>
        <v/>
      </c>
      <c r="I64" s="44" t="s">
        <v>100</v>
      </c>
      <c r="J64" s="43" t="str">
        <f>IF(IFERROR(INDEX(Consulta!$A:$DN,MATCH('ZM01'!$C64,Consulta!$D:$D,0),'ZM01'!J$2),"")=0,"",IFERROR(INDEX(Consulta!$A:$DN,MATCH('ZM01'!$C64,Consulta!$D:$D,0),'ZM01'!J$2),""))</f>
        <v/>
      </c>
      <c r="K64" s="43" t="str">
        <f>IF(IFERROR(INDEX(Consulta!$A:$DN,MATCH('ZM01'!$C64,Consulta!$D:$D,0),'ZM01'!K$2),"")=0,"",IFERROR(INDEX(Consulta!$A:$DN,MATCH('ZM01'!$C64,Consulta!$D:$D,0),'ZM01'!K$2),""))</f>
        <v/>
      </c>
      <c r="L64" s="43" t="str">
        <f t="shared" si="39"/>
        <v/>
      </c>
      <c r="M64" s="43" t="str">
        <f>IF(IFERROR(INDEX(Consulta!$A:$DN,MATCH('ZM01'!$C64,Consulta!$D:$D,0),'ZM01'!M$2),"")=0,"",IFERROR(INDEX(Consulta!$A:$DN,MATCH('ZM01'!$C64,Consulta!$D:$D,0),'ZM01'!M$2),""))</f>
        <v/>
      </c>
      <c r="N64" s="43" t="str">
        <f t="shared" si="40"/>
        <v/>
      </c>
      <c r="P64" s="45" t="s">
        <v>101</v>
      </c>
      <c r="Q64" s="45" t="s">
        <v>102</v>
      </c>
      <c r="R64" s="45" t="s">
        <v>103</v>
      </c>
      <c r="S64" s="45" t="s">
        <v>104</v>
      </c>
      <c r="T64" s="45" t="s">
        <v>105</v>
      </c>
      <c r="U64" s="45" t="s">
        <v>106</v>
      </c>
      <c r="V64" s="45" t="s">
        <v>107</v>
      </c>
      <c r="W64" s="45" t="s">
        <v>109</v>
      </c>
      <c r="X64" s="45" t="s">
        <v>110</v>
      </c>
      <c r="Y64" s="45"/>
      <c r="Z64" s="45"/>
      <c r="AA64" s="45" t="s">
        <v>112</v>
      </c>
      <c r="AB64" s="45" t="s">
        <v>113</v>
      </c>
      <c r="AC64" s="45" t="s">
        <v>114</v>
      </c>
      <c r="AD64" s="45" t="s">
        <v>115</v>
      </c>
      <c r="AE64" s="45" t="s">
        <v>117</v>
      </c>
      <c r="AF64" s="45" t="s">
        <v>118</v>
      </c>
      <c r="AG64" s="45" t="s">
        <v>119</v>
      </c>
      <c r="AH64" s="45" t="s">
        <v>120</v>
      </c>
      <c r="AI64" s="45" t="s">
        <v>121</v>
      </c>
      <c r="AJ64" s="45" t="s">
        <v>122</v>
      </c>
      <c r="AK64" s="45" t="s">
        <v>123</v>
      </c>
      <c r="AL64" s="45" t="s">
        <v>124</v>
      </c>
      <c r="AM64" s="45" t="s">
        <v>125</v>
      </c>
      <c r="AN64" s="45" t="s">
        <v>126</v>
      </c>
      <c r="AO64" s="45"/>
      <c r="AP64" s="45"/>
      <c r="AR64" s="44" t="s">
        <v>822</v>
      </c>
      <c r="AS64" s="43" t="str">
        <f>IF(IFERROR(INDEX(Consulta!$A:$DN,MATCH('ZM01'!$C64,Consulta!$D:$D,0),'ZM01'!AS$2),"")=0,"",IFERROR(INDEX(Consulta!$A:$DN,MATCH('ZM01'!$C64,Consulta!$D:$D,0),'ZM01'!AS$2),""))</f>
        <v/>
      </c>
      <c r="AT64" s="45"/>
      <c r="AU64" s="43" t="str">
        <f>IF(IFERROR(INDEX(Consulta!$A:$DN,MATCH('ZM01'!$C64,Consulta!$D:$D,0),'ZM01'!AU$2),"")=0,"",IFERROR(INDEX(Consulta!$A:$DN,MATCH('ZM01'!$C64,Consulta!$D:$D,0),'ZM01'!AU$2),""))</f>
        <v/>
      </c>
      <c r="AV64" s="43" t="str">
        <f>IF(IFERROR(INDEX(Consulta!$A:$DN,MATCH('ZM01'!$C64,Consulta!$D:$D,0),'ZM01'!AV$2),"")=0,"",IFERROR(INDEX(Consulta!$A:$DN,MATCH('ZM01'!$C64,Consulta!$D:$D,0),'ZM01'!AV$2),""))</f>
        <v/>
      </c>
      <c r="AW64" s="45"/>
      <c r="AX64" s="46" t="str">
        <f t="shared" ca="1" si="41"/>
        <v/>
      </c>
      <c r="AY64" s="47" t="s">
        <v>755</v>
      </c>
      <c r="AZ64" s="43" t="str">
        <f>IF(IFERROR(ROUND(INDEX(Consulta!$A:$DN,MATCH('ZM01'!$C64,Consulta!$D:$D,0),'ZM01'!AZ$2),3),"")=0,"",IFERROR(ROUND(INDEX(Consulta!$A:$DN,MATCH('ZM01'!$C64,Consulta!$D:$D,0),'ZM01'!AZ$2),3),""))</f>
        <v/>
      </c>
      <c r="BA64" s="43" t="str">
        <f t="shared" si="42"/>
        <v/>
      </c>
      <c r="BB64" s="48" t="s">
        <v>299</v>
      </c>
      <c r="BC64" s="48"/>
      <c r="BD64" s="43" t="str">
        <f>IF(IFERROR(INDEX(Consulta!$A:$DN,MATCH('ZM01'!$C64,Consulta!$D:$D,0),'ZM01'!BD$2),"")=0,"",IFERROR(INDEX(Consulta!$A:$DN,MATCH('ZM01'!$C64,Consulta!$D:$D,0),'ZM01'!BD$2),""))</f>
        <v/>
      </c>
      <c r="BE64" s="43" t="str">
        <f t="shared" si="0"/>
        <v/>
      </c>
      <c r="BF64" s="43" t="str">
        <f t="shared" si="43"/>
        <v/>
      </c>
      <c r="BG64" s="43" t="str">
        <f t="shared" si="1"/>
        <v/>
      </c>
      <c r="BH64" s="43" t="str">
        <f t="shared" si="44"/>
        <v>PC</v>
      </c>
      <c r="BI64" s="43" t="str">
        <f t="shared" si="24"/>
        <v/>
      </c>
      <c r="BJ64" s="43" t="str">
        <f t="shared" si="25"/>
        <v/>
      </c>
      <c r="BK64" s="43" t="str">
        <f t="shared" si="26"/>
        <v/>
      </c>
      <c r="BL64" s="43" t="str">
        <f t="shared" si="45"/>
        <v>PC</v>
      </c>
      <c r="BN64" s="44"/>
      <c r="BO64" s="44" t="s">
        <v>925</v>
      </c>
      <c r="BP64" s="43" t="str">
        <f>IF(OR(IFERROR(INDEX(Consulta!$A:$DN,MATCH('ZM01'!$C64,Consulta!$D:$D,0),'ZM01'!BP$2),"")=0,IFERROR(INDEX(Consulta!$A:$DN,MATCH('ZM01'!$C64,Consulta!$D:$D,0),'ZM01'!BP$2),"")=AR64),"",IFERROR(INDEX(Consulta!$A:$DN,MATCH('ZM01'!$C64,Consulta!$D:$D,0),'ZM01'!BP$2),""))</f>
        <v/>
      </c>
      <c r="BQ64" s="45">
        <v>99</v>
      </c>
      <c r="BR64" s="46" t="str">
        <f t="shared" ca="1" si="46"/>
        <v>24.05.2022</v>
      </c>
      <c r="BS64" s="49" t="str">
        <f t="shared" si="47"/>
        <v/>
      </c>
      <c r="BT64" s="50">
        <v>1</v>
      </c>
      <c r="BU64" s="50" t="s">
        <v>194</v>
      </c>
      <c r="BV64" s="90" t="str">
        <f t="shared" si="14"/>
        <v>01</v>
      </c>
      <c r="BW64" s="50" t="s">
        <v>755</v>
      </c>
      <c r="BX64" s="44">
        <v>1</v>
      </c>
      <c r="BY64" s="44" t="s">
        <v>372</v>
      </c>
      <c r="BZ64" s="50" t="s">
        <v>197</v>
      </c>
      <c r="CA64" s="50" t="s">
        <v>197</v>
      </c>
      <c r="CB64" s="43" t="str">
        <f>IF(IFERROR(INDEX(Consulta!$A:$DN,MATCH('ZM01'!$C64,Consulta!$D:$D,0),'ZM01'!CB$2),"")=0,"",IFERROR(INDEX(Consulta!$A:$DN,MATCH('ZM01'!$C64,Consulta!$D:$D,0),'ZM01'!CB$2),""))</f>
        <v/>
      </c>
      <c r="CC64" s="44" t="s">
        <v>392</v>
      </c>
      <c r="CD64" s="50">
        <v>0</v>
      </c>
      <c r="CE64" s="45" t="s">
        <v>403</v>
      </c>
      <c r="CF64" s="45" t="s">
        <v>84</v>
      </c>
      <c r="CG64" s="43" t="str">
        <f t="shared" si="15"/>
        <v/>
      </c>
      <c r="CH64" s="45" t="s">
        <v>430</v>
      </c>
      <c r="CI64" s="44">
        <v>0</v>
      </c>
      <c r="CJ64" s="43" t="str">
        <f t="shared" si="27"/>
        <v>E</v>
      </c>
      <c r="CK64" s="43" t="str">
        <f t="shared" si="28"/>
        <v/>
      </c>
      <c r="CL64" s="44">
        <v>2</v>
      </c>
      <c r="CM64" s="49" t="str">
        <f t="shared" si="48"/>
        <v/>
      </c>
      <c r="CN64" s="49" t="str">
        <f t="shared" si="49"/>
        <v/>
      </c>
      <c r="CO64" s="43" t="str">
        <f t="shared" si="29"/>
        <v/>
      </c>
      <c r="CP64" s="44">
        <v>1</v>
      </c>
      <c r="CQ64" s="50" t="s">
        <v>515</v>
      </c>
      <c r="CR64" s="44" t="s">
        <v>372</v>
      </c>
      <c r="CS64" s="44">
        <v>2</v>
      </c>
      <c r="CT64" s="44">
        <v>42</v>
      </c>
      <c r="CU64" s="44">
        <v>10</v>
      </c>
      <c r="CV64" s="43" t="str">
        <f t="shared" si="30"/>
        <v>K00_AO_</v>
      </c>
      <c r="CW64" s="43" t="str">
        <f t="shared" si="31"/>
        <v/>
      </c>
      <c r="CX64" s="43" t="str">
        <f t="shared" si="32"/>
        <v/>
      </c>
      <c r="CY64" s="44">
        <v>1</v>
      </c>
      <c r="CZ64" s="43" t="str">
        <f t="shared" si="33"/>
        <v/>
      </c>
      <c r="DA64" s="43" t="str">
        <f>IF(IFERROR(INDEX(Consulta!$A:$DN,MATCH('ZM01'!$C64,Consulta!$D:$D,0),'ZM01'!DA$2),"")=0,"",IFERROR(INDEX(Consulta!$A:$DN,MATCH('ZM01'!$C64,Consulta!$D:$D,0),'ZM01'!DA$2),""))</f>
        <v/>
      </c>
      <c r="DB64" s="43" t="str">
        <f>IF(IFERROR(INDEX(Consulta!$A:$DN,MATCH('ZM01'!$C64,Consulta!$D:$D,0),'ZM01'!DB$2),"")=0,"",IFERROR(INDEX(Consulta!$A:$DN,MATCH('ZM01'!$C64,Consulta!$D:$D,0),'ZM01'!DB$2),""))</f>
        <v/>
      </c>
      <c r="DC64" s="45">
        <v>0</v>
      </c>
      <c r="DD64" s="45">
        <v>0</v>
      </c>
      <c r="DE64" s="43" t="str">
        <f>IF(IFERROR(INDEX(Consulta!$A:$DN,MATCH('ZM01'!$C64,Consulta!$D:$D,0),'ZM01'!DE$2),"")=0,"",IFERROR(TEXT(VALUE(INDEX(Consulta!$A:$DN,MATCH('ZM01'!$C64,Consulta!$D:$D,0),'ZM01'!DE$2))/100,"0,00"),""))</f>
        <v/>
      </c>
      <c r="DG64" s="43">
        <f t="shared" si="50"/>
        <v>1</v>
      </c>
      <c r="DH64" s="43" t="str">
        <f>IF(IFERROR(INDEX(Consulta!$A:$DN,MATCH('ZM01'!$C64,Consulta!$D:$D,0),'ZM01'!DH$2),"")=0,"",IFERROR(VLOOKUP(INDEX(Consulta!$A:$DN,MATCH('ZM01'!$C64,Consulta!$D:$D,0),'ZM01'!DH$2),'Listas de Dados'!BU:BW,3,0),""))</f>
        <v/>
      </c>
      <c r="DI64" s="43" t="str">
        <f t="shared" ca="1" si="51"/>
        <v>24.05.2022</v>
      </c>
      <c r="DJ64" s="43" t="str">
        <f t="shared" si="52"/>
        <v>31.12.9999</v>
      </c>
      <c r="DL64" s="44">
        <v>1</v>
      </c>
      <c r="DM64" s="44" t="s">
        <v>1039</v>
      </c>
      <c r="DN64" s="44">
        <v>1</v>
      </c>
      <c r="DO64" s="43">
        <f t="shared" si="34"/>
        <v>1</v>
      </c>
      <c r="DP64" s="43" t="str">
        <f t="shared" si="35"/>
        <v>PC</v>
      </c>
      <c r="DQ64" s="43" t="str">
        <f t="shared" si="36"/>
        <v/>
      </c>
      <c r="DR64" s="44">
        <v>100</v>
      </c>
      <c r="DS64" s="71">
        <f t="shared" si="21"/>
        <v>1</v>
      </c>
      <c r="DT64" s="43">
        <f t="shared" si="53"/>
        <v>100</v>
      </c>
      <c r="DU64" s="44">
        <v>1</v>
      </c>
      <c r="DV64" s="44">
        <v>0</v>
      </c>
      <c r="DW64" s="44" t="s">
        <v>826</v>
      </c>
      <c r="DX64" s="45">
        <v>0</v>
      </c>
      <c r="DY64" s="44">
        <v>100</v>
      </c>
      <c r="DZ64" s="61"/>
    </row>
  </sheetData>
  <sortState ref="B5:B61">
    <sortCondition ref="B5"/>
  </sortState>
  <mergeCells count="7">
    <mergeCell ref="DK1:DK2"/>
    <mergeCell ref="BN1:BN2"/>
    <mergeCell ref="P3:AP3"/>
    <mergeCell ref="AQ1:AQ2"/>
    <mergeCell ref="O1:O2"/>
    <mergeCell ref="BM1:BM2"/>
    <mergeCell ref="DF1:DF2"/>
  </mergeCells>
  <conditionalFormatting sqref="B5 E6 D5:E5">
    <cfRule type="beginsWith" dxfId="204" priority="237" operator="beginsWith" text="L">
      <formula>LEFT(B5,LEN("L"))="L"</formula>
    </cfRule>
  </conditionalFormatting>
  <conditionalFormatting sqref="D6">
    <cfRule type="beginsWith" dxfId="203" priority="205" operator="beginsWith" text="L">
      <formula>LEFT(D6,LEN("L"))="L"</formula>
    </cfRule>
  </conditionalFormatting>
  <conditionalFormatting sqref="B6:C6">
    <cfRule type="beginsWith" dxfId="202" priority="175" operator="beginsWith" text="L">
      <formula>LEFT(B6,LEN("L"))="L"</formula>
    </cfRule>
  </conditionalFormatting>
  <conditionalFormatting sqref="F5:F6">
    <cfRule type="beginsWith" dxfId="201" priority="153" operator="beginsWith" text="L">
      <formula>LEFT(F5,LEN("L"))="L"</formula>
    </cfRule>
  </conditionalFormatting>
  <conditionalFormatting sqref="DZ1:DZ6 DZ65:DZ1048576">
    <cfRule type="containsText" dxfId="200" priority="154" operator="containsText" text="criadas">
      <formula>NOT(ISERROR(SEARCH("criadas",DZ1)))</formula>
    </cfRule>
    <cfRule type="containsText" dxfId="199" priority="156" operator="containsText" text="é gravado">
      <formula>NOT(ISERROR(SEARCH("é gravado",DZ1)))</formula>
    </cfRule>
    <cfRule type="containsText" dxfId="198" priority="157" operator="containsText" text="é modificado">
      <formula>NOT(ISERROR(SEARCH("é modificado",DZ1)))</formula>
    </cfRule>
    <cfRule type="containsText" dxfId="197" priority="158" operator="containsText" text="Error">
      <formula>NOT(ISERROR(SEARCH("Error",DZ1)))</formula>
    </cfRule>
    <cfRule type="containsText" dxfId="196" priority="159" operator="containsText" text="é criado">
      <formula>NOT(ISERROR(SEARCH("é criado",DZ1)))</formula>
    </cfRule>
  </conditionalFormatting>
  <conditionalFormatting sqref="G5:G6">
    <cfRule type="beginsWith" dxfId="195" priority="152" operator="beginsWith" text="L">
      <formula>LEFT(G5,LEN("L"))="L"</formula>
    </cfRule>
  </conditionalFormatting>
  <conditionalFormatting sqref="AS5:AS6">
    <cfRule type="beginsWith" dxfId="194" priority="151" operator="beginsWith" text="L">
      <formula>LEFT(AS5,LEN("L"))="L"</formula>
    </cfRule>
  </conditionalFormatting>
  <conditionalFormatting sqref="AV5:AV6">
    <cfRule type="beginsWith" dxfId="193" priority="150" operator="beginsWith" text="L">
      <formula>LEFT(AV5,LEN("L"))="L"</formula>
    </cfRule>
  </conditionalFormatting>
  <conditionalFormatting sqref="AZ5:AZ6">
    <cfRule type="beginsWith" dxfId="192" priority="149" operator="beginsWith" text="L">
      <formula>LEFT(AZ5,LEN("L"))="L"</formula>
    </cfRule>
  </conditionalFormatting>
  <conditionalFormatting sqref="BD5:BD6">
    <cfRule type="beginsWith" dxfId="191" priority="148" operator="beginsWith" text="L">
      <formula>LEFT(BD5,LEN("L"))="L"</formula>
    </cfRule>
  </conditionalFormatting>
  <conditionalFormatting sqref="BP5:BP6">
    <cfRule type="beginsWith" dxfId="190" priority="147" operator="beginsWith" text="L">
      <formula>LEFT(BP5,LEN("L"))="L"</formula>
    </cfRule>
  </conditionalFormatting>
  <conditionalFormatting sqref="CB5:CB6">
    <cfRule type="beginsWith" dxfId="189" priority="146" operator="beginsWith" text="L">
      <formula>LEFT(CB5,LEN("L"))="L"</formula>
    </cfRule>
  </conditionalFormatting>
  <conditionalFormatting sqref="M5:M6">
    <cfRule type="beginsWith" dxfId="188" priority="139" operator="beginsWith" text="L">
      <formula>LEFT(M5,LEN("L"))="L"</formula>
    </cfRule>
  </conditionalFormatting>
  <conditionalFormatting sqref="DE5:DE6">
    <cfRule type="beginsWith" dxfId="187" priority="144" operator="beginsWith" text="L">
      <formula>LEFT(DE5,LEN("L"))="L"</formula>
    </cfRule>
  </conditionalFormatting>
  <conditionalFormatting sqref="N5:N6">
    <cfRule type="beginsWith" dxfId="186" priority="137" operator="beginsWith" text="L">
      <formula>LEFT(N5,LEN("L"))="L"</formula>
    </cfRule>
  </conditionalFormatting>
  <conditionalFormatting sqref="C5">
    <cfRule type="beginsWith" dxfId="185" priority="136" operator="beginsWith" text="L">
      <formula>LEFT(C5,LEN("L"))="L"</formula>
    </cfRule>
  </conditionalFormatting>
  <conditionalFormatting sqref="J5:J6">
    <cfRule type="beginsWith" dxfId="184" priority="141" operator="beginsWith" text="L">
      <formula>LEFT(J5,LEN("L"))="L"</formula>
    </cfRule>
  </conditionalFormatting>
  <conditionalFormatting sqref="K5:K6">
    <cfRule type="beginsWith" dxfId="183" priority="140" operator="beginsWith" text="L">
      <formula>LEFT(K5,LEN("L"))="L"</formula>
    </cfRule>
  </conditionalFormatting>
  <conditionalFormatting sqref="L5:L6">
    <cfRule type="beginsWith" dxfId="182" priority="138" operator="beginsWith" text="L">
      <formula>LEFT(L5,LEN("L"))="L"</formula>
    </cfRule>
  </conditionalFormatting>
  <conditionalFormatting sqref="AU5">
    <cfRule type="beginsWith" dxfId="181" priority="135" operator="beginsWith" text="L">
      <formula>LEFT(AU5,LEN("L"))="L"</formula>
    </cfRule>
  </conditionalFormatting>
  <conditionalFormatting sqref="AU6">
    <cfRule type="beginsWith" dxfId="180" priority="134" operator="beginsWith" text="L">
      <formula>LEFT(AU6,LEN("L"))="L"</formula>
    </cfRule>
  </conditionalFormatting>
  <conditionalFormatting sqref="CK5:CK6">
    <cfRule type="expression" dxfId="179" priority="133">
      <formula>(CJ5="F")</formula>
    </cfRule>
  </conditionalFormatting>
  <conditionalFormatting sqref="DB5">
    <cfRule type="beginsWith" dxfId="178" priority="128" operator="beginsWith" text="L">
      <formula>LEFT(DB5,LEN("L"))="L"</formula>
    </cfRule>
  </conditionalFormatting>
  <conditionalFormatting sqref="DH5:DH6">
    <cfRule type="beginsWith" dxfId="177" priority="126" operator="beginsWith" text="L">
      <formula>LEFT(DH5,LEN("L"))="L"</formula>
    </cfRule>
  </conditionalFormatting>
  <conditionalFormatting sqref="DA5">
    <cfRule type="beginsWith" dxfId="176" priority="130" operator="beginsWith" text="L">
      <formula>LEFT(DA5,LEN("L"))="L"</formula>
    </cfRule>
  </conditionalFormatting>
  <conditionalFormatting sqref="DA6">
    <cfRule type="beginsWith" dxfId="175" priority="129" operator="beginsWith" text="L">
      <formula>LEFT(DA6,LEN("L"))="L"</formula>
    </cfRule>
  </conditionalFormatting>
  <conditionalFormatting sqref="DB6">
    <cfRule type="beginsWith" dxfId="174" priority="127" operator="beginsWith" text="L">
      <formula>LEFT(DB6,LEN("L"))="L"</formula>
    </cfRule>
  </conditionalFormatting>
  <conditionalFormatting sqref="B7 B9 B11 B13 B15 B41 B43 E8 E10 E12 E14 E16 E42 E44 D7:E7 D9:E9 D11:E11 D13:E13 D15:E15 D41:E41 D43:E43">
    <cfRule type="beginsWith" dxfId="173" priority="124" operator="beginsWith" text="L">
      <formula>LEFT(B7,LEN("L"))="L"</formula>
    </cfRule>
  </conditionalFormatting>
  <conditionalFormatting sqref="D8 D10 D12 D14 D16 D42 D44">
    <cfRule type="beginsWith" dxfId="172" priority="123" operator="beginsWith" text="L">
      <formula>LEFT(D8,LEN("L"))="L"</formula>
    </cfRule>
  </conditionalFormatting>
  <conditionalFormatting sqref="B8:C8 B10:C10 B12:C12 B14:C14 B16:C16 B42:C42 B44:C44">
    <cfRule type="beginsWith" dxfId="171" priority="122" operator="beginsWith" text="L">
      <formula>LEFT(B8,LEN("L"))="L"</formula>
    </cfRule>
  </conditionalFormatting>
  <conditionalFormatting sqref="F7:F16 F41:F44">
    <cfRule type="beginsWith" dxfId="170" priority="116" operator="beginsWith" text="L">
      <formula>LEFT(F7,LEN("L"))="L"</formula>
    </cfRule>
  </conditionalFormatting>
  <conditionalFormatting sqref="DZ7:DZ16 DZ41:DZ44">
    <cfRule type="containsText" dxfId="169" priority="117" operator="containsText" text="criadas">
      <formula>NOT(ISERROR(SEARCH("criadas",DZ7)))</formula>
    </cfRule>
    <cfRule type="containsText" dxfId="168" priority="118" operator="containsText" text="é gravado">
      <formula>NOT(ISERROR(SEARCH("é gravado",DZ7)))</formula>
    </cfRule>
    <cfRule type="containsText" dxfId="167" priority="119" operator="containsText" text="é modificado">
      <formula>NOT(ISERROR(SEARCH("é modificado",DZ7)))</formula>
    </cfRule>
    <cfRule type="containsText" dxfId="166" priority="120" operator="containsText" text="Error">
      <formula>NOT(ISERROR(SEARCH("Error",DZ7)))</formula>
    </cfRule>
    <cfRule type="containsText" dxfId="165" priority="121" operator="containsText" text="é criado">
      <formula>NOT(ISERROR(SEARCH("é criado",DZ7)))</formula>
    </cfRule>
  </conditionalFormatting>
  <conditionalFormatting sqref="G7:G16 G41:G44">
    <cfRule type="beginsWith" dxfId="164" priority="115" operator="beginsWith" text="L">
      <formula>LEFT(G7,LEN("L"))="L"</formula>
    </cfRule>
  </conditionalFormatting>
  <conditionalFormatting sqref="AS7:AS16 AS41:AS44">
    <cfRule type="beginsWith" dxfId="163" priority="114" operator="beginsWith" text="L">
      <formula>LEFT(AS7,LEN("L"))="L"</formula>
    </cfRule>
  </conditionalFormatting>
  <conditionalFormatting sqref="AV7:AV16 AV41:AV44">
    <cfRule type="beginsWith" dxfId="162" priority="113" operator="beginsWith" text="L">
      <formula>LEFT(AV7,LEN("L"))="L"</formula>
    </cfRule>
  </conditionalFormatting>
  <conditionalFormatting sqref="AZ7:AZ16 AZ41:AZ44">
    <cfRule type="beginsWith" dxfId="161" priority="112" operator="beginsWith" text="L">
      <formula>LEFT(AZ7,LEN("L"))="L"</formula>
    </cfRule>
  </conditionalFormatting>
  <conditionalFormatting sqref="BD7:BD16 BD41:BD44">
    <cfRule type="beginsWith" dxfId="160" priority="111" operator="beginsWith" text="L">
      <formula>LEFT(BD7,LEN("L"))="L"</formula>
    </cfRule>
  </conditionalFormatting>
  <conditionalFormatting sqref="BP7:BP16 BP41:BP44">
    <cfRule type="beginsWith" dxfId="159" priority="110" operator="beginsWith" text="L">
      <formula>LEFT(BP7,LEN("L"))="L"</formula>
    </cfRule>
  </conditionalFormatting>
  <conditionalFormatting sqref="CB7:CB16 CB41:CB44">
    <cfRule type="beginsWith" dxfId="158" priority="109" operator="beginsWith" text="L">
      <formula>LEFT(CB7,LEN("L"))="L"</formula>
    </cfRule>
  </conditionalFormatting>
  <conditionalFormatting sqref="M7:M16 M41:M44">
    <cfRule type="beginsWith" dxfId="157" priority="105" operator="beginsWith" text="L">
      <formula>LEFT(M7,LEN("L"))="L"</formula>
    </cfRule>
  </conditionalFormatting>
  <conditionalFormatting sqref="DE7:DE16 DE41:DE44">
    <cfRule type="beginsWith" dxfId="156" priority="108" operator="beginsWith" text="L">
      <formula>LEFT(DE7,LEN("L"))="L"</formula>
    </cfRule>
  </conditionalFormatting>
  <conditionalFormatting sqref="N7:N16 N41:N44">
    <cfRule type="beginsWith" dxfId="155" priority="103" operator="beginsWith" text="L">
      <formula>LEFT(N7,LEN("L"))="L"</formula>
    </cfRule>
  </conditionalFormatting>
  <conditionalFormatting sqref="C7 C9 C11 C13 C15 C41 C43">
    <cfRule type="beginsWith" dxfId="154" priority="102" operator="beginsWith" text="L">
      <formula>LEFT(C7,LEN("L"))="L"</formula>
    </cfRule>
  </conditionalFormatting>
  <conditionalFormatting sqref="J7:J16 J41:J44">
    <cfRule type="beginsWith" dxfId="153" priority="107" operator="beginsWith" text="L">
      <formula>LEFT(J7,LEN("L"))="L"</formula>
    </cfRule>
  </conditionalFormatting>
  <conditionalFormatting sqref="K7:K16 K41:K44">
    <cfRule type="beginsWith" dxfId="152" priority="106" operator="beginsWith" text="L">
      <formula>LEFT(K7,LEN("L"))="L"</formula>
    </cfRule>
  </conditionalFormatting>
  <conditionalFormatting sqref="L7:L16 L41:L44">
    <cfRule type="beginsWith" dxfId="151" priority="104" operator="beginsWith" text="L">
      <formula>LEFT(L7,LEN("L"))="L"</formula>
    </cfRule>
  </conditionalFormatting>
  <conditionalFormatting sqref="AU7 AU9 AU11 AU13 AU15 AU41 AU43">
    <cfRule type="beginsWith" dxfId="150" priority="101" operator="beginsWith" text="L">
      <formula>LEFT(AU7,LEN("L"))="L"</formula>
    </cfRule>
  </conditionalFormatting>
  <conditionalFormatting sqref="AU8 AU10 AU12 AU14 AU16 AU42 AU44">
    <cfRule type="beginsWith" dxfId="149" priority="100" operator="beginsWith" text="L">
      <formula>LEFT(AU8,LEN("L"))="L"</formula>
    </cfRule>
  </conditionalFormatting>
  <conditionalFormatting sqref="CK7:CK16 CK41:CK44">
    <cfRule type="expression" dxfId="148" priority="99">
      <formula>(CJ7="F")</formula>
    </cfRule>
  </conditionalFormatting>
  <conditionalFormatting sqref="DB7 DB9 DB11 DB13 DB15 DB41 DB43">
    <cfRule type="beginsWith" dxfId="147" priority="96" operator="beginsWith" text="L">
      <formula>LEFT(DB7,LEN("L"))="L"</formula>
    </cfRule>
  </conditionalFormatting>
  <conditionalFormatting sqref="DH7:DH16 DH41:DH44">
    <cfRule type="beginsWith" dxfId="146" priority="94" operator="beginsWith" text="L">
      <formula>LEFT(DH7,LEN("L"))="L"</formula>
    </cfRule>
  </conditionalFormatting>
  <conditionalFormatting sqref="DA7 DA9 DA11 DA13 DA15 DA41 DA43">
    <cfRule type="beginsWith" dxfId="145" priority="98" operator="beginsWith" text="L">
      <formula>LEFT(DA7,LEN("L"))="L"</formula>
    </cfRule>
  </conditionalFormatting>
  <conditionalFormatting sqref="DA8 DA10 DA12 DA14 DA16 DA42 DA44">
    <cfRule type="beginsWith" dxfId="144" priority="97" operator="beginsWith" text="L">
      <formula>LEFT(DA8,LEN("L"))="L"</formula>
    </cfRule>
  </conditionalFormatting>
  <conditionalFormatting sqref="DB8 DB10 DB12 DB14 DB16 DB42 DB44">
    <cfRule type="beginsWith" dxfId="143" priority="95" operator="beginsWith" text="L">
      <formula>LEFT(DB8,LEN("L"))="L"</formula>
    </cfRule>
  </conditionalFormatting>
  <conditionalFormatting sqref="B45 B47 B49 B51 B53 B55 B57 B59 B61 B63 E46 E48 E50 E52 E54 E56 E58 E60 E62 E64 D45:E45 D47:E47 D49:E49 D51:E51 D53:E53 D55:E55 D57:E57 D59:E59 D61:E61 D63:E63">
    <cfRule type="beginsWith" dxfId="142" priority="93" operator="beginsWith" text="L">
      <formula>LEFT(B45,LEN("L"))="L"</formula>
    </cfRule>
  </conditionalFormatting>
  <conditionalFormatting sqref="D46 D48 D50 D52 D54 D56 D58 D60 D62 D64">
    <cfRule type="beginsWith" dxfId="141" priority="92" operator="beginsWith" text="L">
      <formula>LEFT(D46,LEN("L"))="L"</formula>
    </cfRule>
  </conditionalFormatting>
  <conditionalFormatting sqref="B46:C46 B48:C48 B50:C50 B52:C52 B54:C54 B56:C56 B58:C58 B60:C60 B62:C62 B64:C64">
    <cfRule type="beginsWith" dxfId="140" priority="91" operator="beginsWith" text="L">
      <formula>LEFT(B46,LEN("L"))="L"</formula>
    </cfRule>
  </conditionalFormatting>
  <conditionalFormatting sqref="F45:F64">
    <cfRule type="beginsWith" dxfId="139" priority="85" operator="beginsWith" text="L">
      <formula>LEFT(F45,LEN("L"))="L"</formula>
    </cfRule>
  </conditionalFormatting>
  <conditionalFormatting sqref="DZ45:DZ64">
    <cfRule type="containsText" dxfId="138" priority="86" operator="containsText" text="criadas">
      <formula>NOT(ISERROR(SEARCH("criadas",DZ45)))</formula>
    </cfRule>
    <cfRule type="containsText" dxfId="137" priority="87" operator="containsText" text="é gravado">
      <formula>NOT(ISERROR(SEARCH("é gravado",DZ45)))</formula>
    </cfRule>
    <cfRule type="containsText" dxfId="136" priority="88" operator="containsText" text="é modificado">
      <formula>NOT(ISERROR(SEARCH("é modificado",DZ45)))</formula>
    </cfRule>
    <cfRule type="containsText" dxfId="135" priority="89" operator="containsText" text="Error">
      <formula>NOT(ISERROR(SEARCH("Error",DZ45)))</formula>
    </cfRule>
    <cfRule type="containsText" dxfId="134" priority="90" operator="containsText" text="é criado">
      <formula>NOT(ISERROR(SEARCH("é criado",DZ45)))</formula>
    </cfRule>
  </conditionalFormatting>
  <conditionalFormatting sqref="G45:G64">
    <cfRule type="beginsWith" dxfId="133" priority="84" operator="beginsWith" text="L">
      <formula>LEFT(G45,LEN("L"))="L"</formula>
    </cfRule>
  </conditionalFormatting>
  <conditionalFormatting sqref="AS45:AS64">
    <cfRule type="beginsWith" dxfId="132" priority="83" operator="beginsWith" text="L">
      <formula>LEFT(AS45,LEN("L"))="L"</formula>
    </cfRule>
  </conditionalFormatting>
  <conditionalFormatting sqref="AV45:AV64">
    <cfRule type="beginsWith" dxfId="131" priority="82" operator="beginsWith" text="L">
      <formula>LEFT(AV45,LEN("L"))="L"</formula>
    </cfRule>
  </conditionalFormatting>
  <conditionalFormatting sqref="AZ45:AZ64">
    <cfRule type="beginsWith" dxfId="130" priority="81" operator="beginsWith" text="L">
      <formula>LEFT(AZ45,LEN("L"))="L"</formula>
    </cfRule>
  </conditionalFormatting>
  <conditionalFormatting sqref="BD45:BD64">
    <cfRule type="beginsWith" dxfId="129" priority="80" operator="beginsWith" text="L">
      <formula>LEFT(BD45,LEN("L"))="L"</formula>
    </cfRule>
  </conditionalFormatting>
  <conditionalFormatting sqref="BP45:BP64">
    <cfRule type="beginsWith" dxfId="128" priority="79" operator="beginsWith" text="L">
      <formula>LEFT(BP45,LEN("L"))="L"</formula>
    </cfRule>
  </conditionalFormatting>
  <conditionalFormatting sqref="CB45:CB64">
    <cfRule type="beginsWith" dxfId="127" priority="78" operator="beginsWith" text="L">
      <formula>LEFT(CB45,LEN("L"))="L"</formula>
    </cfRule>
  </conditionalFormatting>
  <conditionalFormatting sqref="M45:M64">
    <cfRule type="beginsWith" dxfId="126" priority="74" operator="beginsWith" text="L">
      <formula>LEFT(M45,LEN("L"))="L"</formula>
    </cfRule>
  </conditionalFormatting>
  <conditionalFormatting sqref="DE45:DE64">
    <cfRule type="beginsWith" dxfId="125" priority="77" operator="beginsWith" text="L">
      <formula>LEFT(DE45,LEN("L"))="L"</formula>
    </cfRule>
  </conditionalFormatting>
  <conditionalFormatting sqref="N45:N64">
    <cfRule type="beginsWith" dxfId="124" priority="72" operator="beginsWith" text="L">
      <formula>LEFT(N45,LEN("L"))="L"</formula>
    </cfRule>
  </conditionalFormatting>
  <conditionalFormatting sqref="C45 C47 C49 C51 C53 C55 C57 C59 C61 C63">
    <cfRule type="beginsWith" dxfId="123" priority="71" operator="beginsWith" text="L">
      <formula>LEFT(C45,LEN("L"))="L"</formula>
    </cfRule>
  </conditionalFormatting>
  <conditionalFormatting sqref="J45:J64">
    <cfRule type="beginsWith" dxfId="122" priority="76" operator="beginsWith" text="L">
      <formula>LEFT(J45,LEN("L"))="L"</formula>
    </cfRule>
  </conditionalFormatting>
  <conditionalFormatting sqref="K45:K64">
    <cfRule type="beginsWith" dxfId="121" priority="75" operator="beginsWith" text="L">
      <formula>LEFT(K45,LEN("L"))="L"</formula>
    </cfRule>
  </conditionalFormatting>
  <conditionalFormatting sqref="L45:L64">
    <cfRule type="beginsWith" dxfId="120" priority="73" operator="beginsWith" text="L">
      <formula>LEFT(L45,LEN("L"))="L"</formula>
    </cfRule>
  </conditionalFormatting>
  <conditionalFormatting sqref="AU45 AU47 AU49 AU51 AU53 AU55 AU57 AU59 AU61 AU63">
    <cfRule type="beginsWith" dxfId="119" priority="70" operator="beginsWith" text="L">
      <formula>LEFT(AU45,LEN("L"))="L"</formula>
    </cfRule>
  </conditionalFormatting>
  <conditionalFormatting sqref="AU46 AU48 AU50 AU52 AU54 AU56 AU58 AU60 AU62 AU64">
    <cfRule type="beginsWith" dxfId="118" priority="69" operator="beginsWith" text="L">
      <formula>LEFT(AU46,LEN("L"))="L"</formula>
    </cfRule>
  </conditionalFormatting>
  <conditionalFormatting sqref="CK45:CK64">
    <cfRule type="expression" dxfId="117" priority="68">
      <formula>(CJ45="F")</formula>
    </cfRule>
  </conditionalFormatting>
  <conditionalFormatting sqref="DB45 DB47 DB49 DB51 DB53 DB55 DB57 DB59 DB61 DB63">
    <cfRule type="beginsWith" dxfId="116" priority="65" operator="beginsWith" text="L">
      <formula>LEFT(DB45,LEN("L"))="L"</formula>
    </cfRule>
  </conditionalFormatting>
  <conditionalFormatting sqref="DH45:DH64">
    <cfRule type="beginsWith" dxfId="115" priority="63" operator="beginsWith" text="L">
      <formula>LEFT(DH45,LEN("L"))="L"</formula>
    </cfRule>
  </conditionalFormatting>
  <conditionalFormatting sqref="DA45 DA47 DA49 DA51 DA53 DA55 DA57 DA59 DA61 DA63">
    <cfRule type="beginsWith" dxfId="114" priority="67" operator="beginsWith" text="L">
      <formula>LEFT(DA45,LEN("L"))="L"</formula>
    </cfRule>
  </conditionalFormatting>
  <conditionalFormatting sqref="DA46 DA48 DA50 DA52 DA54 DA56 DA58 DA60 DA62 DA64">
    <cfRule type="beginsWith" dxfId="113" priority="66" operator="beginsWith" text="L">
      <formula>LEFT(DA46,LEN("L"))="L"</formula>
    </cfRule>
  </conditionalFormatting>
  <conditionalFormatting sqref="DB46 DB48 DB50 DB52 DB54 DB56 DB58 DB60 DB62 DB64">
    <cfRule type="beginsWith" dxfId="112" priority="64" operator="beginsWith" text="L">
      <formula>LEFT(DB46,LEN("L"))="L"</formula>
    </cfRule>
  </conditionalFormatting>
  <conditionalFormatting sqref="B17 B19 E18 E20 D17:E17 D19:E19">
    <cfRule type="beginsWith" dxfId="111" priority="62" operator="beginsWith" text="L">
      <formula>LEFT(B17,LEN("L"))="L"</formula>
    </cfRule>
  </conditionalFormatting>
  <conditionalFormatting sqref="D18 D20">
    <cfRule type="beginsWith" dxfId="110" priority="61" operator="beginsWith" text="L">
      <formula>LEFT(D18,LEN("L"))="L"</formula>
    </cfRule>
  </conditionalFormatting>
  <conditionalFormatting sqref="B18:C18 B20:C20">
    <cfRule type="beginsWith" dxfId="109" priority="60" operator="beginsWith" text="L">
      <formula>LEFT(B18,LEN("L"))="L"</formula>
    </cfRule>
  </conditionalFormatting>
  <conditionalFormatting sqref="F17:F20">
    <cfRule type="beginsWith" dxfId="108" priority="54" operator="beginsWith" text="L">
      <formula>LEFT(F17,LEN("L"))="L"</formula>
    </cfRule>
  </conditionalFormatting>
  <conditionalFormatting sqref="DZ17:DZ20">
    <cfRule type="containsText" dxfId="107" priority="55" operator="containsText" text="criadas">
      <formula>NOT(ISERROR(SEARCH("criadas",DZ17)))</formula>
    </cfRule>
    <cfRule type="containsText" dxfId="106" priority="56" operator="containsText" text="é gravado">
      <formula>NOT(ISERROR(SEARCH("é gravado",DZ17)))</formula>
    </cfRule>
    <cfRule type="containsText" dxfId="105" priority="57" operator="containsText" text="é modificado">
      <formula>NOT(ISERROR(SEARCH("é modificado",DZ17)))</formula>
    </cfRule>
    <cfRule type="containsText" dxfId="104" priority="58" operator="containsText" text="Error">
      <formula>NOT(ISERROR(SEARCH("Error",DZ17)))</formula>
    </cfRule>
    <cfRule type="containsText" dxfId="103" priority="59" operator="containsText" text="é criado">
      <formula>NOT(ISERROR(SEARCH("é criado",DZ17)))</formula>
    </cfRule>
  </conditionalFormatting>
  <conditionalFormatting sqref="G17:G20">
    <cfRule type="beginsWith" dxfId="102" priority="53" operator="beginsWith" text="L">
      <formula>LEFT(G17,LEN("L"))="L"</formula>
    </cfRule>
  </conditionalFormatting>
  <conditionalFormatting sqref="AS17:AS20">
    <cfRule type="beginsWith" dxfId="101" priority="52" operator="beginsWith" text="L">
      <formula>LEFT(AS17,LEN("L"))="L"</formula>
    </cfRule>
  </conditionalFormatting>
  <conditionalFormatting sqref="AV17:AV20">
    <cfRule type="beginsWith" dxfId="100" priority="51" operator="beginsWith" text="L">
      <formula>LEFT(AV17,LEN("L"))="L"</formula>
    </cfRule>
  </conditionalFormatting>
  <conditionalFormatting sqref="AZ17:AZ20">
    <cfRule type="beginsWith" dxfId="99" priority="50" operator="beginsWith" text="L">
      <formula>LEFT(AZ17,LEN("L"))="L"</formula>
    </cfRule>
  </conditionalFormatting>
  <conditionalFormatting sqref="BD17:BD20">
    <cfRule type="beginsWith" dxfId="98" priority="49" operator="beginsWith" text="L">
      <formula>LEFT(BD17,LEN("L"))="L"</formula>
    </cfRule>
  </conditionalFormatting>
  <conditionalFormatting sqref="BP17:BP20">
    <cfRule type="beginsWith" dxfId="97" priority="48" operator="beginsWith" text="L">
      <formula>LEFT(BP17,LEN("L"))="L"</formula>
    </cfRule>
  </conditionalFormatting>
  <conditionalFormatting sqref="CB17:CB20">
    <cfRule type="beginsWith" dxfId="96" priority="47" operator="beginsWith" text="L">
      <formula>LEFT(CB17,LEN("L"))="L"</formula>
    </cfRule>
  </conditionalFormatting>
  <conditionalFormatting sqref="M17:M20">
    <cfRule type="beginsWith" dxfId="95" priority="43" operator="beginsWith" text="L">
      <formula>LEFT(M17,LEN("L"))="L"</formula>
    </cfRule>
  </conditionalFormatting>
  <conditionalFormatting sqref="DE17:DE20">
    <cfRule type="beginsWith" dxfId="94" priority="46" operator="beginsWith" text="L">
      <formula>LEFT(DE17,LEN("L"))="L"</formula>
    </cfRule>
  </conditionalFormatting>
  <conditionalFormatting sqref="N17:N20">
    <cfRule type="beginsWith" dxfId="93" priority="41" operator="beginsWith" text="L">
      <formula>LEFT(N17,LEN("L"))="L"</formula>
    </cfRule>
  </conditionalFormatting>
  <conditionalFormatting sqref="C17 C19">
    <cfRule type="beginsWith" dxfId="92" priority="40" operator="beginsWith" text="L">
      <formula>LEFT(C17,LEN("L"))="L"</formula>
    </cfRule>
  </conditionalFormatting>
  <conditionalFormatting sqref="J17:J20">
    <cfRule type="beginsWith" dxfId="91" priority="45" operator="beginsWith" text="L">
      <formula>LEFT(J17,LEN("L"))="L"</formula>
    </cfRule>
  </conditionalFormatting>
  <conditionalFormatting sqref="K17:K20">
    <cfRule type="beginsWith" dxfId="90" priority="44" operator="beginsWith" text="L">
      <formula>LEFT(K17,LEN("L"))="L"</formula>
    </cfRule>
  </conditionalFormatting>
  <conditionalFormatting sqref="L17:L20">
    <cfRule type="beginsWith" dxfId="89" priority="42" operator="beginsWith" text="L">
      <formula>LEFT(L17,LEN("L"))="L"</formula>
    </cfRule>
  </conditionalFormatting>
  <conditionalFormatting sqref="AU17 AU19">
    <cfRule type="beginsWith" dxfId="88" priority="39" operator="beginsWith" text="L">
      <formula>LEFT(AU17,LEN("L"))="L"</formula>
    </cfRule>
  </conditionalFormatting>
  <conditionalFormatting sqref="AU18 AU20">
    <cfRule type="beginsWith" dxfId="87" priority="38" operator="beginsWith" text="L">
      <formula>LEFT(AU18,LEN("L"))="L"</formula>
    </cfRule>
  </conditionalFormatting>
  <conditionalFormatting sqref="CK17:CK20">
    <cfRule type="expression" dxfId="86" priority="37">
      <formula>(CJ17="F")</formula>
    </cfRule>
  </conditionalFormatting>
  <conditionalFormatting sqref="DB17 DB19">
    <cfRule type="beginsWith" dxfId="85" priority="34" operator="beginsWith" text="L">
      <formula>LEFT(DB17,LEN("L"))="L"</formula>
    </cfRule>
  </conditionalFormatting>
  <conditionalFormatting sqref="DH17:DH20">
    <cfRule type="beginsWith" dxfId="84" priority="32" operator="beginsWith" text="L">
      <formula>LEFT(DH17,LEN("L"))="L"</formula>
    </cfRule>
  </conditionalFormatting>
  <conditionalFormatting sqref="DA17 DA19">
    <cfRule type="beginsWith" dxfId="83" priority="36" operator="beginsWith" text="L">
      <formula>LEFT(DA17,LEN("L"))="L"</formula>
    </cfRule>
  </conditionalFormatting>
  <conditionalFormatting sqref="DA18 DA20">
    <cfRule type="beginsWith" dxfId="82" priority="35" operator="beginsWith" text="L">
      <formula>LEFT(DA18,LEN("L"))="L"</formula>
    </cfRule>
  </conditionalFormatting>
  <conditionalFormatting sqref="DB18 DB20">
    <cfRule type="beginsWith" dxfId="81" priority="33" operator="beginsWith" text="L">
      <formula>LEFT(DB18,LEN("L"))="L"</formula>
    </cfRule>
  </conditionalFormatting>
  <conditionalFormatting sqref="B21 B23 B25 B27 B29 B31 B33 B35 B37 B39 E22 E24 E26 E28 E30 E32 E34 E36 E38 E40 D21:E21 D23:E23 D25:E25 D27:E27 D29:E29 D31:E31 D33:E33 D35:E35 D37:E37 D39:E39">
    <cfRule type="beginsWith" dxfId="80" priority="31" operator="beginsWith" text="L">
      <formula>LEFT(B21,LEN("L"))="L"</formula>
    </cfRule>
  </conditionalFormatting>
  <conditionalFormatting sqref="D22 D24 D26 D28 D30 D32 D34 D36 D38 D40">
    <cfRule type="beginsWith" dxfId="79" priority="30" operator="beginsWith" text="L">
      <formula>LEFT(D22,LEN("L"))="L"</formula>
    </cfRule>
  </conditionalFormatting>
  <conditionalFormatting sqref="B22:C22 B24:C24 B26:C26 B28:C28 B30:C30 B32:C32 B34:C34 B36:C36 B38:C38 B40:C40">
    <cfRule type="beginsWith" dxfId="78" priority="29" operator="beginsWith" text="L">
      <formula>LEFT(B22,LEN("L"))="L"</formula>
    </cfRule>
  </conditionalFormatting>
  <conditionalFormatting sqref="F21:F40">
    <cfRule type="beginsWith" dxfId="77" priority="23" operator="beginsWith" text="L">
      <formula>LEFT(F21,LEN("L"))="L"</formula>
    </cfRule>
  </conditionalFormatting>
  <conditionalFormatting sqref="DZ21:DZ40">
    <cfRule type="containsText" dxfId="76" priority="24" operator="containsText" text="criadas">
      <formula>NOT(ISERROR(SEARCH("criadas",DZ21)))</formula>
    </cfRule>
    <cfRule type="containsText" dxfId="75" priority="25" operator="containsText" text="é gravado">
      <formula>NOT(ISERROR(SEARCH("é gravado",DZ21)))</formula>
    </cfRule>
    <cfRule type="containsText" dxfId="74" priority="26" operator="containsText" text="é modificado">
      <formula>NOT(ISERROR(SEARCH("é modificado",DZ21)))</formula>
    </cfRule>
    <cfRule type="containsText" dxfId="73" priority="27" operator="containsText" text="Error">
      <formula>NOT(ISERROR(SEARCH("Error",DZ21)))</formula>
    </cfRule>
    <cfRule type="containsText" dxfId="72" priority="28" operator="containsText" text="é criado">
      <formula>NOT(ISERROR(SEARCH("é criado",DZ21)))</formula>
    </cfRule>
  </conditionalFormatting>
  <conditionalFormatting sqref="G21:G40">
    <cfRule type="beginsWith" dxfId="71" priority="22" operator="beginsWith" text="L">
      <formula>LEFT(G21,LEN("L"))="L"</formula>
    </cfRule>
  </conditionalFormatting>
  <conditionalFormatting sqref="AS21:AS40">
    <cfRule type="beginsWith" dxfId="70" priority="21" operator="beginsWith" text="L">
      <formula>LEFT(AS21,LEN("L"))="L"</formula>
    </cfRule>
  </conditionalFormatting>
  <conditionalFormatting sqref="AV21:AV40">
    <cfRule type="beginsWith" dxfId="69" priority="20" operator="beginsWith" text="L">
      <formula>LEFT(AV21,LEN("L"))="L"</formula>
    </cfRule>
  </conditionalFormatting>
  <conditionalFormatting sqref="AZ21:AZ40">
    <cfRule type="beginsWith" dxfId="68" priority="19" operator="beginsWith" text="L">
      <formula>LEFT(AZ21,LEN("L"))="L"</formula>
    </cfRule>
  </conditionalFormatting>
  <conditionalFormatting sqref="BD21:BD40">
    <cfRule type="beginsWith" dxfId="67" priority="18" operator="beginsWith" text="L">
      <formula>LEFT(BD21,LEN("L"))="L"</formula>
    </cfRule>
  </conditionalFormatting>
  <conditionalFormatting sqref="BP21:BP40">
    <cfRule type="beginsWith" dxfId="66" priority="17" operator="beginsWith" text="L">
      <formula>LEFT(BP21,LEN("L"))="L"</formula>
    </cfRule>
  </conditionalFormatting>
  <conditionalFormatting sqref="CB21:CB40">
    <cfRule type="beginsWith" dxfId="65" priority="16" operator="beginsWith" text="L">
      <formula>LEFT(CB21,LEN("L"))="L"</formula>
    </cfRule>
  </conditionalFormatting>
  <conditionalFormatting sqref="M21:M40">
    <cfRule type="beginsWith" dxfId="64" priority="12" operator="beginsWith" text="L">
      <formula>LEFT(M21,LEN("L"))="L"</formula>
    </cfRule>
  </conditionalFormatting>
  <conditionalFormatting sqref="DE21:DE40">
    <cfRule type="beginsWith" dxfId="63" priority="15" operator="beginsWith" text="L">
      <formula>LEFT(DE21,LEN("L"))="L"</formula>
    </cfRule>
  </conditionalFormatting>
  <conditionalFormatting sqref="N21:N40">
    <cfRule type="beginsWith" dxfId="62" priority="10" operator="beginsWith" text="L">
      <formula>LEFT(N21,LEN("L"))="L"</formula>
    </cfRule>
  </conditionalFormatting>
  <conditionalFormatting sqref="C21 C23 C25 C27 C29 C31 C33 C35 C37 C39">
    <cfRule type="beginsWith" dxfId="61" priority="9" operator="beginsWith" text="L">
      <formula>LEFT(C21,LEN("L"))="L"</formula>
    </cfRule>
  </conditionalFormatting>
  <conditionalFormatting sqref="J21:J40">
    <cfRule type="beginsWith" dxfId="60" priority="14" operator="beginsWith" text="L">
      <formula>LEFT(J21,LEN("L"))="L"</formula>
    </cfRule>
  </conditionalFormatting>
  <conditionalFormatting sqref="K21:K40">
    <cfRule type="beginsWith" dxfId="59" priority="13" operator="beginsWith" text="L">
      <formula>LEFT(K21,LEN("L"))="L"</formula>
    </cfRule>
  </conditionalFormatting>
  <conditionalFormatting sqref="L21:L40">
    <cfRule type="beginsWith" dxfId="58" priority="11" operator="beginsWith" text="L">
      <formula>LEFT(L21,LEN("L"))="L"</formula>
    </cfRule>
  </conditionalFormatting>
  <conditionalFormatting sqref="AU21 AU23 AU25 AU27 AU29 AU31 AU33 AU35 AU37 AU39">
    <cfRule type="beginsWith" dxfId="57" priority="8" operator="beginsWith" text="L">
      <formula>LEFT(AU21,LEN("L"))="L"</formula>
    </cfRule>
  </conditionalFormatting>
  <conditionalFormatting sqref="AU22 AU24 AU26 AU28 AU30 AU32 AU34 AU36 AU38 AU40">
    <cfRule type="beginsWith" dxfId="56" priority="7" operator="beginsWith" text="L">
      <formula>LEFT(AU22,LEN("L"))="L"</formula>
    </cfRule>
  </conditionalFormatting>
  <conditionalFormatting sqref="CK21:CK40">
    <cfRule type="expression" dxfId="55" priority="6">
      <formula>(CJ21="F")</formula>
    </cfRule>
  </conditionalFormatting>
  <conditionalFormatting sqref="DB21 DB23 DB25 DB27 DB29 DB31 DB33 DB35 DB37 DB39">
    <cfRule type="beginsWith" dxfId="54" priority="3" operator="beginsWith" text="L">
      <formula>LEFT(DB21,LEN("L"))="L"</formula>
    </cfRule>
  </conditionalFormatting>
  <conditionalFormatting sqref="DH21:DH40">
    <cfRule type="beginsWith" dxfId="53" priority="1" operator="beginsWith" text="L">
      <formula>LEFT(DH21,LEN("L"))="L"</formula>
    </cfRule>
  </conditionalFormatting>
  <conditionalFormatting sqref="DA21 DA23 DA25 DA27 DA29 DA31 DA33 DA35 DA37 DA39">
    <cfRule type="beginsWith" dxfId="52" priority="5" operator="beginsWith" text="L">
      <formula>LEFT(DA21,LEN("L"))="L"</formula>
    </cfRule>
  </conditionalFormatting>
  <conditionalFormatting sqref="DA22 DA24 DA26 DA28 DA30 DA32 DA34 DA36 DA38 DA40">
    <cfRule type="beginsWith" dxfId="51" priority="4" operator="beginsWith" text="L">
      <formula>LEFT(DA22,LEN("L"))="L"</formula>
    </cfRule>
  </conditionalFormatting>
  <conditionalFormatting sqref="DB22 DB24 DB26 DB28 DB30 DB32 DB34 DB36 DB38 DB40">
    <cfRule type="beginsWith" dxfId="50" priority="2" operator="beginsWith" text="L">
      <formula>LEFT(DB22,LEN("L"))="L"</formula>
    </cfRule>
  </conditionalFormatting>
  <dataValidations disablePrompts="1" count="2">
    <dataValidation type="list" allowBlank="1" showInputMessage="1" showErrorMessage="1" sqref="BX5:BX64 CI5:CI64">
      <formula1>"0,1"</formula1>
    </dataValidation>
    <dataValidation type="list" allowBlank="1" showInputMessage="1" showErrorMessage="1" sqref="DX5:DX64 DL5:DL64">
      <formula1>"1,0"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7">
        <x14:dataValidation type="list" allowBlank="1" showInputMessage="1" showErrorMessage="1">
          <x14:formula1>
            <xm:f>'Listas de Dados'!$J$4:$J$29</xm:f>
          </x14:formula1>
          <xm:sqref>P5:AP64</xm:sqref>
        </x14:dataValidation>
        <x14:dataValidation type="list" allowBlank="1" showInputMessage="1" showErrorMessage="1">
          <x14:formula1>
            <xm:f>'Listas de Dados'!$AA$4:$AA$5</xm:f>
          </x14:formula1>
          <xm:sqref>AW5:AW64 BQ5:BQ64</xm:sqref>
        </x14:dataValidation>
        <x14:dataValidation type="list" allowBlank="1" showInputMessage="1" showErrorMessage="1">
          <x14:formula1>
            <xm:f>'Listas de Dados'!$AI$4:$AI$11</xm:f>
          </x14:formula1>
          <xm:sqref>BY5:BY64</xm:sqref>
        </x14:dataValidation>
        <x14:dataValidation type="list" allowBlank="1" showInputMessage="1" showErrorMessage="1">
          <x14:formula1>
            <xm:f>'Listas de Dados'!$AL$4:$AL$10</xm:f>
          </x14:formula1>
          <xm:sqref>CE5:CE64</xm:sqref>
        </x14:dataValidation>
        <x14:dataValidation type="list" allowBlank="1" showInputMessage="1" showErrorMessage="1">
          <x14:formula1>
            <xm:f>'Listas de Dados'!$AO$4:$AO$32</xm:f>
          </x14:formula1>
          <xm:sqref>CF5:CF64</xm:sqref>
        </x14:dataValidation>
        <x14:dataValidation type="list" allowBlank="1" showInputMessage="1" showErrorMessage="1">
          <x14:formula1>
            <xm:f>'Listas de Dados'!$AU$4:$AU$35</xm:f>
          </x14:formula1>
          <xm:sqref>CH5:CH64</xm:sqref>
        </x14:dataValidation>
        <x14:dataValidation type="list" allowBlank="1" showInputMessage="1" showErrorMessage="1">
          <x14:formula1>
            <xm:f>'Listas de Dados'!$AR$4:$AR$11</xm:f>
          </x14:formula1>
          <xm:sqref>CG5:CG64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6">
    <tabColor theme="4" tint="0.79998168889431442"/>
  </sheetPr>
  <dimension ref="A1:M54"/>
  <sheetViews>
    <sheetView showGridLines="0" showRowColHeaders="0" workbookViewId="0">
      <pane xSplit="2" ySplit="4" topLeftCell="D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45.7109375" style="6" customWidth="1"/>
    <col min="4" max="4" width="17.5703125" style="6" customWidth="1"/>
    <col min="5" max="5" width="21" style="6" customWidth="1"/>
    <col min="6" max="6" width="21.85546875" style="6" customWidth="1"/>
    <col min="7" max="8" width="21.85546875" style="6" hidden="1" customWidth="1"/>
    <col min="9" max="11" width="21.85546875" style="6" customWidth="1"/>
    <col min="12" max="12" width="110.7109375" style="1" customWidth="1"/>
    <col min="13" max="13" width="22" style="1" hidden="1" customWidth="1"/>
    <col min="14" max="16384" width="9.140625" style="1"/>
  </cols>
  <sheetData>
    <row r="1" spans="1:13" s="37" customFormat="1" x14ac:dyDescent="0.2">
      <c r="A1" s="7" t="s">
        <v>28</v>
      </c>
      <c r="C1" s="73"/>
      <c r="E1" s="73"/>
      <c r="G1" s="80"/>
      <c r="H1" s="80"/>
      <c r="I1" s="80"/>
      <c r="J1" s="80"/>
      <c r="K1" s="80"/>
      <c r="L1" s="58"/>
    </row>
    <row r="2" spans="1:13" s="41" customFormat="1" x14ac:dyDescent="0.2">
      <c r="A2" s="7"/>
      <c r="B2" s="40"/>
      <c r="C2" s="40"/>
      <c r="D2" s="37"/>
      <c r="E2" s="73"/>
      <c r="F2" s="37"/>
      <c r="G2" s="80"/>
      <c r="H2" s="80"/>
      <c r="I2" s="80">
        <v>24</v>
      </c>
      <c r="J2" s="80">
        <v>25</v>
      </c>
      <c r="K2" s="80"/>
    </row>
    <row r="3" spans="1:13" s="37" customFormat="1" ht="15" customHeight="1" x14ac:dyDescent="0.2">
      <c r="A3" s="7" t="s">
        <v>29</v>
      </c>
      <c r="B3" s="4" t="s">
        <v>984</v>
      </c>
      <c r="C3" s="74"/>
      <c r="D3" s="36" t="s">
        <v>985</v>
      </c>
      <c r="E3" s="74" t="s">
        <v>986</v>
      </c>
      <c r="F3" s="36" t="s">
        <v>987</v>
      </c>
      <c r="G3" s="81" t="s">
        <v>990</v>
      </c>
      <c r="H3" s="81" t="s">
        <v>993</v>
      </c>
      <c r="I3" s="81" t="s">
        <v>995</v>
      </c>
      <c r="J3" s="81" t="s">
        <v>1000</v>
      </c>
      <c r="K3" s="81" t="s">
        <v>997</v>
      </c>
      <c r="L3" s="58" t="s">
        <v>32</v>
      </c>
    </row>
    <row r="4" spans="1:13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0</v>
      </c>
      <c r="E4" s="14" t="s">
        <v>989</v>
      </c>
      <c r="F4" s="14" t="s">
        <v>988</v>
      </c>
      <c r="G4" s="14" t="s">
        <v>991</v>
      </c>
      <c r="H4" s="14" t="s">
        <v>994</v>
      </c>
      <c r="I4" s="14" t="s">
        <v>996</v>
      </c>
      <c r="J4" s="14" t="s">
        <v>1001</v>
      </c>
      <c r="K4" s="14" t="s">
        <v>998</v>
      </c>
      <c r="L4" s="5" t="s">
        <v>908</v>
      </c>
      <c r="M4" s="5" t="s">
        <v>1037</v>
      </c>
    </row>
    <row r="5" spans="1:13" x14ac:dyDescent="0.2">
      <c r="A5" s="7" t="str">
        <f>"Execução "&amp;ROW()-4</f>
        <v>Execução 1</v>
      </c>
      <c r="B5" s="42"/>
      <c r="C5" s="84" t="str">
        <f>IFERROR(VLOOKUP(B5,'ZM01'!B:C,2,0),"")</f>
        <v/>
      </c>
      <c r="D5" s="49" t="str">
        <f>IFERROR(VLOOKUP(B5,'ZM01'!B:J,9,0),"")</f>
        <v/>
      </c>
      <c r="E5" s="43" t="str">
        <f>IFERROR(INDEX('Listas de Dados'!$BU:$BU,MATCH(INDEX('ZM01'!DH:DH,MATCH(B5,'ZM01'!B:B,0)),'Listas de Dados'!$BW:$BW,0)),"")</f>
        <v/>
      </c>
      <c r="F5" s="43" t="str">
        <f>IFERROR(INDEX('ZM01'!DH:DH,MATCH(B5,'ZM01'!B:B,0)),"")</f>
        <v/>
      </c>
      <c r="G5" s="44" t="s">
        <v>992</v>
      </c>
      <c r="H5" s="44">
        <v>1000</v>
      </c>
      <c r="I5" s="43" t="str">
        <f>IF(IFERROR(INDEX(Consulta!$A:$DN,MATCH($C5,Consulta!$D:$D,0),I$2),"")=0,"",IFERROR(INDEX(Consulta!$A:$DN,MATCH($C5,Consulta!$D:$D,0),I$2),""))</f>
        <v/>
      </c>
      <c r="J5" s="43" t="str">
        <f>IF(IFERROR(INDEX(Consulta!$A:$DN,MATCH($C5,Consulta!$D:$D,0),J$2),"")=0,"",IFERROR(INDEX(Consulta!$A:$DN,MATCH($C5,Consulta!$D:$D,0),J$2),""))</f>
        <v/>
      </c>
      <c r="K5" s="44" t="s">
        <v>999</v>
      </c>
      <c r="L5" s="60"/>
      <c r="M5" s="43" t="str">
        <f>IFERROR(VALUE(MID(L5,FIND("5",L5),8)),"")</f>
        <v/>
      </c>
    </row>
    <row r="6" spans="1:13" x14ac:dyDescent="0.2">
      <c r="A6" s="7" t="str">
        <f t="shared" ref="A6:A54" si="0">"Execução "&amp;ROW()-4</f>
        <v>Execução 2</v>
      </c>
      <c r="B6" s="42"/>
      <c r="C6" s="84" t="str">
        <f>IFERROR(VLOOKUP(B6,'ZM01'!B:C,2,0),"")</f>
        <v/>
      </c>
      <c r="D6" s="49" t="str">
        <f>IFERROR(VLOOKUP(B6,'ZM01'!B:J,9,0),"")</f>
        <v/>
      </c>
      <c r="E6" s="43" t="str">
        <f>IFERROR(INDEX('Listas de Dados'!$BU:$BU,MATCH(INDEX('ZM01'!DH:DH,MATCH(B6,'ZM01'!B:B,0)),'Listas de Dados'!$BW:$BW,0)),"")</f>
        <v/>
      </c>
      <c r="F6" s="43" t="str">
        <f>IFERROR(INDEX('ZM01'!DH:DH,MATCH(B6,'ZM01'!B:B,0)),"")</f>
        <v/>
      </c>
      <c r="G6" s="44" t="s">
        <v>992</v>
      </c>
      <c r="H6" s="44">
        <v>1000</v>
      </c>
      <c r="I6" s="43" t="str">
        <f>IF(IFERROR(INDEX(Consulta!$A:$DN,MATCH($C6,Consulta!$D:$D,0),I$2),"")=0,"",IFERROR(INDEX(Consulta!$A:$DN,MATCH($C6,Consulta!$D:$D,0),I$2),""))</f>
        <v/>
      </c>
      <c r="J6" s="43" t="str">
        <f>IF(IFERROR(INDEX(Consulta!$A:$DN,MATCH($C6,Consulta!$D:$D,0),J$2),"")=0,"",IFERROR(INDEX(Consulta!$A:$DN,MATCH($C6,Consulta!$D:$D,0),J$2),""))</f>
        <v/>
      </c>
      <c r="K6" s="44" t="s">
        <v>999</v>
      </c>
      <c r="L6" s="61" t="s">
        <v>1085</v>
      </c>
      <c r="M6" s="43">
        <f t="shared" ref="M6:M54" si="1">IFERROR(VALUE(MID(L6,FIND("5",L6),8)),"")</f>
        <v>59974004</v>
      </c>
    </row>
    <row r="7" spans="1:13" x14ac:dyDescent="0.2">
      <c r="A7" s="7" t="str">
        <f t="shared" si="0"/>
        <v>Execução 3</v>
      </c>
      <c r="B7" s="42"/>
      <c r="C7" s="84" t="str">
        <f>IFERROR(VLOOKUP(B7,'ZM01'!B:C,2,0),"")</f>
        <v/>
      </c>
      <c r="D7" s="49" t="str">
        <f>IFERROR(VLOOKUP(B7,'ZM01'!B:J,9,0),"")</f>
        <v/>
      </c>
      <c r="E7" s="43" t="str">
        <f>IFERROR(INDEX('Listas de Dados'!$BU:$BU,MATCH(INDEX('ZM01'!DH:DH,MATCH(B7,'ZM01'!B:B,0)),'Listas de Dados'!$BW:$BW,0)),"")</f>
        <v/>
      </c>
      <c r="F7" s="43" t="str">
        <f>IFERROR(INDEX('ZM01'!DH:DH,MATCH(B7,'ZM01'!B:B,0)),"")</f>
        <v/>
      </c>
      <c r="G7" s="44" t="s">
        <v>992</v>
      </c>
      <c r="H7" s="44">
        <v>1000</v>
      </c>
      <c r="I7" s="43" t="str">
        <f>IF(IFERROR(INDEX(Consulta!$A:$DN,MATCH($C7,Consulta!$D:$D,0),I$2),"")=0,"",IFERROR(INDEX(Consulta!$A:$DN,MATCH($C7,Consulta!$D:$D,0),I$2),""))</f>
        <v/>
      </c>
      <c r="J7" s="43" t="str">
        <f>IF(IFERROR(INDEX(Consulta!$A:$DN,MATCH($C7,Consulta!$D:$D,0),J$2),"")=0,"",IFERROR(INDEX(Consulta!$A:$DN,MATCH($C7,Consulta!$D:$D,0),J$2),""))</f>
        <v/>
      </c>
      <c r="K7" s="44" t="s">
        <v>999</v>
      </c>
      <c r="L7" s="61"/>
      <c r="M7" s="43" t="str">
        <f t="shared" si="1"/>
        <v/>
      </c>
    </row>
    <row r="8" spans="1:13" x14ac:dyDescent="0.2">
      <c r="A8" s="7" t="str">
        <f t="shared" si="0"/>
        <v>Execução 4</v>
      </c>
      <c r="B8" s="42"/>
      <c r="C8" s="84" t="str">
        <f>IFERROR(VLOOKUP(B8,'ZM01'!B:C,2,0),"")</f>
        <v/>
      </c>
      <c r="D8" s="49" t="str">
        <f>IFERROR(VLOOKUP(B8,'ZM01'!B:J,9,0),"")</f>
        <v/>
      </c>
      <c r="E8" s="43" t="str">
        <f>IFERROR(INDEX('Listas de Dados'!$BU:$BU,MATCH(INDEX('ZM01'!DH:DH,MATCH(B8,'ZM01'!B:B,0)),'Listas de Dados'!$BW:$BW,0)),"")</f>
        <v/>
      </c>
      <c r="F8" s="43" t="str">
        <f>IFERROR(INDEX('ZM01'!DH:DH,MATCH(B8,'ZM01'!B:B,0)),"")</f>
        <v/>
      </c>
      <c r="G8" s="44" t="s">
        <v>992</v>
      </c>
      <c r="H8" s="44">
        <v>1000</v>
      </c>
      <c r="I8" s="43" t="str">
        <f>IF(IFERROR(INDEX(Consulta!$A:$DN,MATCH($C8,Consulta!$D:$D,0),I$2),"")=0,"",IFERROR(INDEX(Consulta!$A:$DN,MATCH($C8,Consulta!$D:$D,0),I$2),""))</f>
        <v/>
      </c>
      <c r="J8" s="43" t="str">
        <f>IF(IFERROR(INDEX(Consulta!$A:$DN,MATCH($C8,Consulta!$D:$D,0),J$2),"")=0,"",IFERROR(INDEX(Consulta!$A:$DN,MATCH($C8,Consulta!$D:$D,0),J$2),""))</f>
        <v/>
      </c>
      <c r="K8" s="44" t="s">
        <v>999</v>
      </c>
      <c r="L8" s="61"/>
      <c r="M8" s="43" t="str">
        <f t="shared" si="1"/>
        <v/>
      </c>
    </row>
    <row r="9" spans="1:13" x14ac:dyDescent="0.2">
      <c r="A9" s="7" t="str">
        <f t="shared" si="0"/>
        <v>Execução 5</v>
      </c>
      <c r="B9" s="42"/>
      <c r="C9" s="84" t="str">
        <f>IFERROR(VLOOKUP(B9,'ZM01'!B:C,2,0),"")</f>
        <v/>
      </c>
      <c r="D9" s="49" t="str">
        <f>IFERROR(VLOOKUP(B9,'ZM01'!B:J,9,0),"")</f>
        <v/>
      </c>
      <c r="E9" s="43" t="str">
        <f>IFERROR(INDEX('Listas de Dados'!$BU:$BU,MATCH(INDEX('ZM01'!DH:DH,MATCH(B9,'ZM01'!B:B,0)),'Listas de Dados'!$BW:$BW,0)),"")</f>
        <v/>
      </c>
      <c r="F9" s="43" t="str">
        <f>IFERROR(INDEX('ZM01'!DH:DH,MATCH(B9,'ZM01'!B:B,0)),"")</f>
        <v/>
      </c>
      <c r="G9" s="44" t="s">
        <v>992</v>
      </c>
      <c r="H9" s="44">
        <v>1000</v>
      </c>
      <c r="I9" s="43" t="str">
        <f>IF(IFERROR(INDEX(Consulta!$A:$DN,MATCH($C9,Consulta!$D:$D,0),I$2),"")=0,"",IFERROR(INDEX(Consulta!$A:$DN,MATCH($C9,Consulta!$D:$D,0),I$2),""))</f>
        <v/>
      </c>
      <c r="J9" s="43" t="str">
        <f>IF(IFERROR(INDEX(Consulta!$A:$DN,MATCH($C9,Consulta!$D:$D,0),J$2),"")=0,"",IFERROR(INDEX(Consulta!$A:$DN,MATCH($C9,Consulta!$D:$D,0),J$2),""))</f>
        <v/>
      </c>
      <c r="K9" s="44" t="s">
        <v>999</v>
      </c>
      <c r="L9" s="61"/>
      <c r="M9" s="43" t="str">
        <f t="shared" si="1"/>
        <v/>
      </c>
    </row>
    <row r="10" spans="1:13" x14ac:dyDescent="0.2">
      <c r="A10" s="7" t="str">
        <f t="shared" si="0"/>
        <v>Execução 6</v>
      </c>
      <c r="B10" s="42"/>
      <c r="C10" s="84" t="str">
        <f>IFERROR(VLOOKUP(B10,'ZM01'!B:C,2,0),"")</f>
        <v/>
      </c>
      <c r="D10" s="49" t="str">
        <f>IFERROR(VLOOKUP(B10,'ZM01'!B:J,9,0),"")</f>
        <v/>
      </c>
      <c r="E10" s="43" t="str">
        <f>IFERROR(INDEX('Listas de Dados'!$BU:$BU,MATCH(INDEX('ZM01'!DH:DH,MATCH(B10,'ZM01'!B:B,0)),'Listas de Dados'!$BW:$BW,0)),"")</f>
        <v/>
      </c>
      <c r="F10" s="43" t="str">
        <f>IFERROR(INDEX('ZM01'!DH:DH,MATCH(B10,'ZM01'!B:B,0)),"")</f>
        <v/>
      </c>
      <c r="G10" s="44" t="s">
        <v>992</v>
      </c>
      <c r="H10" s="44">
        <v>1000</v>
      </c>
      <c r="I10" s="43" t="str">
        <f>IF(IFERROR(INDEX(Consulta!$A:$DN,MATCH($C10,Consulta!$D:$D,0),I$2),"")=0,"",IFERROR(INDEX(Consulta!$A:$DN,MATCH($C10,Consulta!$D:$D,0),I$2),""))</f>
        <v/>
      </c>
      <c r="J10" s="43" t="str">
        <f>IF(IFERROR(INDEX(Consulta!$A:$DN,MATCH($C10,Consulta!$D:$D,0),J$2),"")=0,"",IFERROR(INDEX(Consulta!$A:$DN,MATCH($C10,Consulta!$D:$D,0),J$2),""))</f>
        <v/>
      </c>
      <c r="K10" s="44" t="s">
        <v>999</v>
      </c>
      <c r="L10" s="61"/>
      <c r="M10" s="43" t="str">
        <f t="shared" si="1"/>
        <v/>
      </c>
    </row>
    <row r="11" spans="1:13" x14ac:dyDescent="0.2">
      <c r="A11" s="7" t="str">
        <f t="shared" si="0"/>
        <v>Execução 7</v>
      </c>
      <c r="B11" s="42"/>
      <c r="C11" s="84" t="str">
        <f>IFERROR(VLOOKUP(B11,'ZM01'!B:C,2,0),"")</f>
        <v/>
      </c>
      <c r="D11" s="49" t="str">
        <f>IFERROR(VLOOKUP(B11,'ZM01'!B:J,9,0),"")</f>
        <v/>
      </c>
      <c r="E11" s="43" t="str">
        <f>IFERROR(INDEX('Listas de Dados'!$BU:$BU,MATCH(INDEX('ZM01'!DH:DH,MATCH(B11,'ZM01'!B:B,0)),'Listas de Dados'!$BW:$BW,0)),"")</f>
        <v/>
      </c>
      <c r="F11" s="43" t="str">
        <f>IFERROR(INDEX('ZM01'!DH:DH,MATCH(B11,'ZM01'!B:B,0)),"")</f>
        <v/>
      </c>
      <c r="G11" s="44" t="s">
        <v>992</v>
      </c>
      <c r="H11" s="44">
        <v>1000</v>
      </c>
      <c r="I11" s="43" t="str">
        <f>IF(IFERROR(INDEX(Consulta!$A:$DN,MATCH($C11,Consulta!$D:$D,0),I$2),"")=0,"",IFERROR(INDEX(Consulta!$A:$DN,MATCH($C11,Consulta!$D:$D,0),I$2),""))</f>
        <v/>
      </c>
      <c r="J11" s="43" t="str">
        <f>IF(IFERROR(INDEX(Consulta!$A:$DN,MATCH($C11,Consulta!$D:$D,0),J$2),"")=0,"",IFERROR(INDEX(Consulta!$A:$DN,MATCH($C11,Consulta!$D:$D,0),J$2),""))</f>
        <v/>
      </c>
      <c r="K11" s="44" t="s">
        <v>999</v>
      </c>
      <c r="L11" s="61"/>
      <c r="M11" s="43" t="str">
        <f t="shared" si="1"/>
        <v/>
      </c>
    </row>
    <row r="12" spans="1:13" x14ac:dyDescent="0.2">
      <c r="A12" s="7" t="str">
        <f t="shared" si="0"/>
        <v>Execução 8</v>
      </c>
      <c r="B12" s="42"/>
      <c r="C12" s="84" t="str">
        <f>IFERROR(VLOOKUP(B12,'ZM01'!B:C,2,0),"")</f>
        <v/>
      </c>
      <c r="D12" s="49" t="str">
        <f>IFERROR(VLOOKUP(B12,'ZM01'!B:J,9,0),"")</f>
        <v/>
      </c>
      <c r="E12" s="43" t="str">
        <f>IFERROR(INDEX('Listas de Dados'!$BU:$BU,MATCH(INDEX('ZM01'!DH:DH,MATCH(B12,'ZM01'!B:B,0)),'Listas de Dados'!$BW:$BW,0)),"")</f>
        <v/>
      </c>
      <c r="F12" s="43" t="str">
        <f>IFERROR(INDEX('ZM01'!DH:DH,MATCH(B12,'ZM01'!B:B,0)),"")</f>
        <v/>
      </c>
      <c r="G12" s="44" t="s">
        <v>992</v>
      </c>
      <c r="H12" s="44">
        <v>1000</v>
      </c>
      <c r="I12" s="43" t="str">
        <f>IF(IFERROR(INDEX(Consulta!$A:$DN,MATCH($C12,Consulta!$D:$D,0),I$2),"")=0,"",IFERROR(INDEX(Consulta!$A:$DN,MATCH($C12,Consulta!$D:$D,0),I$2),""))</f>
        <v/>
      </c>
      <c r="J12" s="43" t="str">
        <f>IF(IFERROR(INDEX(Consulta!$A:$DN,MATCH($C12,Consulta!$D:$D,0),J$2),"")=0,"",IFERROR(INDEX(Consulta!$A:$DN,MATCH($C12,Consulta!$D:$D,0),J$2),""))</f>
        <v/>
      </c>
      <c r="K12" s="44" t="s">
        <v>999</v>
      </c>
      <c r="L12" s="61"/>
      <c r="M12" s="43" t="str">
        <f t="shared" si="1"/>
        <v/>
      </c>
    </row>
    <row r="13" spans="1:13" x14ac:dyDescent="0.2">
      <c r="A13" s="7" t="str">
        <f t="shared" si="0"/>
        <v>Execução 9</v>
      </c>
      <c r="B13" s="42"/>
      <c r="C13" s="84" t="str">
        <f>IFERROR(VLOOKUP(B13,'ZM01'!B:C,2,0),"")</f>
        <v/>
      </c>
      <c r="D13" s="49" t="str">
        <f>IFERROR(VLOOKUP(B13,'ZM01'!B:J,9,0),"")</f>
        <v/>
      </c>
      <c r="E13" s="43" t="str">
        <f>IFERROR(INDEX('Listas de Dados'!$BU:$BU,MATCH(INDEX('ZM01'!DH:DH,MATCH(B13,'ZM01'!B:B,0)),'Listas de Dados'!$BW:$BW,0)),"")</f>
        <v/>
      </c>
      <c r="F13" s="43" t="str">
        <f>IFERROR(INDEX('ZM01'!DH:DH,MATCH(B13,'ZM01'!B:B,0)),"")</f>
        <v/>
      </c>
      <c r="G13" s="44" t="s">
        <v>992</v>
      </c>
      <c r="H13" s="44">
        <v>1000</v>
      </c>
      <c r="I13" s="43" t="str">
        <f>IF(IFERROR(INDEX(Consulta!$A:$DN,MATCH($C13,Consulta!$D:$D,0),I$2),"")=0,"",IFERROR(INDEX(Consulta!$A:$DN,MATCH($C13,Consulta!$D:$D,0),I$2),""))</f>
        <v/>
      </c>
      <c r="J13" s="43" t="str">
        <f>IF(IFERROR(INDEX(Consulta!$A:$DN,MATCH($C13,Consulta!$D:$D,0),J$2),"")=0,"",IFERROR(INDEX(Consulta!$A:$DN,MATCH($C13,Consulta!$D:$D,0),J$2),""))</f>
        <v/>
      </c>
      <c r="K13" s="44" t="s">
        <v>999</v>
      </c>
      <c r="L13" s="61"/>
      <c r="M13" s="43" t="str">
        <f t="shared" si="1"/>
        <v/>
      </c>
    </row>
    <row r="14" spans="1:13" x14ac:dyDescent="0.2">
      <c r="A14" s="7" t="str">
        <f t="shared" si="0"/>
        <v>Execução 10</v>
      </c>
      <c r="B14" s="42"/>
      <c r="C14" s="84" t="str">
        <f>IFERROR(VLOOKUP(B14,'ZM01'!B:C,2,0),"")</f>
        <v/>
      </c>
      <c r="D14" s="49" t="str">
        <f>IFERROR(VLOOKUP(B14,'ZM01'!B:J,9,0),"")</f>
        <v/>
      </c>
      <c r="E14" s="43" t="str">
        <f>IFERROR(INDEX('Listas de Dados'!$BU:$BU,MATCH(INDEX('ZM01'!DH:DH,MATCH(B14,'ZM01'!B:B,0)),'Listas de Dados'!$BW:$BW,0)),"")</f>
        <v/>
      </c>
      <c r="F14" s="43" t="str">
        <f>IFERROR(INDEX('ZM01'!DH:DH,MATCH(B14,'ZM01'!B:B,0)),"")</f>
        <v/>
      </c>
      <c r="G14" s="44" t="s">
        <v>992</v>
      </c>
      <c r="H14" s="44">
        <v>1000</v>
      </c>
      <c r="I14" s="43" t="str">
        <f>IF(IFERROR(INDEX(Consulta!$A:$DN,MATCH($C14,Consulta!$D:$D,0),I$2),"")=0,"",IFERROR(INDEX(Consulta!$A:$DN,MATCH($C14,Consulta!$D:$D,0),I$2),""))</f>
        <v/>
      </c>
      <c r="J14" s="43" t="str">
        <f>IF(IFERROR(INDEX(Consulta!$A:$DN,MATCH($C14,Consulta!$D:$D,0),J$2),"")=0,"",IFERROR(INDEX(Consulta!$A:$DN,MATCH($C14,Consulta!$D:$D,0),J$2),""))</f>
        <v/>
      </c>
      <c r="K14" s="44" t="s">
        <v>999</v>
      </c>
      <c r="L14" s="61"/>
      <c r="M14" s="43" t="str">
        <f t="shared" si="1"/>
        <v/>
      </c>
    </row>
    <row r="15" spans="1:13" x14ac:dyDescent="0.2">
      <c r="A15" s="7" t="str">
        <f t="shared" si="0"/>
        <v>Execução 11</v>
      </c>
      <c r="B15" s="42"/>
      <c r="C15" s="84" t="str">
        <f>IFERROR(VLOOKUP(B15,'ZM01'!B:C,2,0),"")</f>
        <v/>
      </c>
      <c r="D15" s="49" t="str">
        <f>IFERROR(VLOOKUP(B15,'ZM01'!B:J,9,0),"")</f>
        <v/>
      </c>
      <c r="E15" s="43" t="str">
        <f>IFERROR(INDEX('Listas de Dados'!$BU:$BU,MATCH(INDEX('ZM01'!DH:DH,MATCH(B15,'ZM01'!B:B,0)),'Listas de Dados'!$BW:$BW,0)),"")</f>
        <v/>
      </c>
      <c r="F15" s="43" t="str">
        <f>IFERROR(INDEX('ZM01'!DH:DH,MATCH(B15,'ZM01'!B:B,0)),"")</f>
        <v/>
      </c>
      <c r="G15" s="44" t="s">
        <v>992</v>
      </c>
      <c r="H15" s="44">
        <v>1000</v>
      </c>
      <c r="I15" s="43" t="str">
        <f>IF(IFERROR(INDEX(Consulta!$A:$DN,MATCH($C15,Consulta!$D:$D,0),I$2),"")=0,"",IFERROR(INDEX(Consulta!$A:$DN,MATCH($C15,Consulta!$D:$D,0),I$2),""))</f>
        <v/>
      </c>
      <c r="J15" s="43" t="str">
        <f>IF(IFERROR(INDEX(Consulta!$A:$DN,MATCH($C15,Consulta!$D:$D,0),J$2),"")=0,"",IFERROR(INDEX(Consulta!$A:$DN,MATCH($C15,Consulta!$D:$D,0),J$2),""))</f>
        <v/>
      </c>
      <c r="K15" s="44" t="s">
        <v>999</v>
      </c>
      <c r="L15" s="61"/>
      <c r="M15" s="43" t="str">
        <f t="shared" si="1"/>
        <v/>
      </c>
    </row>
    <row r="16" spans="1:13" x14ac:dyDescent="0.2">
      <c r="A16" s="7" t="str">
        <f t="shared" si="0"/>
        <v>Execução 12</v>
      </c>
      <c r="B16" s="42"/>
      <c r="C16" s="84" t="str">
        <f>IFERROR(VLOOKUP(B16,'ZM01'!B:C,2,0),"")</f>
        <v/>
      </c>
      <c r="D16" s="49" t="str">
        <f>IFERROR(VLOOKUP(B16,'ZM01'!B:J,9,0),"")</f>
        <v/>
      </c>
      <c r="E16" s="43" t="str">
        <f>IFERROR(INDEX('Listas de Dados'!$BU:$BU,MATCH(INDEX('ZM01'!DH:DH,MATCH(B16,'ZM01'!B:B,0)),'Listas de Dados'!$BW:$BW,0)),"")</f>
        <v/>
      </c>
      <c r="F16" s="43" t="str">
        <f>IFERROR(INDEX('ZM01'!DH:DH,MATCH(B16,'ZM01'!B:B,0)),"")</f>
        <v/>
      </c>
      <c r="G16" s="44" t="s">
        <v>992</v>
      </c>
      <c r="H16" s="44">
        <v>1000</v>
      </c>
      <c r="I16" s="43" t="str">
        <f>IF(IFERROR(INDEX(Consulta!$A:$DN,MATCH($C16,Consulta!$D:$D,0),I$2),"")=0,"",IFERROR(INDEX(Consulta!$A:$DN,MATCH($C16,Consulta!$D:$D,0),I$2),""))</f>
        <v/>
      </c>
      <c r="J16" s="43" t="str">
        <f>IF(IFERROR(INDEX(Consulta!$A:$DN,MATCH($C16,Consulta!$D:$D,0),J$2),"")=0,"",IFERROR(INDEX(Consulta!$A:$DN,MATCH($C16,Consulta!$D:$D,0),J$2),""))</f>
        <v/>
      </c>
      <c r="K16" s="44" t="s">
        <v>999</v>
      </c>
      <c r="L16" s="61"/>
      <c r="M16" s="43" t="str">
        <f t="shared" si="1"/>
        <v/>
      </c>
    </row>
    <row r="17" spans="1:13" x14ac:dyDescent="0.2">
      <c r="A17" s="7" t="str">
        <f t="shared" si="0"/>
        <v>Execução 13</v>
      </c>
      <c r="B17" s="42"/>
      <c r="C17" s="84" t="str">
        <f>IFERROR(VLOOKUP(B17,'ZM01'!B:C,2,0),"")</f>
        <v/>
      </c>
      <c r="D17" s="49" t="str">
        <f>IFERROR(VLOOKUP(B17,'ZM01'!B:J,9,0),"")</f>
        <v/>
      </c>
      <c r="E17" s="43" t="str">
        <f>IFERROR(INDEX('Listas de Dados'!$BU:$BU,MATCH(INDEX('ZM01'!DH:DH,MATCH(B17,'ZM01'!B:B,0)),'Listas de Dados'!$BW:$BW,0)),"")</f>
        <v/>
      </c>
      <c r="F17" s="43" t="str">
        <f>IFERROR(INDEX('ZM01'!DH:DH,MATCH(B17,'ZM01'!B:B,0)),"")</f>
        <v/>
      </c>
      <c r="G17" s="44" t="s">
        <v>992</v>
      </c>
      <c r="H17" s="44">
        <v>1000</v>
      </c>
      <c r="I17" s="43" t="str">
        <f>IF(IFERROR(INDEX(Consulta!$A:$DN,MATCH($C17,Consulta!$D:$D,0),I$2),"")=0,"",IFERROR(INDEX(Consulta!$A:$DN,MATCH($C17,Consulta!$D:$D,0),I$2),""))</f>
        <v/>
      </c>
      <c r="J17" s="43" t="str">
        <f>IF(IFERROR(INDEX(Consulta!$A:$DN,MATCH($C17,Consulta!$D:$D,0),J$2),"")=0,"",IFERROR(INDEX(Consulta!$A:$DN,MATCH($C17,Consulta!$D:$D,0),J$2),""))</f>
        <v/>
      </c>
      <c r="K17" s="44" t="s">
        <v>999</v>
      </c>
      <c r="L17" s="61"/>
      <c r="M17" s="43" t="str">
        <f t="shared" si="1"/>
        <v/>
      </c>
    </row>
    <row r="18" spans="1:13" x14ac:dyDescent="0.2">
      <c r="A18" s="7" t="str">
        <f t="shared" si="0"/>
        <v>Execução 14</v>
      </c>
      <c r="B18" s="42"/>
      <c r="C18" s="84" t="str">
        <f>IFERROR(VLOOKUP(B18,'ZM01'!B:C,2,0),"")</f>
        <v/>
      </c>
      <c r="D18" s="49" t="str">
        <f>IFERROR(VLOOKUP(B18,'ZM01'!B:J,9,0),"")</f>
        <v/>
      </c>
      <c r="E18" s="43" t="str">
        <f>IFERROR(INDEX('Listas de Dados'!$BU:$BU,MATCH(INDEX('ZM01'!DH:DH,MATCH(B18,'ZM01'!B:B,0)),'Listas de Dados'!$BW:$BW,0)),"")</f>
        <v/>
      </c>
      <c r="F18" s="43" t="str">
        <f>IFERROR(INDEX('ZM01'!DH:DH,MATCH(B18,'ZM01'!B:B,0)),"")</f>
        <v/>
      </c>
      <c r="G18" s="44" t="s">
        <v>992</v>
      </c>
      <c r="H18" s="44">
        <v>1000</v>
      </c>
      <c r="I18" s="43" t="str">
        <f>IF(IFERROR(INDEX(Consulta!$A:$DN,MATCH($C18,Consulta!$D:$D,0),I$2),"")=0,"",IFERROR(INDEX(Consulta!$A:$DN,MATCH($C18,Consulta!$D:$D,0),I$2),""))</f>
        <v/>
      </c>
      <c r="J18" s="43" t="str">
        <f>IF(IFERROR(INDEX(Consulta!$A:$DN,MATCH($C18,Consulta!$D:$D,0),J$2),"")=0,"",IFERROR(INDEX(Consulta!$A:$DN,MATCH($C18,Consulta!$D:$D,0),J$2),""))</f>
        <v/>
      </c>
      <c r="K18" s="44" t="s">
        <v>999</v>
      </c>
      <c r="L18" s="61"/>
      <c r="M18" s="43" t="str">
        <f t="shared" si="1"/>
        <v/>
      </c>
    </row>
    <row r="19" spans="1:13" x14ac:dyDescent="0.2">
      <c r="A19" s="7" t="str">
        <f t="shared" si="0"/>
        <v>Execução 15</v>
      </c>
      <c r="B19" s="42"/>
      <c r="C19" s="84" t="str">
        <f>IFERROR(VLOOKUP(B19,'ZM01'!B:C,2,0),"")</f>
        <v/>
      </c>
      <c r="D19" s="49" t="str">
        <f>IFERROR(VLOOKUP(B19,'ZM01'!B:J,9,0),"")</f>
        <v/>
      </c>
      <c r="E19" s="43" t="str">
        <f>IFERROR(INDEX('Listas de Dados'!$BU:$BU,MATCH(INDEX('ZM01'!DH:DH,MATCH(B19,'ZM01'!B:B,0)),'Listas de Dados'!$BW:$BW,0)),"")</f>
        <v/>
      </c>
      <c r="F19" s="43" t="str">
        <f>IFERROR(INDEX('ZM01'!DH:DH,MATCH(B19,'ZM01'!B:B,0)),"")</f>
        <v/>
      </c>
      <c r="G19" s="44" t="s">
        <v>992</v>
      </c>
      <c r="H19" s="44">
        <v>1000</v>
      </c>
      <c r="I19" s="43" t="str">
        <f>IF(IFERROR(INDEX(Consulta!$A:$DN,MATCH($C19,Consulta!$D:$D,0),I$2),"")=0,"",IFERROR(INDEX(Consulta!$A:$DN,MATCH($C19,Consulta!$D:$D,0),I$2),""))</f>
        <v/>
      </c>
      <c r="J19" s="43" t="str">
        <f>IF(IFERROR(INDEX(Consulta!$A:$DN,MATCH($C19,Consulta!$D:$D,0),J$2),"")=0,"",IFERROR(INDEX(Consulta!$A:$DN,MATCH($C19,Consulta!$D:$D,0),J$2),""))</f>
        <v/>
      </c>
      <c r="K19" s="44" t="s">
        <v>999</v>
      </c>
      <c r="L19" s="61"/>
      <c r="M19" s="43" t="str">
        <f t="shared" si="1"/>
        <v/>
      </c>
    </row>
    <row r="20" spans="1:13" x14ac:dyDescent="0.2">
      <c r="A20" s="7" t="str">
        <f t="shared" si="0"/>
        <v>Execução 16</v>
      </c>
      <c r="B20" s="42"/>
      <c r="C20" s="84" t="str">
        <f>IFERROR(VLOOKUP(B20,'ZM01'!B:C,2,0),"")</f>
        <v/>
      </c>
      <c r="D20" s="49" t="str">
        <f>IFERROR(VLOOKUP(B20,'ZM01'!B:J,9,0),"")</f>
        <v/>
      </c>
      <c r="E20" s="43" t="str">
        <f>IFERROR(INDEX('Listas de Dados'!$BU:$BU,MATCH(INDEX('ZM01'!DH:DH,MATCH(B20,'ZM01'!B:B,0)),'Listas de Dados'!$BW:$BW,0)),"")</f>
        <v/>
      </c>
      <c r="F20" s="43" t="str">
        <f>IFERROR(INDEX('ZM01'!DH:DH,MATCH(B20,'ZM01'!B:B,0)),"")</f>
        <v/>
      </c>
      <c r="G20" s="44" t="s">
        <v>992</v>
      </c>
      <c r="H20" s="44">
        <v>1000</v>
      </c>
      <c r="I20" s="43" t="str">
        <f>IF(IFERROR(INDEX(Consulta!$A:$DN,MATCH($C20,Consulta!$D:$D,0),I$2),"")=0,"",IFERROR(INDEX(Consulta!$A:$DN,MATCH($C20,Consulta!$D:$D,0),I$2),""))</f>
        <v/>
      </c>
      <c r="J20" s="43" t="str">
        <f>IF(IFERROR(INDEX(Consulta!$A:$DN,MATCH($C20,Consulta!$D:$D,0),J$2),"")=0,"",IFERROR(INDEX(Consulta!$A:$DN,MATCH($C20,Consulta!$D:$D,0),J$2),""))</f>
        <v/>
      </c>
      <c r="K20" s="44" t="s">
        <v>999</v>
      </c>
      <c r="L20" s="61"/>
      <c r="M20" s="43" t="str">
        <f t="shared" si="1"/>
        <v/>
      </c>
    </row>
    <row r="21" spans="1:13" x14ac:dyDescent="0.2">
      <c r="A21" s="7" t="str">
        <f t="shared" si="0"/>
        <v>Execução 17</v>
      </c>
      <c r="B21" s="42"/>
      <c r="C21" s="84" t="str">
        <f>IFERROR(VLOOKUP(B21,'ZM01'!B:C,2,0),"")</f>
        <v/>
      </c>
      <c r="D21" s="49" t="str">
        <f>IFERROR(VLOOKUP(B21,'ZM01'!B:J,9,0),"")</f>
        <v/>
      </c>
      <c r="E21" s="43" t="str">
        <f>IFERROR(INDEX('Listas de Dados'!$BU:$BU,MATCH(INDEX('ZM01'!DH:DH,MATCH(B21,'ZM01'!B:B,0)),'Listas de Dados'!$BW:$BW,0)),"")</f>
        <v/>
      </c>
      <c r="F21" s="43" t="str">
        <f>IFERROR(INDEX('ZM01'!DH:DH,MATCH(B21,'ZM01'!B:B,0)),"")</f>
        <v/>
      </c>
      <c r="G21" s="44" t="s">
        <v>992</v>
      </c>
      <c r="H21" s="44">
        <v>1000</v>
      </c>
      <c r="I21" s="43" t="str">
        <f>IF(IFERROR(INDEX(Consulta!$A:$DN,MATCH($C21,Consulta!$D:$D,0),I$2),"")=0,"",IFERROR(INDEX(Consulta!$A:$DN,MATCH($C21,Consulta!$D:$D,0),I$2),""))</f>
        <v/>
      </c>
      <c r="J21" s="43" t="str">
        <f>IF(IFERROR(INDEX(Consulta!$A:$DN,MATCH($C21,Consulta!$D:$D,0),J$2),"")=0,"",IFERROR(INDEX(Consulta!$A:$DN,MATCH($C21,Consulta!$D:$D,0),J$2),""))</f>
        <v/>
      </c>
      <c r="K21" s="44" t="s">
        <v>999</v>
      </c>
      <c r="L21" s="61"/>
      <c r="M21" s="43" t="str">
        <f t="shared" si="1"/>
        <v/>
      </c>
    </row>
    <row r="22" spans="1:13" x14ac:dyDescent="0.2">
      <c r="A22" s="7" t="str">
        <f t="shared" si="0"/>
        <v>Execução 18</v>
      </c>
      <c r="B22" s="42"/>
      <c r="C22" s="84" t="str">
        <f>IFERROR(VLOOKUP(B22,'ZM01'!B:C,2,0),"")</f>
        <v/>
      </c>
      <c r="D22" s="49" t="str">
        <f>IFERROR(VLOOKUP(B22,'ZM01'!B:J,9,0),"")</f>
        <v/>
      </c>
      <c r="E22" s="43" t="str">
        <f>IFERROR(INDEX('Listas de Dados'!$BU:$BU,MATCH(INDEX('ZM01'!DH:DH,MATCH(B22,'ZM01'!B:B,0)),'Listas de Dados'!$BW:$BW,0)),"")</f>
        <v/>
      </c>
      <c r="F22" s="43" t="str">
        <f>IFERROR(INDEX('ZM01'!DH:DH,MATCH(B22,'ZM01'!B:B,0)),"")</f>
        <v/>
      </c>
      <c r="G22" s="44" t="s">
        <v>992</v>
      </c>
      <c r="H22" s="44">
        <v>1000</v>
      </c>
      <c r="I22" s="43" t="str">
        <f>IF(IFERROR(INDEX(Consulta!$A:$DN,MATCH($C22,Consulta!$D:$D,0),I$2),"")=0,"",IFERROR(INDEX(Consulta!$A:$DN,MATCH($C22,Consulta!$D:$D,0),I$2),""))</f>
        <v/>
      </c>
      <c r="J22" s="43" t="str">
        <f>IF(IFERROR(INDEX(Consulta!$A:$DN,MATCH($C22,Consulta!$D:$D,0),J$2),"")=0,"",IFERROR(INDEX(Consulta!$A:$DN,MATCH($C22,Consulta!$D:$D,0),J$2),""))</f>
        <v/>
      </c>
      <c r="K22" s="44" t="s">
        <v>999</v>
      </c>
      <c r="L22" s="61"/>
      <c r="M22" s="43" t="str">
        <f t="shared" si="1"/>
        <v/>
      </c>
    </row>
    <row r="23" spans="1:13" x14ac:dyDescent="0.2">
      <c r="A23" s="7" t="str">
        <f t="shared" si="0"/>
        <v>Execução 19</v>
      </c>
      <c r="B23" s="42"/>
      <c r="C23" s="84" t="str">
        <f>IFERROR(VLOOKUP(B23,'ZM01'!B:C,2,0),"")</f>
        <v/>
      </c>
      <c r="D23" s="49" t="str">
        <f>IFERROR(VLOOKUP(B23,'ZM01'!B:J,9,0),"")</f>
        <v/>
      </c>
      <c r="E23" s="43" t="str">
        <f>IFERROR(INDEX('Listas de Dados'!$BU:$BU,MATCH(INDEX('ZM01'!DH:DH,MATCH(B23,'ZM01'!B:B,0)),'Listas de Dados'!$BW:$BW,0)),"")</f>
        <v/>
      </c>
      <c r="F23" s="43" t="str">
        <f>IFERROR(INDEX('ZM01'!DH:DH,MATCH(B23,'ZM01'!B:B,0)),"")</f>
        <v/>
      </c>
      <c r="G23" s="44" t="s">
        <v>992</v>
      </c>
      <c r="H23" s="44">
        <v>1000</v>
      </c>
      <c r="I23" s="43" t="str">
        <f>IF(IFERROR(INDEX(Consulta!$A:$DN,MATCH($C23,Consulta!$D:$D,0),I$2),"")=0,"",IFERROR(INDEX(Consulta!$A:$DN,MATCH($C23,Consulta!$D:$D,0),I$2),""))</f>
        <v/>
      </c>
      <c r="J23" s="43" t="str">
        <f>IF(IFERROR(INDEX(Consulta!$A:$DN,MATCH($C23,Consulta!$D:$D,0),J$2),"")=0,"",IFERROR(INDEX(Consulta!$A:$DN,MATCH($C23,Consulta!$D:$D,0),J$2),""))</f>
        <v/>
      </c>
      <c r="K23" s="44" t="s">
        <v>999</v>
      </c>
      <c r="L23" s="61"/>
      <c r="M23" s="43" t="str">
        <f t="shared" si="1"/>
        <v/>
      </c>
    </row>
    <row r="24" spans="1:13" x14ac:dyDescent="0.2">
      <c r="A24" s="7" t="str">
        <f t="shared" si="0"/>
        <v>Execução 20</v>
      </c>
      <c r="B24" s="42"/>
      <c r="C24" s="84" t="str">
        <f>IFERROR(VLOOKUP(B24,'ZM01'!B:C,2,0),"")</f>
        <v/>
      </c>
      <c r="D24" s="49" t="str">
        <f>IFERROR(VLOOKUP(B24,'ZM01'!B:J,9,0),"")</f>
        <v/>
      </c>
      <c r="E24" s="43" t="str">
        <f>IFERROR(INDEX('Listas de Dados'!$BU:$BU,MATCH(INDEX('ZM01'!DH:DH,MATCH(B24,'ZM01'!B:B,0)),'Listas de Dados'!$BW:$BW,0)),"")</f>
        <v/>
      </c>
      <c r="F24" s="43" t="str">
        <f>IFERROR(INDEX('ZM01'!DH:DH,MATCH(B24,'ZM01'!B:B,0)),"")</f>
        <v/>
      </c>
      <c r="G24" s="44" t="s">
        <v>992</v>
      </c>
      <c r="H24" s="44">
        <v>1000</v>
      </c>
      <c r="I24" s="43" t="str">
        <f>IF(IFERROR(INDEX(Consulta!$A:$DN,MATCH($C24,Consulta!$D:$D,0),I$2),"")=0,"",IFERROR(INDEX(Consulta!$A:$DN,MATCH($C24,Consulta!$D:$D,0),I$2),""))</f>
        <v/>
      </c>
      <c r="J24" s="43" t="str">
        <f>IF(IFERROR(INDEX(Consulta!$A:$DN,MATCH($C24,Consulta!$D:$D,0),J$2),"")=0,"",IFERROR(INDEX(Consulta!$A:$DN,MATCH($C24,Consulta!$D:$D,0),J$2),""))</f>
        <v/>
      </c>
      <c r="K24" s="44" t="s">
        <v>999</v>
      </c>
      <c r="L24" s="61"/>
      <c r="M24" s="43" t="str">
        <f t="shared" si="1"/>
        <v/>
      </c>
    </row>
    <row r="25" spans="1:13" x14ac:dyDescent="0.2">
      <c r="A25" s="7" t="str">
        <f t="shared" si="0"/>
        <v>Execução 21</v>
      </c>
      <c r="B25" s="42"/>
      <c r="C25" s="84" t="str">
        <f>IFERROR(VLOOKUP(B25,'ZM01'!B:C,2,0),"")</f>
        <v/>
      </c>
      <c r="D25" s="49" t="str">
        <f>IFERROR(VLOOKUP(B25,'ZM01'!B:J,9,0),"")</f>
        <v/>
      </c>
      <c r="E25" s="43" t="str">
        <f>IFERROR(INDEX('Listas de Dados'!$BU:$BU,MATCH(INDEX('ZM01'!DH:DH,MATCH(B25,'ZM01'!B:B,0)),'Listas de Dados'!$BW:$BW,0)),"")</f>
        <v/>
      </c>
      <c r="F25" s="43" t="str">
        <f>IFERROR(INDEX('ZM01'!DH:DH,MATCH(B25,'ZM01'!B:B,0)),"")</f>
        <v/>
      </c>
      <c r="G25" s="44" t="s">
        <v>992</v>
      </c>
      <c r="H25" s="44">
        <v>1000</v>
      </c>
      <c r="I25" s="43" t="str">
        <f>IF(IFERROR(INDEX(Consulta!$A:$DN,MATCH($C25,Consulta!$D:$D,0),I$2),"")=0,"",IFERROR(INDEX(Consulta!$A:$DN,MATCH($C25,Consulta!$D:$D,0),I$2),""))</f>
        <v/>
      </c>
      <c r="J25" s="43" t="str">
        <f>IF(IFERROR(INDEX(Consulta!$A:$DN,MATCH($C25,Consulta!$D:$D,0),J$2),"")=0,"",IFERROR(INDEX(Consulta!$A:$DN,MATCH($C25,Consulta!$D:$D,0),J$2),""))</f>
        <v/>
      </c>
      <c r="K25" s="44" t="s">
        <v>999</v>
      </c>
      <c r="L25" s="61"/>
      <c r="M25" s="43" t="str">
        <f t="shared" si="1"/>
        <v/>
      </c>
    </row>
    <row r="26" spans="1:13" x14ac:dyDescent="0.2">
      <c r="A26" s="7" t="str">
        <f t="shared" si="0"/>
        <v>Execução 22</v>
      </c>
      <c r="B26" s="42"/>
      <c r="C26" s="84" t="str">
        <f>IFERROR(VLOOKUP(B26,'ZM01'!B:C,2,0),"")</f>
        <v/>
      </c>
      <c r="D26" s="49" t="str">
        <f>IFERROR(VLOOKUP(B26,'ZM01'!B:J,9,0),"")</f>
        <v/>
      </c>
      <c r="E26" s="43" t="str">
        <f>IFERROR(INDEX('Listas de Dados'!$BU:$BU,MATCH(INDEX('ZM01'!DH:DH,MATCH(B26,'ZM01'!B:B,0)),'Listas de Dados'!$BW:$BW,0)),"")</f>
        <v/>
      </c>
      <c r="F26" s="43" t="str">
        <f>IFERROR(INDEX('ZM01'!DH:DH,MATCH(B26,'ZM01'!B:B,0)),"")</f>
        <v/>
      </c>
      <c r="G26" s="44" t="s">
        <v>992</v>
      </c>
      <c r="H26" s="44">
        <v>1000</v>
      </c>
      <c r="I26" s="43" t="str">
        <f>IF(IFERROR(INDEX(Consulta!$A:$DN,MATCH($C26,Consulta!$D:$D,0),I$2),"")=0,"",IFERROR(INDEX(Consulta!$A:$DN,MATCH($C26,Consulta!$D:$D,0),I$2),""))</f>
        <v/>
      </c>
      <c r="J26" s="43" t="str">
        <f>IF(IFERROR(INDEX(Consulta!$A:$DN,MATCH($C26,Consulta!$D:$D,0),J$2),"")=0,"",IFERROR(INDEX(Consulta!$A:$DN,MATCH($C26,Consulta!$D:$D,0),J$2),""))</f>
        <v/>
      </c>
      <c r="K26" s="44" t="s">
        <v>999</v>
      </c>
      <c r="L26" s="61"/>
      <c r="M26" s="43" t="str">
        <f t="shared" si="1"/>
        <v/>
      </c>
    </row>
    <row r="27" spans="1:13" x14ac:dyDescent="0.2">
      <c r="A27" s="7" t="str">
        <f t="shared" si="0"/>
        <v>Execução 23</v>
      </c>
      <c r="B27" s="42"/>
      <c r="C27" s="84" t="str">
        <f>IFERROR(VLOOKUP(B27,'ZM01'!B:C,2,0),"")</f>
        <v/>
      </c>
      <c r="D27" s="49" t="str">
        <f>IFERROR(VLOOKUP(B27,'ZM01'!B:J,9,0),"")</f>
        <v/>
      </c>
      <c r="E27" s="43" t="str">
        <f>IFERROR(INDEX('Listas de Dados'!$BU:$BU,MATCH(INDEX('ZM01'!DH:DH,MATCH(B27,'ZM01'!B:B,0)),'Listas de Dados'!$BW:$BW,0)),"")</f>
        <v/>
      </c>
      <c r="F27" s="43" t="str">
        <f>IFERROR(INDEX('ZM01'!DH:DH,MATCH(B27,'ZM01'!B:B,0)),"")</f>
        <v/>
      </c>
      <c r="G27" s="44" t="s">
        <v>992</v>
      </c>
      <c r="H27" s="44">
        <v>1000</v>
      </c>
      <c r="I27" s="43" t="str">
        <f>IF(IFERROR(INDEX(Consulta!$A:$DN,MATCH($C27,Consulta!$D:$D,0),I$2),"")=0,"",IFERROR(INDEX(Consulta!$A:$DN,MATCH($C27,Consulta!$D:$D,0),I$2),""))</f>
        <v/>
      </c>
      <c r="J27" s="43" t="str">
        <f>IF(IFERROR(INDEX(Consulta!$A:$DN,MATCH($C27,Consulta!$D:$D,0),J$2),"")=0,"",IFERROR(INDEX(Consulta!$A:$DN,MATCH($C27,Consulta!$D:$D,0),J$2),""))</f>
        <v/>
      </c>
      <c r="K27" s="44" t="s">
        <v>999</v>
      </c>
      <c r="L27" s="61"/>
      <c r="M27" s="43" t="str">
        <f t="shared" si="1"/>
        <v/>
      </c>
    </row>
    <row r="28" spans="1:13" x14ac:dyDescent="0.2">
      <c r="A28" s="7" t="str">
        <f t="shared" si="0"/>
        <v>Execução 24</v>
      </c>
      <c r="B28" s="42"/>
      <c r="C28" s="84" t="str">
        <f>IFERROR(VLOOKUP(B28,'ZM01'!B:C,2,0),"")</f>
        <v/>
      </c>
      <c r="D28" s="49" t="str">
        <f>IFERROR(VLOOKUP(B28,'ZM01'!B:J,9,0),"")</f>
        <v/>
      </c>
      <c r="E28" s="43" t="str">
        <f>IFERROR(INDEX('Listas de Dados'!$BU:$BU,MATCH(INDEX('ZM01'!DH:DH,MATCH(B28,'ZM01'!B:B,0)),'Listas de Dados'!$BW:$BW,0)),"")</f>
        <v/>
      </c>
      <c r="F28" s="43" t="str">
        <f>IFERROR(INDEX('ZM01'!DH:DH,MATCH(B28,'ZM01'!B:B,0)),"")</f>
        <v/>
      </c>
      <c r="G28" s="44" t="s">
        <v>992</v>
      </c>
      <c r="H28" s="44">
        <v>1000</v>
      </c>
      <c r="I28" s="43" t="str">
        <f>IF(IFERROR(INDEX(Consulta!$A:$DN,MATCH($C28,Consulta!$D:$D,0),I$2),"")=0,"",IFERROR(INDEX(Consulta!$A:$DN,MATCH($C28,Consulta!$D:$D,0),I$2),""))</f>
        <v/>
      </c>
      <c r="J28" s="43" t="str">
        <f>IF(IFERROR(INDEX(Consulta!$A:$DN,MATCH($C28,Consulta!$D:$D,0),J$2),"")=0,"",IFERROR(INDEX(Consulta!$A:$DN,MATCH($C28,Consulta!$D:$D,0),J$2),""))</f>
        <v/>
      </c>
      <c r="K28" s="44" t="s">
        <v>999</v>
      </c>
      <c r="L28" s="61"/>
      <c r="M28" s="43" t="str">
        <f t="shared" si="1"/>
        <v/>
      </c>
    </row>
    <row r="29" spans="1:13" x14ac:dyDescent="0.2">
      <c r="A29" s="7" t="str">
        <f t="shared" si="0"/>
        <v>Execução 25</v>
      </c>
      <c r="B29" s="42"/>
      <c r="C29" s="84" t="str">
        <f>IFERROR(VLOOKUP(B29,'ZM01'!B:C,2,0),"")</f>
        <v/>
      </c>
      <c r="D29" s="49" t="str">
        <f>IFERROR(VLOOKUP(B29,'ZM01'!B:J,9,0),"")</f>
        <v/>
      </c>
      <c r="E29" s="43" t="str">
        <f>IFERROR(INDEX('Listas de Dados'!$BU:$BU,MATCH(INDEX('ZM01'!DH:DH,MATCH(B29,'ZM01'!B:B,0)),'Listas de Dados'!$BW:$BW,0)),"")</f>
        <v/>
      </c>
      <c r="F29" s="43" t="str">
        <f>IFERROR(INDEX('ZM01'!DH:DH,MATCH(B29,'ZM01'!B:B,0)),"")</f>
        <v/>
      </c>
      <c r="G29" s="44" t="s">
        <v>992</v>
      </c>
      <c r="H29" s="44">
        <v>1000</v>
      </c>
      <c r="I29" s="43" t="str">
        <f>IF(IFERROR(INDEX(Consulta!$A:$DN,MATCH($C29,Consulta!$D:$D,0),I$2),"")=0,"",IFERROR(INDEX(Consulta!$A:$DN,MATCH($C29,Consulta!$D:$D,0),I$2),""))</f>
        <v/>
      </c>
      <c r="J29" s="43" t="str">
        <f>IF(IFERROR(INDEX(Consulta!$A:$DN,MATCH($C29,Consulta!$D:$D,0),J$2),"")=0,"",IFERROR(INDEX(Consulta!$A:$DN,MATCH($C29,Consulta!$D:$D,0),J$2),""))</f>
        <v/>
      </c>
      <c r="K29" s="44" t="s">
        <v>999</v>
      </c>
      <c r="L29" s="61"/>
      <c r="M29" s="43" t="str">
        <f t="shared" si="1"/>
        <v/>
      </c>
    </row>
    <row r="30" spans="1:13" x14ac:dyDescent="0.2">
      <c r="A30" s="7" t="str">
        <f t="shared" si="0"/>
        <v>Execução 26</v>
      </c>
      <c r="B30" s="42"/>
      <c r="C30" s="84" t="str">
        <f>IFERROR(VLOOKUP(B30,'ZM01'!B:C,2,0),"")</f>
        <v/>
      </c>
      <c r="D30" s="49" t="str">
        <f>IFERROR(VLOOKUP(B30,'ZM01'!B:J,9,0),"")</f>
        <v/>
      </c>
      <c r="E30" s="43" t="str">
        <f>IFERROR(INDEX('Listas de Dados'!$BU:$BU,MATCH(INDEX('ZM01'!DH:DH,MATCH(B30,'ZM01'!B:B,0)),'Listas de Dados'!$BW:$BW,0)),"")</f>
        <v/>
      </c>
      <c r="F30" s="43" t="str">
        <f>IFERROR(INDEX('ZM01'!DH:DH,MATCH(B30,'ZM01'!B:B,0)),"")</f>
        <v/>
      </c>
      <c r="G30" s="44" t="s">
        <v>992</v>
      </c>
      <c r="H30" s="44">
        <v>1000</v>
      </c>
      <c r="I30" s="43" t="str">
        <f>IF(IFERROR(INDEX(Consulta!$A:$DN,MATCH($C30,Consulta!$D:$D,0),I$2),"")=0,"",IFERROR(INDEX(Consulta!$A:$DN,MATCH($C30,Consulta!$D:$D,0),I$2),""))</f>
        <v/>
      </c>
      <c r="J30" s="43" t="str">
        <f>IF(IFERROR(INDEX(Consulta!$A:$DN,MATCH($C30,Consulta!$D:$D,0),J$2),"")=0,"",IFERROR(INDEX(Consulta!$A:$DN,MATCH($C30,Consulta!$D:$D,0),J$2),""))</f>
        <v/>
      </c>
      <c r="K30" s="44" t="s">
        <v>999</v>
      </c>
      <c r="L30" s="61"/>
      <c r="M30" s="43" t="str">
        <f t="shared" si="1"/>
        <v/>
      </c>
    </row>
    <row r="31" spans="1:13" x14ac:dyDescent="0.2">
      <c r="A31" s="7" t="str">
        <f t="shared" si="0"/>
        <v>Execução 27</v>
      </c>
      <c r="B31" s="42"/>
      <c r="C31" s="84" t="str">
        <f>IFERROR(VLOOKUP(B31,'ZM01'!B:C,2,0),"")</f>
        <v/>
      </c>
      <c r="D31" s="49" t="str">
        <f>IFERROR(VLOOKUP(B31,'ZM01'!B:J,9,0),"")</f>
        <v/>
      </c>
      <c r="E31" s="43" t="str">
        <f>IFERROR(INDEX('Listas de Dados'!$BU:$BU,MATCH(INDEX('ZM01'!DH:DH,MATCH(B31,'ZM01'!B:B,0)),'Listas de Dados'!$BW:$BW,0)),"")</f>
        <v/>
      </c>
      <c r="F31" s="43" t="str">
        <f>IFERROR(INDEX('ZM01'!DH:DH,MATCH(B31,'ZM01'!B:B,0)),"")</f>
        <v/>
      </c>
      <c r="G31" s="44" t="s">
        <v>992</v>
      </c>
      <c r="H31" s="44">
        <v>1000</v>
      </c>
      <c r="I31" s="43" t="str">
        <f>IF(IFERROR(INDEX(Consulta!$A:$DN,MATCH($C31,Consulta!$D:$D,0),I$2),"")=0,"",IFERROR(INDEX(Consulta!$A:$DN,MATCH($C31,Consulta!$D:$D,0),I$2),""))</f>
        <v/>
      </c>
      <c r="J31" s="43" t="str">
        <f>IF(IFERROR(INDEX(Consulta!$A:$DN,MATCH($C31,Consulta!$D:$D,0),J$2),"")=0,"",IFERROR(INDEX(Consulta!$A:$DN,MATCH($C31,Consulta!$D:$D,0),J$2),""))</f>
        <v/>
      </c>
      <c r="K31" s="44" t="s">
        <v>999</v>
      </c>
      <c r="L31" s="61"/>
      <c r="M31" s="43" t="str">
        <f t="shared" si="1"/>
        <v/>
      </c>
    </row>
    <row r="32" spans="1:13" x14ac:dyDescent="0.2">
      <c r="A32" s="7" t="str">
        <f t="shared" si="0"/>
        <v>Execução 28</v>
      </c>
      <c r="B32" s="42"/>
      <c r="C32" s="84" t="str">
        <f>IFERROR(VLOOKUP(B32,'ZM01'!B:C,2,0),"")</f>
        <v/>
      </c>
      <c r="D32" s="49" t="str">
        <f>IFERROR(VLOOKUP(B32,'ZM01'!B:J,9,0),"")</f>
        <v/>
      </c>
      <c r="E32" s="43" t="str">
        <f>IFERROR(INDEX('Listas de Dados'!$BU:$BU,MATCH(INDEX('ZM01'!DH:DH,MATCH(B32,'ZM01'!B:B,0)),'Listas de Dados'!$BW:$BW,0)),"")</f>
        <v/>
      </c>
      <c r="F32" s="43" t="str">
        <f>IFERROR(INDEX('ZM01'!DH:DH,MATCH(B32,'ZM01'!B:B,0)),"")</f>
        <v/>
      </c>
      <c r="G32" s="44" t="s">
        <v>992</v>
      </c>
      <c r="H32" s="44">
        <v>1000</v>
      </c>
      <c r="I32" s="43" t="str">
        <f>IF(IFERROR(INDEX(Consulta!$A:$DN,MATCH($C32,Consulta!$D:$D,0),I$2),"")=0,"",IFERROR(INDEX(Consulta!$A:$DN,MATCH($C32,Consulta!$D:$D,0),I$2),""))</f>
        <v/>
      </c>
      <c r="J32" s="43" t="str">
        <f>IF(IFERROR(INDEX(Consulta!$A:$DN,MATCH($C32,Consulta!$D:$D,0),J$2),"")=0,"",IFERROR(INDEX(Consulta!$A:$DN,MATCH($C32,Consulta!$D:$D,0),J$2),""))</f>
        <v/>
      </c>
      <c r="K32" s="44" t="s">
        <v>999</v>
      </c>
      <c r="L32" s="61"/>
      <c r="M32" s="43" t="str">
        <f t="shared" si="1"/>
        <v/>
      </c>
    </row>
    <row r="33" spans="1:13" x14ac:dyDescent="0.2">
      <c r="A33" s="7" t="str">
        <f t="shared" si="0"/>
        <v>Execução 29</v>
      </c>
      <c r="B33" s="42"/>
      <c r="C33" s="84" t="str">
        <f>IFERROR(VLOOKUP(B33,'ZM01'!B:C,2,0),"")</f>
        <v/>
      </c>
      <c r="D33" s="49" t="str">
        <f>IFERROR(VLOOKUP(B33,'ZM01'!B:J,9,0),"")</f>
        <v/>
      </c>
      <c r="E33" s="43" t="str">
        <f>IFERROR(INDEX('Listas de Dados'!$BU:$BU,MATCH(INDEX('ZM01'!DH:DH,MATCH(B33,'ZM01'!B:B,0)),'Listas de Dados'!$BW:$BW,0)),"")</f>
        <v/>
      </c>
      <c r="F33" s="43" t="str">
        <f>IFERROR(INDEX('ZM01'!DH:DH,MATCH(B33,'ZM01'!B:B,0)),"")</f>
        <v/>
      </c>
      <c r="G33" s="44" t="s">
        <v>992</v>
      </c>
      <c r="H33" s="44">
        <v>1000</v>
      </c>
      <c r="I33" s="43" t="str">
        <f>IF(IFERROR(INDEX(Consulta!$A:$DN,MATCH($C33,Consulta!$D:$D,0),I$2),"")=0,"",IFERROR(INDEX(Consulta!$A:$DN,MATCH($C33,Consulta!$D:$D,0),I$2),""))</f>
        <v/>
      </c>
      <c r="J33" s="43" t="str">
        <f>IF(IFERROR(INDEX(Consulta!$A:$DN,MATCH($C33,Consulta!$D:$D,0),J$2),"")=0,"",IFERROR(INDEX(Consulta!$A:$DN,MATCH($C33,Consulta!$D:$D,0),J$2),""))</f>
        <v/>
      </c>
      <c r="K33" s="44" t="s">
        <v>999</v>
      </c>
      <c r="L33" s="61"/>
      <c r="M33" s="43" t="str">
        <f t="shared" si="1"/>
        <v/>
      </c>
    </row>
    <row r="34" spans="1:13" x14ac:dyDescent="0.2">
      <c r="A34" s="7" t="str">
        <f t="shared" si="0"/>
        <v>Execução 30</v>
      </c>
      <c r="B34" s="42"/>
      <c r="C34" s="84" t="str">
        <f>IFERROR(VLOOKUP(B34,'ZM01'!B:C,2,0),"")</f>
        <v/>
      </c>
      <c r="D34" s="49" t="str">
        <f>IFERROR(VLOOKUP(B34,'ZM01'!B:J,9,0),"")</f>
        <v/>
      </c>
      <c r="E34" s="43" t="str">
        <f>IFERROR(INDEX('Listas de Dados'!$BU:$BU,MATCH(INDEX('ZM01'!DH:DH,MATCH(B34,'ZM01'!B:B,0)),'Listas de Dados'!$BW:$BW,0)),"")</f>
        <v/>
      </c>
      <c r="F34" s="43" t="str">
        <f>IFERROR(INDEX('ZM01'!DH:DH,MATCH(B34,'ZM01'!B:B,0)),"")</f>
        <v/>
      </c>
      <c r="G34" s="44" t="s">
        <v>992</v>
      </c>
      <c r="H34" s="44">
        <v>1000</v>
      </c>
      <c r="I34" s="43" t="str">
        <f>IF(IFERROR(INDEX(Consulta!$A:$DN,MATCH($C34,Consulta!$D:$D,0),I$2),"")=0,"",IFERROR(INDEX(Consulta!$A:$DN,MATCH($C34,Consulta!$D:$D,0),I$2),""))</f>
        <v/>
      </c>
      <c r="J34" s="43" t="str">
        <f>IF(IFERROR(INDEX(Consulta!$A:$DN,MATCH($C34,Consulta!$D:$D,0),J$2),"")=0,"",IFERROR(INDEX(Consulta!$A:$DN,MATCH($C34,Consulta!$D:$D,0),J$2),""))</f>
        <v/>
      </c>
      <c r="K34" s="44" t="s">
        <v>999</v>
      </c>
      <c r="L34" s="61"/>
      <c r="M34" s="43" t="str">
        <f t="shared" si="1"/>
        <v/>
      </c>
    </row>
    <row r="35" spans="1:13" x14ac:dyDescent="0.2">
      <c r="A35" s="7" t="str">
        <f t="shared" si="0"/>
        <v>Execução 31</v>
      </c>
      <c r="B35" s="42"/>
      <c r="C35" s="84" t="str">
        <f>IFERROR(VLOOKUP(B35,'ZM01'!B:C,2,0),"")</f>
        <v/>
      </c>
      <c r="D35" s="49" t="str">
        <f>IFERROR(VLOOKUP(B35,'ZM01'!B:J,9,0),"")</f>
        <v/>
      </c>
      <c r="E35" s="43" t="str">
        <f>IFERROR(INDEX('Listas de Dados'!$BU:$BU,MATCH(INDEX('ZM01'!DH:DH,MATCH(B35,'ZM01'!B:B,0)),'Listas de Dados'!$BW:$BW,0)),"")</f>
        <v/>
      </c>
      <c r="F35" s="43" t="str">
        <f>IFERROR(INDEX('ZM01'!DH:DH,MATCH(B35,'ZM01'!B:B,0)),"")</f>
        <v/>
      </c>
      <c r="G35" s="44" t="s">
        <v>992</v>
      </c>
      <c r="H35" s="44">
        <v>1000</v>
      </c>
      <c r="I35" s="43" t="str">
        <f>IF(IFERROR(INDEX(Consulta!$A:$DN,MATCH($C35,Consulta!$D:$D,0),I$2),"")=0,"",IFERROR(INDEX(Consulta!$A:$DN,MATCH($C35,Consulta!$D:$D,0),I$2),""))</f>
        <v/>
      </c>
      <c r="J35" s="43" t="str">
        <f>IF(IFERROR(INDEX(Consulta!$A:$DN,MATCH($C35,Consulta!$D:$D,0),J$2),"")=0,"",IFERROR(INDEX(Consulta!$A:$DN,MATCH($C35,Consulta!$D:$D,0),J$2),""))</f>
        <v/>
      </c>
      <c r="K35" s="44" t="s">
        <v>999</v>
      </c>
      <c r="L35" s="61"/>
      <c r="M35" s="43" t="str">
        <f t="shared" si="1"/>
        <v/>
      </c>
    </row>
    <row r="36" spans="1:13" x14ac:dyDescent="0.2">
      <c r="A36" s="7" t="str">
        <f t="shared" si="0"/>
        <v>Execução 32</v>
      </c>
      <c r="B36" s="42"/>
      <c r="C36" s="84" t="str">
        <f>IFERROR(VLOOKUP(B36,'ZM01'!B:C,2,0),"")</f>
        <v/>
      </c>
      <c r="D36" s="49" t="str">
        <f>IFERROR(VLOOKUP(B36,'ZM01'!B:J,9,0),"")</f>
        <v/>
      </c>
      <c r="E36" s="43" t="str">
        <f>IFERROR(INDEX('Listas de Dados'!$BU:$BU,MATCH(INDEX('ZM01'!DH:DH,MATCH(B36,'ZM01'!B:B,0)),'Listas de Dados'!$BW:$BW,0)),"")</f>
        <v/>
      </c>
      <c r="F36" s="43" t="str">
        <f>IFERROR(INDEX('ZM01'!DH:DH,MATCH(B36,'ZM01'!B:B,0)),"")</f>
        <v/>
      </c>
      <c r="G36" s="44" t="s">
        <v>992</v>
      </c>
      <c r="H36" s="44">
        <v>1000</v>
      </c>
      <c r="I36" s="43" t="str">
        <f>IF(IFERROR(INDEX(Consulta!$A:$DN,MATCH($C36,Consulta!$D:$D,0),I$2),"")=0,"",IFERROR(INDEX(Consulta!$A:$DN,MATCH($C36,Consulta!$D:$D,0),I$2),""))</f>
        <v/>
      </c>
      <c r="J36" s="43" t="str">
        <f>IF(IFERROR(INDEX(Consulta!$A:$DN,MATCH($C36,Consulta!$D:$D,0),J$2),"")=0,"",IFERROR(INDEX(Consulta!$A:$DN,MATCH($C36,Consulta!$D:$D,0),J$2),""))</f>
        <v/>
      </c>
      <c r="K36" s="44" t="s">
        <v>999</v>
      </c>
      <c r="L36" s="61"/>
      <c r="M36" s="43" t="str">
        <f t="shared" si="1"/>
        <v/>
      </c>
    </row>
    <row r="37" spans="1:13" x14ac:dyDescent="0.2">
      <c r="A37" s="7" t="str">
        <f t="shared" si="0"/>
        <v>Execução 33</v>
      </c>
      <c r="B37" s="42"/>
      <c r="C37" s="84" t="str">
        <f>IFERROR(VLOOKUP(B37,'ZM01'!B:C,2,0),"")</f>
        <v/>
      </c>
      <c r="D37" s="49" t="str">
        <f>IFERROR(VLOOKUP(B37,'ZM01'!B:J,9,0),"")</f>
        <v/>
      </c>
      <c r="E37" s="43" t="str">
        <f>IFERROR(INDEX('Listas de Dados'!$BU:$BU,MATCH(INDEX('ZM01'!DH:DH,MATCH(B37,'ZM01'!B:B,0)),'Listas de Dados'!$BW:$BW,0)),"")</f>
        <v/>
      </c>
      <c r="F37" s="43" t="str">
        <f>IFERROR(INDEX('ZM01'!DH:DH,MATCH(B37,'ZM01'!B:B,0)),"")</f>
        <v/>
      </c>
      <c r="G37" s="44" t="s">
        <v>992</v>
      </c>
      <c r="H37" s="44">
        <v>1000</v>
      </c>
      <c r="I37" s="43" t="str">
        <f>IF(IFERROR(INDEX(Consulta!$A:$DN,MATCH($C37,Consulta!$D:$D,0),I$2),"")=0,"",IFERROR(INDEX(Consulta!$A:$DN,MATCH($C37,Consulta!$D:$D,0),I$2),""))</f>
        <v/>
      </c>
      <c r="J37" s="43" t="str">
        <f>IF(IFERROR(INDEX(Consulta!$A:$DN,MATCH($C37,Consulta!$D:$D,0),J$2),"")=0,"",IFERROR(INDEX(Consulta!$A:$DN,MATCH($C37,Consulta!$D:$D,0),J$2),""))</f>
        <v/>
      </c>
      <c r="K37" s="44" t="s">
        <v>999</v>
      </c>
      <c r="L37" s="61"/>
      <c r="M37" s="43" t="str">
        <f t="shared" si="1"/>
        <v/>
      </c>
    </row>
    <row r="38" spans="1:13" x14ac:dyDescent="0.2">
      <c r="A38" s="7" t="str">
        <f t="shared" si="0"/>
        <v>Execução 34</v>
      </c>
      <c r="B38" s="42"/>
      <c r="C38" s="84" t="str">
        <f>IFERROR(VLOOKUP(B38,'ZM01'!B:C,2,0),"")</f>
        <v/>
      </c>
      <c r="D38" s="49" t="str">
        <f>IFERROR(VLOOKUP(B38,'ZM01'!B:J,9,0),"")</f>
        <v/>
      </c>
      <c r="E38" s="43" t="str">
        <f>IFERROR(INDEX('Listas de Dados'!$BU:$BU,MATCH(INDEX('ZM01'!DH:DH,MATCH(B38,'ZM01'!B:B,0)),'Listas de Dados'!$BW:$BW,0)),"")</f>
        <v/>
      </c>
      <c r="F38" s="43" t="str">
        <f>IFERROR(INDEX('ZM01'!DH:DH,MATCH(B38,'ZM01'!B:B,0)),"")</f>
        <v/>
      </c>
      <c r="G38" s="44" t="s">
        <v>992</v>
      </c>
      <c r="H38" s="44">
        <v>1000</v>
      </c>
      <c r="I38" s="43" t="str">
        <f>IF(IFERROR(INDEX(Consulta!$A:$DN,MATCH($C38,Consulta!$D:$D,0),I$2),"")=0,"",IFERROR(INDEX(Consulta!$A:$DN,MATCH($C38,Consulta!$D:$D,0),I$2),""))</f>
        <v/>
      </c>
      <c r="J38" s="43" t="str">
        <f>IF(IFERROR(INDEX(Consulta!$A:$DN,MATCH($C38,Consulta!$D:$D,0),J$2),"")=0,"",IFERROR(INDEX(Consulta!$A:$DN,MATCH($C38,Consulta!$D:$D,0),J$2),""))</f>
        <v/>
      </c>
      <c r="K38" s="44" t="s">
        <v>999</v>
      </c>
      <c r="L38" s="61"/>
      <c r="M38" s="43" t="str">
        <f t="shared" si="1"/>
        <v/>
      </c>
    </row>
    <row r="39" spans="1:13" x14ac:dyDescent="0.2">
      <c r="A39" s="7" t="str">
        <f t="shared" si="0"/>
        <v>Execução 35</v>
      </c>
      <c r="B39" s="42"/>
      <c r="C39" s="84" t="str">
        <f>IFERROR(VLOOKUP(B39,'ZM01'!B:C,2,0),"")</f>
        <v/>
      </c>
      <c r="D39" s="49" t="str">
        <f>IFERROR(VLOOKUP(B39,'ZM01'!B:J,9,0),"")</f>
        <v/>
      </c>
      <c r="E39" s="43" t="str">
        <f>IFERROR(INDEX('Listas de Dados'!$BU:$BU,MATCH(INDEX('ZM01'!DH:DH,MATCH(B39,'ZM01'!B:B,0)),'Listas de Dados'!$BW:$BW,0)),"")</f>
        <v/>
      </c>
      <c r="F39" s="43" t="str">
        <f>IFERROR(INDEX('ZM01'!DH:DH,MATCH(B39,'ZM01'!B:B,0)),"")</f>
        <v/>
      </c>
      <c r="G39" s="44" t="s">
        <v>992</v>
      </c>
      <c r="H39" s="44">
        <v>1000</v>
      </c>
      <c r="I39" s="43" t="str">
        <f>IF(IFERROR(INDEX(Consulta!$A:$DN,MATCH($C39,Consulta!$D:$D,0),I$2),"")=0,"",IFERROR(INDEX(Consulta!$A:$DN,MATCH($C39,Consulta!$D:$D,0),I$2),""))</f>
        <v/>
      </c>
      <c r="J39" s="43" t="str">
        <f>IF(IFERROR(INDEX(Consulta!$A:$DN,MATCH($C39,Consulta!$D:$D,0),J$2),"")=0,"",IFERROR(INDEX(Consulta!$A:$DN,MATCH($C39,Consulta!$D:$D,0),J$2),""))</f>
        <v/>
      </c>
      <c r="K39" s="44" t="s">
        <v>999</v>
      </c>
      <c r="L39" s="61"/>
      <c r="M39" s="43" t="str">
        <f t="shared" si="1"/>
        <v/>
      </c>
    </row>
    <row r="40" spans="1:13" x14ac:dyDescent="0.2">
      <c r="A40" s="7" t="str">
        <f t="shared" si="0"/>
        <v>Execução 36</v>
      </c>
      <c r="B40" s="42"/>
      <c r="C40" s="84" t="str">
        <f>IFERROR(VLOOKUP(B40,'ZM01'!B:C,2,0),"")</f>
        <v/>
      </c>
      <c r="D40" s="49" t="str">
        <f>IFERROR(VLOOKUP(B40,'ZM01'!B:J,9,0),"")</f>
        <v/>
      </c>
      <c r="E40" s="43" t="str">
        <f>IFERROR(INDEX('Listas de Dados'!$BU:$BU,MATCH(INDEX('ZM01'!DH:DH,MATCH(B40,'ZM01'!B:B,0)),'Listas de Dados'!$BW:$BW,0)),"")</f>
        <v/>
      </c>
      <c r="F40" s="43" t="str">
        <f>IFERROR(INDEX('ZM01'!DH:DH,MATCH(B40,'ZM01'!B:B,0)),"")</f>
        <v/>
      </c>
      <c r="G40" s="44" t="s">
        <v>992</v>
      </c>
      <c r="H40" s="44">
        <v>1000</v>
      </c>
      <c r="I40" s="43" t="str">
        <f>IF(IFERROR(INDEX(Consulta!$A:$DN,MATCH($C40,Consulta!$D:$D,0),I$2),"")=0,"",IFERROR(INDEX(Consulta!$A:$DN,MATCH($C40,Consulta!$D:$D,0),I$2),""))</f>
        <v/>
      </c>
      <c r="J40" s="43" t="str">
        <f>IF(IFERROR(INDEX(Consulta!$A:$DN,MATCH($C40,Consulta!$D:$D,0),J$2),"")=0,"",IFERROR(INDEX(Consulta!$A:$DN,MATCH($C40,Consulta!$D:$D,0),J$2),""))</f>
        <v/>
      </c>
      <c r="K40" s="44" t="s">
        <v>999</v>
      </c>
      <c r="L40" s="61"/>
      <c r="M40" s="43" t="str">
        <f t="shared" si="1"/>
        <v/>
      </c>
    </row>
    <row r="41" spans="1:13" x14ac:dyDescent="0.2">
      <c r="A41" s="7" t="str">
        <f t="shared" si="0"/>
        <v>Execução 37</v>
      </c>
      <c r="B41" s="42"/>
      <c r="C41" s="84" t="str">
        <f>IFERROR(VLOOKUP(B41,'ZM01'!B:C,2,0),"")</f>
        <v/>
      </c>
      <c r="D41" s="49" t="str">
        <f>IFERROR(VLOOKUP(B41,'ZM01'!B:J,9,0),"")</f>
        <v/>
      </c>
      <c r="E41" s="43" t="str">
        <f>IFERROR(INDEX('Listas de Dados'!$BU:$BU,MATCH(INDEX('ZM01'!DH:DH,MATCH(B41,'ZM01'!B:B,0)),'Listas de Dados'!$BW:$BW,0)),"")</f>
        <v/>
      </c>
      <c r="F41" s="43" t="str">
        <f>IFERROR(INDEX('ZM01'!DH:DH,MATCH(B41,'ZM01'!B:B,0)),"")</f>
        <v/>
      </c>
      <c r="G41" s="44" t="s">
        <v>992</v>
      </c>
      <c r="H41" s="44">
        <v>1000</v>
      </c>
      <c r="I41" s="43" t="str">
        <f>IF(IFERROR(INDEX(Consulta!$A:$DN,MATCH($C41,Consulta!$D:$D,0),I$2),"")=0,"",IFERROR(INDEX(Consulta!$A:$DN,MATCH($C41,Consulta!$D:$D,0),I$2),""))</f>
        <v/>
      </c>
      <c r="J41" s="43" t="str">
        <f>IF(IFERROR(INDEX(Consulta!$A:$DN,MATCH($C41,Consulta!$D:$D,0),J$2),"")=0,"",IFERROR(INDEX(Consulta!$A:$DN,MATCH($C41,Consulta!$D:$D,0),J$2),""))</f>
        <v/>
      </c>
      <c r="K41" s="44" t="s">
        <v>999</v>
      </c>
      <c r="L41" s="61"/>
      <c r="M41" s="43" t="str">
        <f t="shared" si="1"/>
        <v/>
      </c>
    </row>
    <row r="42" spans="1:13" x14ac:dyDescent="0.2">
      <c r="A42" s="7" t="str">
        <f t="shared" si="0"/>
        <v>Execução 38</v>
      </c>
      <c r="B42" s="42"/>
      <c r="C42" s="84" t="str">
        <f>IFERROR(VLOOKUP(B42,'ZM01'!B:C,2,0),"")</f>
        <v/>
      </c>
      <c r="D42" s="49" t="str">
        <f>IFERROR(VLOOKUP(B42,'ZM01'!B:J,9,0),"")</f>
        <v/>
      </c>
      <c r="E42" s="43" t="str">
        <f>IFERROR(INDEX('Listas de Dados'!$BU:$BU,MATCH(INDEX('ZM01'!DH:DH,MATCH(B42,'ZM01'!B:B,0)),'Listas de Dados'!$BW:$BW,0)),"")</f>
        <v/>
      </c>
      <c r="F42" s="43" t="str">
        <f>IFERROR(INDEX('ZM01'!DH:DH,MATCH(B42,'ZM01'!B:B,0)),"")</f>
        <v/>
      </c>
      <c r="G42" s="44" t="s">
        <v>992</v>
      </c>
      <c r="H42" s="44">
        <v>1000</v>
      </c>
      <c r="I42" s="43" t="str">
        <f>IF(IFERROR(INDEX(Consulta!$A:$DN,MATCH($C42,Consulta!$D:$D,0),I$2),"")=0,"",IFERROR(INDEX(Consulta!$A:$DN,MATCH($C42,Consulta!$D:$D,0),I$2),""))</f>
        <v/>
      </c>
      <c r="J42" s="43" t="str">
        <f>IF(IFERROR(INDEX(Consulta!$A:$DN,MATCH($C42,Consulta!$D:$D,0),J$2),"")=0,"",IFERROR(INDEX(Consulta!$A:$DN,MATCH($C42,Consulta!$D:$D,0),J$2),""))</f>
        <v/>
      </c>
      <c r="K42" s="44" t="s">
        <v>999</v>
      </c>
      <c r="L42" s="61"/>
      <c r="M42" s="43" t="str">
        <f t="shared" si="1"/>
        <v/>
      </c>
    </row>
    <row r="43" spans="1:13" x14ac:dyDescent="0.2">
      <c r="A43" s="7" t="str">
        <f t="shared" si="0"/>
        <v>Execução 39</v>
      </c>
      <c r="B43" s="42"/>
      <c r="C43" s="84" t="str">
        <f>IFERROR(VLOOKUP(B43,'ZM01'!B:C,2,0),"")</f>
        <v/>
      </c>
      <c r="D43" s="49" t="str">
        <f>IFERROR(VLOOKUP(B43,'ZM01'!B:J,9,0),"")</f>
        <v/>
      </c>
      <c r="E43" s="43" t="str">
        <f>IFERROR(INDEX('Listas de Dados'!$BU:$BU,MATCH(INDEX('ZM01'!DH:DH,MATCH(B43,'ZM01'!B:B,0)),'Listas de Dados'!$BW:$BW,0)),"")</f>
        <v/>
      </c>
      <c r="F43" s="43" t="str">
        <f>IFERROR(INDEX('ZM01'!DH:DH,MATCH(B43,'ZM01'!B:B,0)),"")</f>
        <v/>
      </c>
      <c r="G43" s="44" t="s">
        <v>992</v>
      </c>
      <c r="H43" s="44">
        <v>1000</v>
      </c>
      <c r="I43" s="43" t="str">
        <f>IF(IFERROR(INDEX(Consulta!$A:$DN,MATCH($C43,Consulta!$D:$D,0),I$2),"")=0,"",IFERROR(INDEX(Consulta!$A:$DN,MATCH($C43,Consulta!$D:$D,0),I$2),""))</f>
        <v/>
      </c>
      <c r="J43" s="43" t="str">
        <f>IF(IFERROR(INDEX(Consulta!$A:$DN,MATCH($C43,Consulta!$D:$D,0),J$2),"")=0,"",IFERROR(INDEX(Consulta!$A:$DN,MATCH($C43,Consulta!$D:$D,0),J$2),""))</f>
        <v/>
      </c>
      <c r="K43" s="44" t="s">
        <v>999</v>
      </c>
      <c r="L43" s="61"/>
      <c r="M43" s="43" t="str">
        <f t="shared" si="1"/>
        <v/>
      </c>
    </row>
    <row r="44" spans="1:13" x14ac:dyDescent="0.2">
      <c r="A44" s="7" t="str">
        <f t="shared" si="0"/>
        <v>Execução 40</v>
      </c>
      <c r="B44" s="42"/>
      <c r="C44" s="84" t="str">
        <f>IFERROR(VLOOKUP(B44,'ZM01'!B:C,2,0),"")</f>
        <v/>
      </c>
      <c r="D44" s="49" t="str">
        <f>IFERROR(VLOOKUP(B44,'ZM01'!B:J,9,0),"")</f>
        <v/>
      </c>
      <c r="E44" s="43" t="str">
        <f>IFERROR(INDEX('Listas de Dados'!$BU:$BU,MATCH(INDEX('ZM01'!DH:DH,MATCH(B44,'ZM01'!B:B,0)),'Listas de Dados'!$BW:$BW,0)),"")</f>
        <v/>
      </c>
      <c r="F44" s="43" t="str">
        <f>IFERROR(INDEX('ZM01'!DH:DH,MATCH(B44,'ZM01'!B:B,0)),"")</f>
        <v/>
      </c>
      <c r="G44" s="44" t="s">
        <v>992</v>
      </c>
      <c r="H44" s="44">
        <v>1000</v>
      </c>
      <c r="I44" s="43" t="str">
        <f>IF(IFERROR(INDEX(Consulta!$A:$DN,MATCH($C44,Consulta!$D:$D,0),I$2),"")=0,"",IFERROR(INDEX(Consulta!$A:$DN,MATCH($C44,Consulta!$D:$D,0),I$2),""))</f>
        <v/>
      </c>
      <c r="J44" s="43" t="str">
        <f>IF(IFERROR(INDEX(Consulta!$A:$DN,MATCH($C44,Consulta!$D:$D,0),J$2),"")=0,"",IFERROR(INDEX(Consulta!$A:$DN,MATCH($C44,Consulta!$D:$D,0),J$2),""))</f>
        <v/>
      </c>
      <c r="K44" s="44" t="s">
        <v>999</v>
      </c>
      <c r="L44" s="61"/>
      <c r="M44" s="43" t="str">
        <f t="shared" si="1"/>
        <v/>
      </c>
    </row>
    <row r="45" spans="1:13" x14ac:dyDescent="0.2">
      <c r="A45" s="7" t="str">
        <f t="shared" si="0"/>
        <v>Execução 41</v>
      </c>
      <c r="B45" s="42"/>
      <c r="C45" s="84" t="str">
        <f>IFERROR(VLOOKUP(B45,'ZM01'!B:C,2,0),"")</f>
        <v/>
      </c>
      <c r="D45" s="49" t="str">
        <f>IFERROR(VLOOKUP(B45,'ZM01'!B:J,9,0),"")</f>
        <v/>
      </c>
      <c r="E45" s="43" t="str">
        <f>IFERROR(INDEX('Listas de Dados'!$BU:$BU,MATCH(INDEX('ZM01'!DH:DH,MATCH(B45,'ZM01'!B:B,0)),'Listas de Dados'!$BW:$BW,0)),"")</f>
        <v/>
      </c>
      <c r="F45" s="43" t="str">
        <f>IFERROR(INDEX('ZM01'!DH:DH,MATCH(B45,'ZM01'!B:B,0)),"")</f>
        <v/>
      </c>
      <c r="G45" s="44" t="s">
        <v>992</v>
      </c>
      <c r="H45" s="44">
        <v>1000</v>
      </c>
      <c r="I45" s="43" t="str">
        <f>IF(IFERROR(INDEX(Consulta!$A:$DN,MATCH($C45,Consulta!$D:$D,0),I$2),"")=0,"",IFERROR(INDEX(Consulta!$A:$DN,MATCH($C45,Consulta!$D:$D,0),I$2),""))</f>
        <v/>
      </c>
      <c r="J45" s="43" t="str">
        <f>IF(IFERROR(INDEX(Consulta!$A:$DN,MATCH($C45,Consulta!$D:$D,0),J$2),"")=0,"",IFERROR(INDEX(Consulta!$A:$DN,MATCH($C45,Consulta!$D:$D,0),J$2),""))</f>
        <v/>
      </c>
      <c r="K45" s="44" t="s">
        <v>999</v>
      </c>
      <c r="L45" s="61"/>
      <c r="M45" s="43" t="str">
        <f t="shared" si="1"/>
        <v/>
      </c>
    </row>
    <row r="46" spans="1:13" x14ac:dyDescent="0.2">
      <c r="A46" s="7" t="str">
        <f t="shared" si="0"/>
        <v>Execução 42</v>
      </c>
      <c r="B46" s="42"/>
      <c r="C46" s="84" t="str">
        <f>IFERROR(VLOOKUP(B46,'ZM01'!B:C,2,0),"")</f>
        <v/>
      </c>
      <c r="D46" s="49" t="str">
        <f>IFERROR(VLOOKUP(B46,'ZM01'!B:J,9,0),"")</f>
        <v/>
      </c>
      <c r="E46" s="43" t="str">
        <f>IFERROR(INDEX('Listas de Dados'!$BU:$BU,MATCH(INDEX('ZM01'!DH:DH,MATCH(B46,'ZM01'!B:B,0)),'Listas de Dados'!$BW:$BW,0)),"")</f>
        <v/>
      </c>
      <c r="F46" s="43" t="str">
        <f>IFERROR(INDEX('ZM01'!DH:DH,MATCH(B46,'ZM01'!B:B,0)),"")</f>
        <v/>
      </c>
      <c r="G46" s="44" t="s">
        <v>992</v>
      </c>
      <c r="H46" s="44">
        <v>1000</v>
      </c>
      <c r="I46" s="43" t="str">
        <f>IF(IFERROR(INDEX(Consulta!$A:$DN,MATCH($C46,Consulta!$D:$D,0),I$2),"")=0,"",IFERROR(INDEX(Consulta!$A:$DN,MATCH($C46,Consulta!$D:$D,0),I$2),""))</f>
        <v/>
      </c>
      <c r="J46" s="43" t="str">
        <f>IF(IFERROR(INDEX(Consulta!$A:$DN,MATCH($C46,Consulta!$D:$D,0),J$2),"")=0,"",IFERROR(INDEX(Consulta!$A:$DN,MATCH($C46,Consulta!$D:$D,0),J$2),""))</f>
        <v/>
      </c>
      <c r="K46" s="44" t="s">
        <v>999</v>
      </c>
      <c r="L46" s="61"/>
      <c r="M46" s="43" t="str">
        <f t="shared" si="1"/>
        <v/>
      </c>
    </row>
    <row r="47" spans="1:13" x14ac:dyDescent="0.2">
      <c r="A47" s="7" t="str">
        <f t="shared" si="0"/>
        <v>Execução 43</v>
      </c>
      <c r="B47" s="42"/>
      <c r="C47" s="84" t="str">
        <f>IFERROR(VLOOKUP(B47,'ZM01'!B:C,2,0),"")</f>
        <v/>
      </c>
      <c r="D47" s="49" t="str">
        <f>IFERROR(VLOOKUP(B47,'ZM01'!B:J,9,0),"")</f>
        <v/>
      </c>
      <c r="E47" s="43" t="str">
        <f>IFERROR(INDEX('Listas de Dados'!$BU:$BU,MATCH(INDEX('ZM01'!DH:DH,MATCH(B47,'ZM01'!B:B,0)),'Listas de Dados'!$BW:$BW,0)),"")</f>
        <v/>
      </c>
      <c r="F47" s="43" t="str">
        <f>IFERROR(INDEX('ZM01'!DH:DH,MATCH(B47,'ZM01'!B:B,0)),"")</f>
        <v/>
      </c>
      <c r="G47" s="44" t="s">
        <v>992</v>
      </c>
      <c r="H47" s="44">
        <v>1000</v>
      </c>
      <c r="I47" s="43" t="str">
        <f>IF(IFERROR(INDEX(Consulta!$A:$DN,MATCH($C47,Consulta!$D:$D,0),I$2),"")=0,"",IFERROR(INDEX(Consulta!$A:$DN,MATCH($C47,Consulta!$D:$D,0),I$2),""))</f>
        <v/>
      </c>
      <c r="J47" s="43" t="str">
        <f>IF(IFERROR(INDEX(Consulta!$A:$DN,MATCH($C47,Consulta!$D:$D,0),J$2),"")=0,"",IFERROR(INDEX(Consulta!$A:$DN,MATCH($C47,Consulta!$D:$D,0),J$2),""))</f>
        <v/>
      </c>
      <c r="K47" s="44" t="s">
        <v>999</v>
      </c>
      <c r="L47" s="61"/>
      <c r="M47" s="43" t="str">
        <f t="shared" si="1"/>
        <v/>
      </c>
    </row>
    <row r="48" spans="1:13" x14ac:dyDescent="0.2">
      <c r="A48" s="7" t="str">
        <f t="shared" si="0"/>
        <v>Execução 44</v>
      </c>
      <c r="B48" s="42"/>
      <c r="C48" s="84" t="str">
        <f>IFERROR(VLOOKUP(B48,'ZM01'!B:C,2,0),"")</f>
        <v/>
      </c>
      <c r="D48" s="49" t="str">
        <f>IFERROR(VLOOKUP(B48,'ZM01'!B:J,9,0),"")</f>
        <v/>
      </c>
      <c r="E48" s="43" t="str">
        <f>IFERROR(INDEX('Listas de Dados'!$BU:$BU,MATCH(INDEX('ZM01'!DH:DH,MATCH(B48,'ZM01'!B:B,0)),'Listas de Dados'!$BW:$BW,0)),"")</f>
        <v/>
      </c>
      <c r="F48" s="43" t="str">
        <f>IFERROR(INDEX('ZM01'!DH:DH,MATCH(B48,'ZM01'!B:B,0)),"")</f>
        <v/>
      </c>
      <c r="G48" s="44" t="s">
        <v>992</v>
      </c>
      <c r="H48" s="44">
        <v>1000</v>
      </c>
      <c r="I48" s="43" t="str">
        <f>IF(IFERROR(INDEX(Consulta!$A:$DN,MATCH($C48,Consulta!$D:$D,0),I$2),"")=0,"",IFERROR(INDEX(Consulta!$A:$DN,MATCH($C48,Consulta!$D:$D,0),I$2),""))</f>
        <v/>
      </c>
      <c r="J48" s="43" t="str">
        <f>IF(IFERROR(INDEX(Consulta!$A:$DN,MATCH($C48,Consulta!$D:$D,0),J$2),"")=0,"",IFERROR(INDEX(Consulta!$A:$DN,MATCH($C48,Consulta!$D:$D,0),J$2),""))</f>
        <v/>
      </c>
      <c r="K48" s="44" t="s">
        <v>999</v>
      </c>
      <c r="L48" s="61"/>
      <c r="M48" s="43" t="str">
        <f t="shared" si="1"/>
        <v/>
      </c>
    </row>
    <row r="49" spans="1:13" x14ac:dyDescent="0.2">
      <c r="A49" s="7" t="str">
        <f t="shared" si="0"/>
        <v>Execução 45</v>
      </c>
      <c r="B49" s="42"/>
      <c r="C49" s="84" t="str">
        <f>IFERROR(VLOOKUP(B49,'ZM01'!B:C,2,0),"")</f>
        <v/>
      </c>
      <c r="D49" s="49" t="str">
        <f>IFERROR(VLOOKUP(B49,'ZM01'!B:J,9,0),"")</f>
        <v/>
      </c>
      <c r="E49" s="43" t="str">
        <f>IFERROR(INDEX('Listas de Dados'!$BU:$BU,MATCH(INDEX('ZM01'!DH:DH,MATCH(B49,'ZM01'!B:B,0)),'Listas de Dados'!$BW:$BW,0)),"")</f>
        <v/>
      </c>
      <c r="F49" s="43" t="str">
        <f>IFERROR(INDEX('ZM01'!DH:DH,MATCH(B49,'ZM01'!B:B,0)),"")</f>
        <v/>
      </c>
      <c r="G49" s="44" t="s">
        <v>992</v>
      </c>
      <c r="H49" s="44">
        <v>1000</v>
      </c>
      <c r="I49" s="43" t="str">
        <f>IF(IFERROR(INDEX(Consulta!$A:$DN,MATCH($C49,Consulta!$D:$D,0),I$2),"")=0,"",IFERROR(INDEX(Consulta!$A:$DN,MATCH($C49,Consulta!$D:$D,0),I$2),""))</f>
        <v/>
      </c>
      <c r="J49" s="43" t="str">
        <f>IF(IFERROR(INDEX(Consulta!$A:$DN,MATCH($C49,Consulta!$D:$D,0),J$2),"")=0,"",IFERROR(INDEX(Consulta!$A:$DN,MATCH($C49,Consulta!$D:$D,0),J$2),""))</f>
        <v/>
      </c>
      <c r="K49" s="44" t="s">
        <v>999</v>
      </c>
      <c r="L49" s="61"/>
      <c r="M49" s="43" t="str">
        <f t="shared" si="1"/>
        <v/>
      </c>
    </row>
    <row r="50" spans="1:13" x14ac:dyDescent="0.2">
      <c r="A50" s="7" t="str">
        <f t="shared" si="0"/>
        <v>Execução 46</v>
      </c>
      <c r="B50" s="42"/>
      <c r="C50" s="84" t="str">
        <f>IFERROR(VLOOKUP(B50,'ZM01'!B:C,2,0),"")</f>
        <v/>
      </c>
      <c r="D50" s="49" t="str">
        <f>IFERROR(VLOOKUP(B50,'ZM01'!B:J,9,0),"")</f>
        <v/>
      </c>
      <c r="E50" s="43" t="str">
        <f>IFERROR(INDEX('Listas de Dados'!$BU:$BU,MATCH(INDEX('ZM01'!DH:DH,MATCH(B50,'ZM01'!B:B,0)),'Listas de Dados'!$BW:$BW,0)),"")</f>
        <v/>
      </c>
      <c r="F50" s="43" t="str">
        <f>IFERROR(INDEX('ZM01'!DH:DH,MATCH(B50,'ZM01'!B:B,0)),"")</f>
        <v/>
      </c>
      <c r="G50" s="44" t="s">
        <v>992</v>
      </c>
      <c r="H50" s="44">
        <v>1000</v>
      </c>
      <c r="I50" s="43" t="str">
        <f>IF(IFERROR(INDEX(Consulta!$A:$DN,MATCH($C50,Consulta!$D:$D,0),I$2),"")=0,"",IFERROR(INDEX(Consulta!$A:$DN,MATCH($C50,Consulta!$D:$D,0),I$2),""))</f>
        <v/>
      </c>
      <c r="J50" s="43" t="str">
        <f>IF(IFERROR(INDEX(Consulta!$A:$DN,MATCH($C50,Consulta!$D:$D,0),J$2),"")=0,"",IFERROR(INDEX(Consulta!$A:$DN,MATCH($C50,Consulta!$D:$D,0),J$2),""))</f>
        <v/>
      </c>
      <c r="K50" s="44" t="s">
        <v>999</v>
      </c>
      <c r="L50" s="61"/>
      <c r="M50" s="43" t="str">
        <f t="shared" si="1"/>
        <v/>
      </c>
    </row>
    <row r="51" spans="1:13" x14ac:dyDescent="0.2">
      <c r="A51" s="7" t="str">
        <f t="shared" si="0"/>
        <v>Execução 47</v>
      </c>
      <c r="B51" s="42"/>
      <c r="C51" s="84" t="str">
        <f>IFERROR(VLOOKUP(B51,'ZM01'!B:C,2,0),"")</f>
        <v/>
      </c>
      <c r="D51" s="49" t="str">
        <f>IFERROR(VLOOKUP(B51,'ZM01'!B:J,9,0),"")</f>
        <v/>
      </c>
      <c r="E51" s="43" t="str">
        <f>IFERROR(INDEX('Listas de Dados'!$BU:$BU,MATCH(INDEX('ZM01'!DH:DH,MATCH(B51,'ZM01'!B:B,0)),'Listas de Dados'!$BW:$BW,0)),"")</f>
        <v/>
      </c>
      <c r="F51" s="43" t="str">
        <f>IFERROR(INDEX('ZM01'!DH:DH,MATCH(B51,'ZM01'!B:B,0)),"")</f>
        <v/>
      </c>
      <c r="G51" s="44" t="s">
        <v>992</v>
      </c>
      <c r="H51" s="44">
        <v>1000</v>
      </c>
      <c r="I51" s="43" t="str">
        <f>IF(IFERROR(INDEX(Consulta!$A:$DN,MATCH($C51,Consulta!$D:$D,0),I$2),"")=0,"",IFERROR(INDEX(Consulta!$A:$DN,MATCH($C51,Consulta!$D:$D,0),I$2),""))</f>
        <v/>
      </c>
      <c r="J51" s="43" t="str">
        <f>IF(IFERROR(INDEX(Consulta!$A:$DN,MATCH($C51,Consulta!$D:$D,0),J$2),"")=0,"",IFERROR(INDEX(Consulta!$A:$DN,MATCH($C51,Consulta!$D:$D,0),J$2),""))</f>
        <v/>
      </c>
      <c r="K51" s="44" t="s">
        <v>999</v>
      </c>
      <c r="L51" s="61"/>
      <c r="M51" s="43" t="str">
        <f t="shared" si="1"/>
        <v/>
      </c>
    </row>
    <row r="52" spans="1:13" x14ac:dyDescent="0.2">
      <c r="A52" s="7" t="str">
        <f t="shared" si="0"/>
        <v>Execução 48</v>
      </c>
      <c r="B52" s="42"/>
      <c r="C52" s="84" t="str">
        <f>IFERROR(VLOOKUP(B52,'ZM01'!B:C,2,0),"")</f>
        <v/>
      </c>
      <c r="D52" s="49" t="str">
        <f>IFERROR(VLOOKUP(B52,'ZM01'!B:J,9,0),"")</f>
        <v/>
      </c>
      <c r="E52" s="43" t="str">
        <f>IFERROR(INDEX('Listas de Dados'!$BU:$BU,MATCH(INDEX('ZM01'!DH:DH,MATCH(B52,'ZM01'!B:B,0)),'Listas de Dados'!$BW:$BW,0)),"")</f>
        <v/>
      </c>
      <c r="F52" s="43" t="str">
        <f>IFERROR(INDEX('ZM01'!DH:DH,MATCH(B52,'ZM01'!B:B,0)),"")</f>
        <v/>
      </c>
      <c r="G52" s="44" t="s">
        <v>992</v>
      </c>
      <c r="H52" s="44">
        <v>1000</v>
      </c>
      <c r="I52" s="43" t="str">
        <f>IF(IFERROR(INDEX(Consulta!$A:$DN,MATCH($C52,Consulta!$D:$D,0),I$2),"")=0,"",IFERROR(INDEX(Consulta!$A:$DN,MATCH($C52,Consulta!$D:$D,0),I$2),""))</f>
        <v/>
      </c>
      <c r="J52" s="43" t="str">
        <f>IF(IFERROR(INDEX(Consulta!$A:$DN,MATCH($C52,Consulta!$D:$D,0),J$2),"")=0,"",IFERROR(INDEX(Consulta!$A:$DN,MATCH($C52,Consulta!$D:$D,0),J$2),""))</f>
        <v/>
      </c>
      <c r="K52" s="44" t="s">
        <v>999</v>
      </c>
      <c r="L52" s="61"/>
      <c r="M52" s="43" t="str">
        <f t="shared" si="1"/>
        <v/>
      </c>
    </row>
    <row r="53" spans="1:13" x14ac:dyDescent="0.2">
      <c r="A53" s="7" t="str">
        <f t="shared" si="0"/>
        <v>Execução 49</v>
      </c>
      <c r="B53" s="42"/>
      <c r="C53" s="84" t="str">
        <f>IFERROR(VLOOKUP(B53,'ZM01'!B:C,2,0),"")</f>
        <v/>
      </c>
      <c r="D53" s="49" t="str">
        <f>IFERROR(VLOOKUP(B53,'ZM01'!B:J,9,0),"")</f>
        <v/>
      </c>
      <c r="E53" s="43" t="str">
        <f>IFERROR(INDEX('Listas de Dados'!$BU:$BU,MATCH(INDEX('ZM01'!DH:DH,MATCH(B53,'ZM01'!B:B,0)),'Listas de Dados'!$BW:$BW,0)),"")</f>
        <v/>
      </c>
      <c r="F53" s="43" t="str">
        <f>IFERROR(INDEX('ZM01'!DH:DH,MATCH(B53,'ZM01'!B:B,0)),"")</f>
        <v/>
      </c>
      <c r="G53" s="44" t="s">
        <v>992</v>
      </c>
      <c r="H53" s="44">
        <v>1000</v>
      </c>
      <c r="I53" s="43" t="str">
        <f>IF(IFERROR(INDEX(Consulta!$A:$DN,MATCH($C53,Consulta!$D:$D,0),I$2),"")=0,"",IFERROR(INDEX(Consulta!$A:$DN,MATCH($C53,Consulta!$D:$D,0),I$2),""))</f>
        <v/>
      </c>
      <c r="J53" s="43" t="str">
        <f>IF(IFERROR(INDEX(Consulta!$A:$DN,MATCH($C53,Consulta!$D:$D,0),J$2),"")=0,"",IFERROR(INDEX(Consulta!$A:$DN,MATCH($C53,Consulta!$D:$D,0),J$2),""))</f>
        <v/>
      </c>
      <c r="K53" s="44" t="s">
        <v>999</v>
      </c>
      <c r="L53" s="61"/>
      <c r="M53" s="43" t="str">
        <f t="shared" si="1"/>
        <v/>
      </c>
    </row>
    <row r="54" spans="1:13" x14ac:dyDescent="0.2">
      <c r="A54" s="7" t="str">
        <f t="shared" si="0"/>
        <v>Execução 50</v>
      </c>
      <c r="B54" s="42"/>
      <c r="C54" s="84" t="str">
        <f>IFERROR(VLOOKUP(B54,'ZM01'!B:C,2,0),"")</f>
        <v/>
      </c>
      <c r="D54" s="49" t="str">
        <f>IFERROR(VLOOKUP(B54,'ZM01'!B:J,9,0),"")</f>
        <v/>
      </c>
      <c r="E54" s="43" t="str">
        <f>IFERROR(INDEX('Listas de Dados'!$BU:$BU,MATCH(INDEX('ZM01'!DH:DH,MATCH(B54,'ZM01'!B:B,0)),'Listas de Dados'!$BW:$BW,0)),"")</f>
        <v/>
      </c>
      <c r="F54" s="43" t="str">
        <f>IFERROR(INDEX('ZM01'!DH:DH,MATCH(B54,'ZM01'!B:B,0)),"")</f>
        <v/>
      </c>
      <c r="G54" s="44" t="s">
        <v>992</v>
      </c>
      <c r="H54" s="44">
        <v>1000</v>
      </c>
      <c r="I54" s="43" t="str">
        <f>IF(IFERROR(INDEX(Consulta!$A:$DN,MATCH($C54,Consulta!$D:$D,0),I$2),"")=0,"",IFERROR(INDEX(Consulta!$A:$DN,MATCH($C54,Consulta!$D:$D,0),I$2),""))</f>
        <v/>
      </c>
      <c r="J54" s="43" t="str">
        <f>IF(IFERROR(INDEX(Consulta!$A:$DN,MATCH($C54,Consulta!$D:$D,0),J$2),"")=0,"",IFERROR(INDEX(Consulta!$A:$DN,MATCH($C54,Consulta!$D:$D,0),J$2),""))</f>
        <v/>
      </c>
      <c r="K54" s="44" t="s">
        <v>999</v>
      </c>
      <c r="L54" s="62"/>
      <c r="M54" s="43" t="str">
        <f t="shared" si="1"/>
        <v/>
      </c>
    </row>
  </sheetData>
  <conditionalFormatting sqref="B5:C5 C6:C54">
    <cfRule type="beginsWith" dxfId="49" priority="68" operator="beginsWith" text="L">
      <formula>LEFT(B5,LEN("L"))="L"</formula>
    </cfRule>
  </conditionalFormatting>
  <conditionalFormatting sqref="B6:B14">
    <cfRule type="beginsWith" dxfId="48" priority="52" operator="beginsWith" text="L">
      <formula>LEFT(B6,LEN("L"))="L"</formula>
    </cfRule>
  </conditionalFormatting>
  <conditionalFormatting sqref="B15:B54">
    <cfRule type="beginsWith" dxfId="47" priority="38" operator="beginsWith" text="L">
      <formula>LEFT(B15,LEN("L"))="L"</formula>
    </cfRule>
  </conditionalFormatting>
  <conditionalFormatting sqref="L1:L1048576">
    <cfRule type="containsText" dxfId="46" priority="13" operator="containsText" text="criadas">
      <formula>NOT(ISERROR(SEARCH("criadas",L1)))</formula>
    </cfRule>
    <cfRule type="containsText" dxfId="45" priority="14" operator="containsText" text="é gravado">
      <formula>NOT(ISERROR(SEARCH("é gravado",L1)))</formula>
    </cfRule>
    <cfRule type="containsText" dxfId="44" priority="15" operator="containsText" text="é modificado">
      <formula>NOT(ISERROR(SEARCH("é modificado",L1)))</formula>
    </cfRule>
    <cfRule type="containsText" dxfId="43" priority="16" operator="containsText" text="Error">
      <formula>NOT(ISERROR(SEARCH("Error",L1)))</formula>
    </cfRule>
    <cfRule type="containsText" dxfId="42" priority="17" operator="containsText" text="é criado">
      <formula>NOT(ISERROR(SEARCH("é criado",L1)))</formula>
    </cfRule>
  </conditionalFormatting>
  <conditionalFormatting sqref="G5:G54">
    <cfRule type="beginsWith" dxfId="41" priority="12" operator="beginsWith" text="L">
      <formula>LEFT(G5,LEN("L"))="L"</formula>
    </cfRule>
  </conditionalFormatting>
  <conditionalFormatting sqref="H5:H54">
    <cfRule type="beginsWith" dxfId="40" priority="11" operator="beginsWith" text="L">
      <formula>LEFT(H5,LEN("L"))="L"</formula>
    </cfRule>
  </conditionalFormatting>
  <conditionalFormatting sqref="K5:K54">
    <cfRule type="beginsWith" dxfId="39" priority="9" operator="beginsWith" text="L">
      <formula>LEFT(K5,LEN("L"))="L"</formula>
    </cfRule>
  </conditionalFormatting>
  <conditionalFormatting sqref="I5:I54">
    <cfRule type="beginsWith" dxfId="38" priority="6" operator="beginsWith" text="L">
      <formula>LEFT(I5,LEN("L"))="L"</formula>
    </cfRule>
  </conditionalFormatting>
  <conditionalFormatting sqref="J5:J54">
    <cfRule type="beginsWith" dxfId="37" priority="2" operator="beginsWith" text="L">
      <formula>LEFT(J5,LEN("L"))="L"</formula>
    </cfRule>
  </conditionalFormatting>
  <conditionalFormatting sqref="M5:M54">
    <cfRule type="beginsWith" dxfId="36" priority="1" operator="beginsWith" text="L">
      <formula>LEFT(M5,LEN("L"))="L"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5" name="Button 5">
              <controlPr defaultSize="0" print="0" autoFill="0" autoPict="0" macro="[0]!LoadFromZ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'Listas de Dados'!$B$4:$B$5</xm:f>
          </x14:formula1>
          <xm:sqref>D5:D54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7">
    <tabColor theme="4" tint="0.79998168889431442"/>
  </sheetPr>
  <dimension ref="A1:L5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45.7109375" style="6" customWidth="1"/>
    <col min="4" max="4" width="17.5703125" style="6" customWidth="1"/>
    <col min="5" max="5" width="21.85546875" style="6" hidden="1" customWidth="1"/>
    <col min="6" max="6" width="23.42578125" style="6" hidden="1" customWidth="1"/>
    <col min="7" max="7" width="21" style="6" customWidth="1"/>
    <col min="8" max="8" width="20.7109375" style="6" customWidth="1"/>
    <col min="9" max="11" width="20.28515625" style="6" customWidth="1"/>
    <col min="12" max="12" width="75.7109375" style="1" customWidth="1"/>
    <col min="13" max="13" width="22" style="1" customWidth="1"/>
    <col min="14" max="16384" width="9.140625" style="1"/>
  </cols>
  <sheetData>
    <row r="1" spans="1:12" s="80" customFormat="1" x14ac:dyDescent="0.2">
      <c r="A1" s="7" t="s">
        <v>28</v>
      </c>
    </row>
    <row r="2" spans="1:12" s="41" customFormat="1" x14ac:dyDescent="0.2">
      <c r="A2" s="7"/>
      <c r="B2" s="40"/>
      <c r="C2" s="40"/>
      <c r="D2" s="80"/>
      <c r="E2" s="80"/>
      <c r="F2" s="80"/>
      <c r="G2" s="80">
        <v>27</v>
      </c>
      <c r="H2" s="80"/>
      <c r="I2" s="80">
        <f>IF(OR(LEFT(G5,4)="M058",LEFT(G5,4)="F058",LEFT(G5,4)="D058"),31,30)</f>
        <v>30</v>
      </c>
      <c r="J2" s="80"/>
      <c r="K2" s="80">
        <v>29</v>
      </c>
    </row>
    <row r="3" spans="1:12" s="80" customFormat="1" ht="15" customHeight="1" x14ac:dyDescent="0.2">
      <c r="A3" s="7" t="s">
        <v>29</v>
      </c>
      <c r="B3" s="4" t="s">
        <v>1002</v>
      </c>
      <c r="C3" s="81"/>
      <c r="D3" s="81" t="s">
        <v>1003</v>
      </c>
      <c r="E3" s="81" t="s">
        <v>1004</v>
      </c>
      <c r="F3" s="81" t="s">
        <v>1006</v>
      </c>
      <c r="G3" s="81" t="s">
        <v>1009</v>
      </c>
      <c r="H3" s="81" t="s">
        <v>1011</v>
      </c>
      <c r="I3" s="81" t="s">
        <v>1012</v>
      </c>
      <c r="J3" s="81"/>
      <c r="K3" s="81" t="s">
        <v>1014</v>
      </c>
      <c r="L3" s="80" t="s">
        <v>32</v>
      </c>
    </row>
    <row r="4" spans="1:12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0</v>
      </c>
      <c r="E4" s="14" t="s">
        <v>1005</v>
      </c>
      <c r="F4" s="14" t="s">
        <v>1007</v>
      </c>
      <c r="G4" s="14" t="s">
        <v>1010</v>
      </c>
      <c r="H4" s="14" t="s">
        <v>1021</v>
      </c>
      <c r="I4" s="14" t="s">
        <v>1013</v>
      </c>
      <c r="J4" s="14" t="s">
        <v>1022</v>
      </c>
      <c r="K4" s="14" t="s">
        <v>1015</v>
      </c>
      <c r="L4" s="5" t="s">
        <v>908</v>
      </c>
    </row>
    <row r="5" spans="1:12" x14ac:dyDescent="0.2">
      <c r="A5" s="7" t="str">
        <f>"Execução "&amp;ROW()-4</f>
        <v>Execução 1</v>
      </c>
      <c r="B5" s="42"/>
      <c r="C5" s="84" t="str">
        <f>IFERROR(VLOOKUP(B5,'ZM01'!B:C,2,0),"")</f>
        <v/>
      </c>
      <c r="D5" s="49" t="str">
        <f>IFERROR(VLOOKUP(B5,'ZM01'!B:J,9,0),"")</f>
        <v/>
      </c>
      <c r="E5" s="44">
        <v>1</v>
      </c>
      <c r="F5" s="44" t="s">
        <v>1008</v>
      </c>
      <c r="G5" s="43" t="str">
        <f>IF(IFERROR(INDEX(Consulta!$A:$DN,MATCH($C5,Consulta!$D:$D,0),G$2),"")=0,"",IFERROR(INDEX(Consulta!$A:$DN,MATCH($C5,Consulta!$D:$D,0),G$2),""))</f>
        <v/>
      </c>
      <c r="H5" s="44" t="s">
        <v>1020</v>
      </c>
      <c r="I5" s="43" t="str">
        <f>IF(IFERROR(INDEX(Consulta!$A:$DN,MATCH($C5,Consulta!$D:$D,0),IF(OR(LEFT(G5,4)="M058",LEFT(G5,4)="F058",LEFT(G5,4)="D058"),31,30)),"")=0,"",IFERROR(ROUND(INDEX(Consulta!$A:$DN,MATCH($C5,Consulta!$D:$D,0),IF(OR(LEFT(G5,4)="M058",LEFT(G5,4)="F058",LEFT(G5,4)="D058"),31,30)),2),""))</f>
        <v/>
      </c>
      <c r="J5" s="43" t="str">
        <f>IF(I5="","",IF(OR(LEFT(G5,4)="M058",LEFT(G5,4)="F058",LEFT(G5,4)="D058"),"PC","M"))</f>
        <v/>
      </c>
      <c r="K5" s="43" t="str">
        <f>IF(IFERROR(INDEX(Consulta!$A:$DN,MATCH($C5,Consulta!$D:$D,0),K$2),"")=0,"",IFERROR(INDEX(Consulta!$A:$DN,MATCH($C5,Consulta!$D:$D,0),K$2),""))</f>
        <v/>
      </c>
      <c r="L5" s="65"/>
    </row>
    <row r="6" spans="1:12" x14ac:dyDescent="0.2">
      <c r="A6" s="7" t="str">
        <f t="shared" ref="A6:A54" si="0">"Execução "&amp;ROW()-4</f>
        <v>Execução 2</v>
      </c>
      <c r="B6" s="42"/>
      <c r="C6" s="84" t="str">
        <f>IFERROR(VLOOKUP(B6,'ZM01'!B:C,2,0),"")</f>
        <v/>
      </c>
      <c r="D6" s="49" t="str">
        <f>IFERROR(VLOOKUP(B6,'ZM01'!B:J,9,0),"")</f>
        <v/>
      </c>
      <c r="E6" s="44">
        <v>1</v>
      </c>
      <c r="F6" s="44" t="s">
        <v>1008</v>
      </c>
      <c r="G6" s="43" t="str">
        <f>IF(IFERROR(INDEX(Consulta!$A:$DN,MATCH($C6,Consulta!$D:$D,0),G$2),"")=0,"",IFERROR(INDEX(Consulta!$A:$DN,MATCH($C6,Consulta!$D:$D,0),G$2),""))</f>
        <v/>
      </c>
      <c r="H6" s="44" t="s">
        <v>1020</v>
      </c>
      <c r="I6" s="43" t="str">
        <f>IF(IFERROR(INDEX(Consulta!$A:$DN,MATCH($C6,Consulta!$D:$D,0),IF(OR(LEFT(G6,4)="M058",LEFT(G6,4)="F058",LEFT(G6,4)="D058"),31,30)),"")=0,"",IFERROR(ROUND(INDEX(Consulta!$A:$DN,MATCH($C6,Consulta!$D:$D,0),IF(OR(LEFT(G6,4)="M058",LEFT(G6,4)="F058",LEFT(G6,4)="D058"),31,30)),2),""))</f>
        <v/>
      </c>
      <c r="J6" s="43" t="str">
        <f t="shared" ref="J6:J54" si="1">IF(I6="","",IF(OR(LEFT(G6,4)="M058",LEFT(G6,4)="F058",LEFT(G6,4)="D058"),"PC","M"))</f>
        <v/>
      </c>
      <c r="K6" s="43" t="str">
        <f>IF(IFERROR(INDEX(Consulta!$A:$DN,MATCH($C6,Consulta!$D:$D,0),K$2),"")=0,"",IFERROR(INDEX(Consulta!$A:$DN,MATCH($C6,Consulta!$D:$D,0),K$2),""))</f>
        <v/>
      </c>
      <c r="L6" s="66"/>
    </row>
    <row r="7" spans="1:12" x14ac:dyDescent="0.2">
      <c r="A7" s="7" t="str">
        <f t="shared" si="0"/>
        <v>Execução 3</v>
      </c>
      <c r="B7" s="42"/>
      <c r="C7" s="84" t="str">
        <f>IFERROR(VLOOKUP(B7,'ZM01'!B:C,2,0),"")</f>
        <v/>
      </c>
      <c r="D7" s="49" t="str">
        <f>IFERROR(VLOOKUP(B7,'ZM01'!B:J,9,0),"")</f>
        <v/>
      </c>
      <c r="E7" s="44">
        <v>1</v>
      </c>
      <c r="F7" s="44" t="s">
        <v>1008</v>
      </c>
      <c r="G7" s="43" t="str">
        <f>IF(IFERROR(INDEX(Consulta!$A:$DN,MATCH($C7,Consulta!$D:$D,0),G$2),"")=0,"",IFERROR(INDEX(Consulta!$A:$DN,MATCH($C7,Consulta!$D:$D,0),G$2),""))</f>
        <v/>
      </c>
      <c r="H7" s="44" t="s">
        <v>1020</v>
      </c>
      <c r="I7" s="43" t="str">
        <f>IF(IFERROR(INDEX(Consulta!$A:$DN,MATCH($C7,Consulta!$D:$D,0),IF(OR(LEFT(G7,4)="M058",LEFT(G7,4)="F058",LEFT(G7,4)="D058"),31,30)),"")=0,"",IFERROR(ROUND(INDEX(Consulta!$A:$DN,MATCH($C7,Consulta!$D:$D,0),IF(OR(LEFT(G7,4)="M058",LEFT(G7,4)="F058",LEFT(G7,4)="D058"),31,30)),2),""))</f>
        <v/>
      </c>
      <c r="J7" s="43" t="str">
        <f t="shared" si="1"/>
        <v/>
      </c>
      <c r="K7" s="43" t="str">
        <f>IF(IFERROR(INDEX(Consulta!$A:$DN,MATCH($C7,Consulta!$D:$D,0),K$2),"")=0,"",IFERROR(INDEX(Consulta!$A:$DN,MATCH($C7,Consulta!$D:$D,0),K$2),""))</f>
        <v/>
      </c>
      <c r="L7" s="66"/>
    </row>
    <row r="8" spans="1:12" x14ac:dyDescent="0.2">
      <c r="A8" s="7" t="str">
        <f t="shared" si="0"/>
        <v>Execução 4</v>
      </c>
      <c r="B8" s="42"/>
      <c r="C8" s="84" t="str">
        <f>IFERROR(VLOOKUP(B8,'ZM01'!B:C,2,0),"")</f>
        <v/>
      </c>
      <c r="D8" s="49" t="str">
        <f>IFERROR(VLOOKUP(B8,'ZM01'!B:J,9,0),"")</f>
        <v/>
      </c>
      <c r="E8" s="44">
        <v>1</v>
      </c>
      <c r="F8" s="44" t="s">
        <v>1008</v>
      </c>
      <c r="G8" s="43" t="str">
        <f>IF(IFERROR(INDEX(Consulta!$A:$DN,MATCH($C8,Consulta!$D:$D,0),G$2),"")=0,"",IFERROR(INDEX(Consulta!$A:$DN,MATCH($C8,Consulta!$D:$D,0),G$2),""))</f>
        <v/>
      </c>
      <c r="H8" s="44" t="s">
        <v>1020</v>
      </c>
      <c r="I8" s="43" t="str">
        <f>IF(IFERROR(INDEX(Consulta!$A:$DN,MATCH($C8,Consulta!$D:$D,0),IF(OR(LEFT(G8,4)="M058",LEFT(G8,4)="F058",LEFT(G8,4)="D058"),31,30)),"")=0,"",IFERROR(ROUND(INDEX(Consulta!$A:$DN,MATCH($C8,Consulta!$D:$D,0),IF(OR(LEFT(G8,4)="M058",LEFT(G8,4)="F058",LEFT(G8,4)="D058"),31,30)),2),""))</f>
        <v/>
      </c>
      <c r="J8" s="43" t="str">
        <f t="shared" si="1"/>
        <v/>
      </c>
      <c r="K8" s="43" t="str">
        <f>IF(IFERROR(INDEX(Consulta!$A:$DN,MATCH($C8,Consulta!$D:$D,0),K$2),"")=0,"",IFERROR(INDEX(Consulta!$A:$DN,MATCH($C8,Consulta!$D:$D,0),K$2),""))</f>
        <v/>
      </c>
      <c r="L8" s="66"/>
    </row>
    <row r="9" spans="1:12" x14ac:dyDescent="0.2">
      <c r="A9" s="7" t="str">
        <f t="shared" si="0"/>
        <v>Execução 5</v>
      </c>
      <c r="B9" s="42"/>
      <c r="C9" s="84" t="str">
        <f>IFERROR(VLOOKUP(B9,'ZM01'!B:C,2,0),"")</f>
        <v/>
      </c>
      <c r="D9" s="49" t="str">
        <f>IFERROR(VLOOKUP(B9,'ZM01'!B:J,9,0),"")</f>
        <v/>
      </c>
      <c r="E9" s="44">
        <v>1</v>
      </c>
      <c r="F9" s="44" t="s">
        <v>1008</v>
      </c>
      <c r="G9" s="43" t="str">
        <f>IF(IFERROR(INDEX(Consulta!$A:$DN,MATCH($C9,Consulta!$D:$D,0),G$2),"")=0,"",IFERROR(INDEX(Consulta!$A:$DN,MATCH($C9,Consulta!$D:$D,0),G$2),""))</f>
        <v/>
      </c>
      <c r="H9" s="44" t="s">
        <v>1020</v>
      </c>
      <c r="I9" s="43" t="str">
        <f>IF(IFERROR(INDEX(Consulta!$A:$DN,MATCH($C9,Consulta!$D:$D,0),IF(OR(LEFT(G9,4)="M058",LEFT(G9,4)="F058",LEFT(G9,4)="D058"),31,30)),"")=0,"",IFERROR(ROUND(INDEX(Consulta!$A:$DN,MATCH($C9,Consulta!$D:$D,0),IF(OR(LEFT(G9,4)="M058",LEFT(G9,4)="F058",LEFT(G9,4)="D058"),31,30)),2),""))</f>
        <v/>
      </c>
      <c r="J9" s="43" t="str">
        <f t="shared" si="1"/>
        <v/>
      </c>
      <c r="K9" s="43" t="str">
        <f>IF(IFERROR(INDEX(Consulta!$A:$DN,MATCH($C9,Consulta!$D:$D,0),K$2),"")=0,"",IFERROR(INDEX(Consulta!$A:$DN,MATCH($C9,Consulta!$D:$D,0),K$2),""))</f>
        <v/>
      </c>
      <c r="L9" s="66"/>
    </row>
    <row r="10" spans="1:12" x14ac:dyDescent="0.2">
      <c r="A10" s="7" t="str">
        <f t="shared" si="0"/>
        <v>Execução 6</v>
      </c>
      <c r="B10" s="42"/>
      <c r="C10" s="84" t="str">
        <f>IFERROR(VLOOKUP(B10,'ZM01'!B:C,2,0),"")</f>
        <v/>
      </c>
      <c r="D10" s="49" t="str">
        <f>IFERROR(VLOOKUP(B10,'ZM01'!B:J,9,0),"")</f>
        <v/>
      </c>
      <c r="E10" s="44">
        <v>1</v>
      </c>
      <c r="F10" s="44" t="s">
        <v>1008</v>
      </c>
      <c r="G10" s="43" t="str">
        <f>IF(IFERROR(INDEX(Consulta!$A:$DN,MATCH($C10,Consulta!$D:$D,0),G$2),"")=0,"",IFERROR(INDEX(Consulta!$A:$DN,MATCH($C10,Consulta!$D:$D,0),G$2),""))</f>
        <v/>
      </c>
      <c r="H10" s="44" t="s">
        <v>1020</v>
      </c>
      <c r="I10" s="43" t="str">
        <f>IF(IFERROR(INDEX(Consulta!$A:$DN,MATCH($C10,Consulta!$D:$D,0),IF(OR(LEFT(G10,4)="M058",LEFT(G10,4)="F058",LEFT(G10,4)="D058"),31,30)),"")=0,"",IFERROR(ROUND(INDEX(Consulta!$A:$DN,MATCH($C10,Consulta!$D:$D,0),IF(OR(LEFT(G10,4)="M058",LEFT(G10,4)="F058",LEFT(G10,4)="D058"),31,30)),2),""))</f>
        <v/>
      </c>
      <c r="J10" s="43" t="str">
        <f t="shared" si="1"/>
        <v/>
      </c>
      <c r="K10" s="43" t="str">
        <f>IF(IFERROR(INDEX(Consulta!$A:$DN,MATCH($C10,Consulta!$D:$D,0),K$2),"")=0,"",IFERROR(INDEX(Consulta!$A:$DN,MATCH($C10,Consulta!$D:$D,0),K$2),""))</f>
        <v/>
      </c>
      <c r="L10" s="66"/>
    </row>
    <row r="11" spans="1:12" x14ac:dyDescent="0.2">
      <c r="A11" s="7" t="str">
        <f t="shared" si="0"/>
        <v>Execução 7</v>
      </c>
      <c r="B11" s="42"/>
      <c r="C11" s="84" t="str">
        <f>IFERROR(VLOOKUP(B11,'ZM01'!B:C,2,0),"")</f>
        <v/>
      </c>
      <c r="D11" s="49" t="str">
        <f>IFERROR(VLOOKUP(B11,'ZM01'!B:J,9,0),"")</f>
        <v/>
      </c>
      <c r="E11" s="44">
        <v>1</v>
      </c>
      <c r="F11" s="44" t="s">
        <v>1008</v>
      </c>
      <c r="G11" s="43" t="str">
        <f>IF(IFERROR(INDEX(Consulta!$A:$DN,MATCH($C11,Consulta!$D:$D,0),G$2),"")=0,"",IFERROR(INDEX(Consulta!$A:$DN,MATCH($C11,Consulta!$D:$D,0),G$2),""))</f>
        <v/>
      </c>
      <c r="H11" s="44" t="s">
        <v>1020</v>
      </c>
      <c r="I11" s="43" t="str">
        <f>IF(IFERROR(INDEX(Consulta!$A:$DN,MATCH($C11,Consulta!$D:$D,0),IF(OR(LEFT(G11,4)="M058",LEFT(G11,4)="F058",LEFT(G11,4)="D058"),31,30)),"")=0,"",IFERROR(ROUND(INDEX(Consulta!$A:$DN,MATCH($C11,Consulta!$D:$D,0),IF(OR(LEFT(G11,4)="M058",LEFT(G11,4)="F058",LEFT(G11,4)="D058"),31,30)),2),""))</f>
        <v/>
      </c>
      <c r="J11" s="43" t="str">
        <f t="shared" si="1"/>
        <v/>
      </c>
      <c r="K11" s="43" t="str">
        <f>IF(IFERROR(INDEX(Consulta!$A:$DN,MATCH($C11,Consulta!$D:$D,0),K$2),"")=0,"",IFERROR(INDEX(Consulta!$A:$DN,MATCH($C11,Consulta!$D:$D,0),K$2),""))</f>
        <v/>
      </c>
      <c r="L11" s="66"/>
    </row>
    <row r="12" spans="1:12" x14ac:dyDescent="0.2">
      <c r="A12" s="7" t="str">
        <f t="shared" si="0"/>
        <v>Execução 8</v>
      </c>
      <c r="B12" s="42"/>
      <c r="C12" s="84" t="str">
        <f>IFERROR(VLOOKUP(B12,'ZM01'!B:C,2,0),"")</f>
        <v/>
      </c>
      <c r="D12" s="49" t="str">
        <f>IFERROR(VLOOKUP(B12,'ZM01'!B:J,9,0),"")</f>
        <v/>
      </c>
      <c r="E12" s="44">
        <v>1</v>
      </c>
      <c r="F12" s="44" t="s">
        <v>1008</v>
      </c>
      <c r="G12" s="43" t="str">
        <f>IF(IFERROR(INDEX(Consulta!$A:$DN,MATCH($C12,Consulta!$D:$D,0),G$2),"")=0,"",IFERROR(INDEX(Consulta!$A:$DN,MATCH($C12,Consulta!$D:$D,0),G$2),""))</f>
        <v/>
      </c>
      <c r="H12" s="44" t="s">
        <v>1020</v>
      </c>
      <c r="I12" s="43" t="str">
        <f>IF(IFERROR(INDEX(Consulta!$A:$DN,MATCH($C12,Consulta!$D:$D,0),IF(OR(LEFT(G12,4)="M058",LEFT(G12,4)="F058",LEFT(G12,4)="D058"),31,30)),"")=0,"",IFERROR(ROUND(INDEX(Consulta!$A:$DN,MATCH($C12,Consulta!$D:$D,0),IF(OR(LEFT(G12,4)="M058",LEFT(G12,4)="F058",LEFT(G12,4)="D058"),31,30)),2),""))</f>
        <v/>
      </c>
      <c r="J12" s="43" t="str">
        <f t="shared" si="1"/>
        <v/>
      </c>
      <c r="K12" s="43" t="str">
        <f>IF(IFERROR(INDEX(Consulta!$A:$DN,MATCH($C12,Consulta!$D:$D,0),K$2),"")=0,"",IFERROR(INDEX(Consulta!$A:$DN,MATCH($C12,Consulta!$D:$D,0),K$2),""))</f>
        <v/>
      </c>
      <c r="L12" s="66"/>
    </row>
    <row r="13" spans="1:12" x14ac:dyDescent="0.2">
      <c r="A13" s="7" t="str">
        <f t="shared" si="0"/>
        <v>Execução 9</v>
      </c>
      <c r="B13" s="42"/>
      <c r="C13" s="84" t="str">
        <f>IFERROR(VLOOKUP(B13,'ZM01'!B:C,2,0),"")</f>
        <v/>
      </c>
      <c r="D13" s="49" t="str">
        <f>IFERROR(VLOOKUP(B13,'ZM01'!B:J,9,0),"")</f>
        <v/>
      </c>
      <c r="E13" s="44">
        <v>1</v>
      </c>
      <c r="F13" s="44" t="s">
        <v>1008</v>
      </c>
      <c r="G13" s="43" t="str">
        <f>IF(IFERROR(INDEX(Consulta!$A:$DN,MATCH($C13,Consulta!$D:$D,0),G$2),"")=0,"",IFERROR(INDEX(Consulta!$A:$DN,MATCH($C13,Consulta!$D:$D,0),G$2),""))</f>
        <v/>
      </c>
      <c r="H13" s="44" t="s">
        <v>1020</v>
      </c>
      <c r="I13" s="43" t="str">
        <f>IF(IFERROR(INDEX(Consulta!$A:$DN,MATCH($C13,Consulta!$D:$D,0),IF(OR(LEFT(G13,4)="M058",LEFT(G13,4)="F058",LEFT(G13,4)="D058"),31,30)),"")=0,"",IFERROR(ROUND(INDEX(Consulta!$A:$DN,MATCH($C13,Consulta!$D:$D,0),IF(OR(LEFT(G13,4)="M058",LEFT(G13,4)="F058",LEFT(G13,4)="D058"),31,30)),2),""))</f>
        <v/>
      </c>
      <c r="J13" s="43" t="str">
        <f t="shared" si="1"/>
        <v/>
      </c>
      <c r="K13" s="43" t="str">
        <f>IF(IFERROR(INDEX(Consulta!$A:$DN,MATCH($C13,Consulta!$D:$D,0),K$2),"")=0,"",IFERROR(INDEX(Consulta!$A:$DN,MATCH($C13,Consulta!$D:$D,0),K$2),""))</f>
        <v/>
      </c>
      <c r="L13" s="66"/>
    </row>
    <row r="14" spans="1:12" x14ac:dyDescent="0.2">
      <c r="A14" s="7" t="str">
        <f t="shared" si="0"/>
        <v>Execução 10</v>
      </c>
      <c r="B14" s="42"/>
      <c r="C14" s="84" t="str">
        <f>IFERROR(VLOOKUP(B14,'ZM01'!B:C,2,0),"")</f>
        <v/>
      </c>
      <c r="D14" s="49" t="str">
        <f>IFERROR(VLOOKUP(B14,'ZM01'!B:J,9,0),"")</f>
        <v/>
      </c>
      <c r="E14" s="44">
        <v>1</v>
      </c>
      <c r="F14" s="44" t="s">
        <v>1008</v>
      </c>
      <c r="G14" s="43" t="str">
        <f>IF(IFERROR(INDEX(Consulta!$A:$DN,MATCH($C14,Consulta!$D:$D,0),G$2),"")=0,"",IFERROR(INDEX(Consulta!$A:$DN,MATCH($C14,Consulta!$D:$D,0),G$2),""))</f>
        <v/>
      </c>
      <c r="H14" s="44" t="s">
        <v>1020</v>
      </c>
      <c r="I14" s="43" t="str">
        <f>IF(IFERROR(INDEX(Consulta!$A:$DN,MATCH($C14,Consulta!$D:$D,0),IF(OR(LEFT(G14,4)="M058",LEFT(G14,4)="F058",LEFT(G14,4)="D058"),31,30)),"")=0,"",IFERROR(ROUND(INDEX(Consulta!$A:$DN,MATCH($C14,Consulta!$D:$D,0),IF(OR(LEFT(G14,4)="M058",LEFT(G14,4)="F058",LEFT(G14,4)="D058"),31,30)),2),""))</f>
        <v/>
      </c>
      <c r="J14" s="43" t="str">
        <f t="shared" si="1"/>
        <v/>
      </c>
      <c r="K14" s="43" t="str">
        <f>IF(IFERROR(INDEX(Consulta!$A:$DN,MATCH($C14,Consulta!$D:$D,0),K$2),"")=0,"",IFERROR(INDEX(Consulta!$A:$DN,MATCH($C14,Consulta!$D:$D,0),K$2),""))</f>
        <v/>
      </c>
      <c r="L14" s="66"/>
    </row>
    <row r="15" spans="1:12" x14ac:dyDescent="0.2">
      <c r="A15" s="7" t="str">
        <f t="shared" si="0"/>
        <v>Execução 11</v>
      </c>
      <c r="B15" s="42"/>
      <c r="C15" s="84" t="str">
        <f>IFERROR(VLOOKUP(B15,'ZM01'!B:C,2,0),"")</f>
        <v/>
      </c>
      <c r="D15" s="49" t="str">
        <f>IFERROR(VLOOKUP(B15,'ZM01'!B:J,9,0),"")</f>
        <v/>
      </c>
      <c r="E15" s="44">
        <v>1</v>
      </c>
      <c r="F15" s="44" t="s">
        <v>1008</v>
      </c>
      <c r="G15" s="43" t="str">
        <f>IF(IFERROR(INDEX(Consulta!$A:$DN,MATCH($C15,Consulta!$D:$D,0),G$2),"")=0,"",IFERROR(INDEX(Consulta!$A:$DN,MATCH($C15,Consulta!$D:$D,0),G$2),""))</f>
        <v/>
      </c>
      <c r="H15" s="44" t="s">
        <v>1020</v>
      </c>
      <c r="I15" s="43" t="str">
        <f>IF(IFERROR(INDEX(Consulta!$A:$DN,MATCH($C15,Consulta!$D:$D,0),IF(OR(LEFT(G15,4)="M058",LEFT(G15,4)="F058",LEFT(G15,4)="D058"),31,30)),"")=0,"",IFERROR(ROUND(INDEX(Consulta!$A:$DN,MATCH($C15,Consulta!$D:$D,0),IF(OR(LEFT(G15,4)="M058",LEFT(G15,4)="F058",LEFT(G15,4)="D058"),31,30)),2),""))</f>
        <v/>
      </c>
      <c r="J15" s="43" t="str">
        <f t="shared" si="1"/>
        <v/>
      </c>
      <c r="K15" s="43" t="str">
        <f>IF(IFERROR(INDEX(Consulta!$A:$DN,MATCH($C15,Consulta!$D:$D,0),K$2),"")=0,"",IFERROR(INDEX(Consulta!$A:$DN,MATCH($C15,Consulta!$D:$D,0),K$2),""))</f>
        <v/>
      </c>
      <c r="L15" s="66"/>
    </row>
    <row r="16" spans="1:12" x14ac:dyDescent="0.2">
      <c r="A16" s="7" t="str">
        <f t="shared" si="0"/>
        <v>Execução 12</v>
      </c>
      <c r="B16" s="42"/>
      <c r="C16" s="84" t="str">
        <f>IFERROR(VLOOKUP(B16,'ZM01'!B:C,2,0),"")</f>
        <v/>
      </c>
      <c r="D16" s="49" t="str">
        <f>IFERROR(VLOOKUP(B16,'ZM01'!B:J,9,0),"")</f>
        <v/>
      </c>
      <c r="E16" s="44">
        <v>1</v>
      </c>
      <c r="F16" s="44" t="s">
        <v>1008</v>
      </c>
      <c r="G16" s="43" t="str">
        <f>IF(IFERROR(INDEX(Consulta!$A:$DN,MATCH($C16,Consulta!$D:$D,0),G$2),"")=0,"",IFERROR(INDEX(Consulta!$A:$DN,MATCH($C16,Consulta!$D:$D,0),G$2),""))</f>
        <v/>
      </c>
      <c r="H16" s="44" t="s">
        <v>1020</v>
      </c>
      <c r="I16" s="43" t="str">
        <f>IF(IFERROR(INDEX(Consulta!$A:$DN,MATCH($C16,Consulta!$D:$D,0),IF(OR(LEFT(G16,4)="M058",LEFT(G16,4)="F058",LEFT(G16,4)="D058"),31,30)),"")=0,"",IFERROR(ROUND(INDEX(Consulta!$A:$DN,MATCH($C16,Consulta!$D:$D,0),IF(OR(LEFT(G16,4)="M058",LEFT(G16,4)="F058",LEFT(G16,4)="D058"),31,30)),2),""))</f>
        <v/>
      </c>
      <c r="J16" s="43" t="str">
        <f t="shared" si="1"/>
        <v/>
      </c>
      <c r="K16" s="43" t="str">
        <f>IF(IFERROR(INDEX(Consulta!$A:$DN,MATCH($C16,Consulta!$D:$D,0),K$2),"")=0,"",IFERROR(INDEX(Consulta!$A:$DN,MATCH($C16,Consulta!$D:$D,0),K$2),""))</f>
        <v/>
      </c>
      <c r="L16" s="66"/>
    </row>
    <row r="17" spans="1:12" x14ac:dyDescent="0.2">
      <c r="A17" s="7" t="str">
        <f t="shared" si="0"/>
        <v>Execução 13</v>
      </c>
      <c r="B17" s="42"/>
      <c r="C17" s="84" t="str">
        <f>IFERROR(VLOOKUP(B17,'ZM01'!B:C,2,0),"")</f>
        <v/>
      </c>
      <c r="D17" s="49" t="str">
        <f>IFERROR(VLOOKUP(B17,'ZM01'!B:J,9,0),"")</f>
        <v/>
      </c>
      <c r="E17" s="44">
        <v>1</v>
      </c>
      <c r="F17" s="44" t="s">
        <v>1008</v>
      </c>
      <c r="G17" s="43" t="str">
        <f>IF(IFERROR(INDEX(Consulta!$A:$DN,MATCH($C17,Consulta!$D:$D,0),G$2),"")=0,"",IFERROR(INDEX(Consulta!$A:$DN,MATCH($C17,Consulta!$D:$D,0),G$2),""))</f>
        <v/>
      </c>
      <c r="H17" s="44" t="s">
        <v>1020</v>
      </c>
      <c r="I17" s="43" t="str">
        <f>IF(IFERROR(INDEX(Consulta!$A:$DN,MATCH($C17,Consulta!$D:$D,0),IF(OR(LEFT(G17,4)="M058",LEFT(G17,4)="F058",LEFT(G17,4)="D058"),31,30)),"")=0,"",IFERROR(ROUND(INDEX(Consulta!$A:$DN,MATCH($C17,Consulta!$D:$D,0),IF(OR(LEFT(G17,4)="M058",LEFT(G17,4)="F058",LEFT(G17,4)="D058"),31,30)),2),""))</f>
        <v/>
      </c>
      <c r="J17" s="43" t="str">
        <f t="shared" si="1"/>
        <v/>
      </c>
      <c r="K17" s="43" t="str">
        <f>IF(IFERROR(INDEX(Consulta!$A:$DN,MATCH($C17,Consulta!$D:$D,0),K$2),"")=0,"",IFERROR(INDEX(Consulta!$A:$DN,MATCH($C17,Consulta!$D:$D,0),K$2),""))</f>
        <v/>
      </c>
      <c r="L17" s="66"/>
    </row>
    <row r="18" spans="1:12" x14ac:dyDescent="0.2">
      <c r="A18" s="7" t="str">
        <f t="shared" si="0"/>
        <v>Execução 14</v>
      </c>
      <c r="B18" s="42"/>
      <c r="C18" s="84" t="str">
        <f>IFERROR(VLOOKUP(B18,'ZM01'!B:C,2,0),"")</f>
        <v/>
      </c>
      <c r="D18" s="49" t="str">
        <f>IFERROR(VLOOKUP(B18,'ZM01'!B:J,9,0),"")</f>
        <v/>
      </c>
      <c r="E18" s="44">
        <v>1</v>
      </c>
      <c r="F18" s="44" t="s">
        <v>1008</v>
      </c>
      <c r="G18" s="43" t="str">
        <f>IF(IFERROR(INDEX(Consulta!$A:$DN,MATCH($C18,Consulta!$D:$D,0),G$2),"")=0,"",IFERROR(INDEX(Consulta!$A:$DN,MATCH($C18,Consulta!$D:$D,0),G$2),""))</f>
        <v/>
      </c>
      <c r="H18" s="44" t="s">
        <v>1020</v>
      </c>
      <c r="I18" s="43" t="str">
        <f>IF(IFERROR(INDEX(Consulta!$A:$DN,MATCH($C18,Consulta!$D:$D,0),IF(OR(LEFT(G18,4)="M058",LEFT(G18,4)="F058",LEFT(G18,4)="D058"),31,30)),"")=0,"",IFERROR(ROUND(INDEX(Consulta!$A:$DN,MATCH($C18,Consulta!$D:$D,0),IF(OR(LEFT(G18,4)="M058",LEFT(G18,4)="F058",LEFT(G18,4)="D058"),31,30)),2),""))</f>
        <v/>
      </c>
      <c r="J18" s="43" t="str">
        <f t="shared" si="1"/>
        <v/>
      </c>
      <c r="K18" s="43" t="str">
        <f>IF(IFERROR(INDEX(Consulta!$A:$DN,MATCH($C18,Consulta!$D:$D,0),K$2),"")=0,"",IFERROR(INDEX(Consulta!$A:$DN,MATCH($C18,Consulta!$D:$D,0),K$2),""))</f>
        <v/>
      </c>
      <c r="L18" s="66"/>
    </row>
    <row r="19" spans="1:12" x14ac:dyDescent="0.2">
      <c r="A19" s="7" t="str">
        <f t="shared" si="0"/>
        <v>Execução 15</v>
      </c>
      <c r="B19" s="42"/>
      <c r="C19" s="84" t="str">
        <f>IFERROR(VLOOKUP(B19,'ZM01'!B:C,2,0),"")</f>
        <v/>
      </c>
      <c r="D19" s="49" t="str">
        <f>IFERROR(VLOOKUP(B19,'ZM01'!B:J,9,0),"")</f>
        <v/>
      </c>
      <c r="E19" s="44">
        <v>1</v>
      </c>
      <c r="F19" s="44" t="s">
        <v>1008</v>
      </c>
      <c r="G19" s="43" t="str">
        <f>IF(IFERROR(INDEX(Consulta!$A:$DN,MATCH($C19,Consulta!$D:$D,0),G$2),"")=0,"",IFERROR(INDEX(Consulta!$A:$DN,MATCH($C19,Consulta!$D:$D,0),G$2),""))</f>
        <v/>
      </c>
      <c r="H19" s="44" t="s">
        <v>1020</v>
      </c>
      <c r="I19" s="43" t="str">
        <f>IF(IFERROR(INDEX(Consulta!$A:$DN,MATCH($C19,Consulta!$D:$D,0),IF(OR(LEFT(G19,4)="M058",LEFT(G19,4)="F058",LEFT(G19,4)="D058"),31,30)),"")=0,"",IFERROR(ROUND(INDEX(Consulta!$A:$DN,MATCH($C19,Consulta!$D:$D,0),IF(OR(LEFT(G19,4)="M058",LEFT(G19,4)="F058",LEFT(G19,4)="D058"),31,30)),2),""))</f>
        <v/>
      </c>
      <c r="J19" s="43" t="str">
        <f t="shared" si="1"/>
        <v/>
      </c>
      <c r="K19" s="43" t="str">
        <f>IF(IFERROR(INDEX(Consulta!$A:$DN,MATCH($C19,Consulta!$D:$D,0),K$2),"")=0,"",IFERROR(INDEX(Consulta!$A:$DN,MATCH($C19,Consulta!$D:$D,0),K$2),""))</f>
        <v/>
      </c>
      <c r="L19" s="66"/>
    </row>
    <row r="20" spans="1:12" x14ac:dyDescent="0.2">
      <c r="A20" s="7" t="str">
        <f t="shared" si="0"/>
        <v>Execução 16</v>
      </c>
      <c r="B20" s="42"/>
      <c r="C20" s="84" t="str">
        <f>IFERROR(VLOOKUP(B20,'ZM01'!B:C,2,0),"")</f>
        <v/>
      </c>
      <c r="D20" s="49" t="str">
        <f>IFERROR(VLOOKUP(B20,'ZM01'!B:J,9,0),"")</f>
        <v/>
      </c>
      <c r="E20" s="44">
        <v>1</v>
      </c>
      <c r="F20" s="44" t="s">
        <v>1008</v>
      </c>
      <c r="G20" s="43" t="str">
        <f>IF(IFERROR(INDEX(Consulta!$A:$DN,MATCH($C20,Consulta!$D:$D,0),G$2),"")=0,"",IFERROR(INDEX(Consulta!$A:$DN,MATCH($C20,Consulta!$D:$D,0),G$2),""))</f>
        <v/>
      </c>
      <c r="H20" s="44" t="s">
        <v>1020</v>
      </c>
      <c r="I20" s="43" t="str">
        <f>IF(IFERROR(INDEX(Consulta!$A:$DN,MATCH($C20,Consulta!$D:$D,0),IF(OR(LEFT(G20,4)="M058",LEFT(G20,4)="F058",LEFT(G20,4)="D058"),31,30)),"")=0,"",IFERROR(ROUND(INDEX(Consulta!$A:$DN,MATCH($C20,Consulta!$D:$D,0),IF(OR(LEFT(G20,4)="M058",LEFT(G20,4)="F058",LEFT(G20,4)="D058"),31,30)),2),""))</f>
        <v/>
      </c>
      <c r="J20" s="43" t="str">
        <f t="shared" si="1"/>
        <v/>
      </c>
      <c r="K20" s="43" t="str">
        <f>IF(IFERROR(INDEX(Consulta!$A:$DN,MATCH($C20,Consulta!$D:$D,0),K$2),"")=0,"",IFERROR(INDEX(Consulta!$A:$DN,MATCH($C20,Consulta!$D:$D,0),K$2),""))</f>
        <v/>
      </c>
      <c r="L20" s="66"/>
    </row>
    <row r="21" spans="1:12" x14ac:dyDescent="0.2">
      <c r="A21" s="7" t="str">
        <f t="shared" si="0"/>
        <v>Execução 17</v>
      </c>
      <c r="B21" s="42"/>
      <c r="C21" s="84" t="str">
        <f>IFERROR(VLOOKUP(B21,'ZM01'!B:C,2,0),"")</f>
        <v/>
      </c>
      <c r="D21" s="49" t="str">
        <f>IFERROR(VLOOKUP(B21,'ZM01'!B:J,9,0),"")</f>
        <v/>
      </c>
      <c r="E21" s="44">
        <v>1</v>
      </c>
      <c r="F21" s="44" t="s">
        <v>1008</v>
      </c>
      <c r="G21" s="43" t="str">
        <f>IF(IFERROR(INDEX(Consulta!$A:$DN,MATCH($C21,Consulta!$D:$D,0),G$2),"")=0,"",IFERROR(INDEX(Consulta!$A:$DN,MATCH($C21,Consulta!$D:$D,0),G$2),""))</f>
        <v/>
      </c>
      <c r="H21" s="44" t="s">
        <v>1020</v>
      </c>
      <c r="I21" s="43" t="str">
        <f>IF(IFERROR(INDEX(Consulta!$A:$DN,MATCH($C21,Consulta!$D:$D,0),IF(OR(LEFT(G21,4)="M058",LEFT(G21,4)="F058",LEFT(G21,4)="D058"),31,30)),"")=0,"",IFERROR(ROUND(INDEX(Consulta!$A:$DN,MATCH($C21,Consulta!$D:$D,0),IF(OR(LEFT(G21,4)="M058",LEFT(G21,4)="F058",LEFT(G21,4)="D058"),31,30)),2),""))</f>
        <v/>
      </c>
      <c r="J21" s="43" t="str">
        <f t="shared" si="1"/>
        <v/>
      </c>
      <c r="K21" s="43" t="str">
        <f>IF(IFERROR(INDEX(Consulta!$A:$DN,MATCH($C21,Consulta!$D:$D,0),K$2),"")=0,"",IFERROR(INDEX(Consulta!$A:$DN,MATCH($C21,Consulta!$D:$D,0),K$2),""))</f>
        <v/>
      </c>
      <c r="L21" s="66"/>
    </row>
    <row r="22" spans="1:12" x14ac:dyDescent="0.2">
      <c r="A22" s="7" t="str">
        <f t="shared" si="0"/>
        <v>Execução 18</v>
      </c>
      <c r="B22" s="42"/>
      <c r="C22" s="84" t="str">
        <f>IFERROR(VLOOKUP(B22,'ZM01'!B:C,2,0),"")</f>
        <v/>
      </c>
      <c r="D22" s="49" t="str">
        <f>IFERROR(VLOOKUP(B22,'ZM01'!B:J,9,0),"")</f>
        <v/>
      </c>
      <c r="E22" s="44">
        <v>1</v>
      </c>
      <c r="F22" s="44" t="s">
        <v>1008</v>
      </c>
      <c r="G22" s="43" t="str">
        <f>IF(IFERROR(INDEX(Consulta!$A:$DN,MATCH($C22,Consulta!$D:$D,0),G$2),"")=0,"",IFERROR(INDEX(Consulta!$A:$DN,MATCH($C22,Consulta!$D:$D,0),G$2),""))</f>
        <v/>
      </c>
      <c r="H22" s="44" t="s">
        <v>1020</v>
      </c>
      <c r="I22" s="43" t="str">
        <f>IF(IFERROR(INDEX(Consulta!$A:$DN,MATCH($C22,Consulta!$D:$D,0),IF(OR(LEFT(G22,4)="M058",LEFT(G22,4)="F058",LEFT(G22,4)="D058"),31,30)),"")=0,"",IFERROR(ROUND(INDEX(Consulta!$A:$DN,MATCH($C22,Consulta!$D:$D,0),IF(OR(LEFT(G22,4)="M058",LEFT(G22,4)="F058",LEFT(G22,4)="D058"),31,30)),2),""))</f>
        <v/>
      </c>
      <c r="J22" s="43" t="str">
        <f t="shared" si="1"/>
        <v/>
      </c>
      <c r="K22" s="43" t="str">
        <f>IF(IFERROR(INDEX(Consulta!$A:$DN,MATCH($C22,Consulta!$D:$D,0),K$2),"")=0,"",IFERROR(INDEX(Consulta!$A:$DN,MATCH($C22,Consulta!$D:$D,0),K$2),""))</f>
        <v/>
      </c>
      <c r="L22" s="66"/>
    </row>
    <row r="23" spans="1:12" x14ac:dyDescent="0.2">
      <c r="A23" s="7" t="str">
        <f t="shared" si="0"/>
        <v>Execução 19</v>
      </c>
      <c r="B23" s="42"/>
      <c r="C23" s="84" t="str">
        <f>IFERROR(VLOOKUP(B23,'ZM01'!B:C,2,0),"")</f>
        <v/>
      </c>
      <c r="D23" s="49" t="str">
        <f>IFERROR(VLOOKUP(B23,'ZM01'!B:J,9,0),"")</f>
        <v/>
      </c>
      <c r="E23" s="44">
        <v>1</v>
      </c>
      <c r="F23" s="44" t="s">
        <v>1008</v>
      </c>
      <c r="G23" s="43" t="str">
        <f>IF(IFERROR(INDEX(Consulta!$A:$DN,MATCH($C23,Consulta!$D:$D,0),G$2),"")=0,"",IFERROR(INDEX(Consulta!$A:$DN,MATCH($C23,Consulta!$D:$D,0),G$2),""))</f>
        <v/>
      </c>
      <c r="H23" s="44" t="s">
        <v>1020</v>
      </c>
      <c r="I23" s="43" t="str">
        <f>IF(IFERROR(INDEX(Consulta!$A:$DN,MATCH($C23,Consulta!$D:$D,0),IF(OR(LEFT(G23,4)="M058",LEFT(G23,4)="F058",LEFT(G23,4)="D058"),31,30)),"")=0,"",IFERROR(ROUND(INDEX(Consulta!$A:$DN,MATCH($C23,Consulta!$D:$D,0),IF(OR(LEFT(G23,4)="M058",LEFT(G23,4)="F058",LEFT(G23,4)="D058"),31,30)),2),""))</f>
        <v/>
      </c>
      <c r="J23" s="43" t="str">
        <f t="shared" si="1"/>
        <v/>
      </c>
      <c r="K23" s="43" t="str">
        <f>IF(IFERROR(INDEX(Consulta!$A:$DN,MATCH($C23,Consulta!$D:$D,0),K$2),"")=0,"",IFERROR(INDEX(Consulta!$A:$DN,MATCH($C23,Consulta!$D:$D,0),K$2),""))</f>
        <v/>
      </c>
      <c r="L23" s="66"/>
    </row>
    <row r="24" spans="1:12" x14ac:dyDescent="0.2">
      <c r="A24" s="7" t="str">
        <f t="shared" si="0"/>
        <v>Execução 20</v>
      </c>
      <c r="B24" s="42"/>
      <c r="C24" s="84" t="str">
        <f>IFERROR(VLOOKUP(B24,'ZM01'!B:C,2,0),"")</f>
        <v/>
      </c>
      <c r="D24" s="49" t="str">
        <f>IFERROR(VLOOKUP(B24,'ZM01'!B:J,9,0),"")</f>
        <v/>
      </c>
      <c r="E24" s="44">
        <v>1</v>
      </c>
      <c r="F24" s="44" t="s">
        <v>1008</v>
      </c>
      <c r="G24" s="43" t="str">
        <f>IF(IFERROR(INDEX(Consulta!$A:$DN,MATCH($C24,Consulta!$D:$D,0),G$2),"")=0,"",IFERROR(INDEX(Consulta!$A:$DN,MATCH($C24,Consulta!$D:$D,0),G$2),""))</f>
        <v/>
      </c>
      <c r="H24" s="44" t="s">
        <v>1020</v>
      </c>
      <c r="I24" s="43" t="str">
        <f>IF(IFERROR(INDEX(Consulta!$A:$DN,MATCH($C24,Consulta!$D:$D,0),IF(OR(LEFT(G24,4)="M058",LEFT(G24,4)="F058",LEFT(G24,4)="D058"),31,30)),"")=0,"",IFERROR(ROUND(INDEX(Consulta!$A:$DN,MATCH($C24,Consulta!$D:$D,0),IF(OR(LEFT(G24,4)="M058",LEFT(G24,4)="F058",LEFT(G24,4)="D058"),31,30)),2),""))</f>
        <v/>
      </c>
      <c r="J24" s="43" t="str">
        <f t="shared" si="1"/>
        <v/>
      </c>
      <c r="K24" s="43" t="str">
        <f>IF(IFERROR(INDEX(Consulta!$A:$DN,MATCH($C24,Consulta!$D:$D,0),K$2),"")=0,"",IFERROR(INDEX(Consulta!$A:$DN,MATCH($C24,Consulta!$D:$D,0),K$2),""))</f>
        <v/>
      </c>
      <c r="L24" s="66"/>
    </row>
    <row r="25" spans="1:12" x14ac:dyDescent="0.2">
      <c r="A25" s="7" t="str">
        <f t="shared" si="0"/>
        <v>Execução 21</v>
      </c>
      <c r="B25" s="42"/>
      <c r="C25" s="84" t="str">
        <f>IFERROR(VLOOKUP(B25,'ZM01'!B:C,2,0),"")</f>
        <v/>
      </c>
      <c r="D25" s="49" t="str">
        <f>IFERROR(VLOOKUP(B25,'ZM01'!B:J,9,0),"")</f>
        <v/>
      </c>
      <c r="E25" s="44">
        <v>1</v>
      </c>
      <c r="F25" s="44" t="s">
        <v>1008</v>
      </c>
      <c r="G25" s="43" t="str">
        <f>IF(IFERROR(INDEX(Consulta!$A:$DN,MATCH($C25,Consulta!$D:$D,0),G$2),"")=0,"",IFERROR(INDEX(Consulta!$A:$DN,MATCH($C25,Consulta!$D:$D,0),G$2),""))</f>
        <v/>
      </c>
      <c r="H25" s="44" t="s">
        <v>1020</v>
      </c>
      <c r="I25" s="43" t="str">
        <f>IF(IFERROR(INDEX(Consulta!$A:$DN,MATCH($C25,Consulta!$D:$D,0),IF(OR(LEFT(G25,4)="M058",LEFT(G25,4)="F058",LEFT(G25,4)="D058"),31,30)),"")=0,"",IFERROR(ROUND(INDEX(Consulta!$A:$DN,MATCH($C25,Consulta!$D:$D,0),IF(OR(LEFT(G25,4)="M058",LEFT(G25,4)="F058",LEFT(G25,4)="D058"),31,30)),2),""))</f>
        <v/>
      </c>
      <c r="J25" s="43" t="str">
        <f t="shared" si="1"/>
        <v/>
      </c>
      <c r="K25" s="43" t="str">
        <f>IF(IFERROR(INDEX(Consulta!$A:$DN,MATCH($C25,Consulta!$D:$D,0),K$2),"")=0,"",IFERROR(INDEX(Consulta!$A:$DN,MATCH($C25,Consulta!$D:$D,0),K$2),""))</f>
        <v/>
      </c>
      <c r="L25" s="66"/>
    </row>
    <row r="26" spans="1:12" x14ac:dyDescent="0.2">
      <c r="A26" s="7" t="str">
        <f t="shared" si="0"/>
        <v>Execução 22</v>
      </c>
      <c r="B26" s="42"/>
      <c r="C26" s="84" t="str">
        <f>IFERROR(VLOOKUP(B26,'ZM01'!B:C,2,0),"")</f>
        <v/>
      </c>
      <c r="D26" s="49" t="str">
        <f>IFERROR(VLOOKUP(B26,'ZM01'!B:J,9,0),"")</f>
        <v/>
      </c>
      <c r="E26" s="44">
        <v>1</v>
      </c>
      <c r="F26" s="44" t="s">
        <v>1008</v>
      </c>
      <c r="G26" s="43" t="str">
        <f>IF(IFERROR(INDEX(Consulta!$A:$DN,MATCH($C26,Consulta!$D:$D,0),G$2),"")=0,"",IFERROR(INDEX(Consulta!$A:$DN,MATCH($C26,Consulta!$D:$D,0),G$2),""))</f>
        <v/>
      </c>
      <c r="H26" s="44" t="s">
        <v>1020</v>
      </c>
      <c r="I26" s="43" t="str">
        <f>IF(IFERROR(INDEX(Consulta!$A:$DN,MATCH($C26,Consulta!$D:$D,0),IF(OR(LEFT(G26,4)="M058",LEFT(G26,4)="F058",LEFT(G26,4)="D058"),31,30)),"")=0,"",IFERROR(ROUND(INDEX(Consulta!$A:$DN,MATCH($C26,Consulta!$D:$D,0),IF(OR(LEFT(G26,4)="M058",LEFT(G26,4)="F058",LEFT(G26,4)="D058"),31,30)),2),""))</f>
        <v/>
      </c>
      <c r="J26" s="43" t="str">
        <f t="shared" si="1"/>
        <v/>
      </c>
      <c r="K26" s="43" t="str">
        <f>IF(IFERROR(INDEX(Consulta!$A:$DN,MATCH($C26,Consulta!$D:$D,0),K$2),"")=0,"",IFERROR(INDEX(Consulta!$A:$DN,MATCH($C26,Consulta!$D:$D,0),K$2),""))</f>
        <v/>
      </c>
      <c r="L26" s="66"/>
    </row>
    <row r="27" spans="1:12" x14ac:dyDescent="0.2">
      <c r="A27" s="7" t="str">
        <f t="shared" si="0"/>
        <v>Execução 23</v>
      </c>
      <c r="B27" s="42"/>
      <c r="C27" s="84" t="str">
        <f>IFERROR(VLOOKUP(B27,'ZM01'!B:C,2,0),"")</f>
        <v/>
      </c>
      <c r="D27" s="49" t="str">
        <f>IFERROR(VLOOKUP(B27,'ZM01'!B:J,9,0),"")</f>
        <v/>
      </c>
      <c r="E27" s="44">
        <v>1</v>
      </c>
      <c r="F27" s="44" t="s">
        <v>1008</v>
      </c>
      <c r="G27" s="43" t="str">
        <f>IF(IFERROR(INDEX(Consulta!$A:$DN,MATCH($C27,Consulta!$D:$D,0),G$2),"")=0,"",IFERROR(INDEX(Consulta!$A:$DN,MATCH($C27,Consulta!$D:$D,0),G$2),""))</f>
        <v/>
      </c>
      <c r="H27" s="44" t="s">
        <v>1020</v>
      </c>
      <c r="I27" s="43" t="str">
        <f>IF(IFERROR(INDEX(Consulta!$A:$DN,MATCH($C27,Consulta!$D:$D,0),IF(OR(LEFT(G27,4)="M058",LEFT(G27,4)="F058",LEFT(G27,4)="D058"),31,30)),"")=0,"",IFERROR(ROUND(INDEX(Consulta!$A:$DN,MATCH($C27,Consulta!$D:$D,0),IF(OR(LEFT(G27,4)="M058",LEFT(G27,4)="F058",LEFT(G27,4)="D058"),31,30)),2),""))</f>
        <v/>
      </c>
      <c r="J27" s="43" t="str">
        <f t="shared" si="1"/>
        <v/>
      </c>
      <c r="K27" s="43" t="str">
        <f>IF(IFERROR(INDEX(Consulta!$A:$DN,MATCH($C27,Consulta!$D:$D,0),K$2),"")=0,"",IFERROR(INDEX(Consulta!$A:$DN,MATCH($C27,Consulta!$D:$D,0),K$2),""))</f>
        <v/>
      </c>
      <c r="L27" s="66"/>
    </row>
    <row r="28" spans="1:12" x14ac:dyDescent="0.2">
      <c r="A28" s="7" t="str">
        <f t="shared" si="0"/>
        <v>Execução 24</v>
      </c>
      <c r="B28" s="42"/>
      <c r="C28" s="84" t="str">
        <f>IFERROR(VLOOKUP(B28,'ZM01'!B:C,2,0),"")</f>
        <v/>
      </c>
      <c r="D28" s="49" t="str">
        <f>IFERROR(VLOOKUP(B28,'ZM01'!B:J,9,0),"")</f>
        <v/>
      </c>
      <c r="E28" s="44">
        <v>1</v>
      </c>
      <c r="F28" s="44" t="s">
        <v>1008</v>
      </c>
      <c r="G28" s="43" t="str">
        <f>IF(IFERROR(INDEX(Consulta!$A:$DN,MATCH($C28,Consulta!$D:$D,0),G$2),"")=0,"",IFERROR(INDEX(Consulta!$A:$DN,MATCH($C28,Consulta!$D:$D,0),G$2),""))</f>
        <v/>
      </c>
      <c r="H28" s="44" t="s">
        <v>1020</v>
      </c>
      <c r="I28" s="43" t="str">
        <f>IF(IFERROR(INDEX(Consulta!$A:$DN,MATCH($C28,Consulta!$D:$D,0),IF(OR(LEFT(G28,4)="M058",LEFT(G28,4)="F058",LEFT(G28,4)="D058"),31,30)),"")=0,"",IFERROR(ROUND(INDEX(Consulta!$A:$DN,MATCH($C28,Consulta!$D:$D,0),IF(OR(LEFT(G28,4)="M058",LEFT(G28,4)="F058",LEFT(G28,4)="D058"),31,30)),2),""))</f>
        <v/>
      </c>
      <c r="J28" s="43" t="str">
        <f t="shared" si="1"/>
        <v/>
      </c>
      <c r="K28" s="43" t="str">
        <f>IF(IFERROR(INDEX(Consulta!$A:$DN,MATCH($C28,Consulta!$D:$D,0),K$2),"")=0,"",IFERROR(INDEX(Consulta!$A:$DN,MATCH($C28,Consulta!$D:$D,0),K$2),""))</f>
        <v/>
      </c>
      <c r="L28" s="66"/>
    </row>
    <row r="29" spans="1:12" x14ac:dyDescent="0.2">
      <c r="A29" s="7" t="str">
        <f t="shared" si="0"/>
        <v>Execução 25</v>
      </c>
      <c r="B29" s="42"/>
      <c r="C29" s="84" t="str">
        <f>IFERROR(VLOOKUP(B29,'ZM01'!B:C,2,0),"")</f>
        <v/>
      </c>
      <c r="D29" s="49" t="str">
        <f>IFERROR(VLOOKUP(B29,'ZM01'!B:J,9,0),"")</f>
        <v/>
      </c>
      <c r="E29" s="44">
        <v>1</v>
      </c>
      <c r="F29" s="44" t="s">
        <v>1008</v>
      </c>
      <c r="G29" s="43" t="str">
        <f>IF(IFERROR(INDEX(Consulta!$A:$DN,MATCH($C29,Consulta!$D:$D,0),G$2),"")=0,"",IFERROR(INDEX(Consulta!$A:$DN,MATCH($C29,Consulta!$D:$D,0),G$2),""))</f>
        <v/>
      </c>
      <c r="H29" s="44" t="s">
        <v>1020</v>
      </c>
      <c r="I29" s="43" t="str">
        <f>IF(IFERROR(INDEX(Consulta!$A:$DN,MATCH($C29,Consulta!$D:$D,0),IF(OR(LEFT(G29,4)="M058",LEFT(G29,4)="F058",LEFT(G29,4)="D058"),31,30)),"")=0,"",IFERROR(ROUND(INDEX(Consulta!$A:$DN,MATCH($C29,Consulta!$D:$D,0),IF(OR(LEFT(G29,4)="M058",LEFT(G29,4)="F058",LEFT(G29,4)="D058"),31,30)),2),""))</f>
        <v/>
      </c>
      <c r="J29" s="43" t="str">
        <f t="shared" si="1"/>
        <v/>
      </c>
      <c r="K29" s="43" t="str">
        <f>IF(IFERROR(INDEX(Consulta!$A:$DN,MATCH($C29,Consulta!$D:$D,0),K$2),"")=0,"",IFERROR(INDEX(Consulta!$A:$DN,MATCH($C29,Consulta!$D:$D,0),K$2),""))</f>
        <v/>
      </c>
      <c r="L29" s="66"/>
    </row>
    <row r="30" spans="1:12" x14ac:dyDescent="0.2">
      <c r="A30" s="7" t="str">
        <f t="shared" si="0"/>
        <v>Execução 26</v>
      </c>
      <c r="B30" s="42"/>
      <c r="C30" s="84" t="str">
        <f>IFERROR(VLOOKUP(B30,'ZM01'!B:C,2,0),"")</f>
        <v/>
      </c>
      <c r="D30" s="49" t="str">
        <f>IFERROR(VLOOKUP(B30,'ZM01'!B:J,9,0),"")</f>
        <v/>
      </c>
      <c r="E30" s="44">
        <v>1</v>
      </c>
      <c r="F30" s="44" t="s">
        <v>1008</v>
      </c>
      <c r="G30" s="43" t="str">
        <f>IF(IFERROR(INDEX(Consulta!$A:$DN,MATCH($C30,Consulta!$D:$D,0),G$2),"")=0,"",IFERROR(INDEX(Consulta!$A:$DN,MATCH($C30,Consulta!$D:$D,0),G$2),""))</f>
        <v/>
      </c>
      <c r="H30" s="44" t="s">
        <v>1020</v>
      </c>
      <c r="I30" s="43" t="str">
        <f>IF(IFERROR(INDEX(Consulta!$A:$DN,MATCH($C30,Consulta!$D:$D,0),IF(OR(LEFT(G30,4)="M058",LEFT(G30,4)="F058",LEFT(G30,4)="D058"),31,30)),"")=0,"",IFERROR(ROUND(INDEX(Consulta!$A:$DN,MATCH($C30,Consulta!$D:$D,0),IF(OR(LEFT(G30,4)="M058",LEFT(G30,4)="F058",LEFT(G30,4)="D058"),31,30)),2),""))</f>
        <v/>
      </c>
      <c r="J30" s="43" t="str">
        <f t="shared" si="1"/>
        <v/>
      </c>
      <c r="K30" s="43" t="str">
        <f>IF(IFERROR(INDEX(Consulta!$A:$DN,MATCH($C30,Consulta!$D:$D,0),K$2),"")=0,"",IFERROR(INDEX(Consulta!$A:$DN,MATCH($C30,Consulta!$D:$D,0),K$2),""))</f>
        <v/>
      </c>
      <c r="L30" s="66"/>
    </row>
    <row r="31" spans="1:12" x14ac:dyDescent="0.2">
      <c r="A31" s="7" t="str">
        <f t="shared" si="0"/>
        <v>Execução 27</v>
      </c>
      <c r="B31" s="42"/>
      <c r="C31" s="84" t="str">
        <f>IFERROR(VLOOKUP(B31,'ZM01'!B:C,2,0),"")</f>
        <v/>
      </c>
      <c r="D31" s="49" t="str">
        <f>IFERROR(VLOOKUP(B31,'ZM01'!B:J,9,0),"")</f>
        <v/>
      </c>
      <c r="E31" s="44">
        <v>1</v>
      </c>
      <c r="F31" s="44" t="s">
        <v>1008</v>
      </c>
      <c r="G31" s="43" t="str">
        <f>IF(IFERROR(INDEX(Consulta!$A:$DN,MATCH($C31,Consulta!$D:$D,0),G$2),"")=0,"",IFERROR(INDEX(Consulta!$A:$DN,MATCH($C31,Consulta!$D:$D,0),G$2),""))</f>
        <v/>
      </c>
      <c r="H31" s="44" t="s">
        <v>1020</v>
      </c>
      <c r="I31" s="43" t="str">
        <f>IF(IFERROR(INDEX(Consulta!$A:$DN,MATCH($C31,Consulta!$D:$D,0),IF(OR(LEFT(G31,4)="M058",LEFT(G31,4)="F058",LEFT(G31,4)="D058"),31,30)),"")=0,"",IFERROR(ROUND(INDEX(Consulta!$A:$DN,MATCH($C31,Consulta!$D:$D,0),IF(OR(LEFT(G31,4)="M058",LEFT(G31,4)="F058",LEFT(G31,4)="D058"),31,30)),2),""))</f>
        <v/>
      </c>
      <c r="J31" s="43" t="str">
        <f t="shared" si="1"/>
        <v/>
      </c>
      <c r="K31" s="43" t="str">
        <f>IF(IFERROR(INDEX(Consulta!$A:$DN,MATCH($C31,Consulta!$D:$D,0),K$2),"")=0,"",IFERROR(INDEX(Consulta!$A:$DN,MATCH($C31,Consulta!$D:$D,0),K$2),""))</f>
        <v/>
      </c>
      <c r="L31" s="66"/>
    </row>
    <row r="32" spans="1:12" x14ac:dyDescent="0.2">
      <c r="A32" s="7" t="str">
        <f t="shared" si="0"/>
        <v>Execução 28</v>
      </c>
      <c r="B32" s="42"/>
      <c r="C32" s="84" t="str">
        <f>IFERROR(VLOOKUP(B32,'ZM01'!B:C,2,0),"")</f>
        <v/>
      </c>
      <c r="D32" s="49" t="str">
        <f>IFERROR(VLOOKUP(B32,'ZM01'!B:J,9,0),"")</f>
        <v/>
      </c>
      <c r="E32" s="44">
        <v>1</v>
      </c>
      <c r="F32" s="44" t="s">
        <v>1008</v>
      </c>
      <c r="G32" s="43" t="str">
        <f>IF(IFERROR(INDEX(Consulta!$A:$DN,MATCH($C32,Consulta!$D:$D,0),G$2),"")=0,"",IFERROR(INDEX(Consulta!$A:$DN,MATCH($C32,Consulta!$D:$D,0),G$2),""))</f>
        <v/>
      </c>
      <c r="H32" s="44" t="s">
        <v>1020</v>
      </c>
      <c r="I32" s="43" t="str">
        <f>IF(IFERROR(INDEX(Consulta!$A:$DN,MATCH($C32,Consulta!$D:$D,0),IF(OR(LEFT(G32,4)="M058",LEFT(G32,4)="F058",LEFT(G32,4)="D058"),31,30)),"")=0,"",IFERROR(ROUND(INDEX(Consulta!$A:$DN,MATCH($C32,Consulta!$D:$D,0),IF(OR(LEFT(G32,4)="M058",LEFT(G32,4)="F058",LEFT(G32,4)="D058"),31,30)),2),""))</f>
        <v/>
      </c>
      <c r="J32" s="43" t="str">
        <f t="shared" si="1"/>
        <v/>
      </c>
      <c r="K32" s="43" t="str">
        <f>IF(IFERROR(INDEX(Consulta!$A:$DN,MATCH($C32,Consulta!$D:$D,0),K$2),"")=0,"",IFERROR(INDEX(Consulta!$A:$DN,MATCH($C32,Consulta!$D:$D,0),K$2),""))</f>
        <v/>
      </c>
      <c r="L32" s="66"/>
    </row>
    <row r="33" spans="1:12" x14ac:dyDescent="0.2">
      <c r="A33" s="7" t="str">
        <f t="shared" si="0"/>
        <v>Execução 29</v>
      </c>
      <c r="B33" s="42"/>
      <c r="C33" s="84" t="str">
        <f>IFERROR(VLOOKUP(B33,'ZM01'!B:C,2,0),"")</f>
        <v/>
      </c>
      <c r="D33" s="49" t="str">
        <f>IFERROR(VLOOKUP(B33,'ZM01'!B:J,9,0),"")</f>
        <v/>
      </c>
      <c r="E33" s="44">
        <v>1</v>
      </c>
      <c r="F33" s="44" t="s">
        <v>1008</v>
      </c>
      <c r="G33" s="43" t="str">
        <f>IF(IFERROR(INDEX(Consulta!$A:$DN,MATCH($C33,Consulta!$D:$D,0),G$2),"")=0,"",IFERROR(INDEX(Consulta!$A:$DN,MATCH($C33,Consulta!$D:$D,0),G$2),""))</f>
        <v/>
      </c>
      <c r="H33" s="44" t="s">
        <v>1020</v>
      </c>
      <c r="I33" s="43" t="str">
        <f>IF(IFERROR(INDEX(Consulta!$A:$DN,MATCH($C33,Consulta!$D:$D,0),IF(OR(LEFT(G33,4)="M058",LEFT(G33,4)="F058",LEFT(G33,4)="D058"),31,30)),"")=0,"",IFERROR(ROUND(INDEX(Consulta!$A:$DN,MATCH($C33,Consulta!$D:$D,0),IF(OR(LEFT(G33,4)="M058",LEFT(G33,4)="F058",LEFT(G33,4)="D058"),31,30)),2),""))</f>
        <v/>
      </c>
      <c r="J33" s="43" t="str">
        <f t="shared" si="1"/>
        <v/>
      </c>
      <c r="K33" s="43" t="str">
        <f>IF(IFERROR(INDEX(Consulta!$A:$DN,MATCH($C33,Consulta!$D:$D,0),K$2),"")=0,"",IFERROR(INDEX(Consulta!$A:$DN,MATCH($C33,Consulta!$D:$D,0),K$2),""))</f>
        <v/>
      </c>
      <c r="L33" s="66"/>
    </row>
    <row r="34" spans="1:12" x14ac:dyDescent="0.2">
      <c r="A34" s="7" t="str">
        <f t="shared" si="0"/>
        <v>Execução 30</v>
      </c>
      <c r="B34" s="42"/>
      <c r="C34" s="84" t="str">
        <f>IFERROR(VLOOKUP(B34,'ZM01'!B:C,2,0),"")</f>
        <v/>
      </c>
      <c r="D34" s="49" t="str">
        <f>IFERROR(VLOOKUP(B34,'ZM01'!B:J,9,0),"")</f>
        <v/>
      </c>
      <c r="E34" s="44">
        <v>1</v>
      </c>
      <c r="F34" s="44" t="s">
        <v>1008</v>
      </c>
      <c r="G34" s="43" t="str">
        <f>IF(IFERROR(INDEX(Consulta!$A:$DN,MATCH($C34,Consulta!$D:$D,0),G$2),"")=0,"",IFERROR(INDEX(Consulta!$A:$DN,MATCH($C34,Consulta!$D:$D,0),G$2),""))</f>
        <v/>
      </c>
      <c r="H34" s="44" t="s">
        <v>1020</v>
      </c>
      <c r="I34" s="43" t="str">
        <f>IF(IFERROR(INDEX(Consulta!$A:$DN,MATCH($C34,Consulta!$D:$D,0),IF(OR(LEFT(G34,4)="M058",LEFT(G34,4)="F058",LEFT(G34,4)="D058"),31,30)),"")=0,"",IFERROR(ROUND(INDEX(Consulta!$A:$DN,MATCH($C34,Consulta!$D:$D,0),IF(OR(LEFT(G34,4)="M058",LEFT(G34,4)="F058",LEFT(G34,4)="D058"),31,30)),2),""))</f>
        <v/>
      </c>
      <c r="J34" s="43" t="str">
        <f t="shared" si="1"/>
        <v/>
      </c>
      <c r="K34" s="43" t="str">
        <f>IF(IFERROR(INDEX(Consulta!$A:$DN,MATCH($C34,Consulta!$D:$D,0),K$2),"")=0,"",IFERROR(INDEX(Consulta!$A:$DN,MATCH($C34,Consulta!$D:$D,0),K$2),""))</f>
        <v/>
      </c>
      <c r="L34" s="66"/>
    </row>
    <row r="35" spans="1:12" x14ac:dyDescent="0.2">
      <c r="A35" s="7" t="str">
        <f t="shared" si="0"/>
        <v>Execução 31</v>
      </c>
      <c r="B35" s="42"/>
      <c r="C35" s="84" t="str">
        <f>IFERROR(VLOOKUP(B35,'ZM01'!B:C,2,0),"")</f>
        <v/>
      </c>
      <c r="D35" s="49" t="str">
        <f>IFERROR(VLOOKUP(B35,'ZM01'!B:J,9,0),"")</f>
        <v/>
      </c>
      <c r="E35" s="44">
        <v>1</v>
      </c>
      <c r="F35" s="44" t="s">
        <v>1008</v>
      </c>
      <c r="G35" s="43" t="str">
        <f>IF(IFERROR(INDEX(Consulta!$A:$DN,MATCH($C35,Consulta!$D:$D,0),G$2),"")=0,"",IFERROR(INDEX(Consulta!$A:$DN,MATCH($C35,Consulta!$D:$D,0),G$2),""))</f>
        <v/>
      </c>
      <c r="H35" s="44" t="s">
        <v>1020</v>
      </c>
      <c r="I35" s="43" t="str">
        <f>IF(IFERROR(INDEX(Consulta!$A:$DN,MATCH($C35,Consulta!$D:$D,0),IF(OR(LEFT(G35,4)="M058",LEFT(G35,4)="F058",LEFT(G35,4)="D058"),31,30)),"")=0,"",IFERROR(ROUND(INDEX(Consulta!$A:$DN,MATCH($C35,Consulta!$D:$D,0),IF(OR(LEFT(G35,4)="M058",LEFT(G35,4)="F058",LEFT(G35,4)="D058"),31,30)),2),""))</f>
        <v/>
      </c>
      <c r="J35" s="43" t="str">
        <f t="shared" si="1"/>
        <v/>
      </c>
      <c r="K35" s="43" t="str">
        <f>IF(IFERROR(INDEX(Consulta!$A:$DN,MATCH($C35,Consulta!$D:$D,0),K$2),"")=0,"",IFERROR(INDEX(Consulta!$A:$DN,MATCH($C35,Consulta!$D:$D,0),K$2),""))</f>
        <v/>
      </c>
      <c r="L35" s="66"/>
    </row>
    <row r="36" spans="1:12" x14ac:dyDescent="0.2">
      <c r="A36" s="7" t="str">
        <f t="shared" si="0"/>
        <v>Execução 32</v>
      </c>
      <c r="B36" s="42"/>
      <c r="C36" s="84" t="str">
        <f>IFERROR(VLOOKUP(B36,'ZM01'!B:C,2,0),"")</f>
        <v/>
      </c>
      <c r="D36" s="49" t="str">
        <f>IFERROR(VLOOKUP(B36,'ZM01'!B:J,9,0),"")</f>
        <v/>
      </c>
      <c r="E36" s="44">
        <v>1</v>
      </c>
      <c r="F36" s="44" t="s">
        <v>1008</v>
      </c>
      <c r="G36" s="43" t="str">
        <f>IF(IFERROR(INDEX(Consulta!$A:$DN,MATCH($C36,Consulta!$D:$D,0),G$2),"")=0,"",IFERROR(INDEX(Consulta!$A:$DN,MATCH($C36,Consulta!$D:$D,0),G$2),""))</f>
        <v/>
      </c>
      <c r="H36" s="44" t="s">
        <v>1020</v>
      </c>
      <c r="I36" s="43" t="str">
        <f>IF(IFERROR(INDEX(Consulta!$A:$DN,MATCH($C36,Consulta!$D:$D,0),IF(OR(LEFT(G36,4)="M058",LEFT(G36,4)="F058",LEFT(G36,4)="D058"),31,30)),"")=0,"",IFERROR(ROUND(INDEX(Consulta!$A:$DN,MATCH($C36,Consulta!$D:$D,0),IF(OR(LEFT(G36,4)="M058",LEFT(G36,4)="F058",LEFT(G36,4)="D058"),31,30)),2),""))</f>
        <v/>
      </c>
      <c r="J36" s="43" t="str">
        <f t="shared" si="1"/>
        <v/>
      </c>
      <c r="K36" s="43" t="str">
        <f>IF(IFERROR(INDEX(Consulta!$A:$DN,MATCH($C36,Consulta!$D:$D,0),K$2),"")=0,"",IFERROR(INDEX(Consulta!$A:$DN,MATCH($C36,Consulta!$D:$D,0),K$2),""))</f>
        <v/>
      </c>
      <c r="L36" s="66"/>
    </row>
    <row r="37" spans="1:12" x14ac:dyDescent="0.2">
      <c r="A37" s="7" t="str">
        <f t="shared" si="0"/>
        <v>Execução 33</v>
      </c>
      <c r="B37" s="42"/>
      <c r="C37" s="84" t="str">
        <f>IFERROR(VLOOKUP(B37,'ZM01'!B:C,2,0),"")</f>
        <v/>
      </c>
      <c r="D37" s="49" t="str">
        <f>IFERROR(VLOOKUP(B37,'ZM01'!B:J,9,0),"")</f>
        <v/>
      </c>
      <c r="E37" s="44">
        <v>1</v>
      </c>
      <c r="F37" s="44" t="s">
        <v>1008</v>
      </c>
      <c r="G37" s="43" t="str">
        <f>IF(IFERROR(INDEX(Consulta!$A:$DN,MATCH($C37,Consulta!$D:$D,0),G$2),"")=0,"",IFERROR(INDEX(Consulta!$A:$DN,MATCH($C37,Consulta!$D:$D,0),G$2),""))</f>
        <v/>
      </c>
      <c r="H37" s="44" t="s">
        <v>1020</v>
      </c>
      <c r="I37" s="43" t="str">
        <f>IF(IFERROR(INDEX(Consulta!$A:$DN,MATCH($C37,Consulta!$D:$D,0),IF(OR(LEFT(G37,4)="M058",LEFT(G37,4)="F058",LEFT(G37,4)="D058"),31,30)),"")=0,"",IFERROR(ROUND(INDEX(Consulta!$A:$DN,MATCH($C37,Consulta!$D:$D,0),IF(OR(LEFT(G37,4)="M058",LEFT(G37,4)="F058",LEFT(G37,4)="D058"),31,30)),2),""))</f>
        <v/>
      </c>
      <c r="J37" s="43" t="str">
        <f t="shared" si="1"/>
        <v/>
      </c>
      <c r="K37" s="43" t="str">
        <f>IF(IFERROR(INDEX(Consulta!$A:$DN,MATCH($C37,Consulta!$D:$D,0),K$2),"")=0,"",IFERROR(INDEX(Consulta!$A:$DN,MATCH($C37,Consulta!$D:$D,0),K$2),""))</f>
        <v/>
      </c>
      <c r="L37" s="66"/>
    </row>
    <row r="38" spans="1:12" x14ac:dyDescent="0.2">
      <c r="A38" s="7" t="str">
        <f t="shared" si="0"/>
        <v>Execução 34</v>
      </c>
      <c r="B38" s="42"/>
      <c r="C38" s="84" t="str">
        <f>IFERROR(VLOOKUP(B38,'ZM01'!B:C,2,0),"")</f>
        <v/>
      </c>
      <c r="D38" s="49" t="str">
        <f>IFERROR(VLOOKUP(B38,'ZM01'!B:J,9,0),"")</f>
        <v/>
      </c>
      <c r="E38" s="44">
        <v>1</v>
      </c>
      <c r="F38" s="44" t="s">
        <v>1008</v>
      </c>
      <c r="G38" s="43" t="str">
        <f>IF(IFERROR(INDEX(Consulta!$A:$DN,MATCH($C38,Consulta!$D:$D,0),G$2),"")=0,"",IFERROR(INDEX(Consulta!$A:$DN,MATCH($C38,Consulta!$D:$D,0),G$2),""))</f>
        <v/>
      </c>
      <c r="H38" s="44" t="s">
        <v>1020</v>
      </c>
      <c r="I38" s="43" t="str">
        <f>IF(IFERROR(INDEX(Consulta!$A:$DN,MATCH($C38,Consulta!$D:$D,0),IF(OR(LEFT(G38,4)="M058",LEFT(G38,4)="F058",LEFT(G38,4)="D058"),31,30)),"")=0,"",IFERROR(ROUND(INDEX(Consulta!$A:$DN,MATCH($C38,Consulta!$D:$D,0),IF(OR(LEFT(G38,4)="M058",LEFT(G38,4)="F058",LEFT(G38,4)="D058"),31,30)),2),""))</f>
        <v/>
      </c>
      <c r="J38" s="43" t="str">
        <f t="shared" si="1"/>
        <v/>
      </c>
      <c r="K38" s="43" t="str">
        <f>IF(IFERROR(INDEX(Consulta!$A:$DN,MATCH($C38,Consulta!$D:$D,0),K$2),"")=0,"",IFERROR(INDEX(Consulta!$A:$DN,MATCH($C38,Consulta!$D:$D,0),K$2),""))</f>
        <v/>
      </c>
      <c r="L38" s="66"/>
    </row>
    <row r="39" spans="1:12" x14ac:dyDescent="0.2">
      <c r="A39" s="7" t="str">
        <f t="shared" si="0"/>
        <v>Execução 35</v>
      </c>
      <c r="B39" s="42"/>
      <c r="C39" s="84" t="str">
        <f>IFERROR(VLOOKUP(B39,'ZM01'!B:C,2,0),"")</f>
        <v/>
      </c>
      <c r="D39" s="49" t="str">
        <f>IFERROR(VLOOKUP(B39,'ZM01'!B:J,9,0),"")</f>
        <v/>
      </c>
      <c r="E39" s="44">
        <v>1</v>
      </c>
      <c r="F39" s="44" t="s">
        <v>1008</v>
      </c>
      <c r="G39" s="43" t="str">
        <f>IF(IFERROR(INDEX(Consulta!$A:$DN,MATCH($C39,Consulta!$D:$D,0),G$2),"")=0,"",IFERROR(INDEX(Consulta!$A:$DN,MATCH($C39,Consulta!$D:$D,0),G$2),""))</f>
        <v/>
      </c>
      <c r="H39" s="44" t="s">
        <v>1020</v>
      </c>
      <c r="I39" s="43" t="str">
        <f>IF(IFERROR(INDEX(Consulta!$A:$DN,MATCH($C39,Consulta!$D:$D,0),IF(OR(LEFT(G39,4)="M058",LEFT(G39,4)="F058",LEFT(G39,4)="D058"),31,30)),"")=0,"",IFERROR(ROUND(INDEX(Consulta!$A:$DN,MATCH($C39,Consulta!$D:$D,0),IF(OR(LEFT(G39,4)="M058",LEFT(G39,4)="F058",LEFT(G39,4)="D058"),31,30)),2),""))</f>
        <v/>
      </c>
      <c r="J39" s="43" t="str">
        <f t="shared" si="1"/>
        <v/>
      </c>
      <c r="K39" s="43" t="str">
        <f>IF(IFERROR(INDEX(Consulta!$A:$DN,MATCH($C39,Consulta!$D:$D,0),K$2),"")=0,"",IFERROR(INDEX(Consulta!$A:$DN,MATCH($C39,Consulta!$D:$D,0),K$2),""))</f>
        <v/>
      </c>
      <c r="L39" s="66"/>
    </row>
    <row r="40" spans="1:12" x14ac:dyDescent="0.2">
      <c r="A40" s="7" t="str">
        <f t="shared" si="0"/>
        <v>Execução 36</v>
      </c>
      <c r="B40" s="42"/>
      <c r="C40" s="84" t="str">
        <f>IFERROR(VLOOKUP(B40,'ZM01'!B:C,2,0),"")</f>
        <v/>
      </c>
      <c r="D40" s="49" t="str">
        <f>IFERROR(VLOOKUP(B40,'ZM01'!B:J,9,0),"")</f>
        <v/>
      </c>
      <c r="E40" s="44">
        <v>1</v>
      </c>
      <c r="F40" s="44" t="s">
        <v>1008</v>
      </c>
      <c r="G40" s="43" t="str">
        <f>IF(IFERROR(INDEX(Consulta!$A:$DN,MATCH($C40,Consulta!$D:$D,0),G$2),"")=0,"",IFERROR(INDEX(Consulta!$A:$DN,MATCH($C40,Consulta!$D:$D,0),G$2),""))</f>
        <v/>
      </c>
      <c r="H40" s="44" t="s">
        <v>1020</v>
      </c>
      <c r="I40" s="43" t="str">
        <f>IF(IFERROR(INDEX(Consulta!$A:$DN,MATCH($C40,Consulta!$D:$D,0),IF(OR(LEFT(G40,4)="M058",LEFT(G40,4)="F058",LEFT(G40,4)="D058"),31,30)),"")=0,"",IFERROR(ROUND(INDEX(Consulta!$A:$DN,MATCH($C40,Consulta!$D:$D,0),IF(OR(LEFT(G40,4)="M058",LEFT(G40,4)="F058",LEFT(G40,4)="D058"),31,30)),2),""))</f>
        <v/>
      </c>
      <c r="J40" s="43" t="str">
        <f t="shared" si="1"/>
        <v/>
      </c>
      <c r="K40" s="43" t="str">
        <f>IF(IFERROR(INDEX(Consulta!$A:$DN,MATCH($C40,Consulta!$D:$D,0),K$2),"")=0,"",IFERROR(INDEX(Consulta!$A:$DN,MATCH($C40,Consulta!$D:$D,0),K$2),""))</f>
        <v/>
      </c>
      <c r="L40" s="66"/>
    </row>
    <row r="41" spans="1:12" x14ac:dyDescent="0.2">
      <c r="A41" s="7" t="str">
        <f t="shared" si="0"/>
        <v>Execução 37</v>
      </c>
      <c r="B41" s="42"/>
      <c r="C41" s="84" t="str">
        <f>IFERROR(VLOOKUP(B41,'ZM01'!B:C,2,0),"")</f>
        <v/>
      </c>
      <c r="D41" s="49" t="str">
        <f>IFERROR(VLOOKUP(B41,'ZM01'!B:J,9,0),"")</f>
        <v/>
      </c>
      <c r="E41" s="44">
        <v>1</v>
      </c>
      <c r="F41" s="44" t="s">
        <v>1008</v>
      </c>
      <c r="G41" s="43" t="str">
        <f>IF(IFERROR(INDEX(Consulta!$A:$DN,MATCH($C41,Consulta!$D:$D,0),G$2),"")=0,"",IFERROR(INDEX(Consulta!$A:$DN,MATCH($C41,Consulta!$D:$D,0),G$2),""))</f>
        <v/>
      </c>
      <c r="H41" s="44" t="s">
        <v>1020</v>
      </c>
      <c r="I41" s="43" t="str">
        <f>IF(IFERROR(INDEX(Consulta!$A:$DN,MATCH($C41,Consulta!$D:$D,0),IF(OR(LEFT(G41,4)="M058",LEFT(G41,4)="F058",LEFT(G41,4)="D058"),31,30)),"")=0,"",IFERROR(ROUND(INDEX(Consulta!$A:$DN,MATCH($C41,Consulta!$D:$D,0),IF(OR(LEFT(G41,4)="M058",LEFT(G41,4)="F058",LEFT(G41,4)="D058"),31,30)),2),""))</f>
        <v/>
      </c>
      <c r="J41" s="43" t="str">
        <f t="shared" si="1"/>
        <v/>
      </c>
      <c r="K41" s="43" t="str">
        <f>IF(IFERROR(INDEX(Consulta!$A:$DN,MATCH($C41,Consulta!$D:$D,0),K$2),"")=0,"",IFERROR(INDEX(Consulta!$A:$DN,MATCH($C41,Consulta!$D:$D,0),K$2),""))</f>
        <v/>
      </c>
      <c r="L41" s="66"/>
    </row>
    <row r="42" spans="1:12" x14ac:dyDescent="0.2">
      <c r="A42" s="7" t="str">
        <f t="shared" si="0"/>
        <v>Execução 38</v>
      </c>
      <c r="B42" s="42"/>
      <c r="C42" s="84" t="str">
        <f>IFERROR(VLOOKUP(B42,'ZM01'!B:C,2,0),"")</f>
        <v/>
      </c>
      <c r="D42" s="49" t="str">
        <f>IFERROR(VLOOKUP(B42,'ZM01'!B:J,9,0),"")</f>
        <v/>
      </c>
      <c r="E42" s="44">
        <v>1</v>
      </c>
      <c r="F42" s="44" t="s">
        <v>1008</v>
      </c>
      <c r="G42" s="43" t="str">
        <f>IF(IFERROR(INDEX(Consulta!$A:$DN,MATCH($C42,Consulta!$D:$D,0),G$2),"")=0,"",IFERROR(INDEX(Consulta!$A:$DN,MATCH($C42,Consulta!$D:$D,0),G$2),""))</f>
        <v/>
      </c>
      <c r="H42" s="44" t="s">
        <v>1020</v>
      </c>
      <c r="I42" s="43" t="str">
        <f>IF(IFERROR(INDEX(Consulta!$A:$DN,MATCH($C42,Consulta!$D:$D,0),IF(OR(LEFT(G42,4)="M058",LEFT(G42,4)="F058",LEFT(G42,4)="D058"),31,30)),"")=0,"",IFERROR(ROUND(INDEX(Consulta!$A:$DN,MATCH($C42,Consulta!$D:$D,0),IF(OR(LEFT(G42,4)="M058",LEFT(G42,4)="F058",LEFT(G42,4)="D058"),31,30)),2),""))</f>
        <v/>
      </c>
      <c r="J42" s="43" t="str">
        <f t="shared" si="1"/>
        <v/>
      </c>
      <c r="K42" s="43" t="str">
        <f>IF(IFERROR(INDEX(Consulta!$A:$DN,MATCH($C42,Consulta!$D:$D,0),K$2),"")=0,"",IFERROR(INDEX(Consulta!$A:$DN,MATCH($C42,Consulta!$D:$D,0),K$2),""))</f>
        <v/>
      </c>
      <c r="L42" s="66"/>
    </row>
    <row r="43" spans="1:12" x14ac:dyDescent="0.2">
      <c r="A43" s="7" t="str">
        <f t="shared" si="0"/>
        <v>Execução 39</v>
      </c>
      <c r="B43" s="42"/>
      <c r="C43" s="84" t="str">
        <f>IFERROR(VLOOKUP(B43,'ZM01'!B:C,2,0),"")</f>
        <v/>
      </c>
      <c r="D43" s="49" t="str">
        <f>IFERROR(VLOOKUP(B43,'ZM01'!B:J,9,0),"")</f>
        <v/>
      </c>
      <c r="E43" s="44">
        <v>1</v>
      </c>
      <c r="F43" s="44" t="s">
        <v>1008</v>
      </c>
      <c r="G43" s="43" t="str">
        <f>IF(IFERROR(INDEX(Consulta!$A:$DN,MATCH($C43,Consulta!$D:$D,0),G$2),"")=0,"",IFERROR(INDEX(Consulta!$A:$DN,MATCH($C43,Consulta!$D:$D,0),G$2),""))</f>
        <v/>
      </c>
      <c r="H43" s="44" t="s">
        <v>1020</v>
      </c>
      <c r="I43" s="43" t="str">
        <f>IF(IFERROR(INDEX(Consulta!$A:$DN,MATCH($C43,Consulta!$D:$D,0),IF(OR(LEFT(G43,4)="M058",LEFT(G43,4)="F058",LEFT(G43,4)="D058"),31,30)),"")=0,"",IFERROR(ROUND(INDEX(Consulta!$A:$DN,MATCH($C43,Consulta!$D:$D,0),IF(OR(LEFT(G43,4)="M058",LEFT(G43,4)="F058",LEFT(G43,4)="D058"),31,30)),2),""))</f>
        <v/>
      </c>
      <c r="J43" s="43" t="str">
        <f t="shared" si="1"/>
        <v/>
      </c>
      <c r="K43" s="43" t="str">
        <f>IF(IFERROR(INDEX(Consulta!$A:$DN,MATCH($C43,Consulta!$D:$D,0),K$2),"")=0,"",IFERROR(INDEX(Consulta!$A:$DN,MATCH($C43,Consulta!$D:$D,0),K$2),""))</f>
        <v/>
      </c>
      <c r="L43" s="66"/>
    </row>
    <row r="44" spans="1:12" x14ac:dyDescent="0.2">
      <c r="A44" s="7" t="str">
        <f t="shared" si="0"/>
        <v>Execução 40</v>
      </c>
      <c r="B44" s="42"/>
      <c r="C44" s="84" t="str">
        <f>IFERROR(VLOOKUP(B44,'ZM01'!B:C,2,0),"")</f>
        <v/>
      </c>
      <c r="D44" s="49" t="str">
        <f>IFERROR(VLOOKUP(B44,'ZM01'!B:J,9,0),"")</f>
        <v/>
      </c>
      <c r="E44" s="44">
        <v>1</v>
      </c>
      <c r="F44" s="44" t="s">
        <v>1008</v>
      </c>
      <c r="G44" s="43" t="str">
        <f>IF(IFERROR(INDEX(Consulta!$A:$DN,MATCH($C44,Consulta!$D:$D,0),G$2),"")=0,"",IFERROR(INDEX(Consulta!$A:$DN,MATCH($C44,Consulta!$D:$D,0),G$2),""))</f>
        <v/>
      </c>
      <c r="H44" s="44" t="s">
        <v>1020</v>
      </c>
      <c r="I44" s="43" t="str">
        <f>IF(IFERROR(INDEX(Consulta!$A:$DN,MATCH($C44,Consulta!$D:$D,0),IF(OR(LEFT(G44,4)="M058",LEFT(G44,4)="F058",LEFT(G44,4)="D058"),31,30)),"")=0,"",IFERROR(ROUND(INDEX(Consulta!$A:$DN,MATCH($C44,Consulta!$D:$D,0),IF(OR(LEFT(G44,4)="M058",LEFT(G44,4)="F058",LEFT(G44,4)="D058"),31,30)),2),""))</f>
        <v/>
      </c>
      <c r="J44" s="43" t="str">
        <f t="shared" si="1"/>
        <v/>
      </c>
      <c r="K44" s="43" t="str">
        <f>IF(IFERROR(INDEX(Consulta!$A:$DN,MATCH($C44,Consulta!$D:$D,0),K$2),"")=0,"",IFERROR(INDEX(Consulta!$A:$DN,MATCH($C44,Consulta!$D:$D,0),K$2),""))</f>
        <v/>
      </c>
      <c r="L44" s="66"/>
    </row>
    <row r="45" spans="1:12" x14ac:dyDescent="0.2">
      <c r="A45" s="7" t="str">
        <f t="shared" si="0"/>
        <v>Execução 41</v>
      </c>
      <c r="B45" s="42"/>
      <c r="C45" s="84" t="str">
        <f>IFERROR(VLOOKUP(B45,'ZM01'!B:C,2,0),"")</f>
        <v/>
      </c>
      <c r="D45" s="49" t="str">
        <f>IFERROR(VLOOKUP(B45,'ZM01'!B:J,9,0),"")</f>
        <v/>
      </c>
      <c r="E45" s="44">
        <v>1</v>
      </c>
      <c r="F45" s="44" t="s">
        <v>1008</v>
      </c>
      <c r="G45" s="43" t="str">
        <f>IF(IFERROR(INDEX(Consulta!$A:$DN,MATCH($C45,Consulta!$D:$D,0),G$2),"")=0,"",IFERROR(INDEX(Consulta!$A:$DN,MATCH($C45,Consulta!$D:$D,0),G$2),""))</f>
        <v/>
      </c>
      <c r="H45" s="44" t="s">
        <v>1020</v>
      </c>
      <c r="I45" s="43" t="str">
        <f>IF(IFERROR(INDEX(Consulta!$A:$DN,MATCH($C45,Consulta!$D:$D,0),IF(OR(LEFT(G45,4)="M058",LEFT(G45,4)="F058",LEFT(G45,4)="D058"),31,30)),"")=0,"",IFERROR(ROUND(INDEX(Consulta!$A:$DN,MATCH($C45,Consulta!$D:$D,0),IF(OR(LEFT(G45,4)="M058",LEFT(G45,4)="F058",LEFT(G45,4)="D058"),31,30)),2),""))</f>
        <v/>
      </c>
      <c r="J45" s="43" t="str">
        <f t="shared" si="1"/>
        <v/>
      </c>
      <c r="K45" s="43" t="str">
        <f>IF(IFERROR(INDEX(Consulta!$A:$DN,MATCH($C45,Consulta!$D:$D,0),K$2),"")=0,"",IFERROR(INDEX(Consulta!$A:$DN,MATCH($C45,Consulta!$D:$D,0),K$2),""))</f>
        <v/>
      </c>
      <c r="L45" s="66"/>
    </row>
    <row r="46" spans="1:12" x14ac:dyDescent="0.2">
      <c r="A46" s="7" t="str">
        <f t="shared" si="0"/>
        <v>Execução 42</v>
      </c>
      <c r="B46" s="42"/>
      <c r="C46" s="84" t="str">
        <f>IFERROR(VLOOKUP(B46,'ZM01'!B:C,2,0),"")</f>
        <v/>
      </c>
      <c r="D46" s="49" t="str">
        <f>IFERROR(VLOOKUP(B46,'ZM01'!B:J,9,0),"")</f>
        <v/>
      </c>
      <c r="E46" s="44">
        <v>1</v>
      </c>
      <c r="F46" s="44" t="s">
        <v>1008</v>
      </c>
      <c r="G46" s="43" t="str">
        <f>IF(IFERROR(INDEX(Consulta!$A:$DN,MATCH($C46,Consulta!$D:$D,0),G$2),"")=0,"",IFERROR(INDEX(Consulta!$A:$DN,MATCH($C46,Consulta!$D:$D,0),G$2),""))</f>
        <v/>
      </c>
      <c r="H46" s="44" t="s">
        <v>1020</v>
      </c>
      <c r="I46" s="43" t="str">
        <f>IF(IFERROR(INDEX(Consulta!$A:$DN,MATCH($C46,Consulta!$D:$D,0),IF(OR(LEFT(G46,4)="M058",LEFT(G46,4)="F058",LEFT(G46,4)="D058"),31,30)),"")=0,"",IFERROR(ROUND(INDEX(Consulta!$A:$DN,MATCH($C46,Consulta!$D:$D,0),IF(OR(LEFT(G46,4)="M058",LEFT(G46,4)="F058",LEFT(G46,4)="D058"),31,30)),2),""))</f>
        <v/>
      </c>
      <c r="J46" s="43" t="str">
        <f t="shared" si="1"/>
        <v/>
      </c>
      <c r="K46" s="43" t="str">
        <f>IF(IFERROR(INDEX(Consulta!$A:$DN,MATCH($C46,Consulta!$D:$D,0),K$2),"")=0,"",IFERROR(INDEX(Consulta!$A:$DN,MATCH($C46,Consulta!$D:$D,0),K$2),""))</f>
        <v/>
      </c>
      <c r="L46" s="66"/>
    </row>
    <row r="47" spans="1:12" x14ac:dyDescent="0.2">
      <c r="A47" s="7" t="str">
        <f t="shared" si="0"/>
        <v>Execução 43</v>
      </c>
      <c r="B47" s="42"/>
      <c r="C47" s="84" t="str">
        <f>IFERROR(VLOOKUP(B47,'ZM01'!B:C,2,0),"")</f>
        <v/>
      </c>
      <c r="D47" s="49" t="str">
        <f>IFERROR(VLOOKUP(B47,'ZM01'!B:J,9,0),"")</f>
        <v/>
      </c>
      <c r="E47" s="44">
        <v>1</v>
      </c>
      <c r="F47" s="44" t="s">
        <v>1008</v>
      </c>
      <c r="G47" s="43" t="str">
        <f>IF(IFERROR(INDEX(Consulta!$A:$DN,MATCH($C47,Consulta!$D:$D,0),G$2),"")=0,"",IFERROR(INDEX(Consulta!$A:$DN,MATCH($C47,Consulta!$D:$D,0),G$2),""))</f>
        <v/>
      </c>
      <c r="H47" s="44" t="s">
        <v>1020</v>
      </c>
      <c r="I47" s="43" t="str">
        <f>IF(IFERROR(INDEX(Consulta!$A:$DN,MATCH($C47,Consulta!$D:$D,0),IF(OR(LEFT(G47,4)="M058",LEFT(G47,4)="F058",LEFT(G47,4)="D058"),31,30)),"")=0,"",IFERROR(ROUND(INDEX(Consulta!$A:$DN,MATCH($C47,Consulta!$D:$D,0),IF(OR(LEFT(G47,4)="M058",LEFT(G47,4)="F058",LEFT(G47,4)="D058"),31,30)),2),""))</f>
        <v/>
      </c>
      <c r="J47" s="43" t="str">
        <f t="shared" si="1"/>
        <v/>
      </c>
      <c r="K47" s="43" t="str">
        <f>IF(IFERROR(INDEX(Consulta!$A:$DN,MATCH($C47,Consulta!$D:$D,0),K$2),"")=0,"",IFERROR(INDEX(Consulta!$A:$DN,MATCH($C47,Consulta!$D:$D,0),K$2),""))</f>
        <v/>
      </c>
      <c r="L47" s="66"/>
    </row>
    <row r="48" spans="1:12" x14ac:dyDescent="0.2">
      <c r="A48" s="7" t="str">
        <f t="shared" si="0"/>
        <v>Execução 44</v>
      </c>
      <c r="B48" s="42"/>
      <c r="C48" s="84" t="str">
        <f>IFERROR(VLOOKUP(B48,'ZM01'!B:C,2,0),"")</f>
        <v/>
      </c>
      <c r="D48" s="49" t="str">
        <f>IFERROR(VLOOKUP(B48,'ZM01'!B:J,9,0),"")</f>
        <v/>
      </c>
      <c r="E48" s="44">
        <v>1</v>
      </c>
      <c r="F48" s="44" t="s">
        <v>1008</v>
      </c>
      <c r="G48" s="43" t="str">
        <f>IF(IFERROR(INDEX(Consulta!$A:$DN,MATCH($C48,Consulta!$D:$D,0),G$2),"")=0,"",IFERROR(INDEX(Consulta!$A:$DN,MATCH($C48,Consulta!$D:$D,0),G$2),""))</f>
        <v/>
      </c>
      <c r="H48" s="44" t="s">
        <v>1020</v>
      </c>
      <c r="I48" s="43" t="str">
        <f>IF(IFERROR(INDEX(Consulta!$A:$DN,MATCH($C48,Consulta!$D:$D,0),IF(OR(LEFT(G48,4)="M058",LEFT(G48,4)="F058",LEFT(G48,4)="D058"),31,30)),"")=0,"",IFERROR(ROUND(INDEX(Consulta!$A:$DN,MATCH($C48,Consulta!$D:$D,0),IF(OR(LEFT(G48,4)="M058",LEFT(G48,4)="F058",LEFT(G48,4)="D058"),31,30)),2),""))</f>
        <v/>
      </c>
      <c r="J48" s="43" t="str">
        <f t="shared" si="1"/>
        <v/>
      </c>
      <c r="K48" s="43" t="str">
        <f>IF(IFERROR(INDEX(Consulta!$A:$DN,MATCH($C48,Consulta!$D:$D,0),K$2),"")=0,"",IFERROR(INDEX(Consulta!$A:$DN,MATCH($C48,Consulta!$D:$D,0),K$2),""))</f>
        <v/>
      </c>
      <c r="L48" s="66"/>
    </row>
    <row r="49" spans="1:12" x14ac:dyDescent="0.2">
      <c r="A49" s="7" t="str">
        <f t="shared" si="0"/>
        <v>Execução 45</v>
      </c>
      <c r="B49" s="42"/>
      <c r="C49" s="84" t="str">
        <f>IFERROR(VLOOKUP(B49,'ZM01'!B:C,2,0),"")</f>
        <v/>
      </c>
      <c r="D49" s="49" t="str">
        <f>IFERROR(VLOOKUP(B49,'ZM01'!B:J,9,0),"")</f>
        <v/>
      </c>
      <c r="E49" s="44">
        <v>1</v>
      </c>
      <c r="F49" s="44" t="s">
        <v>1008</v>
      </c>
      <c r="G49" s="43" t="str">
        <f>IF(IFERROR(INDEX(Consulta!$A:$DN,MATCH($C49,Consulta!$D:$D,0),G$2),"")=0,"",IFERROR(INDEX(Consulta!$A:$DN,MATCH($C49,Consulta!$D:$D,0),G$2),""))</f>
        <v/>
      </c>
      <c r="H49" s="44" t="s">
        <v>1020</v>
      </c>
      <c r="I49" s="43" t="str">
        <f>IF(IFERROR(INDEX(Consulta!$A:$DN,MATCH($C49,Consulta!$D:$D,0),IF(OR(LEFT(G49,4)="M058",LEFT(G49,4)="F058",LEFT(G49,4)="D058"),31,30)),"")=0,"",IFERROR(ROUND(INDEX(Consulta!$A:$DN,MATCH($C49,Consulta!$D:$D,0),IF(OR(LEFT(G49,4)="M058",LEFT(G49,4)="F058",LEFT(G49,4)="D058"),31,30)),2),""))</f>
        <v/>
      </c>
      <c r="J49" s="43" t="str">
        <f t="shared" si="1"/>
        <v/>
      </c>
      <c r="K49" s="43" t="str">
        <f>IF(IFERROR(INDEX(Consulta!$A:$DN,MATCH($C49,Consulta!$D:$D,0),K$2),"")=0,"",IFERROR(INDEX(Consulta!$A:$DN,MATCH($C49,Consulta!$D:$D,0),K$2),""))</f>
        <v/>
      </c>
      <c r="L49" s="66"/>
    </row>
    <row r="50" spans="1:12" x14ac:dyDescent="0.2">
      <c r="A50" s="7" t="str">
        <f t="shared" si="0"/>
        <v>Execução 46</v>
      </c>
      <c r="B50" s="42"/>
      <c r="C50" s="84" t="str">
        <f>IFERROR(VLOOKUP(B50,'ZM01'!B:C,2,0),"")</f>
        <v/>
      </c>
      <c r="D50" s="49" t="str">
        <f>IFERROR(VLOOKUP(B50,'ZM01'!B:J,9,0),"")</f>
        <v/>
      </c>
      <c r="E50" s="44">
        <v>1</v>
      </c>
      <c r="F50" s="44" t="s">
        <v>1008</v>
      </c>
      <c r="G50" s="43" t="str">
        <f>IF(IFERROR(INDEX(Consulta!$A:$DN,MATCH($C50,Consulta!$D:$D,0),G$2),"")=0,"",IFERROR(INDEX(Consulta!$A:$DN,MATCH($C50,Consulta!$D:$D,0),G$2),""))</f>
        <v/>
      </c>
      <c r="H50" s="44" t="s">
        <v>1020</v>
      </c>
      <c r="I50" s="43" t="str">
        <f>IF(IFERROR(INDEX(Consulta!$A:$DN,MATCH($C50,Consulta!$D:$D,0),IF(OR(LEFT(G50,4)="M058",LEFT(G50,4)="F058",LEFT(G50,4)="D058"),31,30)),"")=0,"",IFERROR(ROUND(INDEX(Consulta!$A:$DN,MATCH($C50,Consulta!$D:$D,0),IF(OR(LEFT(G50,4)="M058",LEFT(G50,4)="F058",LEFT(G50,4)="D058"),31,30)),2),""))</f>
        <v/>
      </c>
      <c r="J50" s="43" t="str">
        <f t="shared" si="1"/>
        <v/>
      </c>
      <c r="K50" s="43" t="str">
        <f>IF(IFERROR(INDEX(Consulta!$A:$DN,MATCH($C50,Consulta!$D:$D,0),K$2),"")=0,"",IFERROR(INDEX(Consulta!$A:$DN,MATCH($C50,Consulta!$D:$D,0),K$2),""))</f>
        <v/>
      </c>
      <c r="L50" s="66"/>
    </row>
    <row r="51" spans="1:12" x14ac:dyDescent="0.2">
      <c r="A51" s="7" t="str">
        <f t="shared" si="0"/>
        <v>Execução 47</v>
      </c>
      <c r="B51" s="42"/>
      <c r="C51" s="84" t="str">
        <f>IFERROR(VLOOKUP(B51,'ZM01'!B:C,2,0),"")</f>
        <v/>
      </c>
      <c r="D51" s="49" t="str">
        <f>IFERROR(VLOOKUP(B51,'ZM01'!B:J,9,0),"")</f>
        <v/>
      </c>
      <c r="E51" s="44">
        <v>1</v>
      </c>
      <c r="F51" s="44" t="s">
        <v>1008</v>
      </c>
      <c r="G51" s="43" t="str">
        <f>IF(IFERROR(INDEX(Consulta!$A:$DN,MATCH($C51,Consulta!$D:$D,0),G$2),"")=0,"",IFERROR(INDEX(Consulta!$A:$DN,MATCH($C51,Consulta!$D:$D,0),G$2),""))</f>
        <v/>
      </c>
      <c r="H51" s="44" t="s">
        <v>1020</v>
      </c>
      <c r="I51" s="43" t="str">
        <f>IF(IFERROR(INDEX(Consulta!$A:$DN,MATCH($C51,Consulta!$D:$D,0),IF(OR(LEFT(G51,4)="M058",LEFT(G51,4)="F058",LEFT(G51,4)="D058"),31,30)),"")=0,"",IFERROR(ROUND(INDEX(Consulta!$A:$DN,MATCH($C51,Consulta!$D:$D,0),IF(OR(LEFT(G51,4)="M058",LEFT(G51,4)="F058",LEFT(G51,4)="D058"),31,30)),2),""))</f>
        <v/>
      </c>
      <c r="J51" s="43" t="str">
        <f t="shared" si="1"/>
        <v/>
      </c>
      <c r="K51" s="43" t="str">
        <f>IF(IFERROR(INDEX(Consulta!$A:$DN,MATCH($C51,Consulta!$D:$D,0),K$2),"")=0,"",IFERROR(INDEX(Consulta!$A:$DN,MATCH($C51,Consulta!$D:$D,0),K$2),""))</f>
        <v/>
      </c>
      <c r="L51" s="66"/>
    </row>
    <row r="52" spans="1:12" x14ac:dyDescent="0.2">
      <c r="A52" s="7" t="str">
        <f t="shared" si="0"/>
        <v>Execução 48</v>
      </c>
      <c r="B52" s="42"/>
      <c r="C52" s="84" t="str">
        <f>IFERROR(VLOOKUP(B52,'ZM01'!B:C,2,0),"")</f>
        <v/>
      </c>
      <c r="D52" s="49" t="str">
        <f>IFERROR(VLOOKUP(B52,'ZM01'!B:J,9,0),"")</f>
        <v/>
      </c>
      <c r="E52" s="44">
        <v>1</v>
      </c>
      <c r="F52" s="44" t="s">
        <v>1008</v>
      </c>
      <c r="G52" s="43" t="str">
        <f>IF(IFERROR(INDEX(Consulta!$A:$DN,MATCH($C52,Consulta!$D:$D,0),G$2),"")=0,"",IFERROR(INDEX(Consulta!$A:$DN,MATCH($C52,Consulta!$D:$D,0),G$2),""))</f>
        <v/>
      </c>
      <c r="H52" s="44" t="s">
        <v>1020</v>
      </c>
      <c r="I52" s="43" t="str">
        <f>IF(IFERROR(INDEX(Consulta!$A:$DN,MATCH($C52,Consulta!$D:$D,0),IF(OR(LEFT(G52,4)="M058",LEFT(G52,4)="F058",LEFT(G52,4)="D058"),31,30)),"")=0,"",IFERROR(ROUND(INDEX(Consulta!$A:$DN,MATCH($C52,Consulta!$D:$D,0),IF(OR(LEFT(G52,4)="M058",LEFT(G52,4)="F058",LEFT(G52,4)="D058"),31,30)),2),""))</f>
        <v/>
      </c>
      <c r="J52" s="43" t="str">
        <f t="shared" si="1"/>
        <v/>
      </c>
      <c r="K52" s="43" t="str">
        <f>IF(IFERROR(INDEX(Consulta!$A:$DN,MATCH($C52,Consulta!$D:$D,0),K$2),"")=0,"",IFERROR(INDEX(Consulta!$A:$DN,MATCH($C52,Consulta!$D:$D,0),K$2),""))</f>
        <v/>
      </c>
      <c r="L52" s="66"/>
    </row>
    <row r="53" spans="1:12" x14ac:dyDescent="0.2">
      <c r="A53" s="7" t="str">
        <f t="shared" si="0"/>
        <v>Execução 49</v>
      </c>
      <c r="B53" s="42"/>
      <c r="C53" s="84" t="str">
        <f>IFERROR(VLOOKUP(B53,'ZM01'!B:C,2,0),"")</f>
        <v/>
      </c>
      <c r="D53" s="49" t="str">
        <f>IFERROR(VLOOKUP(B53,'ZM01'!B:J,9,0),"")</f>
        <v/>
      </c>
      <c r="E53" s="44">
        <v>1</v>
      </c>
      <c r="F53" s="44" t="s">
        <v>1008</v>
      </c>
      <c r="G53" s="43" t="str">
        <f>IF(IFERROR(INDEX(Consulta!$A:$DN,MATCH($C53,Consulta!$D:$D,0),G$2),"")=0,"",IFERROR(INDEX(Consulta!$A:$DN,MATCH($C53,Consulta!$D:$D,0),G$2),""))</f>
        <v/>
      </c>
      <c r="H53" s="44" t="s">
        <v>1020</v>
      </c>
      <c r="I53" s="43" t="str">
        <f>IF(IFERROR(INDEX(Consulta!$A:$DN,MATCH($C53,Consulta!$D:$D,0),IF(OR(LEFT(G53,4)="M058",LEFT(G53,4)="F058",LEFT(G53,4)="D058"),31,30)),"")=0,"",IFERROR(ROUND(INDEX(Consulta!$A:$DN,MATCH($C53,Consulta!$D:$D,0),IF(OR(LEFT(G53,4)="M058",LEFT(G53,4)="F058",LEFT(G53,4)="D058"),31,30)),2),""))</f>
        <v/>
      </c>
      <c r="J53" s="43" t="str">
        <f t="shared" si="1"/>
        <v/>
      </c>
      <c r="K53" s="43" t="str">
        <f>IF(IFERROR(INDEX(Consulta!$A:$DN,MATCH($C53,Consulta!$D:$D,0),K$2),"")=0,"",IFERROR(INDEX(Consulta!$A:$DN,MATCH($C53,Consulta!$D:$D,0),K$2),""))</f>
        <v/>
      </c>
      <c r="L53" s="66"/>
    </row>
    <row r="54" spans="1:12" x14ac:dyDescent="0.2">
      <c r="A54" s="7" t="str">
        <f t="shared" si="0"/>
        <v>Execução 50</v>
      </c>
      <c r="B54" s="42"/>
      <c r="C54" s="84" t="str">
        <f>IFERROR(VLOOKUP(B54,'ZM01'!B:C,2,0),"")</f>
        <v/>
      </c>
      <c r="D54" s="49" t="str">
        <f>IFERROR(VLOOKUP(B54,'ZM01'!B:J,9,0),"")</f>
        <v/>
      </c>
      <c r="E54" s="44">
        <v>1</v>
      </c>
      <c r="F54" s="44" t="s">
        <v>1008</v>
      </c>
      <c r="G54" s="43" t="str">
        <f>IF(IFERROR(INDEX(Consulta!$A:$DN,MATCH($C54,Consulta!$D:$D,0),G$2),"")=0,"",IFERROR(INDEX(Consulta!$A:$DN,MATCH($C54,Consulta!$D:$D,0),G$2),""))</f>
        <v/>
      </c>
      <c r="H54" s="44" t="s">
        <v>1020</v>
      </c>
      <c r="I54" s="43" t="str">
        <f>IF(IFERROR(INDEX(Consulta!$A:$DN,MATCH($C54,Consulta!$D:$D,0),IF(OR(LEFT(G54,4)="M058",LEFT(G54,4)="F058",LEFT(G54,4)="D058"),31,30)),"")=0,"",IFERROR(ROUND(INDEX(Consulta!$A:$DN,MATCH($C54,Consulta!$D:$D,0),IF(OR(LEFT(G54,4)="M058",LEFT(G54,4)="F058",LEFT(G54,4)="D058"),31,30)),2),""))</f>
        <v/>
      </c>
      <c r="J54" s="43" t="str">
        <f t="shared" si="1"/>
        <v/>
      </c>
      <c r="K54" s="43" t="str">
        <f>IF(IFERROR(INDEX(Consulta!$A:$DN,MATCH($C54,Consulta!$D:$D,0),K$2),"")=0,"",IFERROR(INDEX(Consulta!$A:$DN,MATCH($C54,Consulta!$D:$D,0),K$2),""))</f>
        <v/>
      </c>
      <c r="L54" s="67"/>
    </row>
  </sheetData>
  <conditionalFormatting sqref="B5:C5 C6:C54">
    <cfRule type="beginsWith" dxfId="35" priority="20" operator="beginsWith" text="L">
      <formula>LEFT(B5,LEN("L"))="L"</formula>
    </cfRule>
  </conditionalFormatting>
  <conditionalFormatting sqref="B6:B14">
    <cfRule type="beginsWith" dxfId="34" priority="19" operator="beginsWith" text="L">
      <formula>LEFT(B6,LEN("L"))="L"</formula>
    </cfRule>
  </conditionalFormatting>
  <conditionalFormatting sqref="B15:B54">
    <cfRule type="beginsWith" dxfId="33" priority="18" operator="beginsWith" text="L">
      <formula>LEFT(B15,LEN("L"))="L"</formula>
    </cfRule>
  </conditionalFormatting>
  <conditionalFormatting sqref="L1:L1048576">
    <cfRule type="containsText" dxfId="32" priority="13" operator="containsText" text="criada">
      <formula>NOT(ISERROR(SEARCH("criada",L1)))</formula>
    </cfRule>
    <cfRule type="containsText" dxfId="31" priority="14" operator="containsText" text="é gravado">
      <formula>NOT(ISERROR(SEARCH("é gravado",L1)))</formula>
    </cfRule>
    <cfRule type="containsText" dxfId="30" priority="15" operator="containsText" text="é modificado">
      <formula>NOT(ISERROR(SEARCH("é modificado",L1)))</formula>
    </cfRule>
    <cfRule type="containsText" dxfId="29" priority="16" operator="containsText" text="Error">
      <formula>NOT(ISERROR(SEARCH("Error",L1)))</formula>
    </cfRule>
    <cfRule type="containsText" dxfId="28" priority="17" operator="containsText" text="é criado">
      <formula>NOT(ISERROR(SEARCH("é criado",L1)))</formula>
    </cfRule>
  </conditionalFormatting>
  <conditionalFormatting sqref="E5:E54">
    <cfRule type="beginsWith" dxfId="27" priority="10" operator="beginsWith" text="L">
      <formula>LEFT(E5,LEN("L"))="L"</formula>
    </cfRule>
  </conditionalFormatting>
  <conditionalFormatting sqref="G5:G54">
    <cfRule type="beginsWith" dxfId="26" priority="6" operator="beginsWith" text="L">
      <formula>LEFT(G5,LEN("L"))="L"</formula>
    </cfRule>
  </conditionalFormatting>
  <conditionalFormatting sqref="I5:I54">
    <cfRule type="beginsWith" dxfId="25" priority="2" operator="beginsWith" text="L">
      <formula>LEFT(I5,LEN("L"))="L"</formula>
    </cfRule>
  </conditionalFormatting>
  <conditionalFormatting sqref="K5:K54">
    <cfRule type="beginsWith" dxfId="24" priority="4" operator="beginsWith" text="L">
      <formula>LEFT(K5,LEN("L"))="L"</formula>
    </cfRule>
  </conditionalFormatting>
  <conditionalFormatting sqref="J5:J54">
    <cfRule type="beginsWith" dxfId="23" priority="1" operator="beginsWith" text="L">
      <formula>LEFT(J5,LEN("L"))="L"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LoadFromZ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'Listas de Dados'!$B$4:$B$5</xm:f>
          </x14:formula1>
          <xm:sqref>D5:D54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9">
    <tabColor theme="4" tint="0.79998168889431442"/>
  </sheetPr>
  <dimension ref="A1:D5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17.5703125" style="6" customWidth="1"/>
    <col min="4" max="4" width="85.7109375" style="1" customWidth="1"/>
    <col min="5" max="5" width="22" style="1" customWidth="1"/>
    <col min="6" max="16384" width="9.140625" style="1"/>
  </cols>
  <sheetData>
    <row r="1" spans="1:4" s="51" customFormat="1" x14ac:dyDescent="0.2">
      <c r="A1" s="7" t="s">
        <v>28</v>
      </c>
      <c r="D1" s="59"/>
    </row>
    <row r="2" spans="1:4" s="41" customFormat="1" x14ac:dyDescent="0.2">
      <c r="A2" s="7"/>
      <c r="B2" s="40"/>
      <c r="C2" s="51"/>
    </row>
    <row r="3" spans="1:4" s="51" customFormat="1" ht="15" customHeight="1" x14ac:dyDescent="0.2">
      <c r="A3" s="7" t="s">
        <v>29</v>
      </c>
      <c r="B3" s="4" t="s">
        <v>824</v>
      </c>
      <c r="C3" s="52" t="s">
        <v>825</v>
      </c>
      <c r="D3" s="59" t="s">
        <v>32</v>
      </c>
    </row>
    <row r="4" spans="1:4" s="5" customFormat="1" ht="15" customHeight="1" x14ac:dyDescent="0.2">
      <c r="A4" s="8" t="s">
        <v>30</v>
      </c>
      <c r="B4" s="3" t="s">
        <v>95</v>
      </c>
      <c r="C4" s="14" t="s">
        <v>0</v>
      </c>
      <c r="D4" s="5" t="s">
        <v>908</v>
      </c>
    </row>
    <row r="5" spans="1:4" x14ac:dyDescent="0.2">
      <c r="A5" s="7" t="str">
        <f>"Execução "&amp;ROW()-4</f>
        <v>Execução 1</v>
      </c>
      <c r="B5" s="42"/>
      <c r="C5" s="71" t="str">
        <f>IFERROR(VLOOKUP(B5,'ZM01'!B:J,9,0),"")</f>
        <v/>
      </c>
      <c r="D5" s="65"/>
    </row>
    <row r="6" spans="1:4" x14ac:dyDescent="0.2">
      <c r="A6" s="7" t="str">
        <f t="shared" ref="A6:A54" si="0">"Execução "&amp;ROW()-4</f>
        <v>Execução 2</v>
      </c>
      <c r="B6" s="42"/>
      <c r="C6" s="71" t="str">
        <f>IFERROR(VLOOKUP(B6,'ZM01'!B:J,9,0),"")</f>
        <v/>
      </c>
      <c r="D6" s="66"/>
    </row>
    <row r="7" spans="1:4" x14ac:dyDescent="0.2">
      <c r="A7" s="7" t="str">
        <f t="shared" si="0"/>
        <v>Execução 3</v>
      </c>
      <c r="B7" s="42"/>
      <c r="C7" s="71" t="str">
        <f>IFERROR(VLOOKUP(B7,'ZM01'!B:J,9,0),"")</f>
        <v/>
      </c>
      <c r="D7" s="66"/>
    </row>
    <row r="8" spans="1:4" x14ac:dyDescent="0.2">
      <c r="A8" s="7" t="str">
        <f t="shared" si="0"/>
        <v>Execução 4</v>
      </c>
      <c r="B8" s="42"/>
      <c r="C8" s="71" t="str">
        <f>IFERROR(VLOOKUP(B8,'ZM01'!B:J,9,0),"")</f>
        <v/>
      </c>
      <c r="D8" s="66"/>
    </row>
    <row r="9" spans="1:4" x14ac:dyDescent="0.2">
      <c r="A9" s="7" t="str">
        <f t="shared" si="0"/>
        <v>Execução 5</v>
      </c>
      <c r="B9" s="42"/>
      <c r="C9" s="71" t="str">
        <f>IFERROR(VLOOKUP(B9,'ZM01'!B:J,9,0),"")</f>
        <v/>
      </c>
      <c r="D9" s="66"/>
    </row>
    <row r="10" spans="1:4" x14ac:dyDescent="0.2">
      <c r="A10" s="7" t="str">
        <f t="shared" si="0"/>
        <v>Execução 6</v>
      </c>
      <c r="B10" s="42"/>
      <c r="C10" s="71" t="str">
        <f>IFERROR(VLOOKUP(B10,'ZM01'!B:J,9,0),"")</f>
        <v/>
      </c>
      <c r="D10" s="66"/>
    </row>
    <row r="11" spans="1:4" x14ac:dyDescent="0.2">
      <c r="A11" s="7" t="str">
        <f t="shared" si="0"/>
        <v>Execução 7</v>
      </c>
      <c r="B11" s="42"/>
      <c r="C11" s="71" t="str">
        <f>IFERROR(VLOOKUP(B11,'ZM01'!B:J,9,0),"")</f>
        <v/>
      </c>
      <c r="D11" s="66"/>
    </row>
    <row r="12" spans="1:4" x14ac:dyDescent="0.2">
      <c r="A12" s="7" t="str">
        <f t="shared" si="0"/>
        <v>Execução 8</v>
      </c>
      <c r="B12" s="42"/>
      <c r="C12" s="71" t="str">
        <f>IFERROR(VLOOKUP(B12,'ZM01'!B:J,9,0),"")</f>
        <v/>
      </c>
      <c r="D12" s="66"/>
    </row>
    <row r="13" spans="1:4" x14ac:dyDescent="0.2">
      <c r="A13" s="7" t="str">
        <f t="shared" si="0"/>
        <v>Execução 9</v>
      </c>
      <c r="B13" s="42"/>
      <c r="C13" s="71" t="str">
        <f>IFERROR(VLOOKUP(B13,'ZM01'!B:J,9,0),"")</f>
        <v/>
      </c>
      <c r="D13" s="66"/>
    </row>
    <row r="14" spans="1:4" x14ac:dyDescent="0.2">
      <c r="A14" s="7" t="str">
        <f t="shared" si="0"/>
        <v>Execução 10</v>
      </c>
      <c r="B14" s="42"/>
      <c r="C14" s="71" t="str">
        <f>IFERROR(VLOOKUP(B14,'ZM01'!B:J,9,0),"")</f>
        <v/>
      </c>
      <c r="D14" s="66"/>
    </row>
    <row r="15" spans="1:4" x14ac:dyDescent="0.2">
      <c r="A15" s="7" t="str">
        <f t="shared" si="0"/>
        <v>Execução 11</v>
      </c>
      <c r="B15" s="42"/>
      <c r="C15" s="71" t="str">
        <f>IFERROR(VLOOKUP(B15,'ZM01'!B:J,9,0),"")</f>
        <v/>
      </c>
      <c r="D15" s="66"/>
    </row>
    <row r="16" spans="1:4" x14ac:dyDescent="0.2">
      <c r="A16" s="7" t="str">
        <f t="shared" si="0"/>
        <v>Execução 12</v>
      </c>
      <c r="B16" s="42"/>
      <c r="C16" s="71" t="str">
        <f>IFERROR(VLOOKUP(B16,'ZM01'!B:J,9,0),"")</f>
        <v/>
      </c>
      <c r="D16" s="66"/>
    </row>
    <row r="17" spans="1:4" x14ac:dyDescent="0.2">
      <c r="A17" s="7" t="str">
        <f t="shared" si="0"/>
        <v>Execução 13</v>
      </c>
      <c r="B17" s="42"/>
      <c r="C17" s="71" t="str">
        <f>IFERROR(VLOOKUP(B17,'ZM01'!B:J,9,0),"")</f>
        <v/>
      </c>
      <c r="D17" s="66"/>
    </row>
    <row r="18" spans="1:4" x14ac:dyDescent="0.2">
      <c r="A18" s="7" t="str">
        <f t="shared" si="0"/>
        <v>Execução 14</v>
      </c>
      <c r="B18" s="42"/>
      <c r="C18" s="71" t="str">
        <f>IFERROR(VLOOKUP(B18,'ZM01'!B:J,9,0),"")</f>
        <v/>
      </c>
      <c r="D18" s="66"/>
    </row>
    <row r="19" spans="1:4" x14ac:dyDescent="0.2">
      <c r="A19" s="7" t="str">
        <f t="shared" si="0"/>
        <v>Execução 15</v>
      </c>
      <c r="B19" s="42"/>
      <c r="C19" s="71" t="str">
        <f>IFERROR(VLOOKUP(B19,'ZM01'!B:J,9,0),"")</f>
        <v/>
      </c>
      <c r="D19" s="66"/>
    </row>
    <row r="20" spans="1:4" x14ac:dyDescent="0.2">
      <c r="A20" s="7" t="str">
        <f t="shared" si="0"/>
        <v>Execução 16</v>
      </c>
      <c r="B20" s="42"/>
      <c r="C20" s="71" t="str">
        <f>IFERROR(VLOOKUP(B20,'ZM01'!B:J,9,0),"")</f>
        <v/>
      </c>
      <c r="D20" s="66"/>
    </row>
    <row r="21" spans="1:4" x14ac:dyDescent="0.2">
      <c r="A21" s="7" t="str">
        <f t="shared" si="0"/>
        <v>Execução 17</v>
      </c>
      <c r="B21" s="42"/>
      <c r="C21" s="71" t="str">
        <f>IFERROR(VLOOKUP(B21,'ZM01'!B:J,9,0),"")</f>
        <v/>
      </c>
      <c r="D21" s="66"/>
    </row>
    <row r="22" spans="1:4" x14ac:dyDescent="0.2">
      <c r="A22" s="7" t="str">
        <f t="shared" si="0"/>
        <v>Execução 18</v>
      </c>
      <c r="B22" s="42"/>
      <c r="C22" s="71" t="str">
        <f>IFERROR(VLOOKUP(B22,'ZM01'!B:J,9,0),"")</f>
        <v/>
      </c>
      <c r="D22" s="66"/>
    </row>
    <row r="23" spans="1:4" x14ac:dyDescent="0.2">
      <c r="A23" s="7" t="str">
        <f t="shared" si="0"/>
        <v>Execução 19</v>
      </c>
      <c r="B23" s="42"/>
      <c r="C23" s="71" t="str">
        <f>IFERROR(VLOOKUP(B23,'ZM01'!B:J,9,0),"")</f>
        <v/>
      </c>
      <c r="D23" s="66"/>
    </row>
    <row r="24" spans="1:4" x14ac:dyDescent="0.2">
      <c r="A24" s="7" t="str">
        <f t="shared" si="0"/>
        <v>Execução 20</v>
      </c>
      <c r="B24" s="42"/>
      <c r="C24" s="71" t="str">
        <f>IFERROR(VLOOKUP(B24,'ZM01'!B:J,9,0),"")</f>
        <v/>
      </c>
      <c r="D24" s="66"/>
    </row>
    <row r="25" spans="1:4" x14ac:dyDescent="0.2">
      <c r="A25" s="7" t="str">
        <f t="shared" si="0"/>
        <v>Execução 21</v>
      </c>
      <c r="B25" s="42"/>
      <c r="C25" s="71" t="str">
        <f>IFERROR(VLOOKUP(B25,'ZM01'!B:J,9,0),"")</f>
        <v/>
      </c>
      <c r="D25" s="66"/>
    </row>
    <row r="26" spans="1:4" x14ac:dyDescent="0.2">
      <c r="A26" s="7" t="str">
        <f t="shared" si="0"/>
        <v>Execução 22</v>
      </c>
      <c r="B26" s="42"/>
      <c r="C26" s="71" t="str">
        <f>IFERROR(VLOOKUP(B26,'ZM01'!B:J,9,0),"")</f>
        <v/>
      </c>
      <c r="D26" s="66"/>
    </row>
    <row r="27" spans="1:4" x14ac:dyDescent="0.2">
      <c r="A27" s="7" t="str">
        <f t="shared" si="0"/>
        <v>Execução 23</v>
      </c>
      <c r="B27" s="42"/>
      <c r="C27" s="71" t="str">
        <f>IFERROR(VLOOKUP(B27,'ZM01'!B:J,9,0),"")</f>
        <v/>
      </c>
      <c r="D27" s="66"/>
    </row>
    <row r="28" spans="1:4" x14ac:dyDescent="0.2">
      <c r="A28" s="7" t="str">
        <f t="shared" si="0"/>
        <v>Execução 24</v>
      </c>
      <c r="B28" s="42"/>
      <c r="C28" s="71" t="str">
        <f>IFERROR(VLOOKUP(B28,'ZM01'!B:J,9,0),"")</f>
        <v/>
      </c>
      <c r="D28" s="66"/>
    </row>
    <row r="29" spans="1:4" x14ac:dyDescent="0.2">
      <c r="A29" s="7" t="str">
        <f t="shared" si="0"/>
        <v>Execução 25</v>
      </c>
      <c r="B29" s="42"/>
      <c r="C29" s="71" t="str">
        <f>IFERROR(VLOOKUP(B29,'ZM01'!B:J,9,0),"")</f>
        <v/>
      </c>
      <c r="D29" s="66"/>
    </row>
    <row r="30" spans="1:4" x14ac:dyDescent="0.2">
      <c r="A30" s="7" t="str">
        <f t="shared" si="0"/>
        <v>Execução 26</v>
      </c>
      <c r="B30" s="42"/>
      <c r="C30" s="71" t="str">
        <f>IFERROR(VLOOKUP(B30,'ZM01'!B:J,9,0),"")</f>
        <v/>
      </c>
      <c r="D30" s="66"/>
    </row>
    <row r="31" spans="1:4" x14ac:dyDescent="0.2">
      <c r="A31" s="7" t="str">
        <f t="shared" si="0"/>
        <v>Execução 27</v>
      </c>
      <c r="B31" s="42"/>
      <c r="C31" s="71" t="str">
        <f>IFERROR(VLOOKUP(B31,'ZM01'!B:J,9,0),"")</f>
        <v/>
      </c>
      <c r="D31" s="66"/>
    </row>
    <row r="32" spans="1:4" x14ac:dyDescent="0.2">
      <c r="A32" s="7" t="str">
        <f t="shared" si="0"/>
        <v>Execução 28</v>
      </c>
      <c r="B32" s="42"/>
      <c r="C32" s="71" t="str">
        <f>IFERROR(VLOOKUP(B32,'ZM01'!B:J,9,0),"")</f>
        <v/>
      </c>
      <c r="D32" s="66"/>
    </row>
    <row r="33" spans="1:4" x14ac:dyDescent="0.2">
      <c r="A33" s="7" t="str">
        <f t="shared" si="0"/>
        <v>Execução 29</v>
      </c>
      <c r="B33" s="42"/>
      <c r="C33" s="71" t="str">
        <f>IFERROR(VLOOKUP(B33,'ZM01'!B:J,9,0),"")</f>
        <v/>
      </c>
      <c r="D33" s="66"/>
    </row>
    <row r="34" spans="1:4" x14ac:dyDescent="0.2">
      <c r="A34" s="7" t="str">
        <f t="shared" si="0"/>
        <v>Execução 30</v>
      </c>
      <c r="B34" s="42"/>
      <c r="C34" s="71" t="str">
        <f>IFERROR(VLOOKUP(B34,'ZM01'!B:J,9,0),"")</f>
        <v/>
      </c>
      <c r="D34" s="66"/>
    </row>
    <row r="35" spans="1:4" x14ac:dyDescent="0.2">
      <c r="A35" s="7" t="str">
        <f t="shared" si="0"/>
        <v>Execução 31</v>
      </c>
      <c r="B35" s="42"/>
      <c r="C35" s="71" t="str">
        <f>IFERROR(VLOOKUP(B35,'ZM01'!B:J,9,0),"")</f>
        <v/>
      </c>
      <c r="D35" s="66"/>
    </row>
    <row r="36" spans="1:4" x14ac:dyDescent="0.2">
      <c r="A36" s="7" t="str">
        <f t="shared" si="0"/>
        <v>Execução 32</v>
      </c>
      <c r="B36" s="42"/>
      <c r="C36" s="71" t="str">
        <f>IFERROR(VLOOKUP(B36,'ZM01'!B:J,9,0),"")</f>
        <v/>
      </c>
      <c r="D36" s="66"/>
    </row>
    <row r="37" spans="1:4" x14ac:dyDescent="0.2">
      <c r="A37" s="7" t="str">
        <f t="shared" si="0"/>
        <v>Execução 33</v>
      </c>
      <c r="B37" s="42"/>
      <c r="C37" s="71" t="str">
        <f>IFERROR(VLOOKUP(B37,'ZM01'!B:J,9,0),"")</f>
        <v/>
      </c>
      <c r="D37" s="66"/>
    </row>
    <row r="38" spans="1:4" x14ac:dyDescent="0.2">
      <c r="A38" s="7" t="str">
        <f t="shared" si="0"/>
        <v>Execução 34</v>
      </c>
      <c r="B38" s="42"/>
      <c r="C38" s="71" t="str">
        <f>IFERROR(VLOOKUP(B38,'ZM01'!B:J,9,0),"")</f>
        <v/>
      </c>
      <c r="D38" s="66"/>
    </row>
    <row r="39" spans="1:4" x14ac:dyDescent="0.2">
      <c r="A39" s="7" t="str">
        <f t="shared" si="0"/>
        <v>Execução 35</v>
      </c>
      <c r="B39" s="42"/>
      <c r="C39" s="71" t="str">
        <f>IFERROR(VLOOKUP(B39,'ZM01'!B:J,9,0),"")</f>
        <v/>
      </c>
      <c r="D39" s="66"/>
    </row>
    <row r="40" spans="1:4" x14ac:dyDescent="0.2">
      <c r="A40" s="7" t="str">
        <f t="shared" si="0"/>
        <v>Execução 36</v>
      </c>
      <c r="B40" s="42"/>
      <c r="C40" s="71" t="str">
        <f>IFERROR(VLOOKUP(B40,'ZM01'!B:J,9,0),"")</f>
        <v/>
      </c>
      <c r="D40" s="66"/>
    </row>
    <row r="41" spans="1:4" x14ac:dyDescent="0.2">
      <c r="A41" s="7" t="str">
        <f t="shared" si="0"/>
        <v>Execução 37</v>
      </c>
      <c r="B41" s="42"/>
      <c r="C41" s="71" t="str">
        <f>IFERROR(VLOOKUP(B41,'ZM01'!B:J,9,0),"")</f>
        <v/>
      </c>
      <c r="D41" s="66"/>
    </row>
    <row r="42" spans="1:4" x14ac:dyDescent="0.2">
      <c r="A42" s="7" t="str">
        <f t="shared" si="0"/>
        <v>Execução 38</v>
      </c>
      <c r="B42" s="42"/>
      <c r="C42" s="71" t="str">
        <f>IFERROR(VLOOKUP(B42,'ZM01'!B:J,9,0),"")</f>
        <v/>
      </c>
      <c r="D42" s="66"/>
    </row>
    <row r="43" spans="1:4" x14ac:dyDescent="0.2">
      <c r="A43" s="7" t="str">
        <f t="shared" si="0"/>
        <v>Execução 39</v>
      </c>
      <c r="B43" s="42"/>
      <c r="C43" s="71" t="str">
        <f>IFERROR(VLOOKUP(B43,'ZM01'!B:J,9,0),"")</f>
        <v/>
      </c>
      <c r="D43" s="66"/>
    </row>
    <row r="44" spans="1:4" x14ac:dyDescent="0.2">
      <c r="A44" s="7" t="str">
        <f t="shared" si="0"/>
        <v>Execução 40</v>
      </c>
      <c r="B44" s="42"/>
      <c r="C44" s="71" t="str">
        <f>IFERROR(VLOOKUP(B44,'ZM01'!B:J,9,0),"")</f>
        <v/>
      </c>
      <c r="D44" s="66"/>
    </row>
    <row r="45" spans="1:4" x14ac:dyDescent="0.2">
      <c r="A45" s="7" t="str">
        <f t="shared" si="0"/>
        <v>Execução 41</v>
      </c>
      <c r="B45" s="42"/>
      <c r="C45" s="71" t="str">
        <f>IFERROR(VLOOKUP(B45,'ZM01'!B:J,9,0),"")</f>
        <v/>
      </c>
      <c r="D45" s="66"/>
    </row>
    <row r="46" spans="1:4" x14ac:dyDescent="0.2">
      <c r="A46" s="7" t="str">
        <f t="shared" si="0"/>
        <v>Execução 42</v>
      </c>
      <c r="B46" s="42"/>
      <c r="C46" s="71" t="str">
        <f>IFERROR(VLOOKUP(B46,'ZM01'!B:J,9,0),"")</f>
        <v/>
      </c>
      <c r="D46" s="66"/>
    </row>
    <row r="47" spans="1:4" x14ac:dyDescent="0.2">
      <c r="A47" s="7" t="str">
        <f t="shared" si="0"/>
        <v>Execução 43</v>
      </c>
      <c r="B47" s="42"/>
      <c r="C47" s="71" t="str">
        <f>IFERROR(VLOOKUP(B47,'ZM01'!B:J,9,0),"")</f>
        <v/>
      </c>
      <c r="D47" s="66"/>
    </row>
    <row r="48" spans="1:4" x14ac:dyDescent="0.2">
      <c r="A48" s="7" t="str">
        <f t="shared" si="0"/>
        <v>Execução 44</v>
      </c>
      <c r="B48" s="42"/>
      <c r="C48" s="71" t="str">
        <f>IFERROR(VLOOKUP(B48,'ZM01'!B:J,9,0),"")</f>
        <v/>
      </c>
      <c r="D48" s="66"/>
    </row>
    <row r="49" spans="1:4" x14ac:dyDescent="0.2">
      <c r="A49" s="7" t="str">
        <f t="shared" si="0"/>
        <v>Execução 45</v>
      </c>
      <c r="B49" s="42"/>
      <c r="C49" s="71" t="str">
        <f>IFERROR(VLOOKUP(B49,'ZM01'!B:J,9,0),"")</f>
        <v/>
      </c>
      <c r="D49" s="66"/>
    </row>
    <row r="50" spans="1:4" x14ac:dyDescent="0.2">
      <c r="A50" s="7" t="str">
        <f t="shared" si="0"/>
        <v>Execução 46</v>
      </c>
      <c r="B50" s="42"/>
      <c r="C50" s="71" t="str">
        <f>IFERROR(VLOOKUP(B50,'ZM01'!B:J,9,0),"")</f>
        <v/>
      </c>
      <c r="D50" s="66"/>
    </row>
    <row r="51" spans="1:4" x14ac:dyDescent="0.2">
      <c r="A51" s="7" t="str">
        <f t="shared" si="0"/>
        <v>Execução 47</v>
      </c>
      <c r="B51" s="42"/>
      <c r="C51" s="71" t="str">
        <f>IFERROR(VLOOKUP(B51,'ZM01'!B:J,9,0),"")</f>
        <v/>
      </c>
      <c r="D51" s="66"/>
    </row>
    <row r="52" spans="1:4" x14ac:dyDescent="0.2">
      <c r="A52" s="7" t="str">
        <f t="shared" si="0"/>
        <v>Execução 48</v>
      </c>
      <c r="B52" s="42"/>
      <c r="C52" s="71" t="str">
        <f>IFERROR(VLOOKUP(B52,'ZM01'!B:J,9,0),"")</f>
        <v/>
      </c>
      <c r="D52" s="66"/>
    </row>
    <row r="53" spans="1:4" x14ac:dyDescent="0.2">
      <c r="A53" s="7" t="str">
        <f t="shared" si="0"/>
        <v>Execução 49</v>
      </c>
      <c r="B53" s="42"/>
      <c r="C53" s="71" t="str">
        <f>IFERROR(VLOOKUP(B53,'ZM01'!B:J,9,0),"")</f>
        <v/>
      </c>
      <c r="D53" s="66"/>
    </row>
    <row r="54" spans="1:4" x14ac:dyDescent="0.2">
      <c r="A54" s="7" t="str">
        <f t="shared" si="0"/>
        <v>Execução 50</v>
      </c>
      <c r="B54" s="42"/>
      <c r="C54" s="71" t="str">
        <f>IFERROR(VLOOKUP(B54,'ZM01'!B:J,9,0),"")</f>
        <v/>
      </c>
      <c r="D54" s="67"/>
    </row>
  </sheetData>
  <conditionalFormatting sqref="B5">
    <cfRule type="beginsWith" dxfId="22" priority="33" operator="beginsWith" text="L">
      <formula>LEFT(B5,LEN("L"))="L"</formula>
    </cfRule>
  </conditionalFormatting>
  <conditionalFormatting sqref="B6:B14">
    <cfRule type="beginsWith" dxfId="21" priority="30" operator="beginsWith" text="L">
      <formula>LEFT(B6,LEN("L"))="L"</formula>
    </cfRule>
  </conditionalFormatting>
  <conditionalFormatting sqref="B15:B54">
    <cfRule type="beginsWith" dxfId="20" priority="29" operator="beginsWith" text="L">
      <formula>LEFT(B15,LEN("L"))="L"</formula>
    </cfRule>
  </conditionalFormatting>
  <conditionalFormatting sqref="D1:D1048576">
    <cfRule type="containsText" dxfId="19" priority="1" operator="containsText" text="será criado">
      <formula>NOT(ISERROR(SEARCH("será criado",D1)))</formula>
    </cfRule>
    <cfRule type="containsText" dxfId="18" priority="2" operator="containsText" text="criadas">
      <formula>NOT(ISERROR(SEARCH("criadas",D1)))</formula>
    </cfRule>
    <cfRule type="containsText" dxfId="17" priority="3" operator="containsText" text="é gravado">
      <formula>NOT(ISERROR(SEARCH("é gravado",D1)))</formula>
    </cfRule>
    <cfRule type="containsText" dxfId="16" priority="4" operator="containsText" text="é modificado">
      <formula>NOT(ISERROR(SEARCH("é modificado",D1)))</formula>
    </cfRule>
    <cfRule type="containsText" dxfId="15" priority="5" operator="containsText" text="Error">
      <formula>NOT(ISERROR(SEARCH("Error",D1)))</formula>
    </cfRule>
    <cfRule type="containsText" dxfId="14" priority="6" operator="containsText" text="é criado">
      <formula>NOT(ISERROR(SEARCH("é criado",D1)))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LoadFromZ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'Listas de Dados'!$B$4:$B$5</xm:f>
          </x14:formula1>
          <xm:sqref>C5:C54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0">
    <tabColor theme="4" tint="0.79998168889431442"/>
  </sheetPr>
  <dimension ref="A1:J54"/>
  <sheetViews>
    <sheetView showGridLines="0" showRowColHeaders="0" zoomScaleNormal="10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18.140625" style="6" customWidth="1"/>
    <col min="4" max="4" width="30.140625" style="6" customWidth="1"/>
    <col min="5" max="6" width="30.5703125" style="6" customWidth="1"/>
    <col min="7" max="7" width="29.28515625" style="6" customWidth="1"/>
    <col min="8" max="8" width="29.85546875" style="6" customWidth="1"/>
    <col min="9" max="9" width="30" style="6" customWidth="1"/>
    <col min="10" max="10" width="75.7109375" style="1" customWidth="1"/>
    <col min="11" max="11" width="22" style="1" customWidth="1"/>
    <col min="12" max="16384" width="9.140625" style="1"/>
  </cols>
  <sheetData>
    <row r="1" spans="1:10" s="87" customFormat="1" x14ac:dyDescent="0.2">
      <c r="A1" s="7" t="s">
        <v>28</v>
      </c>
    </row>
    <row r="2" spans="1:10" s="41" customFormat="1" x14ac:dyDescent="0.2">
      <c r="A2" s="7"/>
      <c r="B2" s="87"/>
      <c r="C2" s="87"/>
      <c r="D2" s="87"/>
      <c r="E2" s="87"/>
      <c r="F2" s="87"/>
      <c r="G2" s="87"/>
      <c r="H2" s="87"/>
      <c r="I2" s="87"/>
    </row>
    <row r="3" spans="1:10" s="87" customFormat="1" ht="15" customHeight="1" x14ac:dyDescent="0.2">
      <c r="A3" s="7" t="s">
        <v>29</v>
      </c>
      <c r="B3" s="4" t="s">
        <v>1024</v>
      </c>
      <c r="C3" s="86" t="s">
        <v>1025</v>
      </c>
      <c r="D3" s="86" t="s">
        <v>1026</v>
      </c>
      <c r="E3" s="86" t="s">
        <v>1027</v>
      </c>
      <c r="F3" s="86" t="s">
        <v>1028</v>
      </c>
      <c r="G3" s="86" t="s">
        <v>1029</v>
      </c>
      <c r="H3" s="86" t="s">
        <v>1030</v>
      </c>
      <c r="I3" s="86" t="s">
        <v>1031</v>
      </c>
      <c r="J3" s="87" t="s">
        <v>32</v>
      </c>
    </row>
    <row r="4" spans="1:10" s="5" customFormat="1" ht="15" customHeight="1" x14ac:dyDescent="0.2">
      <c r="A4" s="8" t="s">
        <v>30</v>
      </c>
      <c r="B4" s="3" t="s">
        <v>95</v>
      </c>
      <c r="C4" s="14" t="s">
        <v>0</v>
      </c>
      <c r="D4" s="14" t="s">
        <v>1032</v>
      </c>
      <c r="E4" s="14" t="s">
        <v>1033</v>
      </c>
      <c r="F4" s="14" t="s">
        <v>1034</v>
      </c>
      <c r="G4" s="14" t="s">
        <v>1005</v>
      </c>
      <c r="H4" s="14" t="s">
        <v>1035</v>
      </c>
      <c r="I4" s="14" t="s">
        <v>1036</v>
      </c>
      <c r="J4" s="5" t="s">
        <v>908</v>
      </c>
    </row>
    <row r="5" spans="1:10" x14ac:dyDescent="0.2">
      <c r="A5" s="7" t="str">
        <f>"Execução "&amp;ROW()-4</f>
        <v>Execução 1</v>
      </c>
      <c r="B5" s="42"/>
      <c r="C5" s="71" t="str">
        <f>IFERROR(VLOOKUP(B5,'ZM01'!B:J,9,0),"")</f>
        <v/>
      </c>
      <c r="D5" s="71" t="str">
        <f>IFERROR(VLOOKUP(B5,'CA01'!B:M,12,0),"")</f>
        <v/>
      </c>
      <c r="E5" s="71" t="str">
        <f ca="1">TEXT(TODAY(),"DD.MM.AAAA")</f>
        <v>24.05.2022</v>
      </c>
      <c r="F5" s="89" t="s">
        <v>1038</v>
      </c>
      <c r="G5" s="88">
        <v>1</v>
      </c>
      <c r="H5" s="88">
        <v>1</v>
      </c>
      <c r="I5" s="89" t="s">
        <v>532</v>
      </c>
      <c r="J5" s="65"/>
    </row>
    <row r="6" spans="1:10" x14ac:dyDescent="0.2">
      <c r="A6" s="7" t="str">
        <f t="shared" ref="A6:A54" si="0">"Execução "&amp;ROW()-4</f>
        <v>Execução 2</v>
      </c>
      <c r="B6" s="42"/>
      <c r="C6" s="71" t="str">
        <f>IFERROR(VLOOKUP(B6,'ZM01'!B:J,9,0),"")</f>
        <v/>
      </c>
      <c r="D6" s="71" t="str">
        <f>IFERROR(VLOOKUP(B6,'CA01'!B:M,12,0),"")</f>
        <v/>
      </c>
      <c r="E6" s="71" t="str">
        <f t="shared" ref="E6:E54" ca="1" si="1">TEXT(TODAY(),"DD.MM.AAAA")</f>
        <v>24.05.2022</v>
      </c>
      <c r="F6" s="89" t="s">
        <v>1038</v>
      </c>
      <c r="G6" s="88">
        <v>1</v>
      </c>
      <c r="H6" s="88">
        <v>1</v>
      </c>
      <c r="I6" s="89" t="s">
        <v>532</v>
      </c>
      <c r="J6" s="66"/>
    </row>
    <row r="7" spans="1:10" x14ac:dyDescent="0.2">
      <c r="A7" s="7" t="str">
        <f t="shared" si="0"/>
        <v>Execução 3</v>
      </c>
      <c r="B7" s="42"/>
      <c r="C7" s="71" t="str">
        <f>IFERROR(VLOOKUP(B7,'ZM01'!B:J,9,0),"")</f>
        <v/>
      </c>
      <c r="D7" s="71" t="str">
        <f>IFERROR(VLOOKUP(B7,'CA01'!B:M,12,0),"")</f>
        <v/>
      </c>
      <c r="E7" s="71" t="str">
        <f t="shared" ca="1" si="1"/>
        <v>24.05.2022</v>
      </c>
      <c r="F7" s="89" t="s">
        <v>1038</v>
      </c>
      <c r="G7" s="88">
        <v>1</v>
      </c>
      <c r="H7" s="88">
        <v>1</v>
      </c>
      <c r="I7" s="89" t="s">
        <v>532</v>
      </c>
      <c r="J7" s="66"/>
    </row>
    <row r="8" spans="1:10" x14ac:dyDescent="0.2">
      <c r="A8" s="7" t="str">
        <f t="shared" si="0"/>
        <v>Execução 4</v>
      </c>
      <c r="B8" s="42"/>
      <c r="C8" s="71" t="str">
        <f>IFERROR(VLOOKUP(B8,'ZM01'!B:J,9,0),"")</f>
        <v/>
      </c>
      <c r="D8" s="71" t="str">
        <f>IFERROR(VLOOKUP(B8,'CA01'!B:M,12,0),"")</f>
        <v/>
      </c>
      <c r="E8" s="71" t="str">
        <f t="shared" ca="1" si="1"/>
        <v>24.05.2022</v>
      </c>
      <c r="F8" s="89" t="s">
        <v>1038</v>
      </c>
      <c r="G8" s="88">
        <v>1</v>
      </c>
      <c r="H8" s="88">
        <v>1</v>
      </c>
      <c r="I8" s="89" t="s">
        <v>532</v>
      </c>
      <c r="J8" s="66"/>
    </row>
    <row r="9" spans="1:10" x14ac:dyDescent="0.2">
      <c r="A9" s="7" t="str">
        <f t="shared" si="0"/>
        <v>Execução 5</v>
      </c>
      <c r="B9" s="42"/>
      <c r="C9" s="71" t="str">
        <f>IFERROR(VLOOKUP(B9,'ZM01'!B:J,9,0),"")</f>
        <v/>
      </c>
      <c r="D9" s="71" t="str">
        <f>IFERROR(VLOOKUP(B9,'CA01'!B:M,12,0),"")</f>
        <v/>
      </c>
      <c r="E9" s="71" t="str">
        <f t="shared" ca="1" si="1"/>
        <v>24.05.2022</v>
      </c>
      <c r="F9" s="89" t="s">
        <v>1038</v>
      </c>
      <c r="G9" s="88">
        <v>1</v>
      </c>
      <c r="H9" s="88">
        <v>1</v>
      </c>
      <c r="I9" s="89" t="s">
        <v>532</v>
      </c>
      <c r="J9" s="66"/>
    </row>
    <row r="10" spans="1:10" x14ac:dyDescent="0.2">
      <c r="A10" s="7" t="str">
        <f t="shared" si="0"/>
        <v>Execução 6</v>
      </c>
      <c r="B10" s="42"/>
      <c r="C10" s="71" t="str">
        <f>IFERROR(VLOOKUP(B10,'ZM01'!B:J,9,0),"")</f>
        <v/>
      </c>
      <c r="D10" s="71" t="str">
        <f>IFERROR(VLOOKUP(B10,'CA01'!B:M,12,0),"")</f>
        <v/>
      </c>
      <c r="E10" s="71" t="str">
        <f t="shared" ca="1" si="1"/>
        <v>24.05.2022</v>
      </c>
      <c r="F10" s="89" t="s">
        <v>1038</v>
      </c>
      <c r="G10" s="88">
        <v>1</v>
      </c>
      <c r="H10" s="88">
        <v>1</v>
      </c>
      <c r="I10" s="89" t="s">
        <v>532</v>
      </c>
      <c r="J10" s="66"/>
    </row>
    <row r="11" spans="1:10" x14ac:dyDescent="0.2">
      <c r="A11" s="7" t="str">
        <f t="shared" si="0"/>
        <v>Execução 7</v>
      </c>
      <c r="B11" s="42"/>
      <c r="C11" s="71" t="str">
        <f>IFERROR(VLOOKUP(B11,'ZM01'!B:J,9,0),"")</f>
        <v/>
      </c>
      <c r="D11" s="71" t="str">
        <f>IFERROR(VLOOKUP(B11,'CA01'!B:M,12,0),"")</f>
        <v/>
      </c>
      <c r="E11" s="71" t="str">
        <f t="shared" ca="1" si="1"/>
        <v>24.05.2022</v>
      </c>
      <c r="F11" s="89" t="s">
        <v>1038</v>
      </c>
      <c r="G11" s="88">
        <v>1</v>
      </c>
      <c r="H11" s="88">
        <v>1</v>
      </c>
      <c r="I11" s="89" t="s">
        <v>532</v>
      </c>
      <c r="J11" s="66"/>
    </row>
    <row r="12" spans="1:10" x14ac:dyDescent="0.2">
      <c r="A12" s="7" t="str">
        <f t="shared" si="0"/>
        <v>Execução 8</v>
      </c>
      <c r="B12" s="42"/>
      <c r="C12" s="71" t="str">
        <f>IFERROR(VLOOKUP(B12,'ZM01'!B:J,9,0),"")</f>
        <v/>
      </c>
      <c r="D12" s="71" t="str">
        <f>IFERROR(VLOOKUP(B12,'CA01'!B:M,12,0),"")</f>
        <v/>
      </c>
      <c r="E12" s="71" t="str">
        <f t="shared" ca="1" si="1"/>
        <v>24.05.2022</v>
      </c>
      <c r="F12" s="89" t="s">
        <v>1038</v>
      </c>
      <c r="G12" s="88">
        <v>1</v>
      </c>
      <c r="H12" s="88">
        <v>1</v>
      </c>
      <c r="I12" s="89" t="s">
        <v>532</v>
      </c>
      <c r="J12" s="66"/>
    </row>
    <row r="13" spans="1:10" x14ac:dyDescent="0.2">
      <c r="A13" s="7" t="str">
        <f t="shared" si="0"/>
        <v>Execução 9</v>
      </c>
      <c r="B13" s="42"/>
      <c r="C13" s="71" t="str">
        <f>IFERROR(VLOOKUP(B13,'ZM01'!B:J,9,0),"")</f>
        <v/>
      </c>
      <c r="D13" s="71" t="str">
        <f>IFERROR(VLOOKUP(B13,'CA01'!B:M,12,0),"")</f>
        <v/>
      </c>
      <c r="E13" s="71" t="str">
        <f t="shared" ca="1" si="1"/>
        <v>24.05.2022</v>
      </c>
      <c r="F13" s="89" t="s">
        <v>1038</v>
      </c>
      <c r="G13" s="88">
        <v>1</v>
      </c>
      <c r="H13" s="88">
        <v>1</v>
      </c>
      <c r="I13" s="89" t="s">
        <v>532</v>
      </c>
      <c r="J13" s="66"/>
    </row>
    <row r="14" spans="1:10" x14ac:dyDescent="0.2">
      <c r="A14" s="7" t="str">
        <f t="shared" si="0"/>
        <v>Execução 10</v>
      </c>
      <c r="B14" s="42"/>
      <c r="C14" s="71" t="str">
        <f>IFERROR(VLOOKUP(B14,'ZM01'!B:J,9,0),"")</f>
        <v/>
      </c>
      <c r="D14" s="71" t="str">
        <f>IFERROR(VLOOKUP(B14,'CA01'!B:M,12,0),"")</f>
        <v/>
      </c>
      <c r="E14" s="71" t="str">
        <f t="shared" ca="1" si="1"/>
        <v>24.05.2022</v>
      </c>
      <c r="F14" s="89" t="s">
        <v>1038</v>
      </c>
      <c r="G14" s="88">
        <v>1</v>
      </c>
      <c r="H14" s="88">
        <v>1</v>
      </c>
      <c r="I14" s="89" t="s">
        <v>532</v>
      </c>
      <c r="J14" s="66"/>
    </row>
    <row r="15" spans="1:10" x14ac:dyDescent="0.2">
      <c r="A15" s="7" t="str">
        <f t="shared" si="0"/>
        <v>Execução 11</v>
      </c>
      <c r="B15" s="42"/>
      <c r="C15" s="71" t="str">
        <f>IFERROR(VLOOKUP(B15,'ZM01'!B:J,9,0),"")</f>
        <v/>
      </c>
      <c r="D15" s="71" t="str">
        <f>IFERROR(VLOOKUP(B15,'CA01'!B:M,12,0),"")</f>
        <v/>
      </c>
      <c r="E15" s="71" t="str">
        <f t="shared" ca="1" si="1"/>
        <v>24.05.2022</v>
      </c>
      <c r="F15" s="89" t="s">
        <v>1038</v>
      </c>
      <c r="G15" s="88">
        <v>1</v>
      </c>
      <c r="H15" s="88">
        <v>1</v>
      </c>
      <c r="I15" s="89" t="s">
        <v>532</v>
      </c>
      <c r="J15" s="66"/>
    </row>
    <row r="16" spans="1:10" x14ac:dyDescent="0.2">
      <c r="A16" s="7" t="str">
        <f t="shared" si="0"/>
        <v>Execução 12</v>
      </c>
      <c r="B16" s="42"/>
      <c r="C16" s="71" t="str">
        <f>IFERROR(VLOOKUP(B16,'ZM01'!B:J,9,0),"")</f>
        <v/>
      </c>
      <c r="D16" s="71" t="str">
        <f>IFERROR(VLOOKUP(B16,'CA01'!B:M,12,0),"")</f>
        <v/>
      </c>
      <c r="E16" s="71" t="str">
        <f t="shared" ca="1" si="1"/>
        <v>24.05.2022</v>
      </c>
      <c r="F16" s="89" t="s">
        <v>1038</v>
      </c>
      <c r="G16" s="88">
        <v>1</v>
      </c>
      <c r="H16" s="88">
        <v>1</v>
      </c>
      <c r="I16" s="89" t="s">
        <v>532</v>
      </c>
      <c r="J16" s="66"/>
    </row>
    <row r="17" spans="1:10" x14ac:dyDescent="0.2">
      <c r="A17" s="7" t="str">
        <f t="shared" si="0"/>
        <v>Execução 13</v>
      </c>
      <c r="B17" s="42"/>
      <c r="C17" s="71" t="str">
        <f>IFERROR(VLOOKUP(B17,'ZM01'!B:J,9,0),"")</f>
        <v/>
      </c>
      <c r="D17" s="71" t="str">
        <f>IFERROR(VLOOKUP(B17,'CA01'!B:M,12,0),"")</f>
        <v/>
      </c>
      <c r="E17" s="71" t="str">
        <f t="shared" ca="1" si="1"/>
        <v>24.05.2022</v>
      </c>
      <c r="F17" s="89" t="s">
        <v>1038</v>
      </c>
      <c r="G17" s="88">
        <v>1</v>
      </c>
      <c r="H17" s="88">
        <v>1</v>
      </c>
      <c r="I17" s="89" t="s">
        <v>532</v>
      </c>
      <c r="J17" s="66"/>
    </row>
    <row r="18" spans="1:10" x14ac:dyDescent="0.2">
      <c r="A18" s="7" t="str">
        <f t="shared" si="0"/>
        <v>Execução 14</v>
      </c>
      <c r="B18" s="42"/>
      <c r="C18" s="71" t="str">
        <f>IFERROR(VLOOKUP(B18,'ZM01'!B:J,9,0),"")</f>
        <v/>
      </c>
      <c r="D18" s="71" t="str">
        <f>IFERROR(VLOOKUP(B18,'CA01'!B:M,12,0),"")</f>
        <v/>
      </c>
      <c r="E18" s="71" t="str">
        <f t="shared" ca="1" si="1"/>
        <v>24.05.2022</v>
      </c>
      <c r="F18" s="89" t="s">
        <v>1038</v>
      </c>
      <c r="G18" s="88">
        <v>1</v>
      </c>
      <c r="H18" s="88">
        <v>1</v>
      </c>
      <c r="I18" s="89" t="s">
        <v>532</v>
      </c>
      <c r="J18" s="66"/>
    </row>
    <row r="19" spans="1:10" x14ac:dyDescent="0.2">
      <c r="A19" s="7" t="str">
        <f t="shared" si="0"/>
        <v>Execução 15</v>
      </c>
      <c r="B19" s="42"/>
      <c r="C19" s="71" t="str">
        <f>IFERROR(VLOOKUP(B19,'ZM01'!B:J,9,0),"")</f>
        <v/>
      </c>
      <c r="D19" s="71" t="str">
        <f>IFERROR(VLOOKUP(B19,'CA01'!B:M,12,0),"")</f>
        <v/>
      </c>
      <c r="E19" s="71" t="str">
        <f t="shared" ca="1" si="1"/>
        <v>24.05.2022</v>
      </c>
      <c r="F19" s="89" t="s">
        <v>1038</v>
      </c>
      <c r="G19" s="88">
        <v>1</v>
      </c>
      <c r="H19" s="88">
        <v>1</v>
      </c>
      <c r="I19" s="89" t="s">
        <v>532</v>
      </c>
      <c r="J19" s="66"/>
    </row>
    <row r="20" spans="1:10" x14ac:dyDescent="0.2">
      <c r="A20" s="7" t="str">
        <f t="shared" si="0"/>
        <v>Execução 16</v>
      </c>
      <c r="B20" s="42"/>
      <c r="C20" s="71" t="str">
        <f>IFERROR(VLOOKUP(B20,'ZM01'!B:J,9,0),"")</f>
        <v/>
      </c>
      <c r="D20" s="71" t="str">
        <f>IFERROR(VLOOKUP(B20,'CA01'!B:M,12,0),"")</f>
        <v/>
      </c>
      <c r="E20" s="71" t="str">
        <f t="shared" ca="1" si="1"/>
        <v>24.05.2022</v>
      </c>
      <c r="F20" s="89" t="s">
        <v>1038</v>
      </c>
      <c r="G20" s="88">
        <v>1</v>
      </c>
      <c r="H20" s="88">
        <v>1</v>
      </c>
      <c r="I20" s="89" t="s">
        <v>532</v>
      </c>
      <c r="J20" s="66"/>
    </row>
    <row r="21" spans="1:10" x14ac:dyDescent="0.2">
      <c r="A21" s="7" t="str">
        <f t="shared" si="0"/>
        <v>Execução 17</v>
      </c>
      <c r="B21" s="42"/>
      <c r="C21" s="71" t="str">
        <f>IFERROR(VLOOKUP(B21,'ZM01'!B:J,9,0),"")</f>
        <v/>
      </c>
      <c r="D21" s="71" t="str">
        <f>IFERROR(VLOOKUP(B21,'CA01'!B:M,12,0),"")</f>
        <v/>
      </c>
      <c r="E21" s="71" t="str">
        <f t="shared" ca="1" si="1"/>
        <v>24.05.2022</v>
      </c>
      <c r="F21" s="89" t="s">
        <v>1038</v>
      </c>
      <c r="G21" s="88">
        <v>1</v>
      </c>
      <c r="H21" s="88">
        <v>1</v>
      </c>
      <c r="I21" s="89" t="s">
        <v>532</v>
      </c>
      <c r="J21" s="66"/>
    </row>
    <row r="22" spans="1:10" x14ac:dyDescent="0.2">
      <c r="A22" s="7" t="str">
        <f t="shared" si="0"/>
        <v>Execução 18</v>
      </c>
      <c r="B22" s="42"/>
      <c r="C22" s="71" t="str">
        <f>IFERROR(VLOOKUP(B22,'ZM01'!B:J,9,0),"")</f>
        <v/>
      </c>
      <c r="D22" s="71" t="str">
        <f>IFERROR(VLOOKUP(B22,'CA01'!B:M,12,0),"")</f>
        <v/>
      </c>
      <c r="E22" s="71" t="str">
        <f t="shared" ca="1" si="1"/>
        <v>24.05.2022</v>
      </c>
      <c r="F22" s="89" t="s">
        <v>1038</v>
      </c>
      <c r="G22" s="88">
        <v>1</v>
      </c>
      <c r="H22" s="88">
        <v>1</v>
      </c>
      <c r="I22" s="89" t="s">
        <v>532</v>
      </c>
      <c r="J22" s="66"/>
    </row>
    <row r="23" spans="1:10" x14ac:dyDescent="0.2">
      <c r="A23" s="7" t="str">
        <f t="shared" si="0"/>
        <v>Execução 19</v>
      </c>
      <c r="B23" s="42"/>
      <c r="C23" s="71" t="str">
        <f>IFERROR(VLOOKUP(B23,'ZM01'!B:J,9,0),"")</f>
        <v/>
      </c>
      <c r="D23" s="71" t="str">
        <f>IFERROR(VLOOKUP(B23,'CA01'!B:M,12,0),"")</f>
        <v/>
      </c>
      <c r="E23" s="71" t="str">
        <f t="shared" ca="1" si="1"/>
        <v>24.05.2022</v>
      </c>
      <c r="F23" s="89" t="s">
        <v>1038</v>
      </c>
      <c r="G23" s="88">
        <v>1</v>
      </c>
      <c r="H23" s="88">
        <v>1</v>
      </c>
      <c r="I23" s="89" t="s">
        <v>532</v>
      </c>
      <c r="J23" s="66"/>
    </row>
    <row r="24" spans="1:10" x14ac:dyDescent="0.2">
      <c r="A24" s="7" t="str">
        <f t="shared" si="0"/>
        <v>Execução 20</v>
      </c>
      <c r="B24" s="42"/>
      <c r="C24" s="71" t="str">
        <f>IFERROR(VLOOKUP(B24,'ZM01'!B:J,9,0),"")</f>
        <v/>
      </c>
      <c r="D24" s="71" t="str">
        <f>IFERROR(VLOOKUP(B24,'CA01'!B:M,12,0),"")</f>
        <v/>
      </c>
      <c r="E24" s="71" t="str">
        <f t="shared" ca="1" si="1"/>
        <v>24.05.2022</v>
      </c>
      <c r="F24" s="89" t="s">
        <v>1038</v>
      </c>
      <c r="G24" s="88">
        <v>1</v>
      </c>
      <c r="H24" s="88">
        <v>1</v>
      </c>
      <c r="I24" s="89" t="s">
        <v>532</v>
      </c>
      <c r="J24" s="66"/>
    </row>
    <row r="25" spans="1:10" x14ac:dyDescent="0.2">
      <c r="A25" s="7" t="str">
        <f t="shared" si="0"/>
        <v>Execução 21</v>
      </c>
      <c r="B25" s="42"/>
      <c r="C25" s="71" t="str">
        <f>IFERROR(VLOOKUP(B25,'ZM01'!B:J,9,0),"")</f>
        <v/>
      </c>
      <c r="D25" s="71" t="str">
        <f>IFERROR(VLOOKUP(B25,'CA01'!B:M,12,0),"")</f>
        <v/>
      </c>
      <c r="E25" s="71" t="str">
        <f t="shared" ca="1" si="1"/>
        <v>24.05.2022</v>
      </c>
      <c r="F25" s="89" t="s">
        <v>1038</v>
      </c>
      <c r="G25" s="88">
        <v>1</v>
      </c>
      <c r="H25" s="88">
        <v>1</v>
      </c>
      <c r="I25" s="89" t="s">
        <v>532</v>
      </c>
      <c r="J25" s="66"/>
    </row>
    <row r="26" spans="1:10" x14ac:dyDescent="0.2">
      <c r="A26" s="7" t="str">
        <f t="shared" si="0"/>
        <v>Execução 22</v>
      </c>
      <c r="B26" s="42"/>
      <c r="C26" s="71" t="str">
        <f>IFERROR(VLOOKUP(B26,'ZM01'!B:J,9,0),"")</f>
        <v/>
      </c>
      <c r="D26" s="71" t="str">
        <f>IFERROR(VLOOKUP(B26,'CA01'!B:M,12,0),"")</f>
        <v/>
      </c>
      <c r="E26" s="71" t="str">
        <f t="shared" ca="1" si="1"/>
        <v>24.05.2022</v>
      </c>
      <c r="F26" s="89" t="s">
        <v>1038</v>
      </c>
      <c r="G26" s="88">
        <v>1</v>
      </c>
      <c r="H26" s="88">
        <v>1</v>
      </c>
      <c r="I26" s="89" t="s">
        <v>532</v>
      </c>
      <c r="J26" s="66"/>
    </row>
    <row r="27" spans="1:10" x14ac:dyDescent="0.2">
      <c r="A27" s="7" t="str">
        <f t="shared" si="0"/>
        <v>Execução 23</v>
      </c>
      <c r="B27" s="42"/>
      <c r="C27" s="71" t="str">
        <f>IFERROR(VLOOKUP(B27,'ZM01'!B:J,9,0),"")</f>
        <v/>
      </c>
      <c r="D27" s="71" t="str">
        <f>IFERROR(VLOOKUP(B27,'CA01'!B:M,12,0),"")</f>
        <v/>
      </c>
      <c r="E27" s="71" t="str">
        <f t="shared" ca="1" si="1"/>
        <v>24.05.2022</v>
      </c>
      <c r="F27" s="89" t="s">
        <v>1038</v>
      </c>
      <c r="G27" s="88">
        <v>1</v>
      </c>
      <c r="H27" s="88">
        <v>1</v>
      </c>
      <c r="I27" s="89" t="s">
        <v>532</v>
      </c>
      <c r="J27" s="66"/>
    </row>
    <row r="28" spans="1:10" x14ac:dyDescent="0.2">
      <c r="A28" s="7" t="str">
        <f t="shared" si="0"/>
        <v>Execução 24</v>
      </c>
      <c r="B28" s="42"/>
      <c r="C28" s="71" t="str">
        <f>IFERROR(VLOOKUP(B28,'ZM01'!B:J,9,0),"")</f>
        <v/>
      </c>
      <c r="D28" s="71" t="str">
        <f>IFERROR(VLOOKUP(B28,'CA01'!B:M,12,0),"")</f>
        <v/>
      </c>
      <c r="E28" s="71" t="str">
        <f t="shared" ca="1" si="1"/>
        <v>24.05.2022</v>
      </c>
      <c r="F28" s="89" t="s">
        <v>1038</v>
      </c>
      <c r="G28" s="88">
        <v>1</v>
      </c>
      <c r="H28" s="88">
        <v>1</v>
      </c>
      <c r="I28" s="89" t="s">
        <v>532</v>
      </c>
      <c r="J28" s="66"/>
    </row>
    <row r="29" spans="1:10" x14ac:dyDescent="0.2">
      <c r="A29" s="7" t="str">
        <f t="shared" si="0"/>
        <v>Execução 25</v>
      </c>
      <c r="B29" s="42"/>
      <c r="C29" s="71" t="str">
        <f>IFERROR(VLOOKUP(B29,'ZM01'!B:J,9,0),"")</f>
        <v/>
      </c>
      <c r="D29" s="71" t="str">
        <f>IFERROR(VLOOKUP(B29,'CA01'!B:M,12,0),"")</f>
        <v/>
      </c>
      <c r="E29" s="71" t="str">
        <f t="shared" ca="1" si="1"/>
        <v>24.05.2022</v>
      </c>
      <c r="F29" s="89" t="s">
        <v>1038</v>
      </c>
      <c r="G29" s="88">
        <v>1</v>
      </c>
      <c r="H29" s="88">
        <v>1</v>
      </c>
      <c r="I29" s="89" t="s">
        <v>532</v>
      </c>
      <c r="J29" s="66"/>
    </row>
    <row r="30" spans="1:10" x14ac:dyDescent="0.2">
      <c r="A30" s="7" t="str">
        <f t="shared" si="0"/>
        <v>Execução 26</v>
      </c>
      <c r="B30" s="42"/>
      <c r="C30" s="71" t="str">
        <f>IFERROR(VLOOKUP(B30,'ZM01'!B:J,9,0),"")</f>
        <v/>
      </c>
      <c r="D30" s="71" t="str">
        <f>IFERROR(VLOOKUP(B30,'CA01'!B:M,12,0),"")</f>
        <v/>
      </c>
      <c r="E30" s="71" t="str">
        <f t="shared" ca="1" si="1"/>
        <v>24.05.2022</v>
      </c>
      <c r="F30" s="89" t="s">
        <v>1038</v>
      </c>
      <c r="G30" s="88">
        <v>1</v>
      </c>
      <c r="H30" s="88">
        <v>1</v>
      </c>
      <c r="I30" s="89" t="s">
        <v>532</v>
      </c>
      <c r="J30" s="66"/>
    </row>
    <row r="31" spans="1:10" x14ac:dyDescent="0.2">
      <c r="A31" s="7" t="str">
        <f t="shared" si="0"/>
        <v>Execução 27</v>
      </c>
      <c r="B31" s="42"/>
      <c r="C31" s="71" t="str">
        <f>IFERROR(VLOOKUP(B31,'ZM01'!B:J,9,0),"")</f>
        <v/>
      </c>
      <c r="D31" s="71" t="str">
        <f>IFERROR(VLOOKUP(B31,'CA01'!B:M,12,0),"")</f>
        <v/>
      </c>
      <c r="E31" s="71" t="str">
        <f t="shared" ca="1" si="1"/>
        <v>24.05.2022</v>
      </c>
      <c r="F31" s="89" t="s">
        <v>1038</v>
      </c>
      <c r="G31" s="88">
        <v>1</v>
      </c>
      <c r="H31" s="88">
        <v>1</v>
      </c>
      <c r="I31" s="89" t="s">
        <v>532</v>
      </c>
      <c r="J31" s="66"/>
    </row>
    <row r="32" spans="1:10" x14ac:dyDescent="0.2">
      <c r="A32" s="7" t="str">
        <f t="shared" si="0"/>
        <v>Execução 28</v>
      </c>
      <c r="B32" s="42"/>
      <c r="C32" s="71" t="str">
        <f>IFERROR(VLOOKUP(B32,'ZM01'!B:J,9,0),"")</f>
        <v/>
      </c>
      <c r="D32" s="71" t="str">
        <f>IFERROR(VLOOKUP(B32,'CA01'!B:M,12,0),"")</f>
        <v/>
      </c>
      <c r="E32" s="71" t="str">
        <f t="shared" ca="1" si="1"/>
        <v>24.05.2022</v>
      </c>
      <c r="F32" s="89" t="s">
        <v>1038</v>
      </c>
      <c r="G32" s="88">
        <v>1</v>
      </c>
      <c r="H32" s="88">
        <v>1</v>
      </c>
      <c r="I32" s="89" t="s">
        <v>532</v>
      </c>
      <c r="J32" s="66"/>
    </row>
    <row r="33" spans="1:10" x14ac:dyDescent="0.2">
      <c r="A33" s="7" t="str">
        <f t="shared" si="0"/>
        <v>Execução 29</v>
      </c>
      <c r="B33" s="42"/>
      <c r="C33" s="71" t="str">
        <f>IFERROR(VLOOKUP(B33,'ZM01'!B:J,9,0),"")</f>
        <v/>
      </c>
      <c r="D33" s="71" t="str">
        <f>IFERROR(VLOOKUP(B33,'CA01'!B:M,12,0),"")</f>
        <v/>
      </c>
      <c r="E33" s="71" t="str">
        <f t="shared" ca="1" si="1"/>
        <v>24.05.2022</v>
      </c>
      <c r="F33" s="89" t="s">
        <v>1038</v>
      </c>
      <c r="G33" s="88">
        <v>1</v>
      </c>
      <c r="H33" s="88">
        <v>1</v>
      </c>
      <c r="I33" s="89" t="s">
        <v>532</v>
      </c>
      <c r="J33" s="66"/>
    </row>
    <row r="34" spans="1:10" x14ac:dyDescent="0.2">
      <c r="A34" s="7" t="str">
        <f t="shared" si="0"/>
        <v>Execução 30</v>
      </c>
      <c r="B34" s="42"/>
      <c r="C34" s="71" t="str">
        <f>IFERROR(VLOOKUP(B34,'ZM01'!B:J,9,0),"")</f>
        <v/>
      </c>
      <c r="D34" s="71" t="str">
        <f>IFERROR(VLOOKUP(B34,'CA01'!B:M,12,0),"")</f>
        <v/>
      </c>
      <c r="E34" s="71" t="str">
        <f t="shared" ca="1" si="1"/>
        <v>24.05.2022</v>
      </c>
      <c r="F34" s="89" t="s">
        <v>1038</v>
      </c>
      <c r="G34" s="88">
        <v>1</v>
      </c>
      <c r="H34" s="88">
        <v>1</v>
      </c>
      <c r="I34" s="89" t="s">
        <v>532</v>
      </c>
      <c r="J34" s="66"/>
    </row>
    <row r="35" spans="1:10" x14ac:dyDescent="0.2">
      <c r="A35" s="7" t="str">
        <f t="shared" si="0"/>
        <v>Execução 31</v>
      </c>
      <c r="B35" s="42"/>
      <c r="C35" s="71" t="str">
        <f>IFERROR(VLOOKUP(B35,'ZM01'!B:J,9,0),"")</f>
        <v/>
      </c>
      <c r="D35" s="71" t="str">
        <f>IFERROR(VLOOKUP(B35,'CA01'!B:M,12,0),"")</f>
        <v/>
      </c>
      <c r="E35" s="71" t="str">
        <f t="shared" ca="1" si="1"/>
        <v>24.05.2022</v>
      </c>
      <c r="F35" s="89" t="s">
        <v>1038</v>
      </c>
      <c r="G35" s="88">
        <v>1</v>
      </c>
      <c r="H35" s="88">
        <v>1</v>
      </c>
      <c r="I35" s="89" t="s">
        <v>532</v>
      </c>
      <c r="J35" s="66"/>
    </row>
    <row r="36" spans="1:10" x14ac:dyDescent="0.2">
      <c r="A36" s="7" t="str">
        <f t="shared" si="0"/>
        <v>Execução 32</v>
      </c>
      <c r="B36" s="42"/>
      <c r="C36" s="71" t="str">
        <f>IFERROR(VLOOKUP(B36,'ZM01'!B:J,9,0),"")</f>
        <v/>
      </c>
      <c r="D36" s="71" t="str">
        <f>IFERROR(VLOOKUP(B36,'CA01'!B:M,12,0),"")</f>
        <v/>
      </c>
      <c r="E36" s="71" t="str">
        <f t="shared" ca="1" si="1"/>
        <v>24.05.2022</v>
      </c>
      <c r="F36" s="89" t="s">
        <v>1038</v>
      </c>
      <c r="G36" s="88">
        <v>1</v>
      </c>
      <c r="H36" s="88">
        <v>1</v>
      </c>
      <c r="I36" s="89" t="s">
        <v>532</v>
      </c>
      <c r="J36" s="66"/>
    </row>
    <row r="37" spans="1:10" x14ac:dyDescent="0.2">
      <c r="A37" s="7" t="str">
        <f t="shared" si="0"/>
        <v>Execução 33</v>
      </c>
      <c r="B37" s="42"/>
      <c r="C37" s="71" t="str">
        <f>IFERROR(VLOOKUP(B37,'ZM01'!B:J,9,0),"")</f>
        <v/>
      </c>
      <c r="D37" s="71" t="str">
        <f>IFERROR(VLOOKUP(B37,'CA01'!B:M,12,0),"")</f>
        <v/>
      </c>
      <c r="E37" s="71" t="str">
        <f t="shared" ca="1" si="1"/>
        <v>24.05.2022</v>
      </c>
      <c r="F37" s="89" t="s">
        <v>1038</v>
      </c>
      <c r="G37" s="88">
        <v>1</v>
      </c>
      <c r="H37" s="88">
        <v>1</v>
      </c>
      <c r="I37" s="89" t="s">
        <v>532</v>
      </c>
      <c r="J37" s="66"/>
    </row>
    <row r="38" spans="1:10" x14ac:dyDescent="0.2">
      <c r="A38" s="7" t="str">
        <f t="shared" si="0"/>
        <v>Execução 34</v>
      </c>
      <c r="B38" s="42"/>
      <c r="C38" s="71" t="str">
        <f>IFERROR(VLOOKUP(B38,'ZM01'!B:J,9,0),"")</f>
        <v/>
      </c>
      <c r="D38" s="71" t="str">
        <f>IFERROR(VLOOKUP(B38,'CA01'!B:M,12,0),"")</f>
        <v/>
      </c>
      <c r="E38" s="71" t="str">
        <f t="shared" ca="1" si="1"/>
        <v>24.05.2022</v>
      </c>
      <c r="F38" s="89" t="s">
        <v>1038</v>
      </c>
      <c r="G38" s="88">
        <v>1</v>
      </c>
      <c r="H38" s="88">
        <v>1</v>
      </c>
      <c r="I38" s="89" t="s">
        <v>532</v>
      </c>
      <c r="J38" s="66"/>
    </row>
    <row r="39" spans="1:10" x14ac:dyDescent="0.2">
      <c r="A39" s="7" t="str">
        <f t="shared" si="0"/>
        <v>Execução 35</v>
      </c>
      <c r="B39" s="42"/>
      <c r="C39" s="71" t="str">
        <f>IFERROR(VLOOKUP(B39,'ZM01'!B:J,9,0),"")</f>
        <v/>
      </c>
      <c r="D39" s="71" t="str">
        <f>IFERROR(VLOOKUP(B39,'CA01'!B:M,12,0),"")</f>
        <v/>
      </c>
      <c r="E39" s="71" t="str">
        <f t="shared" ca="1" si="1"/>
        <v>24.05.2022</v>
      </c>
      <c r="F39" s="89" t="s">
        <v>1038</v>
      </c>
      <c r="G39" s="88">
        <v>1</v>
      </c>
      <c r="H39" s="88">
        <v>1</v>
      </c>
      <c r="I39" s="89" t="s">
        <v>532</v>
      </c>
      <c r="J39" s="66"/>
    </row>
    <row r="40" spans="1:10" x14ac:dyDescent="0.2">
      <c r="A40" s="7" t="str">
        <f t="shared" si="0"/>
        <v>Execução 36</v>
      </c>
      <c r="B40" s="42"/>
      <c r="C40" s="71" t="str">
        <f>IFERROR(VLOOKUP(B40,'ZM01'!B:J,9,0),"")</f>
        <v/>
      </c>
      <c r="D40" s="71" t="str">
        <f>IFERROR(VLOOKUP(B40,'CA01'!B:M,12,0),"")</f>
        <v/>
      </c>
      <c r="E40" s="71" t="str">
        <f t="shared" ca="1" si="1"/>
        <v>24.05.2022</v>
      </c>
      <c r="F40" s="89" t="s">
        <v>1038</v>
      </c>
      <c r="G40" s="88">
        <v>1</v>
      </c>
      <c r="H40" s="88">
        <v>1</v>
      </c>
      <c r="I40" s="89" t="s">
        <v>532</v>
      </c>
      <c r="J40" s="66"/>
    </row>
    <row r="41" spans="1:10" x14ac:dyDescent="0.2">
      <c r="A41" s="7" t="str">
        <f t="shared" si="0"/>
        <v>Execução 37</v>
      </c>
      <c r="B41" s="42"/>
      <c r="C41" s="71" t="str">
        <f>IFERROR(VLOOKUP(B41,'ZM01'!B:J,9,0),"")</f>
        <v/>
      </c>
      <c r="D41" s="71" t="str">
        <f>IFERROR(VLOOKUP(B41,'CA01'!B:M,12,0),"")</f>
        <v/>
      </c>
      <c r="E41" s="71" t="str">
        <f t="shared" ca="1" si="1"/>
        <v>24.05.2022</v>
      </c>
      <c r="F41" s="89" t="s">
        <v>1038</v>
      </c>
      <c r="G41" s="88">
        <v>1</v>
      </c>
      <c r="H41" s="88">
        <v>1</v>
      </c>
      <c r="I41" s="89" t="s">
        <v>532</v>
      </c>
      <c r="J41" s="66"/>
    </row>
    <row r="42" spans="1:10" x14ac:dyDescent="0.2">
      <c r="A42" s="7" t="str">
        <f t="shared" si="0"/>
        <v>Execução 38</v>
      </c>
      <c r="B42" s="42"/>
      <c r="C42" s="71" t="str">
        <f>IFERROR(VLOOKUP(B42,'ZM01'!B:J,9,0),"")</f>
        <v/>
      </c>
      <c r="D42" s="71" t="str">
        <f>IFERROR(VLOOKUP(B42,'CA01'!B:M,12,0),"")</f>
        <v/>
      </c>
      <c r="E42" s="71" t="str">
        <f t="shared" ca="1" si="1"/>
        <v>24.05.2022</v>
      </c>
      <c r="F42" s="89" t="s">
        <v>1038</v>
      </c>
      <c r="G42" s="88">
        <v>1</v>
      </c>
      <c r="H42" s="88">
        <v>1</v>
      </c>
      <c r="I42" s="89" t="s">
        <v>532</v>
      </c>
      <c r="J42" s="66"/>
    </row>
    <row r="43" spans="1:10" x14ac:dyDescent="0.2">
      <c r="A43" s="7" t="str">
        <f t="shared" si="0"/>
        <v>Execução 39</v>
      </c>
      <c r="B43" s="42"/>
      <c r="C43" s="71" t="str">
        <f>IFERROR(VLOOKUP(B43,'ZM01'!B:J,9,0),"")</f>
        <v/>
      </c>
      <c r="D43" s="71" t="str">
        <f>IFERROR(VLOOKUP(B43,'CA01'!B:M,12,0),"")</f>
        <v/>
      </c>
      <c r="E43" s="71" t="str">
        <f t="shared" ca="1" si="1"/>
        <v>24.05.2022</v>
      </c>
      <c r="F43" s="89" t="s">
        <v>1038</v>
      </c>
      <c r="G43" s="88">
        <v>1</v>
      </c>
      <c r="H43" s="88">
        <v>1</v>
      </c>
      <c r="I43" s="89" t="s">
        <v>532</v>
      </c>
      <c r="J43" s="66"/>
    </row>
    <row r="44" spans="1:10" x14ac:dyDescent="0.2">
      <c r="A44" s="7" t="str">
        <f t="shared" si="0"/>
        <v>Execução 40</v>
      </c>
      <c r="B44" s="42"/>
      <c r="C44" s="71" t="str">
        <f>IFERROR(VLOOKUP(B44,'ZM01'!B:J,9,0),"")</f>
        <v/>
      </c>
      <c r="D44" s="71" t="str">
        <f>IFERROR(VLOOKUP(B44,'CA01'!B:M,12,0),"")</f>
        <v/>
      </c>
      <c r="E44" s="71" t="str">
        <f t="shared" ca="1" si="1"/>
        <v>24.05.2022</v>
      </c>
      <c r="F44" s="89" t="s">
        <v>1038</v>
      </c>
      <c r="G44" s="88">
        <v>1</v>
      </c>
      <c r="H44" s="88">
        <v>1</v>
      </c>
      <c r="I44" s="89" t="s">
        <v>532</v>
      </c>
      <c r="J44" s="66"/>
    </row>
    <row r="45" spans="1:10" x14ac:dyDescent="0.2">
      <c r="A45" s="7" t="str">
        <f t="shared" si="0"/>
        <v>Execução 41</v>
      </c>
      <c r="B45" s="42"/>
      <c r="C45" s="71" t="str">
        <f>IFERROR(VLOOKUP(B45,'ZM01'!B:J,9,0),"")</f>
        <v/>
      </c>
      <c r="D45" s="71" t="str">
        <f>IFERROR(VLOOKUP(B45,'CA01'!B:M,12,0),"")</f>
        <v/>
      </c>
      <c r="E45" s="71" t="str">
        <f t="shared" ca="1" si="1"/>
        <v>24.05.2022</v>
      </c>
      <c r="F45" s="89" t="s">
        <v>1038</v>
      </c>
      <c r="G45" s="88">
        <v>1</v>
      </c>
      <c r="H45" s="88">
        <v>1</v>
      </c>
      <c r="I45" s="89" t="s">
        <v>532</v>
      </c>
      <c r="J45" s="66"/>
    </row>
    <row r="46" spans="1:10" x14ac:dyDescent="0.2">
      <c r="A46" s="7" t="str">
        <f t="shared" si="0"/>
        <v>Execução 42</v>
      </c>
      <c r="B46" s="42"/>
      <c r="C46" s="71" t="str">
        <f>IFERROR(VLOOKUP(B46,'ZM01'!B:J,9,0),"")</f>
        <v/>
      </c>
      <c r="D46" s="71" t="str">
        <f>IFERROR(VLOOKUP(B46,'CA01'!B:M,12,0),"")</f>
        <v/>
      </c>
      <c r="E46" s="71" t="str">
        <f t="shared" ca="1" si="1"/>
        <v>24.05.2022</v>
      </c>
      <c r="F46" s="89" t="s">
        <v>1038</v>
      </c>
      <c r="G46" s="88">
        <v>1</v>
      </c>
      <c r="H46" s="88">
        <v>1</v>
      </c>
      <c r="I46" s="89" t="s">
        <v>532</v>
      </c>
      <c r="J46" s="66"/>
    </row>
    <row r="47" spans="1:10" x14ac:dyDescent="0.2">
      <c r="A47" s="7" t="str">
        <f t="shared" si="0"/>
        <v>Execução 43</v>
      </c>
      <c r="B47" s="42"/>
      <c r="C47" s="71" t="str">
        <f>IFERROR(VLOOKUP(B47,'ZM01'!B:J,9,0),"")</f>
        <v/>
      </c>
      <c r="D47" s="71" t="str">
        <f>IFERROR(VLOOKUP(B47,'CA01'!B:M,12,0),"")</f>
        <v/>
      </c>
      <c r="E47" s="71" t="str">
        <f t="shared" ca="1" si="1"/>
        <v>24.05.2022</v>
      </c>
      <c r="F47" s="89" t="s">
        <v>1038</v>
      </c>
      <c r="G47" s="88">
        <v>1</v>
      </c>
      <c r="H47" s="88">
        <v>1</v>
      </c>
      <c r="I47" s="89" t="s">
        <v>532</v>
      </c>
      <c r="J47" s="66"/>
    </row>
    <row r="48" spans="1:10" x14ac:dyDescent="0.2">
      <c r="A48" s="7" t="str">
        <f t="shared" si="0"/>
        <v>Execução 44</v>
      </c>
      <c r="B48" s="42"/>
      <c r="C48" s="71" t="str">
        <f>IFERROR(VLOOKUP(B48,'ZM01'!B:J,9,0),"")</f>
        <v/>
      </c>
      <c r="D48" s="71" t="str">
        <f>IFERROR(VLOOKUP(B48,'CA01'!B:M,12,0),"")</f>
        <v/>
      </c>
      <c r="E48" s="71" t="str">
        <f t="shared" ca="1" si="1"/>
        <v>24.05.2022</v>
      </c>
      <c r="F48" s="89" t="s">
        <v>1038</v>
      </c>
      <c r="G48" s="88">
        <v>1</v>
      </c>
      <c r="H48" s="88">
        <v>1</v>
      </c>
      <c r="I48" s="89" t="s">
        <v>532</v>
      </c>
      <c r="J48" s="66"/>
    </row>
    <row r="49" spans="1:10" x14ac:dyDescent="0.2">
      <c r="A49" s="7" t="str">
        <f t="shared" si="0"/>
        <v>Execução 45</v>
      </c>
      <c r="B49" s="42"/>
      <c r="C49" s="71" t="str">
        <f>IFERROR(VLOOKUP(B49,'ZM01'!B:J,9,0),"")</f>
        <v/>
      </c>
      <c r="D49" s="71" t="str">
        <f>IFERROR(VLOOKUP(B49,'CA01'!B:M,12,0),"")</f>
        <v/>
      </c>
      <c r="E49" s="71" t="str">
        <f t="shared" ca="1" si="1"/>
        <v>24.05.2022</v>
      </c>
      <c r="F49" s="89" t="s">
        <v>1038</v>
      </c>
      <c r="G49" s="88">
        <v>1</v>
      </c>
      <c r="H49" s="88">
        <v>1</v>
      </c>
      <c r="I49" s="89" t="s">
        <v>532</v>
      </c>
      <c r="J49" s="66"/>
    </row>
    <row r="50" spans="1:10" x14ac:dyDescent="0.2">
      <c r="A50" s="7" t="str">
        <f t="shared" si="0"/>
        <v>Execução 46</v>
      </c>
      <c r="B50" s="42"/>
      <c r="C50" s="71" t="str">
        <f>IFERROR(VLOOKUP(B50,'ZM01'!B:J,9,0),"")</f>
        <v/>
      </c>
      <c r="D50" s="71" t="str">
        <f>IFERROR(VLOOKUP(B50,'CA01'!B:M,12,0),"")</f>
        <v/>
      </c>
      <c r="E50" s="71" t="str">
        <f t="shared" ca="1" si="1"/>
        <v>24.05.2022</v>
      </c>
      <c r="F50" s="89" t="s">
        <v>1038</v>
      </c>
      <c r="G50" s="88">
        <v>1</v>
      </c>
      <c r="H50" s="88">
        <v>1</v>
      </c>
      <c r="I50" s="89" t="s">
        <v>532</v>
      </c>
      <c r="J50" s="66"/>
    </row>
    <row r="51" spans="1:10" x14ac:dyDescent="0.2">
      <c r="A51" s="7" t="str">
        <f t="shared" si="0"/>
        <v>Execução 47</v>
      </c>
      <c r="B51" s="42"/>
      <c r="C51" s="71" t="str">
        <f>IFERROR(VLOOKUP(B51,'ZM01'!B:J,9,0),"")</f>
        <v/>
      </c>
      <c r="D51" s="71" t="str">
        <f>IFERROR(VLOOKUP(B51,'CA01'!B:M,12,0),"")</f>
        <v/>
      </c>
      <c r="E51" s="71" t="str">
        <f t="shared" ca="1" si="1"/>
        <v>24.05.2022</v>
      </c>
      <c r="F51" s="89" t="s">
        <v>1038</v>
      </c>
      <c r="G51" s="88">
        <v>1</v>
      </c>
      <c r="H51" s="88">
        <v>1</v>
      </c>
      <c r="I51" s="89" t="s">
        <v>532</v>
      </c>
      <c r="J51" s="66"/>
    </row>
    <row r="52" spans="1:10" x14ac:dyDescent="0.2">
      <c r="A52" s="7" t="str">
        <f t="shared" si="0"/>
        <v>Execução 48</v>
      </c>
      <c r="B52" s="42"/>
      <c r="C52" s="71" t="str">
        <f>IFERROR(VLOOKUP(B52,'ZM01'!B:J,9,0),"")</f>
        <v/>
      </c>
      <c r="D52" s="71" t="str">
        <f>IFERROR(VLOOKUP(B52,'CA01'!B:M,12,0),"")</f>
        <v/>
      </c>
      <c r="E52" s="71" t="str">
        <f t="shared" ca="1" si="1"/>
        <v>24.05.2022</v>
      </c>
      <c r="F52" s="89" t="s">
        <v>1038</v>
      </c>
      <c r="G52" s="88">
        <v>1</v>
      </c>
      <c r="H52" s="88">
        <v>1</v>
      </c>
      <c r="I52" s="89" t="s">
        <v>532</v>
      </c>
      <c r="J52" s="66"/>
    </row>
    <row r="53" spans="1:10" x14ac:dyDescent="0.2">
      <c r="A53" s="7" t="str">
        <f t="shared" si="0"/>
        <v>Execução 49</v>
      </c>
      <c r="B53" s="42"/>
      <c r="C53" s="71" t="str">
        <f>IFERROR(VLOOKUP(B53,'ZM01'!B:J,9,0),"")</f>
        <v/>
      </c>
      <c r="D53" s="71" t="str">
        <f>IFERROR(VLOOKUP(B53,'CA01'!B:M,12,0),"")</f>
        <v/>
      </c>
      <c r="E53" s="71" t="str">
        <f t="shared" ca="1" si="1"/>
        <v>24.05.2022</v>
      </c>
      <c r="F53" s="89" t="s">
        <v>1038</v>
      </c>
      <c r="G53" s="88">
        <v>1</v>
      </c>
      <c r="H53" s="88">
        <v>1</v>
      </c>
      <c r="I53" s="89" t="s">
        <v>532</v>
      </c>
      <c r="J53" s="66"/>
    </row>
    <row r="54" spans="1:10" x14ac:dyDescent="0.2">
      <c r="A54" s="7" t="str">
        <f t="shared" si="0"/>
        <v>Execução 50</v>
      </c>
      <c r="B54" s="42"/>
      <c r="C54" s="71" t="str">
        <f>IFERROR(VLOOKUP(B54,'ZM01'!B:J,9,0),"")</f>
        <v/>
      </c>
      <c r="D54" s="71" t="str">
        <f>IFERROR(VLOOKUP(B54,'CA01'!B:M,12,0),"")</f>
        <v/>
      </c>
      <c r="E54" s="71" t="str">
        <f t="shared" ca="1" si="1"/>
        <v>24.05.2022</v>
      </c>
      <c r="F54" s="89" t="s">
        <v>1038</v>
      </c>
      <c r="G54" s="88">
        <v>1</v>
      </c>
      <c r="H54" s="88">
        <v>1</v>
      </c>
      <c r="I54" s="89" t="s">
        <v>532</v>
      </c>
      <c r="J54" s="67"/>
    </row>
  </sheetData>
  <conditionalFormatting sqref="B5">
    <cfRule type="beginsWith" dxfId="13" priority="8" operator="beginsWith" text="L">
      <formula>LEFT(B5,LEN("L"))="L"</formula>
    </cfRule>
  </conditionalFormatting>
  <conditionalFormatting sqref="B6:B14">
    <cfRule type="beginsWith" dxfId="12" priority="7" operator="beginsWith" text="L">
      <formula>LEFT(B6,LEN("L"))="L"</formula>
    </cfRule>
  </conditionalFormatting>
  <conditionalFormatting sqref="B15:B54">
    <cfRule type="beginsWith" dxfId="11" priority="6" operator="beginsWith" text="L">
      <formula>LEFT(B15,LEN("L"))="L"</formula>
    </cfRule>
  </conditionalFormatting>
  <conditionalFormatting sqref="J1:J1048576">
    <cfRule type="containsText" dxfId="10" priority="1" operator="containsText" text="criadas">
      <formula>NOT(ISERROR(SEARCH("criadas",J1)))</formula>
    </cfRule>
    <cfRule type="containsText" dxfId="9" priority="2" operator="containsText" text="é gravado">
      <formula>NOT(ISERROR(SEARCH("é gravado",J1)))</formula>
    </cfRule>
    <cfRule type="containsText" dxfId="8" priority="3" operator="containsText" text="é modificado">
      <formula>NOT(ISERROR(SEARCH("é modificado",J1)))</formula>
    </cfRule>
    <cfRule type="containsText" dxfId="7" priority="4" operator="containsText" text="Error">
      <formula>NOT(ISERROR(SEARCH("Error",J1)))</formula>
    </cfRule>
    <cfRule type="containsText" dxfId="6" priority="5" operator="containsText" text="é criado">
      <formula>NOT(ISERROR(SEARCH("é criado",J1)))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LoadFromZ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C5:C54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0"/>
  </sheetPr>
  <dimension ref="A1:CV666"/>
  <sheetViews>
    <sheetView showGridLines="0" showRowColHeaders="0" workbookViewId="0">
      <selection sqref="A1:CB11"/>
    </sheetView>
  </sheetViews>
  <sheetFormatPr defaultColWidth="0" defaultRowHeight="12.75" zeroHeight="1" x14ac:dyDescent="0.2"/>
  <cols>
    <col min="1" max="1" width="8.140625" customWidth="1"/>
    <col min="2" max="2" width="6.85546875" customWidth="1"/>
    <col min="3" max="3" width="14.7109375" customWidth="1"/>
    <col min="4" max="4" width="41.7109375" customWidth="1"/>
    <col min="5" max="5" width="9.28515625" customWidth="1"/>
    <col min="6" max="6" width="21" customWidth="1"/>
    <col min="7" max="7" width="8.7109375" customWidth="1"/>
    <col min="8" max="8" width="14.28515625" customWidth="1"/>
    <col min="9" max="9" width="12.5703125" customWidth="1"/>
    <col min="10" max="10" width="18.85546875" customWidth="1"/>
    <col min="11" max="13" width="13.140625" customWidth="1"/>
    <col min="14" max="14" width="22.5703125" customWidth="1"/>
    <col min="15" max="15" width="20.42578125" customWidth="1"/>
    <col min="16" max="16" width="16.28515625" customWidth="1"/>
    <col min="17" max="17" width="11.28515625" customWidth="1"/>
    <col min="18" max="18" width="19.140625" customWidth="1"/>
    <col min="19" max="19" width="17.7109375" customWidth="1"/>
    <col min="20" max="20" width="18.5703125" customWidth="1"/>
    <col min="21" max="21" width="10.140625" customWidth="1"/>
    <col min="22" max="22" width="11.7109375" customWidth="1"/>
    <col min="23" max="23" width="18.5703125" customWidth="1"/>
    <col min="24" max="24" width="8.85546875" customWidth="1"/>
    <col min="25" max="25" width="11.42578125" customWidth="1"/>
    <col min="26" max="26" width="11.140625" customWidth="1"/>
    <col min="27" max="27" width="22.5703125" customWidth="1"/>
    <col min="28" max="28" width="25.7109375" customWidth="1"/>
    <col min="29" max="29" width="63.5703125" customWidth="1"/>
    <col min="30" max="30" width="62.28515625" customWidth="1"/>
    <col min="31" max="31" width="61.5703125" customWidth="1"/>
    <col min="32" max="32" width="13.140625" customWidth="1"/>
    <col min="33" max="33" width="13.42578125" customWidth="1"/>
    <col min="34" max="34" width="19.28515625" customWidth="1"/>
    <col min="35" max="35" width="12.28515625" customWidth="1"/>
    <col min="36" max="36" width="14.140625" customWidth="1"/>
    <col min="37" max="37" width="18.85546875" customWidth="1"/>
    <col min="38" max="38" width="19.5703125" customWidth="1"/>
    <col min="39" max="39" width="10.28515625" customWidth="1"/>
    <col min="40" max="40" width="25.42578125" customWidth="1"/>
    <col min="41" max="41" width="12.42578125" customWidth="1"/>
    <col min="42" max="42" width="7.28515625" customWidth="1"/>
    <col min="43" max="43" width="23.85546875" customWidth="1"/>
    <col min="44" max="44" width="12.42578125" customWidth="1"/>
    <col min="45" max="45" width="11.5703125" customWidth="1"/>
    <col min="46" max="46" width="15.140625" customWidth="1"/>
    <col min="47" max="47" width="14.42578125" customWidth="1"/>
    <col min="48" max="48" width="13.85546875" customWidth="1"/>
    <col min="49" max="49" width="12.42578125" customWidth="1"/>
    <col min="50" max="50" width="24.42578125" customWidth="1"/>
    <col min="51" max="51" width="25.42578125" customWidth="1"/>
    <col min="52" max="52" width="14" customWidth="1"/>
    <col min="53" max="53" width="9" customWidth="1"/>
    <col min="54" max="54" width="22.7109375" customWidth="1"/>
    <col min="55" max="55" width="20" customWidth="1"/>
    <col min="56" max="56" width="11.5703125" customWidth="1"/>
    <col min="57" max="57" width="21.5703125" customWidth="1"/>
    <col min="58" max="58" width="15.5703125" customWidth="1"/>
    <col min="59" max="59" width="21.140625" customWidth="1"/>
    <col min="60" max="60" width="11.5703125" customWidth="1"/>
    <col min="61" max="61" width="18.42578125" customWidth="1"/>
    <col min="62" max="62" width="11.5703125" customWidth="1"/>
    <col min="63" max="63" width="26.85546875" customWidth="1"/>
    <col min="64" max="64" width="22.42578125" customWidth="1"/>
    <col min="65" max="65" width="17.7109375" customWidth="1"/>
    <col min="66" max="66" width="18" customWidth="1"/>
    <col min="67" max="67" width="19.5703125" customWidth="1"/>
    <col min="68" max="68" width="14.28515625" customWidth="1"/>
    <col min="69" max="69" width="18.42578125" customWidth="1"/>
    <col min="70" max="70" width="16.42578125" customWidth="1"/>
    <col min="71" max="71" width="25.28515625" customWidth="1"/>
    <col min="72" max="72" width="23.85546875" customWidth="1"/>
    <col min="73" max="73" width="19" customWidth="1"/>
    <col min="74" max="74" width="17.5703125" customWidth="1"/>
    <col min="75" max="77" width="13" customWidth="1"/>
    <col min="78" max="79" width="17.28515625" customWidth="1"/>
    <col min="80" max="80" width="18.42578125" customWidth="1"/>
    <col min="81" max="83" width="11.42578125" customWidth="1"/>
    <col min="84" max="99" width="9.85546875" hidden="1" customWidth="1"/>
    <col min="100" max="100" width="0" hidden="1" customWidth="1"/>
    <col min="101" max="16384" width="9.140625" hidden="1"/>
  </cols>
  <sheetData>
    <row r="1" spans="1:100" ht="38.25" x14ac:dyDescent="0.2">
      <c r="A1" s="38" t="s">
        <v>765</v>
      </c>
      <c r="B1" s="38" t="s">
        <v>766</v>
      </c>
      <c r="C1" s="38" t="s">
        <v>767</v>
      </c>
      <c r="D1" s="38" t="s">
        <v>768</v>
      </c>
      <c r="E1" s="38" t="s">
        <v>769</v>
      </c>
      <c r="F1" s="38" t="s">
        <v>770</v>
      </c>
      <c r="G1" s="38" t="s">
        <v>771</v>
      </c>
      <c r="H1" s="39" t="s">
        <v>772</v>
      </c>
      <c r="I1" s="38" t="s">
        <v>773</v>
      </c>
      <c r="J1" s="38" t="s">
        <v>774</v>
      </c>
      <c r="K1" s="39" t="s">
        <v>897</v>
      </c>
      <c r="L1" s="38" t="s">
        <v>898</v>
      </c>
      <c r="M1" s="38" t="s">
        <v>899</v>
      </c>
      <c r="N1" s="38" t="s">
        <v>900</v>
      </c>
      <c r="O1" s="38" t="s">
        <v>901</v>
      </c>
      <c r="P1" s="39" t="s">
        <v>902</v>
      </c>
      <c r="Q1" s="38" t="s">
        <v>775</v>
      </c>
      <c r="R1" s="39" t="s">
        <v>904</v>
      </c>
      <c r="S1" s="38" t="s">
        <v>903</v>
      </c>
      <c r="T1" s="38" t="s">
        <v>776</v>
      </c>
      <c r="U1" s="38" t="s">
        <v>389</v>
      </c>
      <c r="V1" s="39" t="s">
        <v>777</v>
      </c>
      <c r="W1" s="38" t="s">
        <v>778</v>
      </c>
      <c r="X1" s="39" t="s">
        <v>779</v>
      </c>
      <c r="Y1" s="39" t="s">
        <v>780</v>
      </c>
      <c r="Z1" s="39" t="s">
        <v>781</v>
      </c>
      <c r="AA1" s="39" t="s">
        <v>1023</v>
      </c>
      <c r="AB1" s="38" t="s">
        <v>782</v>
      </c>
      <c r="AC1" s="38" t="s">
        <v>783</v>
      </c>
      <c r="AD1" s="38" t="s">
        <v>784</v>
      </c>
      <c r="AE1" s="38" t="s">
        <v>785</v>
      </c>
      <c r="AF1" s="38" t="s">
        <v>786</v>
      </c>
      <c r="AG1" s="38" t="s">
        <v>916</v>
      </c>
      <c r="AH1" s="39" t="s">
        <v>787</v>
      </c>
      <c r="AI1" s="38" t="s">
        <v>788</v>
      </c>
      <c r="AJ1" s="38" t="s">
        <v>789</v>
      </c>
      <c r="AK1" s="38" t="s">
        <v>790</v>
      </c>
      <c r="AL1" s="38" t="s">
        <v>791</v>
      </c>
      <c r="AM1" s="39" t="s">
        <v>792</v>
      </c>
      <c r="AN1" s="38" t="s">
        <v>793</v>
      </c>
      <c r="AO1" s="39" t="s">
        <v>794</v>
      </c>
      <c r="AP1" s="38" t="s">
        <v>795</v>
      </c>
      <c r="AQ1" s="38" t="s">
        <v>796</v>
      </c>
      <c r="AR1" s="38" t="s">
        <v>797</v>
      </c>
      <c r="AS1" s="39" t="s">
        <v>798</v>
      </c>
      <c r="AT1" s="38" t="s">
        <v>799</v>
      </c>
      <c r="AU1" s="39" t="s">
        <v>800</v>
      </c>
      <c r="AV1" s="39" t="s">
        <v>801</v>
      </c>
      <c r="AW1" s="39" t="s">
        <v>802</v>
      </c>
      <c r="AX1" s="38" t="s">
        <v>803</v>
      </c>
      <c r="AY1" s="38" t="s">
        <v>804</v>
      </c>
      <c r="AZ1" s="38" t="s">
        <v>805</v>
      </c>
      <c r="BA1" s="38" t="s">
        <v>806</v>
      </c>
      <c r="BB1" s="38" t="s">
        <v>807</v>
      </c>
      <c r="BC1" s="38" t="s">
        <v>917</v>
      </c>
      <c r="BD1" s="38" t="s">
        <v>1016</v>
      </c>
      <c r="BE1" s="38" t="s">
        <v>918</v>
      </c>
      <c r="BF1" s="38" t="s">
        <v>1017</v>
      </c>
      <c r="BG1" s="38" t="s">
        <v>919</v>
      </c>
      <c r="BH1" s="38" t="s">
        <v>1018</v>
      </c>
      <c r="BI1" s="38" t="s">
        <v>920</v>
      </c>
      <c r="BJ1" s="38" t="s">
        <v>1019</v>
      </c>
      <c r="BK1" s="38" t="s">
        <v>921</v>
      </c>
      <c r="BL1" s="38" t="s">
        <v>809</v>
      </c>
      <c r="BM1" s="38" t="s">
        <v>810</v>
      </c>
      <c r="BN1" s="38" t="s">
        <v>811</v>
      </c>
      <c r="BO1" s="38" t="s">
        <v>812</v>
      </c>
      <c r="BP1" s="38" t="s">
        <v>813</v>
      </c>
      <c r="BQ1" s="38" t="s">
        <v>905</v>
      </c>
      <c r="BR1" s="38" t="s">
        <v>1049</v>
      </c>
      <c r="BS1" s="38" t="s">
        <v>1050</v>
      </c>
      <c r="BT1" s="38" t="s">
        <v>1051</v>
      </c>
      <c r="BU1" s="38" t="s">
        <v>1052</v>
      </c>
      <c r="BV1" s="38" t="s">
        <v>1053</v>
      </c>
      <c r="BW1" s="38" t="s">
        <v>1054</v>
      </c>
      <c r="BX1" s="38" t="s">
        <v>1055</v>
      </c>
      <c r="BY1" s="38" t="s">
        <v>1056</v>
      </c>
      <c r="BZ1" s="38" t="s">
        <v>1057</v>
      </c>
      <c r="CA1" s="38" t="s">
        <v>1058</v>
      </c>
      <c r="CB1" s="38" t="s">
        <v>1059</v>
      </c>
      <c r="CL1" s="38"/>
      <c r="CM1" s="38"/>
      <c r="CN1" s="38"/>
      <c r="CO1" s="38"/>
      <c r="CP1" s="38"/>
      <c r="CQ1" s="38"/>
      <c r="CR1" s="38"/>
      <c r="CS1" s="38"/>
      <c r="CT1" s="38"/>
      <c r="CU1" s="38"/>
    </row>
    <row r="2" spans="1:100" x14ac:dyDescent="0.2">
      <c r="A2" s="38" t="s">
        <v>1060</v>
      </c>
      <c r="B2" s="38" t="s">
        <v>1040</v>
      </c>
      <c r="C2" s="38" t="s">
        <v>1084</v>
      </c>
      <c r="D2" s="38" t="s">
        <v>1061</v>
      </c>
      <c r="E2" s="38"/>
      <c r="F2" s="38"/>
      <c r="G2" s="38" t="s">
        <v>9</v>
      </c>
      <c r="H2" s="38">
        <v>2300</v>
      </c>
      <c r="I2" s="38">
        <v>17.451000000000001</v>
      </c>
      <c r="J2" s="38" t="s">
        <v>1062</v>
      </c>
      <c r="K2" s="38" t="s">
        <v>201</v>
      </c>
      <c r="L2" s="38" t="s">
        <v>195</v>
      </c>
      <c r="M2" s="38" t="s">
        <v>196</v>
      </c>
      <c r="N2" s="38" t="s">
        <v>206</v>
      </c>
      <c r="O2" s="38" t="s">
        <v>220</v>
      </c>
      <c r="P2" s="38" t="s">
        <v>1063</v>
      </c>
      <c r="Q2" s="38" t="s">
        <v>821</v>
      </c>
      <c r="R2" s="38" t="s">
        <v>1064</v>
      </c>
      <c r="S2" s="38" t="s">
        <v>1065</v>
      </c>
      <c r="T2" s="38" t="s">
        <v>822</v>
      </c>
      <c r="U2" s="38" t="s">
        <v>1041</v>
      </c>
      <c r="V2" s="38">
        <v>9</v>
      </c>
      <c r="W2" s="38" t="s">
        <v>696</v>
      </c>
      <c r="X2" s="38">
        <v>1800</v>
      </c>
      <c r="Y2" s="38">
        <v>405000</v>
      </c>
      <c r="Z2" s="38">
        <v>7.1599999999999997E-2</v>
      </c>
      <c r="AA2" s="38" t="s">
        <v>1066</v>
      </c>
      <c r="AB2" s="38">
        <v>4750</v>
      </c>
      <c r="AC2" s="38" t="s">
        <v>1067</v>
      </c>
      <c r="AD2" s="38" t="s">
        <v>1068</v>
      </c>
      <c r="AE2" s="38" t="s">
        <v>1069</v>
      </c>
      <c r="AF2" s="38"/>
      <c r="AG2" s="38"/>
      <c r="AH2" s="38"/>
      <c r="AI2" s="38"/>
      <c r="AJ2" s="38"/>
      <c r="AK2" s="38"/>
      <c r="AL2" s="38"/>
      <c r="AM2" s="38"/>
      <c r="AN2" s="38"/>
      <c r="AO2" s="38"/>
      <c r="AP2" s="38"/>
      <c r="AQ2" s="38"/>
      <c r="AR2" s="38"/>
      <c r="AS2" s="38"/>
      <c r="AT2" s="38"/>
      <c r="AU2" s="38"/>
      <c r="AV2" s="38"/>
      <c r="AW2" s="38"/>
      <c r="AX2" s="38"/>
      <c r="AY2" s="38"/>
      <c r="AZ2" s="38"/>
      <c r="BA2" s="38"/>
      <c r="BB2" s="38"/>
      <c r="BC2" s="64" t="s">
        <v>9</v>
      </c>
      <c r="BD2" s="38" t="s">
        <v>1047</v>
      </c>
      <c r="BE2" s="38" t="s">
        <v>5</v>
      </c>
      <c r="BF2" s="38" t="s">
        <v>1043</v>
      </c>
      <c r="BG2" s="38" t="s">
        <v>6</v>
      </c>
      <c r="BH2" s="38" t="s">
        <v>1044</v>
      </c>
      <c r="BI2" s="38"/>
      <c r="BJ2" s="38" t="s">
        <v>1046</v>
      </c>
      <c r="BK2" s="38"/>
      <c r="BL2" s="38" t="s">
        <v>808</v>
      </c>
      <c r="BM2" s="38"/>
      <c r="BN2" s="38" t="s">
        <v>616</v>
      </c>
      <c r="BO2" s="38" t="s">
        <v>532</v>
      </c>
      <c r="BP2" s="38" t="s">
        <v>532</v>
      </c>
      <c r="BQ2" s="38"/>
      <c r="BR2" s="38"/>
      <c r="BS2" s="38"/>
      <c r="BT2" s="38"/>
      <c r="BU2" s="38"/>
      <c r="BV2" s="38"/>
      <c r="BW2" s="38"/>
      <c r="BX2" s="38"/>
      <c r="BY2" s="38"/>
      <c r="BZ2" s="38"/>
      <c r="CA2" s="38"/>
      <c r="CB2" s="38"/>
      <c r="CL2" s="38"/>
      <c r="CM2" s="38"/>
      <c r="CN2" s="38"/>
      <c r="CO2" s="38"/>
      <c r="CP2" s="38"/>
      <c r="CQ2" s="38"/>
      <c r="CR2" s="38"/>
      <c r="CS2" s="38"/>
      <c r="CT2" s="38"/>
      <c r="CU2" s="38"/>
      <c r="CV2" s="38"/>
    </row>
    <row r="3" spans="1:100" x14ac:dyDescent="0.2">
      <c r="A3" s="38"/>
      <c r="B3" s="38" t="s">
        <v>1040</v>
      </c>
      <c r="C3" s="38" t="s">
        <v>1066</v>
      </c>
      <c r="D3" s="38" t="s">
        <v>1070</v>
      </c>
      <c r="E3" s="38" t="s">
        <v>1071</v>
      </c>
      <c r="F3" s="38"/>
      <c r="G3" s="38" t="s">
        <v>4</v>
      </c>
      <c r="H3" s="38">
        <v>4750</v>
      </c>
      <c r="I3" s="38">
        <v>17.451000000000001</v>
      </c>
      <c r="J3" s="38" t="s">
        <v>1072</v>
      </c>
      <c r="K3" s="38" t="s">
        <v>193</v>
      </c>
      <c r="L3" s="38" t="s">
        <v>195</v>
      </c>
      <c r="M3" s="38" t="s">
        <v>196</v>
      </c>
      <c r="N3" s="38" t="s">
        <v>198</v>
      </c>
      <c r="O3" s="38" t="s">
        <v>275</v>
      </c>
      <c r="P3" s="38" t="s">
        <v>1073</v>
      </c>
      <c r="Q3" s="38" t="s">
        <v>823</v>
      </c>
      <c r="R3" s="38" t="s">
        <v>1064</v>
      </c>
      <c r="S3" s="38" t="s">
        <v>1065</v>
      </c>
      <c r="T3" s="38" t="s">
        <v>822</v>
      </c>
      <c r="U3" s="38" t="s">
        <v>1041</v>
      </c>
      <c r="V3" s="38">
        <v>9</v>
      </c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 t="s">
        <v>1074</v>
      </c>
      <c r="AH3" s="38"/>
      <c r="AI3" s="38"/>
      <c r="AJ3" s="38"/>
      <c r="AK3" s="38" t="s">
        <v>1042</v>
      </c>
      <c r="AL3" s="38" t="s">
        <v>1042</v>
      </c>
      <c r="AM3" s="38"/>
      <c r="AN3" s="38" t="s">
        <v>1042</v>
      </c>
      <c r="AO3" s="38"/>
      <c r="AP3" s="38" t="s">
        <v>1042</v>
      </c>
      <c r="AQ3" s="38" t="s">
        <v>1042</v>
      </c>
      <c r="AR3" s="38" t="s">
        <v>1042</v>
      </c>
      <c r="AS3" s="38"/>
      <c r="AT3" s="38"/>
      <c r="AU3" s="38"/>
      <c r="AV3" s="38" t="s">
        <v>1042</v>
      </c>
      <c r="AW3" s="38" t="s">
        <v>1042</v>
      </c>
      <c r="AX3" s="38" t="s">
        <v>1042</v>
      </c>
      <c r="AY3" s="38" t="s">
        <v>1042</v>
      </c>
      <c r="AZ3" s="38"/>
      <c r="BA3" s="38"/>
      <c r="BB3" s="38"/>
      <c r="BC3" s="64" t="s">
        <v>4</v>
      </c>
      <c r="BD3" s="38" t="s">
        <v>1075</v>
      </c>
      <c r="BE3" s="38" t="s">
        <v>16</v>
      </c>
      <c r="BF3" s="38" t="s">
        <v>1076</v>
      </c>
      <c r="BG3" s="38" t="s">
        <v>6</v>
      </c>
      <c r="BH3" s="38" t="s">
        <v>1044</v>
      </c>
      <c r="BI3" s="38"/>
      <c r="BJ3" s="38" t="s">
        <v>1046</v>
      </c>
      <c r="BK3" s="38"/>
      <c r="BL3" s="38" t="s">
        <v>808</v>
      </c>
      <c r="BM3" s="38" t="s">
        <v>540</v>
      </c>
      <c r="BN3" s="38" t="s">
        <v>616</v>
      </c>
      <c r="BO3" s="38" t="s">
        <v>532</v>
      </c>
      <c r="BP3" s="38" t="s">
        <v>532</v>
      </c>
      <c r="BQ3" s="38"/>
      <c r="BR3" s="38"/>
      <c r="BS3" s="38"/>
      <c r="BT3" s="38"/>
      <c r="BU3" s="38"/>
      <c r="BV3" s="38"/>
      <c r="BW3" s="38"/>
      <c r="BX3" s="38"/>
      <c r="BY3" s="38"/>
      <c r="BZ3" s="38"/>
      <c r="CA3" s="38"/>
      <c r="CB3" s="38"/>
      <c r="CL3" s="38"/>
      <c r="CM3" s="38"/>
      <c r="CN3" s="38"/>
      <c r="CO3" s="38"/>
      <c r="CP3" s="38"/>
      <c r="CQ3" s="38"/>
      <c r="CR3" s="38"/>
      <c r="CS3" s="38"/>
      <c r="CT3" s="38"/>
      <c r="CU3" s="38"/>
      <c r="CV3" s="38"/>
    </row>
    <row r="4" spans="1:100" hidden="1" x14ac:dyDescent="0.2">
      <c r="A4" s="38"/>
      <c r="B4" s="38"/>
      <c r="C4" s="38"/>
      <c r="D4" s="38" t="s">
        <v>1077</v>
      </c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8"/>
      <c r="AZ4" s="38"/>
      <c r="BA4" s="38"/>
      <c r="BB4" s="38"/>
      <c r="BC4" s="64"/>
      <c r="BD4" s="38"/>
      <c r="BE4" s="38"/>
      <c r="BF4" s="38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8"/>
      <c r="BU4" s="38"/>
      <c r="BV4" s="38"/>
      <c r="BW4" s="38"/>
      <c r="BX4" s="38"/>
      <c r="BY4" s="38"/>
      <c r="BZ4" s="38"/>
      <c r="CA4" s="38"/>
      <c r="CB4" s="38"/>
      <c r="CL4" s="38"/>
      <c r="CM4" s="38"/>
      <c r="CN4" s="38"/>
      <c r="CO4" s="38"/>
      <c r="CP4" s="38"/>
      <c r="CQ4" s="38"/>
      <c r="CR4" s="38"/>
      <c r="CS4" s="38"/>
      <c r="CT4" s="38"/>
      <c r="CU4" s="38"/>
      <c r="CV4" s="38"/>
    </row>
    <row r="5" spans="1:100" hidden="1" x14ac:dyDescent="0.2">
      <c r="A5" s="38"/>
      <c r="B5" s="38"/>
      <c r="C5" s="38"/>
      <c r="D5" s="38" t="s">
        <v>1078</v>
      </c>
      <c r="E5" s="38"/>
      <c r="F5" s="38"/>
      <c r="G5" s="38"/>
      <c r="H5" s="38"/>
      <c r="I5" s="38"/>
      <c r="J5" s="38" t="s">
        <v>1042</v>
      </c>
      <c r="K5" s="38"/>
      <c r="L5" s="38"/>
      <c r="M5" s="38"/>
      <c r="N5" s="38"/>
      <c r="O5" s="38"/>
      <c r="P5" s="38" t="s">
        <v>1042</v>
      </c>
      <c r="Q5" s="38"/>
      <c r="R5" s="38"/>
      <c r="S5" s="38" t="s">
        <v>1042</v>
      </c>
      <c r="T5" s="38"/>
      <c r="U5" s="38"/>
      <c r="V5" s="38"/>
      <c r="W5" s="38"/>
      <c r="X5" s="38"/>
      <c r="Y5" s="38"/>
      <c r="Z5" s="38"/>
      <c r="AA5" s="38"/>
      <c r="AB5" s="38"/>
      <c r="AC5" s="38"/>
      <c r="AD5" s="38"/>
      <c r="AE5" s="38"/>
      <c r="AF5" s="38"/>
      <c r="AG5" s="38"/>
      <c r="AH5" s="38"/>
      <c r="AI5" s="38"/>
      <c r="AJ5" s="38"/>
      <c r="AK5" s="38" t="s">
        <v>1042</v>
      </c>
      <c r="AL5" s="38" t="s">
        <v>1042</v>
      </c>
      <c r="AM5" s="38"/>
      <c r="AN5" s="38" t="s">
        <v>1042</v>
      </c>
      <c r="AO5" s="38"/>
      <c r="AP5" s="38" t="s">
        <v>1042</v>
      </c>
      <c r="AQ5" s="38" t="s">
        <v>1042</v>
      </c>
      <c r="AR5" s="38" t="s">
        <v>1042</v>
      </c>
      <c r="AS5" s="38"/>
      <c r="AT5" s="38"/>
      <c r="AU5" s="38"/>
      <c r="AV5" s="38" t="s">
        <v>1042</v>
      </c>
      <c r="AW5" s="38" t="s">
        <v>1042</v>
      </c>
      <c r="AX5" s="38" t="s">
        <v>1042</v>
      </c>
      <c r="AY5" s="38" t="s">
        <v>1042</v>
      </c>
      <c r="AZ5" s="38"/>
      <c r="BA5" s="38"/>
      <c r="BB5" s="38"/>
      <c r="BC5" s="64" t="s">
        <v>1042</v>
      </c>
      <c r="BD5" s="38" t="s">
        <v>1042</v>
      </c>
      <c r="BE5" s="38"/>
      <c r="BF5" s="38" t="s">
        <v>1042</v>
      </c>
      <c r="BG5" s="38"/>
      <c r="BH5" s="38" t="s">
        <v>1042</v>
      </c>
      <c r="BI5" s="38"/>
      <c r="BJ5" s="38" t="s">
        <v>1046</v>
      </c>
      <c r="BK5" s="38"/>
      <c r="BL5" s="38"/>
      <c r="BM5" s="38"/>
      <c r="BN5" s="38"/>
      <c r="BO5" s="38"/>
      <c r="BP5" s="38"/>
      <c r="BQ5" s="38"/>
      <c r="BR5" s="38"/>
      <c r="BS5" s="38"/>
      <c r="BT5" s="38"/>
      <c r="BU5" s="38"/>
      <c r="BV5" s="38"/>
      <c r="BW5" s="38"/>
      <c r="BX5" s="38"/>
      <c r="BY5" s="38"/>
      <c r="BZ5" s="38"/>
      <c r="CA5" s="38"/>
      <c r="CB5" s="38"/>
      <c r="CL5" s="38"/>
      <c r="CM5" s="38"/>
      <c r="CN5" s="38"/>
      <c r="CO5" s="38"/>
      <c r="CP5" s="38"/>
      <c r="CQ5" s="38"/>
      <c r="CR5" s="38"/>
      <c r="CS5" s="38"/>
      <c r="CT5" s="38"/>
      <c r="CU5" s="38"/>
      <c r="CV5" s="38"/>
    </row>
    <row r="6" spans="1:100" hidden="1" x14ac:dyDescent="0.2">
      <c r="A6" s="38"/>
      <c r="B6" s="38"/>
      <c r="C6" s="38"/>
      <c r="D6" s="38" t="s">
        <v>1079</v>
      </c>
      <c r="E6" s="38"/>
      <c r="F6" s="38"/>
      <c r="G6" s="38"/>
      <c r="H6" s="38"/>
      <c r="I6" s="38"/>
      <c r="J6" s="38" t="s">
        <v>1042</v>
      </c>
      <c r="K6" s="38"/>
      <c r="L6" s="38"/>
      <c r="M6" s="38"/>
      <c r="N6" s="38"/>
      <c r="O6" s="38"/>
      <c r="P6" s="38" t="s">
        <v>1042</v>
      </c>
      <c r="Q6" s="38"/>
      <c r="R6" s="38"/>
      <c r="S6" s="38" t="s">
        <v>1042</v>
      </c>
      <c r="T6" s="38"/>
      <c r="U6" s="38"/>
      <c r="V6" s="38"/>
      <c r="W6" s="38"/>
      <c r="X6" s="38"/>
      <c r="Y6" s="38"/>
      <c r="Z6" s="38"/>
      <c r="AA6" s="38" t="s">
        <v>1042</v>
      </c>
      <c r="AB6" s="38" t="s">
        <v>1042</v>
      </c>
      <c r="AC6" s="38" t="s">
        <v>1080</v>
      </c>
      <c r="AD6" s="38" t="s">
        <v>1080</v>
      </c>
      <c r="AE6" s="38" t="s">
        <v>1042</v>
      </c>
      <c r="AF6" s="38"/>
      <c r="AG6" s="38"/>
      <c r="AH6" s="38"/>
      <c r="AI6" s="38"/>
      <c r="AJ6" s="38"/>
      <c r="AK6" s="38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8"/>
      <c r="AZ6" s="38"/>
      <c r="BA6" s="38"/>
      <c r="BB6" s="38"/>
      <c r="BC6" s="64" t="s">
        <v>1042</v>
      </c>
      <c r="BD6" s="38" t="s">
        <v>1042</v>
      </c>
      <c r="BE6" s="38"/>
      <c r="BF6" s="38" t="s">
        <v>1042</v>
      </c>
      <c r="BG6" s="38"/>
      <c r="BH6" s="38" t="s">
        <v>1042</v>
      </c>
      <c r="BI6" s="38"/>
      <c r="BJ6" s="38" t="s">
        <v>1046</v>
      </c>
      <c r="BK6" s="38"/>
      <c r="BL6" s="38"/>
      <c r="BM6" s="38"/>
      <c r="BN6" s="38"/>
      <c r="BO6" s="38"/>
      <c r="BP6" s="38"/>
      <c r="BQ6" s="38"/>
      <c r="BR6" s="38"/>
      <c r="BS6" s="38"/>
      <c r="BT6" s="38"/>
      <c r="BU6" s="38"/>
      <c r="BV6" s="38"/>
      <c r="BW6" s="38"/>
      <c r="BX6" s="38"/>
      <c r="BY6" s="38"/>
      <c r="BZ6" s="38"/>
      <c r="CA6" s="38"/>
      <c r="CB6" s="38"/>
      <c r="CL6" s="38"/>
      <c r="CM6" s="38"/>
      <c r="CN6" s="38"/>
      <c r="CO6" s="38"/>
      <c r="CP6" s="38"/>
      <c r="CQ6" s="38"/>
      <c r="CR6" s="38"/>
      <c r="CS6" s="38"/>
      <c r="CT6" s="38"/>
      <c r="CU6" s="38"/>
      <c r="CV6" s="38"/>
    </row>
    <row r="7" spans="1:100" hidden="1" x14ac:dyDescent="0.2">
      <c r="A7" s="38"/>
      <c r="B7" s="38"/>
      <c r="C7" s="38"/>
      <c r="D7" s="38" t="s">
        <v>1081</v>
      </c>
      <c r="E7" s="38"/>
      <c r="F7" s="38"/>
      <c r="G7" s="38"/>
      <c r="H7" s="38"/>
      <c r="I7" s="38"/>
      <c r="J7" s="38" t="s">
        <v>1042</v>
      </c>
      <c r="K7" s="38"/>
      <c r="L7" s="38"/>
      <c r="M7" s="38"/>
      <c r="N7" s="38"/>
      <c r="O7" s="38"/>
      <c r="P7" s="38" t="s">
        <v>1042</v>
      </c>
      <c r="Q7" s="38"/>
      <c r="R7" s="38"/>
      <c r="S7" s="38" t="s">
        <v>1042</v>
      </c>
      <c r="T7" s="38"/>
      <c r="U7" s="38"/>
      <c r="V7" s="38"/>
      <c r="W7" s="38"/>
      <c r="X7" s="38"/>
      <c r="Y7" s="38"/>
      <c r="Z7" s="38"/>
      <c r="AA7" s="38"/>
      <c r="AB7" s="38" t="s">
        <v>1042</v>
      </c>
      <c r="AC7" s="38" t="s">
        <v>1080</v>
      </c>
      <c r="AD7" s="38" t="s">
        <v>1080</v>
      </c>
      <c r="AE7" s="38" t="s">
        <v>1042</v>
      </c>
      <c r="AF7" s="38"/>
      <c r="AG7" s="38"/>
      <c r="AH7" s="38"/>
      <c r="AI7" s="38"/>
      <c r="AJ7" s="38"/>
      <c r="AK7" s="38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8"/>
      <c r="AZ7" s="38"/>
      <c r="BA7" s="38"/>
      <c r="BB7" s="38"/>
      <c r="BC7" s="64" t="s">
        <v>1042</v>
      </c>
      <c r="BD7" s="38" t="s">
        <v>1042</v>
      </c>
      <c r="BE7" s="38"/>
      <c r="BF7" s="38" t="s">
        <v>1042</v>
      </c>
      <c r="BG7" s="38"/>
      <c r="BH7" s="38" t="s">
        <v>1042</v>
      </c>
      <c r="BI7" s="38"/>
      <c r="BJ7" s="38" t="s">
        <v>1046</v>
      </c>
      <c r="BK7" s="38"/>
      <c r="BL7" s="38"/>
      <c r="BM7" s="38"/>
      <c r="BN7" s="38"/>
      <c r="BO7" s="38"/>
      <c r="BP7" s="38"/>
      <c r="BQ7" s="38"/>
      <c r="BR7" s="38"/>
      <c r="BS7" s="38"/>
      <c r="BT7" s="38"/>
      <c r="BU7" s="38"/>
      <c r="BV7" s="38"/>
      <c r="BW7" s="38"/>
      <c r="BX7" s="38"/>
      <c r="BY7" s="38"/>
      <c r="BZ7" s="38"/>
      <c r="CA7" s="38"/>
      <c r="CB7" s="38"/>
      <c r="CL7" s="38"/>
      <c r="CM7" s="38"/>
      <c r="CN7" s="38"/>
      <c r="CO7" s="38"/>
      <c r="CP7" s="38"/>
      <c r="CQ7" s="38"/>
      <c r="CR7" s="38"/>
      <c r="CS7" s="38"/>
      <c r="CT7" s="38"/>
      <c r="CU7" s="38"/>
      <c r="CV7" s="38"/>
    </row>
    <row r="8" spans="1:100" hidden="1" x14ac:dyDescent="0.2">
      <c r="A8" s="38"/>
      <c r="B8" s="38"/>
      <c r="C8" s="38"/>
      <c r="D8" s="38" t="s">
        <v>1082</v>
      </c>
      <c r="E8" s="38"/>
      <c r="F8" s="38"/>
      <c r="G8" s="38"/>
      <c r="H8" s="38"/>
      <c r="I8" s="38"/>
      <c r="J8" s="38" t="s">
        <v>1042</v>
      </c>
      <c r="K8" s="38"/>
      <c r="L8" s="38"/>
      <c r="M8" s="38"/>
      <c r="N8" s="38"/>
      <c r="O8" s="38"/>
      <c r="P8" s="38" t="s">
        <v>1042</v>
      </c>
      <c r="Q8" s="38"/>
      <c r="R8" s="38"/>
      <c r="S8" s="38" t="s">
        <v>1042</v>
      </c>
      <c r="T8" s="38"/>
      <c r="U8" s="38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 t="s">
        <v>1042</v>
      </c>
      <c r="AL8" s="38" t="s">
        <v>1042</v>
      </c>
      <c r="AM8" s="38"/>
      <c r="AN8" s="38" t="s">
        <v>1042</v>
      </c>
      <c r="AO8" s="38"/>
      <c r="AP8" s="38" t="s">
        <v>1042</v>
      </c>
      <c r="AQ8" s="38" t="s">
        <v>1042</v>
      </c>
      <c r="AR8" s="38" t="s">
        <v>1042</v>
      </c>
      <c r="AS8" s="38"/>
      <c r="AT8" s="38"/>
      <c r="AU8" s="38"/>
      <c r="AV8" s="38" t="s">
        <v>1042</v>
      </c>
      <c r="AW8" s="38" t="s">
        <v>1042</v>
      </c>
      <c r="AX8" s="38" t="s">
        <v>1042</v>
      </c>
      <c r="AY8" s="38" t="s">
        <v>1042</v>
      </c>
      <c r="AZ8" s="38"/>
      <c r="BA8" s="38"/>
      <c r="BB8" s="38"/>
      <c r="BC8" s="64" t="s">
        <v>1042</v>
      </c>
      <c r="BD8" s="38" t="s">
        <v>1042</v>
      </c>
      <c r="BE8" s="38"/>
      <c r="BF8" s="38" t="s">
        <v>1042</v>
      </c>
      <c r="BG8" s="38"/>
      <c r="BH8" s="38" t="s">
        <v>1042</v>
      </c>
      <c r="BI8" s="38"/>
      <c r="BJ8" s="38" t="s">
        <v>1046</v>
      </c>
      <c r="BK8" s="38"/>
      <c r="BL8" s="38"/>
      <c r="BM8" s="38"/>
      <c r="BN8" s="38"/>
      <c r="BO8" s="38"/>
      <c r="BP8" s="38"/>
      <c r="BQ8" s="38"/>
      <c r="BR8" s="38"/>
      <c r="BS8" s="38"/>
      <c r="BT8" s="38"/>
      <c r="BU8" s="38"/>
      <c r="BV8" s="38"/>
      <c r="BW8" s="38"/>
      <c r="BX8" s="38"/>
      <c r="BY8" s="38"/>
      <c r="BZ8" s="38"/>
      <c r="CA8" s="38"/>
      <c r="CB8" s="38"/>
      <c r="CL8" s="38"/>
      <c r="CM8" s="38"/>
      <c r="CN8" s="38"/>
      <c r="CO8" s="38"/>
      <c r="CP8" s="38"/>
      <c r="CQ8" s="38"/>
      <c r="CR8" s="38"/>
      <c r="CS8" s="38"/>
      <c r="CT8" s="38"/>
      <c r="CU8" s="38"/>
      <c r="CV8" s="38"/>
    </row>
    <row r="9" spans="1:100" hidden="1" x14ac:dyDescent="0.2">
      <c r="A9" s="38"/>
      <c r="B9" s="38"/>
      <c r="C9" s="38"/>
      <c r="D9" s="38" t="s">
        <v>422</v>
      </c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  <c r="AF9" s="38"/>
      <c r="AG9" s="38"/>
      <c r="AH9" s="38"/>
      <c r="AI9" s="38"/>
      <c r="AJ9" s="38"/>
      <c r="AK9" s="38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8"/>
      <c r="AZ9" s="38"/>
      <c r="BA9" s="38"/>
      <c r="BB9" s="38"/>
      <c r="BC9" s="64"/>
      <c r="BD9" s="38"/>
      <c r="BE9" s="38"/>
      <c r="BF9" s="38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8"/>
      <c r="BU9" s="38"/>
      <c r="BV9" s="38"/>
      <c r="BW9" s="38"/>
      <c r="BX9" s="38"/>
      <c r="BY9" s="38"/>
      <c r="BZ9" s="38"/>
      <c r="CA9" s="38"/>
      <c r="CB9" s="38"/>
      <c r="CL9" s="38"/>
      <c r="CM9" s="38"/>
      <c r="CN9" s="38"/>
      <c r="CO9" s="38"/>
      <c r="CP9" s="38"/>
      <c r="CQ9" s="38"/>
      <c r="CR9" s="38"/>
      <c r="CS9" s="38"/>
      <c r="CT9" s="38"/>
      <c r="CU9" s="38"/>
      <c r="CV9" s="38"/>
    </row>
    <row r="10" spans="1:100" hidden="1" x14ac:dyDescent="0.2">
      <c r="A10" s="38"/>
      <c r="B10" s="38"/>
      <c r="C10" s="38"/>
      <c r="D10" s="38" t="s">
        <v>1083</v>
      </c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8"/>
      <c r="AJ10" s="38"/>
      <c r="AK10" s="38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64" t="s">
        <v>1042</v>
      </c>
      <c r="BD10" s="38" t="s">
        <v>1042</v>
      </c>
      <c r="BE10" s="38"/>
      <c r="BF10" s="38" t="s">
        <v>1042</v>
      </c>
      <c r="BG10" s="38"/>
      <c r="BH10" s="38" t="s">
        <v>1042</v>
      </c>
      <c r="BI10" s="38"/>
      <c r="BJ10" s="38" t="s">
        <v>1046</v>
      </c>
      <c r="BK10" s="38"/>
      <c r="BL10" s="38"/>
      <c r="BM10" s="38"/>
      <c r="BN10" s="38"/>
      <c r="BO10" s="38"/>
      <c r="BP10" s="38"/>
      <c r="BQ10" s="38"/>
      <c r="BR10" s="38"/>
      <c r="BS10" s="38"/>
      <c r="BT10" s="38"/>
      <c r="BU10" s="38"/>
      <c r="BV10" s="38"/>
      <c r="BW10" s="38"/>
      <c r="BX10" s="38"/>
      <c r="BY10" s="38"/>
      <c r="BZ10" s="38"/>
      <c r="CA10" s="38"/>
      <c r="CB10" s="38"/>
      <c r="CL10" s="38"/>
      <c r="CM10" s="38"/>
      <c r="CN10" s="38"/>
      <c r="CO10" s="38"/>
      <c r="CP10" s="38"/>
      <c r="CQ10" s="38"/>
      <c r="CR10" s="38"/>
      <c r="CS10" s="38"/>
      <c r="CT10" s="38"/>
      <c r="CU10" s="38"/>
      <c r="CV10" s="38"/>
    </row>
    <row r="11" spans="1:100" x14ac:dyDescent="0.2">
      <c r="A11" s="38" t="s">
        <v>820</v>
      </c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  <c r="AA11" s="38"/>
      <c r="AB11" s="38"/>
      <c r="AC11" s="38"/>
      <c r="AD11" s="38"/>
      <c r="AE11" s="38"/>
      <c r="AF11" s="38"/>
      <c r="AG11" s="38"/>
      <c r="AH11" s="38"/>
      <c r="AI11" s="38"/>
      <c r="AJ11" s="38"/>
      <c r="AK11" s="38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8"/>
      <c r="AZ11" s="38"/>
      <c r="BA11" s="38"/>
      <c r="BB11" s="38"/>
      <c r="BC11" s="64"/>
      <c r="BD11" s="38"/>
      <c r="BE11" s="38"/>
      <c r="BF11" s="38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8"/>
      <c r="BU11" s="38"/>
      <c r="BV11" s="38"/>
      <c r="BW11" s="38"/>
      <c r="BX11" s="38"/>
      <c r="BY11" s="38"/>
      <c r="BZ11" s="38"/>
      <c r="CA11" s="38"/>
      <c r="CB11" s="38">
        <f>SUBTOTAL(103,Estrutura_P01[DADOS PURLINS])</f>
        <v>0</v>
      </c>
      <c r="CL11" s="38"/>
      <c r="CM11" s="38"/>
      <c r="CN11" s="38"/>
      <c r="CO11" s="38"/>
      <c r="CP11" s="38"/>
      <c r="CQ11" s="38"/>
      <c r="CR11" s="38"/>
      <c r="CS11" s="38"/>
      <c r="CT11" s="38"/>
      <c r="CU11" s="38"/>
      <c r="CV11" s="38"/>
    </row>
    <row r="12" spans="1:100" x14ac:dyDescent="0.2">
      <c r="A12" t="s">
        <v>532</v>
      </c>
      <c r="CL12" s="38"/>
      <c r="CM12" s="38"/>
      <c r="CN12" s="38"/>
      <c r="CO12" s="38"/>
      <c r="CP12" s="38"/>
      <c r="CQ12" s="38"/>
      <c r="CR12" s="38"/>
      <c r="CS12" s="38"/>
      <c r="CT12" s="38"/>
      <c r="CU12" s="38"/>
      <c r="CV12" s="38"/>
    </row>
    <row r="13" spans="1:100" x14ac:dyDescent="0.2">
      <c r="CL13" s="38"/>
      <c r="CM13" s="38"/>
      <c r="CN13" s="38"/>
      <c r="CO13" s="38"/>
      <c r="CP13" s="38"/>
      <c r="CQ13" s="38"/>
      <c r="CR13" s="38"/>
      <c r="CS13" s="38"/>
      <c r="CT13" s="38"/>
      <c r="CU13" s="38"/>
      <c r="CV13" s="38"/>
    </row>
    <row r="14" spans="1:100" x14ac:dyDescent="0.2">
      <c r="CL14" s="38"/>
      <c r="CM14" s="38"/>
      <c r="CN14" s="38"/>
      <c r="CO14" s="38"/>
      <c r="CP14" s="38"/>
      <c r="CQ14" s="38"/>
      <c r="CR14" s="38"/>
      <c r="CS14" s="38"/>
      <c r="CT14" s="38"/>
      <c r="CU14" s="38"/>
      <c r="CV14" s="38"/>
    </row>
    <row r="15" spans="1:100" x14ac:dyDescent="0.2">
      <c r="CL15" s="38"/>
      <c r="CM15" s="38"/>
      <c r="CN15" s="38"/>
      <c r="CO15" s="38"/>
      <c r="CP15" s="38"/>
      <c r="CQ15" s="38"/>
      <c r="CR15" s="38"/>
      <c r="CS15" s="38"/>
      <c r="CT15" s="38"/>
      <c r="CU15" s="38"/>
      <c r="CV15" s="38"/>
    </row>
    <row r="16" spans="1:100" x14ac:dyDescent="0.2">
      <c r="CL16" s="38"/>
      <c r="CM16" s="38"/>
      <c r="CN16" s="38"/>
      <c r="CO16" s="38"/>
      <c r="CP16" s="38"/>
      <c r="CQ16" s="38"/>
      <c r="CR16" s="38"/>
      <c r="CS16" s="38"/>
      <c r="CT16" s="38"/>
      <c r="CU16" s="38"/>
      <c r="CV16" s="38"/>
    </row>
    <row r="17" spans="90:100" x14ac:dyDescent="0.2">
      <c r="CL17" s="38"/>
      <c r="CM17" s="38"/>
      <c r="CN17" s="38"/>
      <c r="CO17" s="38"/>
      <c r="CP17" s="38"/>
      <c r="CQ17" s="38"/>
      <c r="CR17" s="38"/>
      <c r="CS17" s="38"/>
      <c r="CT17" s="38"/>
      <c r="CU17" s="38"/>
      <c r="CV17" s="38"/>
    </row>
    <row r="18" spans="90:100" x14ac:dyDescent="0.2">
      <c r="CL18" s="38"/>
      <c r="CM18" s="38"/>
      <c r="CN18" s="38"/>
      <c r="CO18" s="38"/>
      <c r="CP18" s="38"/>
      <c r="CQ18" s="38"/>
      <c r="CR18" s="38"/>
      <c r="CS18" s="38"/>
      <c r="CT18" s="38"/>
      <c r="CU18" s="38"/>
      <c r="CV18" s="38"/>
    </row>
    <row r="19" spans="90:100" x14ac:dyDescent="0.2">
      <c r="CL19" s="38"/>
      <c r="CM19" s="38"/>
      <c r="CN19" s="38"/>
      <c r="CO19" s="38"/>
      <c r="CP19" s="38"/>
      <c r="CQ19" s="38"/>
      <c r="CR19" s="38"/>
      <c r="CS19" s="38"/>
      <c r="CT19" s="38"/>
      <c r="CU19" s="38"/>
      <c r="CV19" s="38"/>
    </row>
    <row r="20" spans="90:100" x14ac:dyDescent="0.2">
      <c r="CL20" s="38"/>
      <c r="CM20" s="38"/>
      <c r="CN20" s="38"/>
      <c r="CO20" s="38"/>
      <c r="CP20" s="38"/>
      <c r="CQ20" s="38"/>
      <c r="CR20" s="38"/>
      <c r="CS20" s="38"/>
      <c r="CT20" s="38"/>
      <c r="CU20" s="38"/>
      <c r="CV20" s="38"/>
    </row>
    <row r="21" spans="90:100" x14ac:dyDescent="0.2">
      <c r="CL21" s="38"/>
      <c r="CM21" s="38"/>
      <c r="CN21" s="38"/>
      <c r="CO21" s="38"/>
      <c r="CP21" s="38"/>
      <c r="CQ21" s="38"/>
      <c r="CR21" s="38"/>
      <c r="CS21" s="38"/>
      <c r="CT21" s="38"/>
      <c r="CU21" s="38"/>
      <c r="CV21" s="38"/>
    </row>
    <row r="22" spans="90:100" x14ac:dyDescent="0.2">
      <c r="CL22" s="38"/>
      <c r="CM22" s="38"/>
      <c r="CN22" s="38"/>
      <c r="CO22" s="38"/>
      <c r="CP22" s="38"/>
      <c r="CQ22" s="38"/>
      <c r="CR22" s="38"/>
      <c r="CS22" s="38"/>
      <c r="CT22" s="38"/>
      <c r="CU22" s="38"/>
      <c r="CV22" s="38"/>
    </row>
    <row r="23" spans="90:100" x14ac:dyDescent="0.2">
      <c r="CL23" s="38"/>
      <c r="CM23" s="38"/>
      <c r="CN23" s="38"/>
      <c r="CO23" s="38"/>
      <c r="CP23" s="38"/>
      <c r="CQ23" s="38"/>
      <c r="CR23" s="38"/>
      <c r="CS23" s="38"/>
      <c r="CT23" s="38"/>
      <c r="CU23" s="38"/>
      <c r="CV23" s="38"/>
    </row>
    <row r="24" spans="90:100" x14ac:dyDescent="0.2">
      <c r="CL24" s="38"/>
      <c r="CM24" s="38"/>
      <c r="CN24" s="38"/>
      <c r="CO24" s="38"/>
      <c r="CP24" s="38"/>
      <c r="CQ24" s="38"/>
      <c r="CR24" s="38"/>
      <c r="CS24" s="38"/>
      <c r="CT24" s="38"/>
      <c r="CU24" s="38"/>
      <c r="CV24" s="38"/>
    </row>
    <row r="25" spans="90:100" x14ac:dyDescent="0.2">
      <c r="CL25" s="38"/>
      <c r="CM25" s="38"/>
      <c r="CN25" s="38"/>
      <c r="CO25" s="38"/>
      <c r="CP25" s="38"/>
      <c r="CQ25" s="38"/>
      <c r="CR25" s="38"/>
      <c r="CS25" s="38"/>
      <c r="CT25" s="38"/>
      <c r="CU25" s="38"/>
      <c r="CV25" s="38"/>
    </row>
    <row r="26" spans="90:100" x14ac:dyDescent="0.2">
      <c r="CL26" s="38"/>
      <c r="CM26" s="38"/>
      <c r="CN26" s="38"/>
      <c r="CO26" s="38"/>
      <c r="CP26" s="38"/>
      <c r="CQ26" s="38"/>
      <c r="CR26" s="38"/>
      <c r="CS26" s="38"/>
      <c r="CT26" s="38"/>
      <c r="CU26" s="38"/>
      <c r="CV26" s="38"/>
    </row>
    <row r="27" spans="90:100" x14ac:dyDescent="0.2">
      <c r="CL27" s="38"/>
      <c r="CM27" s="38"/>
      <c r="CN27" s="38"/>
      <c r="CO27" s="38"/>
      <c r="CP27" s="38"/>
      <c r="CQ27" s="38"/>
      <c r="CR27" s="38"/>
      <c r="CS27" s="38"/>
      <c r="CT27" s="38"/>
      <c r="CU27" s="38"/>
      <c r="CV27" s="38"/>
    </row>
    <row r="28" spans="90:100" x14ac:dyDescent="0.2">
      <c r="CL28" s="38"/>
      <c r="CM28" s="38"/>
      <c r="CN28" s="38"/>
      <c r="CO28" s="38"/>
      <c r="CP28" s="38"/>
      <c r="CQ28" s="38"/>
      <c r="CR28" s="38"/>
      <c r="CS28" s="38"/>
      <c r="CT28" s="38"/>
      <c r="CU28" s="38"/>
      <c r="CV28" s="38"/>
    </row>
    <row r="29" spans="90:100" x14ac:dyDescent="0.2">
      <c r="CL29" s="38"/>
      <c r="CM29" s="38"/>
      <c r="CN29" s="38"/>
      <c r="CO29" s="38"/>
      <c r="CP29" s="38"/>
      <c r="CQ29" s="38"/>
      <c r="CR29" s="38"/>
      <c r="CS29" s="38"/>
      <c r="CT29" s="38"/>
      <c r="CU29" s="38"/>
      <c r="CV29" s="38"/>
    </row>
    <row r="30" spans="90:100" x14ac:dyDescent="0.2">
      <c r="CL30" s="38"/>
      <c r="CM30" s="38"/>
      <c r="CN30" s="38"/>
      <c r="CO30" s="38"/>
      <c r="CP30" s="38"/>
      <c r="CQ30" s="38"/>
      <c r="CR30" s="38"/>
      <c r="CS30" s="38"/>
      <c r="CT30" s="38"/>
      <c r="CU30" s="38"/>
      <c r="CV30" s="38"/>
    </row>
    <row r="31" spans="90:100" x14ac:dyDescent="0.2">
      <c r="CL31" s="38"/>
      <c r="CM31" s="38"/>
      <c r="CN31" s="38"/>
      <c r="CO31" s="38"/>
      <c r="CP31" s="38"/>
      <c r="CQ31" s="38"/>
      <c r="CR31" s="38"/>
      <c r="CS31" s="38"/>
      <c r="CT31" s="38"/>
      <c r="CU31" s="38"/>
      <c r="CV31" s="38"/>
    </row>
    <row r="32" spans="90:100" x14ac:dyDescent="0.2">
      <c r="CR32" s="38"/>
      <c r="CS32" s="38"/>
      <c r="CT32" s="38"/>
      <c r="CU32" s="38"/>
      <c r="CV32" s="38"/>
    </row>
    <row r="33" spans="96:100" x14ac:dyDescent="0.2">
      <c r="CR33" s="38"/>
      <c r="CS33" s="38"/>
      <c r="CT33" s="38"/>
      <c r="CU33" s="38"/>
      <c r="CV33" s="38"/>
    </row>
    <row r="34" spans="96:100" x14ac:dyDescent="0.2">
      <c r="CR34" s="38"/>
      <c r="CS34" s="38"/>
      <c r="CT34" s="38"/>
      <c r="CU34" s="38"/>
      <c r="CV34" s="38"/>
    </row>
    <row r="35" spans="96:100" x14ac:dyDescent="0.2">
      <c r="CR35" s="38"/>
      <c r="CS35" s="38"/>
      <c r="CT35" s="38"/>
      <c r="CU35" s="38"/>
      <c r="CV35" s="38"/>
    </row>
    <row r="36" spans="96:100" x14ac:dyDescent="0.2">
      <c r="CR36" s="38"/>
      <c r="CS36" s="38"/>
      <c r="CT36" s="38"/>
      <c r="CU36" s="38"/>
      <c r="CV36" s="38"/>
    </row>
    <row r="37" spans="96:100" x14ac:dyDescent="0.2">
      <c r="CR37" s="38"/>
      <c r="CS37" s="38"/>
      <c r="CT37" s="38"/>
      <c r="CU37" s="38"/>
      <c r="CV37" s="38"/>
    </row>
    <row r="38" spans="96:100" x14ac:dyDescent="0.2"/>
    <row r="39" spans="96:100" x14ac:dyDescent="0.2"/>
    <row r="40" spans="96:100" x14ac:dyDescent="0.2"/>
    <row r="41" spans="96:100" x14ac:dyDescent="0.2"/>
    <row r="42" spans="96:100" x14ac:dyDescent="0.2"/>
    <row r="43" spans="96:100" x14ac:dyDescent="0.2"/>
    <row r="44" spans="96:100" x14ac:dyDescent="0.2"/>
    <row r="45" spans="96:100" x14ac:dyDescent="0.2"/>
    <row r="46" spans="96:100" x14ac:dyDescent="0.2"/>
    <row r="47" spans="96:100" x14ac:dyDescent="0.2"/>
    <row r="48" spans="96:100" x14ac:dyDescent="0.2"/>
    <row r="49" spans="99:99" hidden="1" x14ac:dyDescent="0.2"/>
    <row r="50" spans="99:99" hidden="1" x14ac:dyDescent="0.2"/>
    <row r="51" spans="99:99" hidden="1" x14ac:dyDescent="0.2"/>
    <row r="52" spans="99:99" hidden="1" x14ac:dyDescent="0.2"/>
    <row r="53" spans="99:99" hidden="1" x14ac:dyDescent="0.2">
      <c r="CU53" t="e">
        <f>SUBTOTAL(103,#REF!)</f>
        <v>#REF!</v>
      </c>
    </row>
    <row r="54" spans="99:99" hidden="1" x14ac:dyDescent="0.2"/>
    <row r="55" spans="99:99" hidden="1" x14ac:dyDescent="0.2"/>
    <row r="56" spans="99:99" hidden="1" x14ac:dyDescent="0.2"/>
    <row r="57" spans="99:99" hidden="1" x14ac:dyDescent="0.2"/>
    <row r="58" spans="99:99" hidden="1" x14ac:dyDescent="0.2"/>
    <row r="59" spans="99:99" hidden="1" x14ac:dyDescent="0.2"/>
    <row r="60" spans="99:99" hidden="1" x14ac:dyDescent="0.2"/>
    <row r="61" spans="99:99" hidden="1" x14ac:dyDescent="0.2"/>
    <row r="62" spans="99:99" hidden="1" x14ac:dyDescent="0.2"/>
    <row r="63" spans="99:99" hidden="1" x14ac:dyDescent="0.2"/>
    <row r="64" spans="99:99" hidden="1" x14ac:dyDescent="0.2"/>
    <row r="65" hidden="1" x14ac:dyDescent="0.2"/>
    <row r="66" hidden="1" x14ac:dyDescent="0.2"/>
    <row r="67" hidden="1" x14ac:dyDescent="0.2"/>
    <row r="68" hidden="1" x14ac:dyDescent="0.2"/>
    <row r="69" hidden="1" x14ac:dyDescent="0.2"/>
    <row r="70" hidden="1" x14ac:dyDescent="0.2"/>
    <row r="71" hidden="1" x14ac:dyDescent="0.2"/>
    <row r="72" hidden="1" x14ac:dyDescent="0.2"/>
    <row r="73" hidden="1" x14ac:dyDescent="0.2"/>
    <row r="74" hidden="1" x14ac:dyDescent="0.2"/>
    <row r="75" hidden="1" x14ac:dyDescent="0.2"/>
    <row r="76" hidden="1" x14ac:dyDescent="0.2"/>
    <row r="77" hidden="1" x14ac:dyDescent="0.2"/>
    <row r="78" hidden="1" x14ac:dyDescent="0.2"/>
    <row r="79" hidden="1" x14ac:dyDescent="0.2"/>
    <row r="80" hidden="1" x14ac:dyDescent="0.2"/>
    <row r="81" hidden="1" x14ac:dyDescent="0.2"/>
    <row r="82" hidden="1" x14ac:dyDescent="0.2"/>
    <row r="83" hidden="1" x14ac:dyDescent="0.2"/>
    <row r="84" hidden="1" x14ac:dyDescent="0.2"/>
    <row r="85" hidden="1" x14ac:dyDescent="0.2"/>
    <row r="86" hidden="1" x14ac:dyDescent="0.2"/>
    <row r="87" hidden="1" x14ac:dyDescent="0.2"/>
    <row r="88" hidden="1" x14ac:dyDescent="0.2"/>
    <row r="89" hidden="1" x14ac:dyDescent="0.2"/>
    <row r="90" hidden="1" x14ac:dyDescent="0.2"/>
    <row r="91" hidden="1" x14ac:dyDescent="0.2"/>
    <row r="92" hidden="1" x14ac:dyDescent="0.2"/>
    <row r="93" hidden="1" x14ac:dyDescent="0.2"/>
    <row r="94" hidden="1" x14ac:dyDescent="0.2"/>
    <row r="95" hidden="1" x14ac:dyDescent="0.2"/>
    <row r="9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  <row r="181" hidden="1" x14ac:dyDescent="0.2"/>
    <row r="182" hidden="1" x14ac:dyDescent="0.2"/>
    <row r="183" hidden="1" x14ac:dyDescent="0.2"/>
    <row r="184" hidden="1" x14ac:dyDescent="0.2"/>
    <row r="185" hidden="1" x14ac:dyDescent="0.2"/>
    <row r="186" hidden="1" x14ac:dyDescent="0.2"/>
    <row r="187" hidden="1" x14ac:dyDescent="0.2"/>
    <row r="188" hidden="1" x14ac:dyDescent="0.2"/>
    <row r="189" hidden="1" x14ac:dyDescent="0.2"/>
    <row r="190" hidden="1" x14ac:dyDescent="0.2"/>
    <row r="191" hidden="1" x14ac:dyDescent="0.2"/>
    <row r="192" hidden="1" x14ac:dyDescent="0.2"/>
    <row r="193" hidden="1" x14ac:dyDescent="0.2"/>
    <row r="194" hidden="1" x14ac:dyDescent="0.2"/>
    <row r="195" hidden="1" x14ac:dyDescent="0.2"/>
    <row r="196" hidden="1" x14ac:dyDescent="0.2"/>
    <row r="197" hidden="1" x14ac:dyDescent="0.2"/>
    <row r="198" hidden="1" x14ac:dyDescent="0.2"/>
    <row r="199" hidden="1" x14ac:dyDescent="0.2"/>
    <row r="200" hidden="1" x14ac:dyDescent="0.2"/>
    <row r="201" hidden="1" x14ac:dyDescent="0.2"/>
    <row r="202" hidden="1" x14ac:dyDescent="0.2"/>
    <row r="203" hidden="1" x14ac:dyDescent="0.2"/>
    <row r="204" hidden="1" x14ac:dyDescent="0.2"/>
    <row r="205" hidden="1" x14ac:dyDescent="0.2"/>
    <row r="206" hidden="1" x14ac:dyDescent="0.2"/>
    <row r="207" hidden="1" x14ac:dyDescent="0.2"/>
    <row r="208" hidden="1" x14ac:dyDescent="0.2"/>
    <row r="209" hidden="1" x14ac:dyDescent="0.2"/>
    <row r="210" hidden="1" x14ac:dyDescent="0.2"/>
    <row r="211" hidden="1" x14ac:dyDescent="0.2"/>
    <row r="212" hidden="1" x14ac:dyDescent="0.2"/>
    <row r="213" hidden="1" x14ac:dyDescent="0.2"/>
    <row r="214" hidden="1" x14ac:dyDescent="0.2"/>
    <row r="215" hidden="1" x14ac:dyDescent="0.2"/>
    <row r="216" hidden="1" x14ac:dyDescent="0.2"/>
    <row r="217" hidden="1" x14ac:dyDescent="0.2"/>
    <row r="218" hidden="1" x14ac:dyDescent="0.2"/>
    <row r="219" hidden="1" x14ac:dyDescent="0.2"/>
    <row r="220" hidden="1" x14ac:dyDescent="0.2"/>
    <row r="221" hidden="1" x14ac:dyDescent="0.2"/>
    <row r="222" hidden="1" x14ac:dyDescent="0.2"/>
    <row r="223" hidden="1" x14ac:dyDescent="0.2"/>
    <row r="224" hidden="1" x14ac:dyDescent="0.2"/>
    <row r="225" hidden="1" x14ac:dyDescent="0.2"/>
    <row r="226" hidden="1" x14ac:dyDescent="0.2"/>
    <row r="227" hidden="1" x14ac:dyDescent="0.2"/>
    <row r="228" hidden="1" x14ac:dyDescent="0.2"/>
    <row r="229" hidden="1" x14ac:dyDescent="0.2"/>
    <row r="230" hidden="1" x14ac:dyDescent="0.2"/>
    <row r="231" hidden="1" x14ac:dyDescent="0.2"/>
    <row r="232" hidden="1" x14ac:dyDescent="0.2"/>
    <row r="233" hidden="1" x14ac:dyDescent="0.2"/>
    <row r="234" hidden="1" x14ac:dyDescent="0.2"/>
    <row r="235" hidden="1" x14ac:dyDescent="0.2"/>
    <row r="236" hidden="1" x14ac:dyDescent="0.2"/>
    <row r="237" hidden="1" x14ac:dyDescent="0.2"/>
    <row r="238" hidden="1" x14ac:dyDescent="0.2"/>
    <row r="239" hidden="1" x14ac:dyDescent="0.2"/>
    <row r="240" hidden="1" x14ac:dyDescent="0.2"/>
    <row r="241" hidden="1" x14ac:dyDescent="0.2"/>
    <row r="242" hidden="1" x14ac:dyDescent="0.2"/>
    <row r="243" hidden="1" x14ac:dyDescent="0.2"/>
    <row r="244" hidden="1" x14ac:dyDescent="0.2"/>
    <row r="245" hidden="1" x14ac:dyDescent="0.2"/>
    <row r="246" hidden="1" x14ac:dyDescent="0.2"/>
    <row r="247" hidden="1" x14ac:dyDescent="0.2"/>
    <row r="248" hidden="1" x14ac:dyDescent="0.2"/>
    <row r="249" hidden="1" x14ac:dyDescent="0.2"/>
    <row r="250" hidden="1" x14ac:dyDescent="0.2"/>
    <row r="251" hidden="1" x14ac:dyDescent="0.2"/>
    <row r="252" hidden="1" x14ac:dyDescent="0.2"/>
    <row r="253" hidden="1" x14ac:dyDescent="0.2"/>
    <row r="254" hidden="1" x14ac:dyDescent="0.2"/>
    <row r="255" hidden="1" x14ac:dyDescent="0.2"/>
    <row r="256" hidden="1" x14ac:dyDescent="0.2"/>
    <row r="257" hidden="1" x14ac:dyDescent="0.2"/>
    <row r="258" hidden="1" x14ac:dyDescent="0.2"/>
    <row r="259" hidden="1" x14ac:dyDescent="0.2"/>
    <row r="260" hidden="1" x14ac:dyDescent="0.2"/>
    <row r="261" hidden="1" x14ac:dyDescent="0.2"/>
    <row r="262" hidden="1" x14ac:dyDescent="0.2"/>
    <row r="263" hidden="1" x14ac:dyDescent="0.2"/>
    <row r="264" hidden="1" x14ac:dyDescent="0.2"/>
    <row r="265" hidden="1" x14ac:dyDescent="0.2"/>
    <row r="266" hidden="1" x14ac:dyDescent="0.2"/>
    <row r="267" hidden="1" x14ac:dyDescent="0.2"/>
    <row r="268" hidden="1" x14ac:dyDescent="0.2"/>
    <row r="269" hidden="1" x14ac:dyDescent="0.2"/>
    <row r="270" hidden="1" x14ac:dyDescent="0.2"/>
    <row r="271" hidden="1" x14ac:dyDescent="0.2"/>
    <row r="272" hidden="1" x14ac:dyDescent="0.2"/>
    <row r="273" hidden="1" x14ac:dyDescent="0.2"/>
    <row r="274" hidden="1" x14ac:dyDescent="0.2"/>
    <row r="275" hidden="1" x14ac:dyDescent="0.2"/>
    <row r="276" hidden="1" x14ac:dyDescent="0.2"/>
    <row r="277" hidden="1" x14ac:dyDescent="0.2"/>
    <row r="278" hidden="1" x14ac:dyDescent="0.2"/>
    <row r="279" hidden="1" x14ac:dyDescent="0.2"/>
    <row r="280" hidden="1" x14ac:dyDescent="0.2"/>
    <row r="281" hidden="1" x14ac:dyDescent="0.2"/>
    <row r="282" hidden="1" x14ac:dyDescent="0.2"/>
    <row r="283" hidden="1" x14ac:dyDescent="0.2"/>
    <row r="284" hidden="1" x14ac:dyDescent="0.2"/>
    <row r="285" hidden="1" x14ac:dyDescent="0.2"/>
    <row r="286" hidden="1" x14ac:dyDescent="0.2"/>
    <row r="287" hidden="1" x14ac:dyDescent="0.2"/>
    <row r="288" hidden="1" x14ac:dyDescent="0.2"/>
    <row r="289" hidden="1" x14ac:dyDescent="0.2"/>
    <row r="290" hidden="1" x14ac:dyDescent="0.2"/>
    <row r="291" hidden="1" x14ac:dyDescent="0.2"/>
    <row r="292" hidden="1" x14ac:dyDescent="0.2"/>
    <row r="293" hidden="1" x14ac:dyDescent="0.2"/>
    <row r="294" hidden="1" x14ac:dyDescent="0.2"/>
    <row r="295" hidden="1" x14ac:dyDescent="0.2"/>
    <row r="296" hidden="1" x14ac:dyDescent="0.2"/>
    <row r="297" hidden="1" x14ac:dyDescent="0.2"/>
    <row r="298" hidden="1" x14ac:dyDescent="0.2"/>
    <row r="299" hidden="1" x14ac:dyDescent="0.2"/>
    <row r="300" hidden="1" x14ac:dyDescent="0.2"/>
    <row r="301" hidden="1" x14ac:dyDescent="0.2"/>
    <row r="302" hidden="1" x14ac:dyDescent="0.2"/>
    <row r="303" hidden="1" x14ac:dyDescent="0.2"/>
    <row r="304" hidden="1" x14ac:dyDescent="0.2"/>
    <row r="305" hidden="1" x14ac:dyDescent="0.2"/>
    <row r="306" hidden="1" x14ac:dyDescent="0.2"/>
    <row r="307" hidden="1" x14ac:dyDescent="0.2"/>
    <row r="308" hidden="1" x14ac:dyDescent="0.2"/>
    <row r="309" hidden="1" x14ac:dyDescent="0.2"/>
    <row r="310" hidden="1" x14ac:dyDescent="0.2"/>
    <row r="311" hidden="1" x14ac:dyDescent="0.2"/>
    <row r="312" hidden="1" x14ac:dyDescent="0.2"/>
    <row r="313" hidden="1" x14ac:dyDescent="0.2"/>
    <row r="314" hidden="1" x14ac:dyDescent="0.2"/>
    <row r="315" hidden="1" x14ac:dyDescent="0.2"/>
    <row r="316" hidden="1" x14ac:dyDescent="0.2"/>
    <row r="317" hidden="1" x14ac:dyDescent="0.2"/>
    <row r="318" hidden="1" x14ac:dyDescent="0.2"/>
    <row r="319" hidden="1" x14ac:dyDescent="0.2"/>
    <row r="320" hidden="1" x14ac:dyDescent="0.2"/>
    <row r="321" hidden="1" x14ac:dyDescent="0.2"/>
    <row r="322" hidden="1" x14ac:dyDescent="0.2"/>
    <row r="323" hidden="1" x14ac:dyDescent="0.2"/>
    <row r="324" hidden="1" x14ac:dyDescent="0.2"/>
    <row r="325" hidden="1" x14ac:dyDescent="0.2"/>
    <row r="326" hidden="1" x14ac:dyDescent="0.2"/>
    <row r="327" hidden="1" x14ac:dyDescent="0.2"/>
    <row r="328" hidden="1" x14ac:dyDescent="0.2"/>
    <row r="329" hidden="1" x14ac:dyDescent="0.2"/>
    <row r="330" hidden="1" x14ac:dyDescent="0.2"/>
    <row r="331" hidden="1" x14ac:dyDescent="0.2"/>
    <row r="332" hidden="1" x14ac:dyDescent="0.2"/>
    <row r="333" hidden="1" x14ac:dyDescent="0.2"/>
    <row r="334" hidden="1" x14ac:dyDescent="0.2"/>
    <row r="335" hidden="1" x14ac:dyDescent="0.2"/>
    <row r="336" hidden="1" x14ac:dyDescent="0.2"/>
    <row r="337" hidden="1" x14ac:dyDescent="0.2"/>
    <row r="338" hidden="1" x14ac:dyDescent="0.2"/>
    <row r="339" hidden="1" x14ac:dyDescent="0.2"/>
    <row r="340" hidden="1" x14ac:dyDescent="0.2"/>
    <row r="341" hidden="1" x14ac:dyDescent="0.2"/>
    <row r="342" hidden="1" x14ac:dyDescent="0.2"/>
    <row r="343" hidden="1" x14ac:dyDescent="0.2"/>
    <row r="344" hidden="1" x14ac:dyDescent="0.2"/>
    <row r="345" hidden="1" x14ac:dyDescent="0.2"/>
    <row r="346" hidden="1" x14ac:dyDescent="0.2"/>
    <row r="347" hidden="1" x14ac:dyDescent="0.2"/>
    <row r="348" hidden="1" x14ac:dyDescent="0.2"/>
    <row r="349" hidden="1" x14ac:dyDescent="0.2"/>
    <row r="350" hidden="1" x14ac:dyDescent="0.2"/>
    <row r="351" hidden="1" x14ac:dyDescent="0.2"/>
    <row r="352" hidden="1" x14ac:dyDescent="0.2"/>
    <row r="353" hidden="1" x14ac:dyDescent="0.2"/>
    <row r="354" hidden="1" x14ac:dyDescent="0.2"/>
    <row r="355" hidden="1" x14ac:dyDescent="0.2"/>
    <row r="356" hidden="1" x14ac:dyDescent="0.2"/>
    <row r="357" hidden="1" x14ac:dyDescent="0.2"/>
    <row r="358" hidden="1" x14ac:dyDescent="0.2"/>
    <row r="359" hidden="1" x14ac:dyDescent="0.2"/>
    <row r="360" hidden="1" x14ac:dyDescent="0.2"/>
    <row r="361" hidden="1" x14ac:dyDescent="0.2"/>
    <row r="362" hidden="1" x14ac:dyDescent="0.2"/>
    <row r="363" hidden="1" x14ac:dyDescent="0.2"/>
    <row r="364" hidden="1" x14ac:dyDescent="0.2"/>
    <row r="365" hidden="1" x14ac:dyDescent="0.2"/>
    <row r="366" hidden="1" x14ac:dyDescent="0.2"/>
    <row r="367" hidden="1" x14ac:dyDescent="0.2"/>
    <row r="368" hidden="1" x14ac:dyDescent="0.2"/>
    <row r="369" hidden="1" x14ac:dyDescent="0.2"/>
    <row r="370" hidden="1" x14ac:dyDescent="0.2"/>
    <row r="371" hidden="1" x14ac:dyDescent="0.2"/>
    <row r="372" hidden="1" x14ac:dyDescent="0.2"/>
    <row r="373" hidden="1" x14ac:dyDescent="0.2"/>
    <row r="374" hidden="1" x14ac:dyDescent="0.2"/>
    <row r="375" hidden="1" x14ac:dyDescent="0.2"/>
    <row r="376" hidden="1" x14ac:dyDescent="0.2"/>
    <row r="377" hidden="1" x14ac:dyDescent="0.2"/>
    <row r="378" hidden="1" x14ac:dyDescent="0.2"/>
    <row r="379" hidden="1" x14ac:dyDescent="0.2"/>
    <row r="380" hidden="1" x14ac:dyDescent="0.2"/>
    <row r="381" hidden="1" x14ac:dyDescent="0.2"/>
    <row r="382" hidden="1" x14ac:dyDescent="0.2"/>
    <row r="383" hidden="1" x14ac:dyDescent="0.2"/>
    <row r="384" hidden="1" x14ac:dyDescent="0.2"/>
    <row r="385" hidden="1" x14ac:dyDescent="0.2"/>
    <row r="386" hidden="1" x14ac:dyDescent="0.2"/>
    <row r="387" hidden="1" x14ac:dyDescent="0.2"/>
    <row r="388" hidden="1" x14ac:dyDescent="0.2"/>
    <row r="389" hidden="1" x14ac:dyDescent="0.2"/>
    <row r="390" hidden="1" x14ac:dyDescent="0.2"/>
    <row r="391" hidden="1" x14ac:dyDescent="0.2"/>
    <row r="392" hidden="1" x14ac:dyDescent="0.2"/>
    <row r="393" hidden="1" x14ac:dyDescent="0.2"/>
    <row r="394" hidden="1" x14ac:dyDescent="0.2"/>
    <row r="395" hidden="1" x14ac:dyDescent="0.2"/>
    <row r="396" hidden="1" x14ac:dyDescent="0.2"/>
    <row r="397" hidden="1" x14ac:dyDescent="0.2"/>
    <row r="398" hidden="1" x14ac:dyDescent="0.2"/>
    <row r="399" hidden="1" x14ac:dyDescent="0.2"/>
    <row r="400" hidden="1" x14ac:dyDescent="0.2"/>
    <row r="401" hidden="1" x14ac:dyDescent="0.2"/>
    <row r="402" hidden="1" x14ac:dyDescent="0.2"/>
    <row r="403" hidden="1" x14ac:dyDescent="0.2"/>
    <row r="404" hidden="1" x14ac:dyDescent="0.2"/>
    <row r="405" hidden="1" x14ac:dyDescent="0.2"/>
    <row r="406" hidden="1" x14ac:dyDescent="0.2"/>
    <row r="407" hidden="1" x14ac:dyDescent="0.2"/>
    <row r="408" hidden="1" x14ac:dyDescent="0.2"/>
    <row r="409" hidden="1" x14ac:dyDescent="0.2"/>
    <row r="410" hidden="1" x14ac:dyDescent="0.2"/>
    <row r="411" hidden="1" x14ac:dyDescent="0.2"/>
    <row r="412" hidden="1" x14ac:dyDescent="0.2"/>
    <row r="413" hidden="1" x14ac:dyDescent="0.2"/>
    <row r="414" hidden="1" x14ac:dyDescent="0.2"/>
    <row r="415" hidden="1" x14ac:dyDescent="0.2"/>
    <row r="416" hidden="1" x14ac:dyDescent="0.2"/>
    <row r="417" hidden="1" x14ac:dyDescent="0.2"/>
    <row r="418" hidden="1" x14ac:dyDescent="0.2"/>
    <row r="419" hidden="1" x14ac:dyDescent="0.2"/>
    <row r="420" hidden="1" x14ac:dyDescent="0.2"/>
    <row r="421" hidden="1" x14ac:dyDescent="0.2"/>
    <row r="422" hidden="1" x14ac:dyDescent="0.2"/>
    <row r="423" hidden="1" x14ac:dyDescent="0.2"/>
    <row r="424" hidden="1" x14ac:dyDescent="0.2"/>
    <row r="425" hidden="1" x14ac:dyDescent="0.2"/>
    <row r="426" hidden="1" x14ac:dyDescent="0.2"/>
    <row r="427" hidden="1" x14ac:dyDescent="0.2"/>
    <row r="428" hidden="1" x14ac:dyDescent="0.2"/>
    <row r="429" hidden="1" x14ac:dyDescent="0.2"/>
    <row r="430" hidden="1" x14ac:dyDescent="0.2"/>
    <row r="431" hidden="1" x14ac:dyDescent="0.2"/>
    <row r="432" hidden="1" x14ac:dyDescent="0.2"/>
    <row r="433" hidden="1" x14ac:dyDescent="0.2"/>
    <row r="434" hidden="1" x14ac:dyDescent="0.2"/>
    <row r="435" hidden="1" x14ac:dyDescent="0.2"/>
    <row r="436" hidden="1" x14ac:dyDescent="0.2"/>
    <row r="437" hidden="1" x14ac:dyDescent="0.2"/>
    <row r="438" hidden="1" x14ac:dyDescent="0.2"/>
    <row r="439" hidden="1" x14ac:dyDescent="0.2"/>
    <row r="440" hidden="1" x14ac:dyDescent="0.2"/>
    <row r="441" hidden="1" x14ac:dyDescent="0.2"/>
    <row r="442" hidden="1" x14ac:dyDescent="0.2"/>
    <row r="443" hidden="1" x14ac:dyDescent="0.2"/>
    <row r="444" hidden="1" x14ac:dyDescent="0.2"/>
    <row r="445" hidden="1" x14ac:dyDescent="0.2"/>
    <row r="446" hidden="1" x14ac:dyDescent="0.2"/>
    <row r="447" hidden="1" x14ac:dyDescent="0.2"/>
    <row r="448" hidden="1" x14ac:dyDescent="0.2"/>
    <row r="449" hidden="1" x14ac:dyDescent="0.2"/>
    <row r="450" hidden="1" x14ac:dyDescent="0.2"/>
    <row r="451" hidden="1" x14ac:dyDescent="0.2"/>
    <row r="452" hidden="1" x14ac:dyDescent="0.2"/>
    <row r="453" hidden="1" x14ac:dyDescent="0.2"/>
    <row r="454" hidden="1" x14ac:dyDescent="0.2"/>
    <row r="455" hidden="1" x14ac:dyDescent="0.2"/>
    <row r="456" hidden="1" x14ac:dyDescent="0.2"/>
    <row r="457" hidden="1" x14ac:dyDescent="0.2"/>
    <row r="458" hidden="1" x14ac:dyDescent="0.2"/>
    <row r="459" hidden="1" x14ac:dyDescent="0.2"/>
    <row r="460" hidden="1" x14ac:dyDescent="0.2"/>
    <row r="461" hidden="1" x14ac:dyDescent="0.2"/>
    <row r="462" hidden="1" x14ac:dyDescent="0.2"/>
    <row r="463" hidden="1" x14ac:dyDescent="0.2"/>
    <row r="464" hidden="1" x14ac:dyDescent="0.2"/>
    <row r="465" hidden="1" x14ac:dyDescent="0.2"/>
    <row r="466" hidden="1" x14ac:dyDescent="0.2"/>
    <row r="467" hidden="1" x14ac:dyDescent="0.2"/>
    <row r="468" hidden="1" x14ac:dyDescent="0.2"/>
    <row r="469" hidden="1" x14ac:dyDescent="0.2"/>
    <row r="470" hidden="1" x14ac:dyDescent="0.2"/>
    <row r="471" hidden="1" x14ac:dyDescent="0.2"/>
    <row r="472" hidden="1" x14ac:dyDescent="0.2"/>
    <row r="473" hidden="1" x14ac:dyDescent="0.2"/>
    <row r="474" hidden="1" x14ac:dyDescent="0.2"/>
    <row r="475" hidden="1" x14ac:dyDescent="0.2"/>
    <row r="476" hidden="1" x14ac:dyDescent="0.2"/>
    <row r="477" hidden="1" x14ac:dyDescent="0.2"/>
    <row r="478" hidden="1" x14ac:dyDescent="0.2"/>
    <row r="479" hidden="1" x14ac:dyDescent="0.2"/>
    <row r="480" hidden="1" x14ac:dyDescent="0.2"/>
    <row r="481" hidden="1" x14ac:dyDescent="0.2"/>
    <row r="482" hidden="1" x14ac:dyDescent="0.2"/>
    <row r="483" hidden="1" x14ac:dyDescent="0.2"/>
    <row r="484" hidden="1" x14ac:dyDescent="0.2"/>
    <row r="485" hidden="1" x14ac:dyDescent="0.2"/>
    <row r="486" hidden="1" x14ac:dyDescent="0.2"/>
    <row r="487" hidden="1" x14ac:dyDescent="0.2"/>
    <row r="488" hidden="1" x14ac:dyDescent="0.2"/>
    <row r="489" hidden="1" x14ac:dyDescent="0.2"/>
    <row r="490" hidden="1" x14ac:dyDescent="0.2"/>
    <row r="491" hidden="1" x14ac:dyDescent="0.2"/>
    <row r="492" hidden="1" x14ac:dyDescent="0.2"/>
    <row r="493" hidden="1" x14ac:dyDescent="0.2"/>
    <row r="494" hidden="1" x14ac:dyDescent="0.2"/>
    <row r="495" hidden="1" x14ac:dyDescent="0.2"/>
    <row r="496" hidden="1" x14ac:dyDescent="0.2"/>
    <row r="497" hidden="1" x14ac:dyDescent="0.2"/>
    <row r="498" hidden="1" x14ac:dyDescent="0.2"/>
    <row r="499" hidden="1" x14ac:dyDescent="0.2"/>
    <row r="500" hidden="1" x14ac:dyDescent="0.2"/>
    <row r="501" hidden="1" x14ac:dyDescent="0.2"/>
    <row r="502" hidden="1" x14ac:dyDescent="0.2"/>
    <row r="503" hidden="1" x14ac:dyDescent="0.2"/>
    <row r="504" hidden="1" x14ac:dyDescent="0.2"/>
    <row r="505" hidden="1" x14ac:dyDescent="0.2"/>
    <row r="506" hidden="1" x14ac:dyDescent="0.2"/>
    <row r="507" hidden="1" x14ac:dyDescent="0.2"/>
    <row r="508" hidden="1" x14ac:dyDescent="0.2"/>
    <row r="509" hidden="1" x14ac:dyDescent="0.2"/>
    <row r="510" hidden="1" x14ac:dyDescent="0.2"/>
    <row r="511" hidden="1" x14ac:dyDescent="0.2"/>
    <row r="512" hidden="1" x14ac:dyDescent="0.2"/>
    <row r="513" hidden="1" x14ac:dyDescent="0.2"/>
    <row r="514" hidden="1" x14ac:dyDescent="0.2"/>
    <row r="515" hidden="1" x14ac:dyDescent="0.2"/>
    <row r="516" hidden="1" x14ac:dyDescent="0.2"/>
    <row r="517" hidden="1" x14ac:dyDescent="0.2"/>
    <row r="518" hidden="1" x14ac:dyDescent="0.2"/>
    <row r="519" hidden="1" x14ac:dyDescent="0.2"/>
    <row r="520" hidden="1" x14ac:dyDescent="0.2"/>
    <row r="521" hidden="1" x14ac:dyDescent="0.2"/>
    <row r="522" hidden="1" x14ac:dyDescent="0.2"/>
    <row r="523" hidden="1" x14ac:dyDescent="0.2"/>
    <row r="524" hidden="1" x14ac:dyDescent="0.2"/>
    <row r="525" hidden="1" x14ac:dyDescent="0.2"/>
    <row r="526" hidden="1" x14ac:dyDescent="0.2"/>
    <row r="527" hidden="1" x14ac:dyDescent="0.2"/>
    <row r="528" hidden="1" x14ac:dyDescent="0.2"/>
    <row r="529" hidden="1" x14ac:dyDescent="0.2"/>
    <row r="530" hidden="1" x14ac:dyDescent="0.2"/>
    <row r="531" hidden="1" x14ac:dyDescent="0.2"/>
    <row r="532" hidden="1" x14ac:dyDescent="0.2"/>
    <row r="533" hidden="1" x14ac:dyDescent="0.2"/>
    <row r="534" hidden="1" x14ac:dyDescent="0.2"/>
    <row r="535" hidden="1" x14ac:dyDescent="0.2"/>
    <row r="536" hidden="1" x14ac:dyDescent="0.2"/>
    <row r="537" hidden="1" x14ac:dyDescent="0.2"/>
    <row r="538" hidden="1" x14ac:dyDescent="0.2"/>
    <row r="539" hidden="1" x14ac:dyDescent="0.2"/>
    <row r="540" hidden="1" x14ac:dyDescent="0.2"/>
    <row r="541" hidden="1" x14ac:dyDescent="0.2"/>
    <row r="542" hidden="1" x14ac:dyDescent="0.2"/>
    <row r="543" hidden="1" x14ac:dyDescent="0.2"/>
    <row r="544" hidden="1" x14ac:dyDescent="0.2"/>
    <row r="545" hidden="1" x14ac:dyDescent="0.2"/>
    <row r="546" hidden="1" x14ac:dyDescent="0.2"/>
    <row r="547" hidden="1" x14ac:dyDescent="0.2"/>
    <row r="548" hidden="1" x14ac:dyDescent="0.2"/>
    <row r="549" hidden="1" x14ac:dyDescent="0.2"/>
    <row r="550" hidden="1" x14ac:dyDescent="0.2"/>
    <row r="551" hidden="1" x14ac:dyDescent="0.2"/>
    <row r="552" hidden="1" x14ac:dyDescent="0.2"/>
    <row r="553" hidden="1" x14ac:dyDescent="0.2"/>
    <row r="554" hidden="1" x14ac:dyDescent="0.2"/>
    <row r="555" hidden="1" x14ac:dyDescent="0.2"/>
    <row r="556" hidden="1" x14ac:dyDescent="0.2"/>
    <row r="557" hidden="1" x14ac:dyDescent="0.2"/>
    <row r="558" hidden="1" x14ac:dyDescent="0.2"/>
    <row r="559" hidden="1" x14ac:dyDescent="0.2"/>
    <row r="560" hidden="1" x14ac:dyDescent="0.2"/>
    <row r="561" hidden="1" x14ac:dyDescent="0.2"/>
    <row r="562" hidden="1" x14ac:dyDescent="0.2"/>
    <row r="563" hidden="1" x14ac:dyDescent="0.2"/>
    <row r="564" hidden="1" x14ac:dyDescent="0.2"/>
    <row r="565" hidden="1" x14ac:dyDescent="0.2"/>
    <row r="566" hidden="1" x14ac:dyDescent="0.2"/>
    <row r="567" hidden="1" x14ac:dyDescent="0.2"/>
    <row r="568" hidden="1" x14ac:dyDescent="0.2"/>
    <row r="569" hidden="1" x14ac:dyDescent="0.2"/>
    <row r="570" hidden="1" x14ac:dyDescent="0.2"/>
    <row r="571" hidden="1" x14ac:dyDescent="0.2"/>
    <row r="572" hidden="1" x14ac:dyDescent="0.2"/>
    <row r="573" hidden="1" x14ac:dyDescent="0.2"/>
    <row r="574" hidden="1" x14ac:dyDescent="0.2"/>
    <row r="575" hidden="1" x14ac:dyDescent="0.2"/>
    <row r="576" hidden="1" x14ac:dyDescent="0.2"/>
    <row r="577" hidden="1" x14ac:dyDescent="0.2"/>
    <row r="578" hidden="1" x14ac:dyDescent="0.2"/>
    <row r="579" hidden="1" x14ac:dyDescent="0.2"/>
    <row r="580" hidden="1" x14ac:dyDescent="0.2"/>
    <row r="581" hidden="1" x14ac:dyDescent="0.2"/>
    <row r="582" hidden="1" x14ac:dyDescent="0.2"/>
    <row r="583" hidden="1" x14ac:dyDescent="0.2"/>
    <row r="584" hidden="1" x14ac:dyDescent="0.2"/>
    <row r="585" hidden="1" x14ac:dyDescent="0.2"/>
    <row r="586" hidden="1" x14ac:dyDescent="0.2"/>
    <row r="587" hidden="1" x14ac:dyDescent="0.2"/>
    <row r="588" hidden="1" x14ac:dyDescent="0.2"/>
    <row r="589" hidden="1" x14ac:dyDescent="0.2"/>
    <row r="590" hidden="1" x14ac:dyDescent="0.2"/>
    <row r="591" hidden="1" x14ac:dyDescent="0.2"/>
    <row r="592" hidden="1" x14ac:dyDescent="0.2"/>
    <row r="593" hidden="1" x14ac:dyDescent="0.2"/>
    <row r="594" hidden="1" x14ac:dyDescent="0.2"/>
    <row r="595" hidden="1" x14ac:dyDescent="0.2"/>
    <row r="596" hidden="1" x14ac:dyDescent="0.2"/>
    <row r="597" hidden="1" x14ac:dyDescent="0.2"/>
    <row r="598" hidden="1" x14ac:dyDescent="0.2"/>
    <row r="599" hidden="1" x14ac:dyDescent="0.2"/>
    <row r="600" hidden="1" x14ac:dyDescent="0.2"/>
    <row r="601" hidden="1" x14ac:dyDescent="0.2"/>
    <row r="602" hidden="1" x14ac:dyDescent="0.2"/>
    <row r="603" hidden="1" x14ac:dyDescent="0.2"/>
    <row r="604" hidden="1" x14ac:dyDescent="0.2"/>
    <row r="605" hidden="1" x14ac:dyDescent="0.2"/>
    <row r="606" hidden="1" x14ac:dyDescent="0.2"/>
    <row r="607" hidden="1" x14ac:dyDescent="0.2"/>
    <row r="608" hidden="1" x14ac:dyDescent="0.2"/>
    <row r="609" hidden="1" x14ac:dyDescent="0.2"/>
    <row r="610" hidden="1" x14ac:dyDescent="0.2"/>
    <row r="611" hidden="1" x14ac:dyDescent="0.2"/>
    <row r="612" hidden="1" x14ac:dyDescent="0.2"/>
    <row r="613" hidden="1" x14ac:dyDescent="0.2"/>
    <row r="614" hidden="1" x14ac:dyDescent="0.2"/>
    <row r="615" hidden="1" x14ac:dyDescent="0.2"/>
    <row r="616" hidden="1" x14ac:dyDescent="0.2"/>
    <row r="617" hidden="1" x14ac:dyDescent="0.2"/>
    <row r="618" hidden="1" x14ac:dyDescent="0.2"/>
    <row r="619" hidden="1" x14ac:dyDescent="0.2"/>
    <row r="620" hidden="1" x14ac:dyDescent="0.2"/>
    <row r="621" hidden="1" x14ac:dyDescent="0.2"/>
    <row r="622" hidden="1" x14ac:dyDescent="0.2"/>
    <row r="623" hidden="1" x14ac:dyDescent="0.2"/>
    <row r="624" hidden="1" x14ac:dyDescent="0.2"/>
    <row r="625" hidden="1" x14ac:dyDescent="0.2"/>
    <row r="626" hidden="1" x14ac:dyDescent="0.2"/>
    <row r="627" hidden="1" x14ac:dyDescent="0.2"/>
    <row r="628" hidden="1" x14ac:dyDescent="0.2"/>
    <row r="629" hidden="1" x14ac:dyDescent="0.2"/>
    <row r="630" hidden="1" x14ac:dyDescent="0.2"/>
    <row r="631" hidden="1" x14ac:dyDescent="0.2"/>
    <row r="632" hidden="1" x14ac:dyDescent="0.2"/>
    <row r="633" hidden="1" x14ac:dyDescent="0.2"/>
    <row r="634" hidden="1" x14ac:dyDescent="0.2"/>
    <row r="635" hidden="1" x14ac:dyDescent="0.2"/>
    <row r="636" hidden="1" x14ac:dyDescent="0.2"/>
    <row r="637" hidden="1" x14ac:dyDescent="0.2"/>
    <row r="638" hidden="1" x14ac:dyDescent="0.2"/>
    <row r="639" hidden="1" x14ac:dyDescent="0.2"/>
    <row r="640" hidden="1" x14ac:dyDescent="0.2"/>
    <row r="641" hidden="1" x14ac:dyDescent="0.2"/>
    <row r="642" hidden="1" x14ac:dyDescent="0.2"/>
    <row r="643" hidden="1" x14ac:dyDescent="0.2"/>
    <row r="644" hidden="1" x14ac:dyDescent="0.2"/>
    <row r="645" hidden="1" x14ac:dyDescent="0.2"/>
    <row r="646" hidden="1" x14ac:dyDescent="0.2"/>
    <row r="647" hidden="1" x14ac:dyDescent="0.2"/>
    <row r="648" hidden="1" x14ac:dyDescent="0.2"/>
    <row r="649" hidden="1" x14ac:dyDescent="0.2"/>
    <row r="650" hidden="1" x14ac:dyDescent="0.2"/>
    <row r="651" hidden="1" x14ac:dyDescent="0.2"/>
    <row r="652" hidden="1" x14ac:dyDescent="0.2"/>
    <row r="653" hidden="1" x14ac:dyDescent="0.2"/>
    <row r="654" hidden="1" x14ac:dyDescent="0.2"/>
    <row r="655" hidden="1" x14ac:dyDescent="0.2"/>
    <row r="656" hidden="1" x14ac:dyDescent="0.2"/>
    <row r="657" hidden="1" x14ac:dyDescent="0.2"/>
    <row r="658" hidden="1" x14ac:dyDescent="0.2"/>
    <row r="659" hidden="1" x14ac:dyDescent="0.2"/>
    <row r="660" hidden="1" x14ac:dyDescent="0.2"/>
    <row r="661" hidden="1" x14ac:dyDescent="0.2"/>
    <row r="662" hidden="1" x14ac:dyDescent="0.2"/>
    <row r="663" hidden="1" x14ac:dyDescent="0.2"/>
    <row r="664" hidden="1" x14ac:dyDescent="0.2"/>
    <row r="665" hidden="1" x14ac:dyDescent="0.2"/>
    <row r="666" hidden="1" x14ac:dyDescent="0.2"/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Planilha2.AbrirSeleçãodeTransferenci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3</xdr:col>
                    <xdr:colOff>66675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W90"/>
  <sheetViews>
    <sheetView showGridLines="0" showRowColHeaders="0" topLeftCell="BJ1" workbookViewId="0">
      <selection activeCell="BW27" sqref="BW27"/>
    </sheetView>
  </sheetViews>
  <sheetFormatPr defaultRowHeight="12.75" x14ac:dyDescent="0.2"/>
  <cols>
    <col min="1" max="1" width="100.42578125" style="6" customWidth="1"/>
    <col min="2" max="2" width="8.42578125" style="6" customWidth="1"/>
    <col min="3" max="3" width="10.140625" style="6" customWidth="1"/>
    <col min="4" max="4" width="24" style="6" customWidth="1"/>
    <col min="5" max="5" width="12.5703125" style="6" customWidth="1"/>
    <col min="6" max="6" width="2.5703125" style="6" customWidth="1"/>
    <col min="7" max="7" width="12.85546875" style="6" customWidth="1"/>
    <col min="8" max="8" width="29.42578125" style="6" customWidth="1"/>
    <col min="9" max="9" width="2.5703125" style="6" customWidth="1"/>
    <col min="10" max="10" width="28.140625" style="6" customWidth="1"/>
    <col min="11" max="11" width="21.140625" style="6" customWidth="1"/>
    <col min="12" max="12" width="2.5703125" style="6" customWidth="1"/>
    <col min="13" max="13" width="12.85546875" style="6" customWidth="1"/>
    <col min="14" max="14" width="14.28515625" style="6" customWidth="1"/>
    <col min="15" max="15" width="2.5703125" style="6" customWidth="1"/>
    <col min="16" max="16" width="3.5703125" style="6" customWidth="1"/>
    <col min="17" max="17" width="11.5703125" style="6" customWidth="1"/>
    <col min="18" max="18" width="3.5703125" style="6" customWidth="1"/>
    <col min="19" max="19" width="11.5703125" style="6" customWidth="1"/>
    <col min="20" max="20" width="3.5703125" style="6" customWidth="1"/>
    <col min="21" max="21" width="11.5703125" style="6" customWidth="1"/>
    <col min="22" max="22" width="5.5703125" style="6" customWidth="1"/>
    <col min="23" max="23" width="23" style="6" customWidth="1"/>
    <col min="24" max="24" width="3.5703125" style="6" customWidth="1"/>
    <col min="25" max="25" width="41.42578125" style="6" customWidth="1"/>
    <col min="26" max="26" width="2.5703125" style="6" customWidth="1"/>
    <col min="27" max="27" width="12.85546875" style="6" customWidth="1"/>
    <col min="28" max="28" width="13.140625" style="6" customWidth="1"/>
    <col min="29" max="29" width="2.5703125" style="6" customWidth="1"/>
    <col min="30" max="30" width="12.85546875" style="6" customWidth="1"/>
    <col min="31" max="31" width="7.140625" style="6" customWidth="1"/>
    <col min="32" max="32" width="2.5703125" style="6" customWidth="1"/>
    <col min="33" max="33" width="23.5703125" style="6" customWidth="1"/>
    <col min="34" max="34" width="2.5703125" style="6" customWidth="1"/>
    <col min="35" max="35" width="12.85546875" style="6" customWidth="1"/>
    <col min="36" max="36" width="18.85546875" style="6" customWidth="1"/>
    <col min="37" max="37" width="2.5703125" style="6" customWidth="1"/>
    <col min="38" max="38" width="12.85546875" style="6" customWidth="1"/>
    <col min="39" max="39" width="16.5703125" style="6" customWidth="1"/>
    <col min="40" max="40" width="2.5703125" style="6" customWidth="1"/>
    <col min="41" max="41" width="12.85546875" style="6" customWidth="1"/>
    <col min="42" max="42" width="29.42578125" style="6" customWidth="1"/>
    <col min="43" max="43" width="2.5703125" style="6" customWidth="1"/>
    <col min="44" max="44" width="12.85546875" style="6" customWidth="1"/>
    <col min="45" max="45" width="18.85546875" style="6" customWidth="1"/>
    <col min="46" max="46" width="2.5703125" style="6" customWidth="1"/>
    <col min="47" max="47" width="12.85546875" style="6" customWidth="1"/>
    <col min="48" max="48" width="38.140625" style="6" customWidth="1"/>
    <col min="49" max="49" width="2.5703125" style="6" customWidth="1"/>
    <col min="50" max="50" width="12.85546875" style="6" customWidth="1"/>
    <col min="51" max="51" width="21.5703125" style="6" customWidth="1"/>
    <col min="52" max="52" width="2.5703125" style="6" customWidth="1"/>
    <col min="53" max="53" width="9.85546875" style="6" customWidth="1"/>
    <col min="54" max="54" width="10.7109375" style="6" customWidth="1"/>
    <col min="55" max="55" width="3.85546875" style="6" customWidth="1"/>
    <col min="56" max="56" width="14.140625" style="6" customWidth="1"/>
    <col min="57" max="57" width="2.5703125" style="6" customWidth="1"/>
    <col min="58" max="58" width="12.85546875" style="6" customWidth="1"/>
    <col min="59" max="59" width="31.28515625" style="6" customWidth="1"/>
    <col min="60" max="60" width="8.42578125" style="6" customWidth="1"/>
    <col min="61" max="61" width="2.5703125" style="6" customWidth="1"/>
    <col min="62" max="62" width="17.5703125" style="6" customWidth="1"/>
    <col min="63" max="63" width="8.42578125" style="6" customWidth="1"/>
    <col min="64" max="64" width="2.5703125" style="6" customWidth="1"/>
    <col min="65" max="65" width="17.5703125" style="6" customWidth="1"/>
    <col min="66" max="66" width="2.5703125" style="6" customWidth="1"/>
    <col min="67" max="67" width="11.85546875" style="6" customWidth="1"/>
    <col min="68" max="68" width="41.7109375" style="6" customWidth="1"/>
    <col min="69" max="69" width="2.5703125" style="6" customWidth="1"/>
    <col min="70" max="70" width="17.5703125" style="6" customWidth="1"/>
    <col min="71" max="71" width="2.5703125" style="6" customWidth="1"/>
    <col min="72" max="72" width="7" style="83" customWidth="1"/>
    <col min="73" max="73" width="15.7109375" style="83" customWidth="1"/>
    <col min="74" max="75" width="33.5703125" style="83" customWidth="1"/>
    <col min="76" max="16384" width="9.140625" style="6"/>
  </cols>
  <sheetData>
    <row r="1" spans="1:75" s="2" customFormat="1" ht="17.100000000000001" customHeight="1" x14ac:dyDescent="0.2">
      <c r="A1" s="93" t="s">
        <v>31</v>
      </c>
      <c r="F1" s="15"/>
      <c r="I1" s="15"/>
      <c r="K1" s="22"/>
      <c r="L1" s="15"/>
      <c r="O1" s="15"/>
      <c r="Z1" s="34"/>
      <c r="AA1" s="34"/>
      <c r="AB1" s="34"/>
      <c r="AC1" s="15"/>
      <c r="AF1" s="19"/>
      <c r="AG1" s="19"/>
      <c r="AH1" s="22"/>
      <c r="AI1" s="22"/>
      <c r="AJ1" s="22"/>
      <c r="AK1" s="22"/>
      <c r="AL1" s="22"/>
      <c r="AM1" s="22"/>
      <c r="AN1" s="22"/>
      <c r="AO1" s="22"/>
      <c r="AP1" s="22"/>
      <c r="AQ1" s="22"/>
      <c r="AR1" s="22"/>
      <c r="AS1" s="22"/>
      <c r="AT1" s="22"/>
      <c r="AU1" s="22"/>
      <c r="AV1" s="22"/>
      <c r="AW1" s="22"/>
      <c r="AX1" s="22"/>
      <c r="AY1" s="22"/>
      <c r="AZ1" s="25"/>
      <c r="BA1" s="25"/>
      <c r="BB1" s="25"/>
      <c r="BE1" s="28"/>
      <c r="BF1" s="28"/>
      <c r="BG1" s="28"/>
      <c r="BH1" s="28"/>
      <c r="BI1" s="37"/>
      <c r="BJ1" s="37"/>
      <c r="BK1" s="37"/>
      <c r="BL1" s="53"/>
      <c r="BM1" s="53"/>
      <c r="BN1" s="53"/>
      <c r="BO1" s="53"/>
      <c r="BP1" s="53"/>
      <c r="BQ1" s="53"/>
      <c r="BR1" s="53"/>
      <c r="BS1" s="73"/>
    </row>
    <row r="2" spans="1:75" s="2" customFormat="1" ht="17.100000000000001" customHeight="1" x14ac:dyDescent="0.2">
      <c r="A2" s="93"/>
      <c r="B2" s="93" t="s">
        <v>10</v>
      </c>
      <c r="C2" s="93"/>
      <c r="D2" s="93"/>
      <c r="E2" s="93"/>
      <c r="F2" s="15"/>
      <c r="G2" s="93" t="s">
        <v>33</v>
      </c>
      <c r="H2" s="93"/>
      <c r="I2" s="15"/>
      <c r="J2" s="93" t="s">
        <v>127</v>
      </c>
      <c r="K2" s="93"/>
      <c r="L2" s="15"/>
      <c r="M2" s="93" t="s">
        <v>172</v>
      </c>
      <c r="N2" s="93"/>
      <c r="O2" s="15"/>
      <c r="P2" s="93" t="s">
        <v>186</v>
      </c>
      <c r="Q2" s="93"/>
      <c r="R2" s="93"/>
      <c r="S2" s="93"/>
      <c r="T2" s="93"/>
      <c r="U2" s="93"/>
      <c r="V2" s="93"/>
      <c r="W2" s="93"/>
      <c r="X2" s="93"/>
      <c r="Y2" s="93"/>
      <c r="Z2" s="34"/>
      <c r="AA2" s="93" t="s">
        <v>292</v>
      </c>
      <c r="AB2" s="93"/>
      <c r="AC2" s="15"/>
      <c r="AD2" s="93" t="s">
        <v>323</v>
      </c>
      <c r="AE2" s="93"/>
      <c r="AF2" s="19"/>
      <c r="AG2" s="19" t="s">
        <v>323</v>
      </c>
      <c r="AH2" s="22"/>
      <c r="AI2" s="93" t="s">
        <v>373</v>
      </c>
      <c r="AJ2" s="93"/>
      <c r="AK2" s="22"/>
      <c r="AL2" s="93" t="s">
        <v>410</v>
      </c>
      <c r="AM2" s="93"/>
      <c r="AN2" s="22"/>
      <c r="AO2" s="93" t="s">
        <v>33</v>
      </c>
      <c r="AP2" s="93"/>
      <c r="AQ2" s="22"/>
      <c r="AR2" s="93" t="s">
        <v>413</v>
      </c>
      <c r="AS2" s="93"/>
      <c r="AT2" s="22"/>
      <c r="AU2" s="93" t="s">
        <v>428</v>
      </c>
      <c r="AV2" s="93"/>
      <c r="AW2" s="22"/>
      <c r="AX2" s="93" t="s">
        <v>493</v>
      </c>
      <c r="AY2" s="93"/>
      <c r="AZ2" s="25"/>
      <c r="BA2" s="93" t="s">
        <v>530</v>
      </c>
      <c r="BB2" s="93"/>
      <c r="BC2" s="93"/>
      <c r="BD2" s="93"/>
      <c r="BE2" s="28"/>
      <c r="BF2" s="93" t="s">
        <v>687</v>
      </c>
      <c r="BG2" s="93"/>
      <c r="BH2" s="93"/>
      <c r="BI2" s="37"/>
      <c r="BJ2" s="93" t="s">
        <v>817</v>
      </c>
      <c r="BK2" s="93"/>
      <c r="BL2" s="53"/>
      <c r="BM2" s="53" t="s">
        <v>99</v>
      </c>
      <c r="BN2" s="53"/>
      <c r="BO2" s="93" t="s">
        <v>891</v>
      </c>
      <c r="BP2" s="93"/>
      <c r="BQ2" s="53"/>
      <c r="BR2" s="53" t="s">
        <v>892</v>
      </c>
      <c r="BS2" s="73"/>
      <c r="BT2" s="94" t="s">
        <v>941</v>
      </c>
      <c r="BU2" s="94"/>
      <c r="BV2" s="94"/>
      <c r="BW2" s="94"/>
    </row>
    <row r="3" spans="1:75" s="2" customFormat="1" ht="17.100000000000001" customHeight="1" x14ac:dyDescent="0.2">
      <c r="A3" s="93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334</v>
      </c>
      <c r="K3" s="22" t="s">
        <v>335</v>
      </c>
      <c r="L3" s="15"/>
      <c r="M3" s="15" t="s">
        <v>92</v>
      </c>
      <c r="N3" s="15" t="s">
        <v>93</v>
      </c>
      <c r="O3" s="15"/>
      <c r="P3" s="2" t="s">
        <v>187</v>
      </c>
      <c r="Q3" s="2" t="s">
        <v>93</v>
      </c>
      <c r="R3" s="2" t="s">
        <v>188</v>
      </c>
      <c r="S3" s="22" t="s">
        <v>93</v>
      </c>
      <c r="T3" s="2" t="s">
        <v>189</v>
      </c>
      <c r="U3" s="22" t="s">
        <v>93</v>
      </c>
      <c r="V3" s="2" t="s">
        <v>190</v>
      </c>
      <c r="W3" s="22" t="s">
        <v>93</v>
      </c>
      <c r="X3" s="2" t="s">
        <v>191</v>
      </c>
      <c r="Y3" s="22" t="s">
        <v>93</v>
      </c>
      <c r="Z3" s="34"/>
      <c r="AA3" s="34" t="s">
        <v>92</v>
      </c>
      <c r="AB3" s="34" t="s">
        <v>93</v>
      </c>
      <c r="AC3" s="15"/>
      <c r="AD3" s="15" t="s">
        <v>92</v>
      </c>
      <c r="AE3" s="2" t="s">
        <v>758</v>
      </c>
      <c r="AF3" s="19"/>
      <c r="AG3" s="19" t="s">
        <v>93</v>
      </c>
      <c r="AH3" s="22"/>
      <c r="AI3" s="22" t="s">
        <v>92</v>
      </c>
      <c r="AJ3" s="22" t="s">
        <v>93</v>
      </c>
      <c r="AK3" s="22"/>
      <c r="AL3" s="22" t="s">
        <v>92</v>
      </c>
      <c r="AM3" s="22" t="s">
        <v>93</v>
      </c>
      <c r="AN3" s="22"/>
      <c r="AO3" s="22" t="s">
        <v>92</v>
      </c>
      <c r="AP3" s="22" t="s">
        <v>93</v>
      </c>
      <c r="AQ3" s="22"/>
      <c r="AR3" s="22" t="s">
        <v>92</v>
      </c>
      <c r="AS3" s="22" t="s">
        <v>93</v>
      </c>
      <c r="AT3" s="22"/>
      <c r="AU3" s="22" t="s">
        <v>92</v>
      </c>
      <c r="AV3" s="22" t="s">
        <v>93</v>
      </c>
      <c r="AW3" s="22"/>
      <c r="AX3" s="22" t="s">
        <v>92</v>
      </c>
      <c r="AY3" s="22" t="s">
        <v>93</v>
      </c>
      <c r="AZ3" s="25"/>
      <c r="BA3" s="25" t="s">
        <v>528</v>
      </c>
      <c r="BB3" s="25" t="s">
        <v>529</v>
      </c>
      <c r="BC3" s="2" t="s">
        <v>526</v>
      </c>
      <c r="BD3" s="2" t="s">
        <v>527</v>
      </c>
      <c r="BE3" s="28"/>
      <c r="BF3" s="28" t="s">
        <v>92</v>
      </c>
      <c r="BG3" s="28" t="s">
        <v>93</v>
      </c>
      <c r="BH3" s="28" t="s">
        <v>0</v>
      </c>
      <c r="BI3" s="37"/>
      <c r="BJ3" s="37" t="s">
        <v>815</v>
      </c>
      <c r="BK3" s="37" t="s">
        <v>0</v>
      </c>
      <c r="BL3" s="53"/>
      <c r="BM3" s="53" t="s">
        <v>815</v>
      </c>
      <c r="BN3" s="53"/>
      <c r="BO3" s="53" t="s">
        <v>815</v>
      </c>
      <c r="BP3" s="53" t="s">
        <v>93</v>
      </c>
      <c r="BQ3" s="53"/>
      <c r="BR3" s="53" t="s">
        <v>893</v>
      </c>
      <c r="BS3" s="73"/>
      <c r="BT3" s="82" t="s">
        <v>942</v>
      </c>
      <c r="BU3" s="82" t="s">
        <v>943</v>
      </c>
      <c r="BV3" s="82" t="s">
        <v>944</v>
      </c>
      <c r="BW3" s="82" t="s">
        <v>945</v>
      </c>
    </row>
    <row r="4" spans="1:75" x14ac:dyDescent="0.2">
      <c r="A4" s="77" t="s">
        <v>896</v>
      </c>
      <c r="B4" s="10" t="s">
        <v>4</v>
      </c>
      <c r="C4" s="10" t="s">
        <v>11</v>
      </c>
      <c r="D4" s="10" t="s">
        <v>6</v>
      </c>
      <c r="E4" s="10" t="s">
        <v>8</v>
      </c>
      <c r="G4" s="10" t="s">
        <v>34</v>
      </c>
      <c r="H4" s="20" t="s">
        <v>35</v>
      </c>
      <c r="J4" s="10" t="s">
        <v>101</v>
      </c>
      <c r="K4" s="10" t="s">
        <v>336</v>
      </c>
      <c r="M4" s="10">
        <v>62</v>
      </c>
      <c r="N4" s="20" t="s">
        <v>173</v>
      </c>
      <c r="P4" s="10" t="s">
        <v>192</v>
      </c>
      <c r="Q4" s="20" t="s">
        <v>193</v>
      </c>
      <c r="R4" s="10" t="s">
        <v>194</v>
      </c>
      <c r="S4" s="20" t="s">
        <v>195</v>
      </c>
      <c r="T4" s="10" t="s">
        <v>194</v>
      </c>
      <c r="U4" s="20" t="s">
        <v>196</v>
      </c>
      <c r="V4" s="10" t="s">
        <v>197</v>
      </c>
      <c r="W4" s="20" t="s">
        <v>198</v>
      </c>
      <c r="X4" s="10" t="s">
        <v>194</v>
      </c>
      <c r="Y4" s="20" t="s">
        <v>199</v>
      </c>
      <c r="AA4" s="10">
        <v>99</v>
      </c>
      <c r="AB4" s="20" t="s">
        <v>293</v>
      </c>
      <c r="AD4" s="10"/>
      <c r="AE4" s="20"/>
      <c r="AG4" s="20" t="s">
        <v>324</v>
      </c>
      <c r="AI4" s="10">
        <v>1</v>
      </c>
      <c r="AJ4" s="20" t="s">
        <v>374</v>
      </c>
      <c r="AL4" s="17" t="s">
        <v>397</v>
      </c>
      <c r="AM4" s="23" t="s">
        <v>398</v>
      </c>
      <c r="AO4" s="17" t="s">
        <v>34</v>
      </c>
      <c r="AP4" s="23" t="s">
        <v>35</v>
      </c>
      <c r="AR4" s="17" t="s">
        <v>414</v>
      </c>
      <c r="AS4" s="23" t="s">
        <v>415</v>
      </c>
      <c r="AU4" s="17" t="s">
        <v>429</v>
      </c>
      <c r="AV4" s="23" t="s">
        <v>458</v>
      </c>
      <c r="AX4" s="17" t="s">
        <v>496</v>
      </c>
      <c r="AY4" s="23" t="s">
        <v>497</v>
      </c>
      <c r="BA4" s="17" t="s">
        <v>531</v>
      </c>
      <c r="BB4" s="17" t="s">
        <v>14</v>
      </c>
      <c r="BC4" s="23" t="s">
        <v>532</v>
      </c>
      <c r="BD4" s="23" t="s">
        <v>532</v>
      </c>
      <c r="BF4" s="17" t="s">
        <v>657</v>
      </c>
      <c r="BG4" s="17" t="s">
        <v>658</v>
      </c>
      <c r="BH4" s="17" t="s">
        <v>4</v>
      </c>
      <c r="BJ4" s="17" t="s">
        <v>814</v>
      </c>
      <c r="BK4" s="17" t="s">
        <v>4</v>
      </c>
      <c r="BM4" s="17" t="s">
        <v>826</v>
      </c>
      <c r="BO4" s="17" t="s">
        <v>831</v>
      </c>
      <c r="BP4" s="17" t="s">
        <v>832</v>
      </c>
      <c r="BR4" s="17" t="s">
        <v>299</v>
      </c>
      <c r="BT4" s="17" t="s">
        <v>4</v>
      </c>
      <c r="BU4" s="17" t="s">
        <v>661</v>
      </c>
      <c r="BV4" s="17" t="s">
        <v>946</v>
      </c>
      <c r="BW4" s="17" t="s">
        <v>661</v>
      </c>
    </row>
    <row r="5" spans="1:75" x14ac:dyDescent="0.2">
      <c r="B5" s="10" t="s">
        <v>9</v>
      </c>
      <c r="C5" s="10" t="s">
        <v>12</v>
      </c>
      <c r="D5" s="10" t="s">
        <v>24</v>
      </c>
      <c r="E5" s="10" t="s">
        <v>27</v>
      </c>
      <c r="G5" s="10" t="s">
        <v>36</v>
      </c>
      <c r="H5" s="20" t="s">
        <v>37</v>
      </c>
      <c r="J5" s="10" t="s">
        <v>102</v>
      </c>
      <c r="K5" s="10" t="s">
        <v>337</v>
      </c>
      <c r="M5" s="10">
        <v>63</v>
      </c>
      <c r="N5" s="20" t="s">
        <v>174</v>
      </c>
      <c r="P5" s="10" t="s">
        <v>200</v>
      </c>
      <c r="Q5" s="20" t="s">
        <v>201</v>
      </c>
      <c r="R5" s="10" t="s">
        <v>202</v>
      </c>
      <c r="S5" s="20" t="s">
        <v>203</v>
      </c>
      <c r="T5" s="10" t="s">
        <v>202</v>
      </c>
      <c r="U5" s="20" t="s">
        <v>204</v>
      </c>
      <c r="V5" s="10" t="s">
        <v>205</v>
      </c>
      <c r="W5" s="20" t="s">
        <v>206</v>
      </c>
      <c r="X5" s="10" t="s">
        <v>202</v>
      </c>
      <c r="Y5" s="20" t="s">
        <v>207</v>
      </c>
      <c r="AA5" s="10"/>
      <c r="AB5" s="20" t="s">
        <v>906</v>
      </c>
      <c r="AD5" s="10" t="s">
        <v>324</v>
      </c>
      <c r="AE5" s="20" t="s">
        <v>759</v>
      </c>
      <c r="AG5" s="20" t="s">
        <v>325</v>
      </c>
      <c r="AI5" s="10">
        <v>2</v>
      </c>
      <c r="AJ5" s="20" t="s">
        <v>375</v>
      </c>
      <c r="AL5" s="17" t="s">
        <v>399</v>
      </c>
      <c r="AM5" s="23" t="s">
        <v>400</v>
      </c>
      <c r="AO5" s="17" t="s">
        <v>36</v>
      </c>
      <c r="AP5" s="23" t="s">
        <v>37</v>
      </c>
      <c r="AR5" s="17" t="s">
        <v>416</v>
      </c>
      <c r="AS5" s="23" t="s">
        <v>417</v>
      </c>
      <c r="AU5" s="17" t="s">
        <v>430</v>
      </c>
      <c r="AV5" s="23" t="s">
        <v>459</v>
      </c>
      <c r="AX5" s="17" t="s">
        <v>498</v>
      </c>
      <c r="AY5" s="23" t="s">
        <v>499</v>
      </c>
      <c r="BA5" s="17" t="s">
        <v>533</v>
      </c>
      <c r="BB5" s="17" t="s">
        <v>563</v>
      </c>
      <c r="BC5" s="23" t="s">
        <v>534</v>
      </c>
      <c r="BD5" s="23" t="s">
        <v>535</v>
      </c>
      <c r="BF5" s="17" t="s">
        <v>659</v>
      </c>
      <c r="BG5" s="17" t="s">
        <v>660</v>
      </c>
      <c r="BH5" s="17" t="s">
        <v>4</v>
      </c>
      <c r="BJ5" s="17" t="s">
        <v>816</v>
      </c>
      <c r="BK5" s="17" t="s">
        <v>9</v>
      </c>
      <c r="BM5" s="17" t="s">
        <v>808</v>
      </c>
      <c r="BO5" s="17" t="s">
        <v>833</v>
      </c>
      <c r="BP5" s="17" t="s">
        <v>834</v>
      </c>
      <c r="BR5" s="17" t="s">
        <v>822</v>
      </c>
      <c r="BT5" s="17" t="s">
        <v>4</v>
      </c>
      <c r="BU5" s="17" t="s">
        <v>663</v>
      </c>
      <c r="BV5" s="17" t="s">
        <v>947</v>
      </c>
      <c r="BW5" s="17" t="s">
        <v>663</v>
      </c>
    </row>
    <row r="6" spans="1:75" x14ac:dyDescent="0.2">
      <c r="A6" s="53" t="s">
        <v>894</v>
      </c>
      <c r="C6" s="10" t="s">
        <v>13</v>
      </c>
      <c r="D6" s="10" t="s">
        <v>7</v>
      </c>
      <c r="G6" s="10" t="s">
        <v>38</v>
      </c>
      <c r="H6" s="20" t="s">
        <v>39</v>
      </c>
      <c r="J6" s="10" t="s">
        <v>103</v>
      </c>
      <c r="K6" s="10" t="s">
        <v>338</v>
      </c>
      <c r="M6" s="10">
        <v>64</v>
      </c>
      <c r="N6" s="20" t="s">
        <v>175</v>
      </c>
      <c r="P6" s="10" t="s">
        <v>208</v>
      </c>
      <c r="Q6" s="20" t="s">
        <v>209</v>
      </c>
      <c r="R6" s="10" t="s">
        <v>210</v>
      </c>
      <c r="S6" s="20" t="s">
        <v>211</v>
      </c>
      <c r="T6" s="10" t="s">
        <v>210</v>
      </c>
      <c r="U6" s="20" t="s">
        <v>178</v>
      </c>
      <c r="V6" s="10" t="s">
        <v>212</v>
      </c>
      <c r="W6" s="20" t="s">
        <v>213</v>
      </c>
      <c r="X6" s="10" t="s">
        <v>210</v>
      </c>
      <c r="Y6" s="20" t="s">
        <v>214</v>
      </c>
      <c r="AD6" s="10" t="s">
        <v>325</v>
      </c>
      <c r="AE6" s="20" t="s">
        <v>759</v>
      </c>
      <c r="AG6" s="20"/>
      <c r="AI6" s="10" t="s">
        <v>376</v>
      </c>
      <c r="AJ6" s="20" t="s">
        <v>377</v>
      </c>
      <c r="AL6" s="17" t="s">
        <v>401</v>
      </c>
      <c r="AM6" s="23" t="s">
        <v>402</v>
      </c>
      <c r="AO6" s="17" t="s">
        <v>38</v>
      </c>
      <c r="AP6" s="23" t="s">
        <v>39</v>
      </c>
      <c r="AR6" s="17" t="s">
        <v>8</v>
      </c>
      <c r="AS6" s="23" t="s">
        <v>418</v>
      </c>
      <c r="AU6" s="17" t="s">
        <v>431</v>
      </c>
      <c r="AV6" s="23" t="s">
        <v>460</v>
      </c>
      <c r="AX6" s="17" t="s">
        <v>278</v>
      </c>
      <c r="AY6" s="23" t="s">
        <v>502</v>
      </c>
      <c r="BA6" s="17" t="s">
        <v>536</v>
      </c>
      <c r="BB6" s="17" t="s">
        <v>564</v>
      </c>
      <c r="BC6" s="23"/>
      <c r="BD6" s="23"/>
      <c r="BF6" s="17" t="s">
        <v>661</v>
      </c>
      <c r="BG6" s="17" t="s">
        <v>662</v>
      </c>
      <c r="BH6" s="17" t="s">
        <v>4</v>
      </c>
      <c r="BJ6" s="17" t="s">
        <v>818</v>
      </c>
      <c r="BK6" s="17" t="s">
        <v>4</v>
      </c>
      <c r="BM6" s="17" t="s">
        <v>827</v>
      </c>
      <c r="BO6" s="17" t="s">
        <v>835</v>
      </c>
      <c r="BP6" s="17" t="s">
        <v>836</v>
      </c>
      <c r="BR6" s="17" t="s">
        <v>100</v>
      </c>
      <c r="BT6" s="17" t="s">
        <v>4</v>
      </c>
      <c r="BU6" s="17" t="s">
        <v>665</v>
      </c>
      <c r="BV6" s="17" t="s">
        <v>948</v>
      </c>
      <c r="BW6" s="17" t="s">
        <v>665</v>
      </c>
    </row>
    <row r="7" spans="1:75" x14ac:dyDescent="0.2">
      <c r="A7" s="78" t="s">
        <v>1048</v>
      </c>
      <c r="C7" s="10" t="s">
        <v>14</v>
      </c>
      <c r="D7" s="10" t="s">
        <v>25</v>
      </c>
      <c r="G7" s="10" t="s">
        <v>40</v>
      </c>
      <c r="H7" s="20" t="s">
        <v>41</v>
      </c>
      <c r="J7" s="10" t="s">
        <v>104</v>
      </c>
      <c r="K7" s="10" t="s">
        <v>339</v>
      </c>
      <c r="M7" s="10">
        <v>65</v>
      </c>
      <c r="N7" s="20" t="s">
        <v>176</v>
      </c>
      <c r="P7" s="10" t="s">
        <v>215</v>
      </c>
      <c r="Q7" s="20" t="s">
        <v>216</v>
      </c>
      <c r="T7" s="10" t="s">
        <v>217</v>
      </c>
      <c r="U7" s="20" t="s">
        <v>180</v>
      </c>
      <c r="V7" s="10" t="s">
        <v>218</v>
      </c>
      <c r="W7" s="20" t="s">
        <v>219</v>
      </c>
      <c r="X7" s="10" t="s">
        <v>217</v>
      </c>
      <c r="Y7" s="20" t="s">
        <v>220</v>
      </c>
      <c r="AD7" s="10" t="s">
        <v>760</v>
      </c>
      <c r="AE7" s="20" t="s">
        <v>761</v>
      </c>
      <c r="AG7" s="20"/>
      <c r="AI7" s="10" t="s">
        <v>378</v>
      </c>
      <c r="AJ7" s="20"/>
      <c r="AL7" s="17" t="s">
        <v>403</v>
      </c>
      <c r="AM7" s="23"/>
      <c r="AO7" s="17" t="s">
        <v>40</v>
      </c>
      <c r="AP7" s="23" t="s">
        <v>41</v>
      </c>
      <c r="AR7" s="17" t="s">
        <v>27</v>
      </c>
      <c r="AS7" s="23" t="s">
        <v>895</v>
      </c>
      <c r="AU7" s="17" t="s">
        <v>432</v>
      </c>
      <c r="AV7" s="23" t="s">
        <v>461</v>
      </c>
      <c r="AX7" s="17" t="s">
        <v>90</v>
      </c>
      <c r="AY7" s="23" t="s">
        <v>503</v>
      </c>
      <c r="BA7" s="17" t="s">
        <v>537</v>
      </c>
      <c r="BB7" s="17" t="s">
        <v>565</v>
      </c>
      <c r="BC7" s="23"/>
      <c r="BD7" s="23"/>
      <c r="BF7" s="17" t="s">
        <v>663</v>
      </c>
      <c r="BG7" s="17" t="s">
        <v>664</v>
      </c>
      <c r="BH7" s="17" t="s">
        <v>4</v>
      </c>
      <c r="BJ7" s="17" t="s">
        <v>819</v>
      </c>
      <c r="BK7" s="17" t="s">
        <v>9</v>
      </c>
      <c r="BM7" s="17" t="s">
        <v>828</v>
      </c>
      <c r="BO7" s="17" t="s">
        <v>837</v>
      </c>
      <c r="BP7" s="17" t="s">
        <v>838</v>
      </c>
      <c r="BR7" s="17"/>
      <c r="BT7" s="17" t="s">
        <v>4</v>
      </c>
      <c r="BU7" s="17" t="s">
        <v>667</v>
      </c>
      <c r="BV7" s="17" t="s">
        <v>949</v>
      </c>
      <c r="BW7" s="17" t="s">
        <v>667</v>
      </c>
    </row>
    <row r="8" spans="1:75" x14ac:dyDescent="0.2">
      <c r="A8"/>
      <c r="C8" s="10" t="s">
        <v>15</v>
      </c>
      <c r="D8" s="10" t="s">
        <v>26</v>
      </c>
      <c r="G8" s="10" t="s">
        <v>42</v>
      </c>
      <c r="H8" s="20" t="s">
        <v>43</v>
      </c>
      <c r="J8" s="10" t="s">
        <v>105</v>
      </c>
      <c r="K8" s="10" t="s">
        <v>340</v>
      </c>
      <c r="M8" s="10">
        <v>66</v>
      </c>
      <c r="N8" s="20" t="s">
        <v>177</v>
      </c>
      <c r="P8" s="10" t="s">
        <v>221</v>
      </c>
      <c r="Q8" s="20" t="s">
        <v>222</v>
      </c>
      <c r="T8" s="10" t="s">
        <v>223</v>
      </c>
      <c r="U8" s="20" t="s">
        <v>224</v>
      </c>
      <c r="V8" s="10" t="s">
        <v>225</v>
      </c>
      <c r="W8" s="20" t="s">
        <v>226</v>
      </c>
      <c r="X8" s="10" t="s">
        <v>223</v>
      </c>
      <c r="Y8" s="20" t="s">
        <v>227</v>
      </c>
      <c r="AD8" s="10" t="s">
        <v>762</v>
      </c>
      <c r="AE8" s="20" t="s">
        <v>759</v>
      </c>
      <c r="AG8" s="20"/>
      <c r="AI8" s="10" t="s">
        <v>379</v>
      </c>
      <c r="AJ8" s="20" t="s">
        <v>380</v>
      </c>
      <c r="AL8" s="17" t="s">
        <v>404</v>
      </c>
      <c r="AM8" s="23" t="s">
        <v>405</v>
      </c>
      <c r="AO8" s="17" t="s">
        <v>42</v>
      </c>
      <c r="AP8" s="23" t="s">
        <v>43</v>
      </c>
      <c r="AR8" s="17" t="s">
        <v>420</v>
      </c>
      <c r="AS8" s="23" t="s">
        <v>419</v>
      </c>
      <c r="AU8" s="17" t="s">
        <v>433</v>
      </c>
      <c r="AV8" s="23" t="s">
        <v>462</v>
      </c>
      <c r="AX8" s="17"/>
      <c r="AY8" s="23" t="s">
        <v>504</v>
      </c>
      <c r="BA8" s="17" t="s">
        <v>538</v>
      </c>
      <c r="BB8" s="17" t="s">
        <v>566</v>
      </c>
      <c r="BC8" s="23"/>
      <c r="BD8" s="23"/>
      <c r="BF8" s="17" t="s">
        <v>665</v>
      </c>
      <c r="BG8" s="17" t="s">
        <v>666</v>
      </c>
      <c r="BH8" s="17" t="s">
        <v>4</v>
      </c>
      <c r="BJ8"/>
      <c r="BK8"/>
      <c r="BM8" s="17" t="s">
        <v>829</v>
      </c>
      <c r="BO8" s="17" t="s">
        <v>839</v>
      </c>
      <c r="BP8" s="17" t="s">
        <v>840</v>
      </c>
      <c r="BR8" s="17"/>
      <c r="BT8" s="17" t="s">
        <v>4</v>
      </c>
      <c r="BU8" s="17" t="s">
        <v>669</v>
      </c>
      <c r="BV8" s="17" t="s">
        <v>950</v>
      </c>
      <c r="BW8" s="17" t="s">
        <v>669</v>
      </c>
    </row>
    <row r="9" spans="1:75" x14ac:dyDescent="0.2">
      <c r="A9" s="55" t="s">
        <v>907</v>
      </c>
      <c r="C9" s="10" t="s">
        <v>16</v>
      </c>
      <c r="G9" s="10" t="s">
        <v>44</v>
      </c>
      <c r="H9" s="20" t="s">
        <v>45</v>
      </c>
      <c r="J9" s="10" t="s">
        <v>106</v>
      </c>
      <c r="K9" s="10" t="s">
        <v>341</v>
      </c>
      <c r="M9" s="10">
        <v>67</v>
      </c>
      <c r="N9" s="20" t="s">
        <v>178</v>
      </c>
      <c r="P9" s="10" t="s">
        <v>228</v>
      </c>
      <c r="Q9" s="20" t="s">
        <v>229</v>
      </c>
      <c r="V9" s="10" t="s">
        <v>230</v>
      </c>
      <c r="W9" s="20" t="s">
        <v>231</v>
      </c>
      <c r="X9" s="10" t="s">
        <v>6</v>
      </c>
      <c r="Y9" s="20" t="s">
        <v>232</v>
      </c>
      <c r="AD9" s="10" t="s">
        <v>763</v>
      </c>
      <c r="AE9" s="20" t="s">
        <v>759</v>
      </c>
      <c r="AI9" s="10" t="s">
        <v>381</v>
      </c>
      <c r="AJ9" s="20" t="s">
        <v>382</v>
      </c>
      <c r="AL9" s="17" t="s">
        <v>406</v>
      </c>
      <c r="AM9" s="23" t="s">
        <v>407</v>
      </c>
      <c r="AO9" s="17" t="s">
        <v>44</v>
      </c>
      <c r="AP9" s="23" t="s">
        <v>45</v>
      </c>
      <c r="AR9" s="17" t="s">
        <v>421</v>
      </c>
      <c r="AS9" s="23" t="s">
        <v>422</v>
      </c>
      <c r="AU9" s="17" t="s">
        <v>434</v>
      </c>
      <c r="AV9" s="23" t="s">
        <v>463</v>
      </c>
      <c r="BA9" s="17" t="s">
        <v>539</v>
      </c>
      <c r="BB9" s="17" t="s">
        <v>567</v>
      </c>
      <c r="BC9" s="23"/>
      <c r="BD9" s="23"/>
      <c r="BF9" s="17" t="s">
        <v>667</v>
      </c>
      <c r="BG9" s="17" t="s">
        <v>668</v>
      </c>
      <c r="BH9" s="17" t="s">
        <v>4</v>
      </c>
      <c r="BJ9"/>
      <c r="BK9"/>
      <c r="BM9" s="17" t="s">
        <v>830</v>
      </c>
      <c r="BO9" s="17" t="s">
        <v>841</v>
      </c>
      <c r="BP9" s="17" t="s">
        <v>842</v>
      </c>
      <c r="BR9" s="17"/>
      <c r="BT9" s="17" t="s">
        <v>4</v>
      </c>
      <c r="BU9" s="17" t="s">
        <v>671</v>
      </c>
      <c r="BV9" s="17" t="s">
        <v>951</v>
      </c>
      <c r="BW9" s="17" t="s">
        <v>671</v>
      </c>
    </row>
    <row r="10" spans="1:75" x14ac:dyDescent="0.2">
      <c r="A10" s="77" t="s">
        <v>1045</v>
      </c>
      <c r="C10" s="10" t="s">
        <v>17</v>
      </c>
      <c r="G10" s="10" t="s">
        <v>46</v>
      </c>
      <c r="H10" s="20" t="s">
        <v>47</v>
      </c>
      <c r="J10" s="10" t="s">
        <v>107</v>
      </c>
      <c r="K10" s="10" t="s">
        <v>342</v>
      </c>
      <c r="M10" s="10">
        <v>68</v>
      </c>
      <c r="N10" s="20" t="s">
        <v>179</v>
      </c>
      <c r="P10" s="10" t="s">
        <v>233</v>
      </c>
      <c r="Q10" s="20" t="s">
        <v>234</v>
      </c>
      <c r="X10" s="10" t="s">
        <v>24</v>
      </c>
      <c r="Y10" s="20" t="s">
        <v>235</v>
      </c>
      <c r="AD10" s="10" t="s">
        <v>764</v>
      </c>
      <c r="AE10" s="20" t="s">
        <v>759</v>
      </c>
      <c r="AI10" s="10" t="s">
        <v>372</v>
      </c>
      <c r="AJ10" s="20" t="s">
        <v>382</v>
      </c>
      <c r="AL10" s="17" t="s">
        <v>408</v>
      </c>
      <c r="AM10" s="23" t="s">
        <v>409</v>
      </c>
      <c r="AO10" s="17" t="s">
        <v>46</v>
      </c>
      <c r="AP10" s="23" t="s">
        <v>47</v>
      </c>
      <c r="AR10" s="17" t="s">
        <v>423</v>
      </c>
      <c r="AS10" s="23" t="s">
        <v>424</v>
      </c>
      <c r="AU10" s="17" t="s">
        <v>38</v>
      </c>
      <c r="AV10" s="23" t="s">
        <v>464</v>
      </c>
      <c r="BA10" s="17" t="s">
        <v>540</v>
      </c>
      <c r="BB10" s="17" t="s">
        <v>568</v>
      </c>
      <c r="BC10" s="23"/>
      <c r="BD10" s="23"/>
      <c r="BF10" s="17" t="s">
        <v>669</v>
      </c>
      <c r="BG10" s="17" t="s">
        <v>670</v>
      </c>
      <c r="BH10" s="17" t="s">
        <v>4</v>
      </c>
      <c r="BJ10"/>
      <c r="BK10"/>
      <c r="BM10"/>
      <c r="BO10" s="17" t="s">
        <v>843</v>
      </c>
      <c r="BP10" s="17" t="s">
        <v>844</v>
      </c>
      <c r="BR10"/>
      <c r="BT10" s="17" t="s">
        <v>4</v>
      </c>
      <c r="BU10" s="17" t="s">
        <v>673</v>
      </c>
      <c r="BV10" s="17" t="s">
        <v>952</v>
      </c>
      <c r="BW10" s="17" t="s">
        <v>673</v>
      </c>
    </row>
    <row r="11" spans="1:75" x14ac:dyDescent="0.2">
      <c r="C11" s="10" t="s">
        <v>18</v>
      </c>
      <c r="G11" s="10" t="s">
        <v>48</v>
      </c>
      <c r="H11" s="20" t="s">
        <v>49</v>
      </c>
      <c r="J11" s="10" t="s">
        <v>108</v>
      </c>
      <c r="K11" s="10" t="s">
        <v>343</v>
      </c>
      <c r="M11" s="10">
        <v>69</v>
      </c>
      <c r="N11" s="20" t="s">
        <v>180</v>
      </c>
      <c r="P11" s="10" t="s">
        <v>236</v>
      </c>
      <c r="Q11" s="20" t="s">
        <v>180</v>
      </c>
      <c r="X11" s="10" t="s">
        <v>7</v>
      </c>
      <c r="Y11" s="20" t="s">
        <v>237</v>
      </c>
      <c r="AI11" s="10" t="s">
        <v>383</v>
      </c>
      <c r="AJ11" s="20" t="s">
        <v>382</v>
      </c>
      <c r="AO11" s="17" t="s">
        <v>48</v>
      </c>
      <c r="AP11" s="23" t="s">
        <v>49</v>
      </c>
      <c r="AR11" s="17" t="s">
        <v>425</v>
      </c>
      <c r="AS11" s="23" t="s">
        <v>426</v>
      </c>
      <c r="AU11" s="17" t="s">
        <v>40</v>
      </c>
      <c r="AV11" s="23" t="s">
        <v>465</v>
      </c>
      <c r="BA11" s="17" t="s">
        <v>541</v>
      </c>
      <c r="BB11" s="17" t="s">
        <v>569</v>
      </c>
      <c r="BC11" s="23"/>
      <c r="BD11" s="23"/>
      <c r="BF11" s="17" t="s">
        <v>671</v>
      </c>
      <c r="BG11" s="17" t="s">
        <v>672</v>
      </c>
      <c r="BH11" s="17" t="s">
        <v>4</v>
      </c>
      <c r="BJ11"/>
      <c r="BK11"/>
      <c r="BM11"/>
      <c r="BO11" s="17" t="s">
        <v>845</v>
      </c>
      <c r="BP11" s="17" t="s">
        <v>846</v>
      </c>
      <c r="BR11"/>
      <c r="BT11" s="17" t="s">
        <v>4</v>
      </c>
      <c r="BU11" s="17" t="s">
        <v>675</v>
      </c>
      <c r="BV11" s="17" t="s">
        <v>953</v>
      </c>
      <c r="BW11" s="17" t="s">
        <v>675</v>
      </c>
    </row>
    <row r="12" spans="1:75" x14ac:dyDescent="0.2">
      <c r="C12" s="10" t="s">
        <v>19</v>
      </c>
      <c r="G12" s="10" t="s">
        <v>50</v>
      </c>
      <c r="H12" s="20" t="s">
        <v>51</v>
      </c>
      <c r="J12" s="10" t="s">
        <v>109</v>
      </c>
      <c r="K12" s="10" t="s">
        <v>344</v>
      </c>
      <c r="M12" s="10">
        <v>70</v>
      </c>
      <c r="N12" s="20" t="s">
        <v>181</v>
      </c>
      <c r="X12" s="10" t="s">
        <v>25</v>
      </c>
      <c r="Y12" s="20" t="s">
        <v>238</v>
      </c>
      <c r="AO12" s="17" t="s">
        <v>50</v>
      </c>
      <c r="AP12" s="23" t="s">
        <v>51</v>
      </c>
      <c r="AU12" s="17" t="s">
        <v>42</v>
      </c>
      <c r="AV12" s="23" t="s">
        <v>466</v>
      </c>
      <c r="BA12" s="17" t="s">
        <v>542</v>
      </c>
      <c r="BB12" s="17" t="s">
        <v>570</v>
      </c>
      <c r="BC12" s="23"/>
      <c r="BD12" s="23"/>
      <c r="BF12" s="17" t="s">
        <v>673</v>
      </c>
      <c r="BG12" s="17" t="s">
        <v>674</v>
      </c>
      <c r="BH12" s="17" t="s">
        <v>4</v>
      </c>
      <c r="BJ12"/>
      <c r="BK12"/>
      <c r="BM12"/>
      <c r="BO12" s="17" t="s">
        <v>847</v>
      </c>
      <c r="BP12" s="17" t="s">
        <v>848</v>
      </c>
      <c r="BR12"/>
      <c r="BT12" s="17" t="s">
        <v>4</v>
      </c>
      <c r="BU12" s="17" t="s">
        <v>677</v>
      </c>
      <c r="BV12" s="17" t="s">
        <v>954</v>
      </c>
      <c r="BW12" s="17" t="s">
        <v>677</v>
      </c>
    </row>
    <row r="13" spans="1:75" x14ac:dyDescent="0.2">
      <c r="C13" s="10" t="s">
        <v>20</v>
      </c>
      <c r="G13" s="10" t="s">
        <v>52</v>
      </c>
      <c r="H13" s="20" t="s">
        <v>53</v>
      </c>
      <c r="J13" s="10" t="s">
        <v>110</v>
      </c>
      <c r="K13" s="10" t="s">
        <v>345</v>
      </c>
      <c r="M13" s="10">
        <v>71</v>
      </c>
      <c r="N13" s="20" t="s">
        <v>182</v>
      </c>
      <c r="X13" s="10" t="s">
        <v>26</v>
      </c>
      <c r="Y13" s="20" t="s">
        <v>239</v>
      </c>
      <c r="AO13" s="17" t="s">
        <v>52</v>
      </c>
      <c r="AP13" s="23" t="s">
        <v>53</v>
      </c>
      <c r="AU13" s="17" t="s">
        <v>435</v>
      </c>
      <c r="AV13" s="23" t="s">
        <v>467</v>
      </c>
      <c r="BA13" s="17" t="s">
        <v>543</v>
      </c>
      <c r="BB13" s="17" t="s">
        <v>571</v>
      </c>
      <c r="BC13" s="23"/>
      <c r="BD13" s="23"/>
      <c r="BF13" s="17" t="s">
        <v>675</v>
      </c>
      <c r="BG13" s="17" t="s">
        <v>676</v>
      </c>
      <c r="BH13" s="17" t="s">
        <v>4</v>
      </c>
      <c r="BJ13"/>
      <c r="BK13"/>
      <c r="BM13"/>
      <c r="BO13" s="17" t="s">
        <v>849</v>
      </c>
      <c r="BP13" s="17" t="s">
        <v>850</v>
      </c>
      <c r="BR13"/>
      <c r="BT13" s="17" t="s">
        <v>4</v>
      </c>
      <c r="BU13" s="17" t="s">
        <v>657</v>
      </c>
      <c r="BV13" s="17" t="s">
        <v>955</v>
      </c>
      <c r="BW13" s="17" t="s">
        <v>955</v>
      </c>
    </row>
    <row r="14" spans="1:75" x14ac:dyDescent="0.2">
      <c r="C14" s="10" t="s">
        <v>5</v>
      </c>
      <c r="G14" s="10" t="s">
        <v>54</v>
      </c>
      <c r="H14" s="20" t="s">
        <v>55</v>
      </c>
      <c r="J14" s="10" t="s">
        <v>111</v>
      </c>
      <c r="K14" s="10" t="s">
        <v>346</v>
      </c>
      <c r="M14" s="10">
        <v>72</v>
      </c>
      <c r="N14" s="20" t="s">
        <v>183</v>
      </c>
      <c r="X14" s="10" t="s">
        <v>240</v>
      </c>
      <c r="Y14" s="20" t="s">
        <v>241</v>
      </c>
      <c r="AO14" s="17" t="s">
        <v>54</v>
      </c>
      <c r="AP14" s="23" t="s">
        <v>55</v>
      </c>
      <c r="AU14" s="17" t="s">
        <v>436</v>
      </c>
      <c r="AV14" s="23" t="s">
        <v>468</v>
      </c>
      <c r="BA14" s="17" t="s">
        <v>544</v>
      </c>
      <c r="BB14" s="17" t="s">
        <v>572</v>
      </c>
      <c r="BC14" s="23"/>
      <c r="BD14" s="23"/>
      <c r="BF14" s="17" t="s">
        <v>677</v>
      </c>
      <c r="BG14" s="17" t="s">
        <v>678</v>
      </c>
      <c r="BH14" s="17" t="s">
        <v>4</v>
      </c>
      <c r="BJ14"/>
      <c r="BK14"/>
      <c r="BM14"/>
      <c r="BO14" s="17" t="s">
        <v>851</v>
      </c>
      <c r="BP14" s="17" t="s">
        <v>852</v>
      </c>
      <c r="BR14"/>
      <c r="BT14" s="17" t="s">
        <v>4</v>
      </c>
      <c r="BU14" s="17" t="s">
        <v>659</v>
      </c>
      <c r="BV14" s="17" t="s">
        <v>956</v>
      </c>
      <c r="BW14" s="17" t="s">
        <v>956</v>
      </c>
    </row>
    <row r="15" spans="1:75" x14ac:dyDescent="0.2">
      <c r="A15" s="35" t="s">
        <v>649</v>
      </c>
      <c r="C15" s="10" t="s">
        <v>21</v>
      </c>
      <c r="G15" s="10" t="s">
        <v>56</v>
      </c>
      <c r="H15" s="20" t="s">
        <v>57</v>
      </c>
      <c r="J15" s="10" t="s">
        <v>112</v>
      </c>
      <c r="K15" s="10" t="s">
        <v>347</v>
      </c>
      <c r="X15" s="10" t="s">
        <v>242</v>
      </c>
      <c r="Y15" s="20" t="s">
        <v>243</v>
      </c>
      <c r="AO15" s="17" t="s">
        <v>56</v>
      </c>
      <c r="AP15" s="23" t="s">
        <v>57</v>
      </c>
      <c r="AU15" s="17" t="s">
        <v>437</v>
      </c>
      <c r="AV15" s="23" t="s">
        <v>469</v>
      </c>
      <c r="BA15" s="17" t="s">
        <v>545</v>
      </c>
      <c r="BB15" s="17" t="s">
        <v>573</v>
      </c>
      <c r="BC15" s="23"/>
      <c r="BD15" s="23"/>
      <c r="BF15" s="17" t="s">
        <v>679</v>
      </c>
      <c r="BG15" s="17" t="s">
        <v>680</v>
      </c>
      <c r="BH15" s="17" t="s">
        <v>4</v>
      </c>
      <c r="BJ15"/>
      <c r="BK15"/>
      <c r="BM15"/>
      <c r="BO15" s="17" t="s">
        <v>823</v>
      </c>
      <c r="BP15" s="17" t="s">
        <v>853</v>
      </c>
      <c r="BR15"/>
      <c r="BT15" s="17" t="s">
        <v>4</v>
      </c>
      <c r="BU15" s="17" t="s">
        <v>679</v>
      </c>
      <c r="BV15" s="17" t="s">
        <v>957</v>
      </c>
      <c r="BW15" s="17" t="s">
        <v>958</v>
      </c>
    </row>
    <row r="16" spans="1:75" x14ac:dyDescent="0.2">
      <c r="A16" s="28" t="s">
        <v>651</v>
      </c>
      <c r="C16" s="10" t="s">
        <v>22</v>
      </c>
      <c r="G16" s="10" t="s">
        <v>58</v>
      </c>
      <c r="H16" s="20" t="s">
        <v>59</v>
      </c>
      <c r="J16" s="10" t="s">
        <v>113</v>
      </c>
      <c r="K16" s="10" t="s">
        <v>348</v>
      </c>
      <c r="X16" s="10" t="s">
        <v>244</v>
      </c>
      <c r="Y16" s="20" t="s">
        <v>245</v>
      </c>
      <c r="AO16" s="17" t="s">
        <v>58</v>
      </c>
      <c r="AP16" s="23" t="s">
        <v>59</v>
      </c>
      <c r="AU16" s="17" t="s">
        <v>438</v>
      </c>
      <c r="AV16" s="23" t="s">
        <v>470</v>
      </c>
      <c r="BA16" s="17" t="s">
        <v>546</v>
      </c>
      <c r="BB16" s="17" t="s">
        <v>15</v>
      </c>
      <c r="BC16" s="23"/>
      <c r="BD16" s="23"/>
      <c r="BF16" s="17" t="s">
        <v>681</v>
      </c>
      <c r="BG16" s="17" t="s">
        <v>682</v>
      </c>
      <c r="BH16" s="17" t="s">
        <v>4</v>
      </c>
      <c r="BJ16"/>
      <c r="BK16"/>
      <c r="BM16"/>
      <c r="BO16" s="17" t="s">
        <v>854</v>
      </c>
      <c r="BP16" s="17" t="s">
        <v>855</v>
      </c>
      <c r="BR16"/>
      <c r="BT16" s="17" t="s">
        <v>4</v>
      </c>
      <c r="BU16" s="17" t="s">
        <v>681</v>
      </c>
      <c r="BV16" s="17" t="s">
        <v>959</v>
      </c>
      <c r="BW16" s="17" t="s">
        <v>958</v>
      </c>
    </row>
    <row r="17" spans="1:75" x14ac:dyDescent="0.2">
      <c r="A17" s="26" t="s">
        <v>650</v>
      </c>
      <c r="C17" s="10" t="s">
        <v>23</v>
      </c>
      <c r="G17" s="10" t="s">
        <v>60</v>
      </c>
      <c r="H17" s="20" t="s">
        <v>61</v>
      </c>
      <c r="J17" s="10" t="s">
        <v>114</v>
      </c>
      <c r="K17" s="10" t="s">
        <v>349</v>
      </c>
      <c r="X17" s="10" t="s">
        <v>246</v>
      </c>
      <c r="Y17" s="20" t="s">
        <v>247</v>
      </c>
      <c r="AO17" s="17" t="s">
        <v>60</v>
      </c>
      <c r="AP17" s="23" t="s">
        <v>61</v>
      </c>
      <c r="AU17" s="17" t="s">
        <v>439</v>
      </c>
      <c r="AV17" s="23" t="s">
        <v>471</v>
      </c>
      <c r="BA17" s="17" t="s">
        <v>547</v>
      </c>
      <c r="BB17" s="17" t="s">
        <v>574</v>
      </c>
      <c r="BC17" s="23"/>
      <c r="BD17" s="23"/>
      <c r="BF17" s="17" t="s">
        <v>683</v>
      </c>
      <c r="BG17" s="17" t="s">
        <v>684</v>
      </c>
      <c r="BH17" s="17" t="s">
        <v>4</v>
      </c>
      <c r="BJ17"/>
      <c r="BK17"/>
      <c r="BM17"/>
      <c r="BO17" s="17" t="s">
        <v>856</v>
      </c>
      <c r="BP17" s="17" t="s">
        <v>857</v>
      </c>
      <c r="BR17"/>
      <c r="BT17" s="17" t="s">
        <v>4</v>
      </c>
      <c r="BU17" s="17" t="s">
        <v>683</v>
      </c>
      <c r="BV17" s="17" t="s">
        <v>960</v>
      </c>
      <c r="BW17" s="17" t="s">
        <v>683</v>
      </c>
    </row>
    <row r="18" spans="1:75" x14ac:dyDescent="0.2">
      <c r="A18" s="76" t="s">
        <v>656</v>
      </c>
      <c r="G18" s="10" t="s">
        <v>62</v>
      </c>
      <c r="H18" s="20" t="s">
        <v>63</v>
      </c>
      <c r="J18" s="10" t="s">
        <v>115</v>
      </c>
      <c r="K18" s="10" t="s">
        <v>350</v>
      </c>
      <c r="X18" s="10" t="s">
        <v>248</v>
      </c>
      <c r="Y18" s="20" t="s">
        <v>249</v>
      </c>
      <c r="AO18" s="17" t="s">
        <v>62</v>
      </c>
      <c r="AP18" s="23" t="s">
        <v>63</v>
      </c>
      <c r="AU18" s="17" t="s">
        <v>440</v>
      </c>
      <c r="AV18" s="23" t="s">
        <v>472</v>
      </c>
      <c r="BA18" s="17" t="s">
        <v>548</v>
      </c>
      <c r="BB18" s="17" t="s">
        <v>575</v>
      </c>
      <c r="BC18" s="23"/>
      <c r="BD18" s="23"/>
      <c r="BF18" s="17" t="s">
        <v>685</v>
      </c>
      <c r="BG18" s="17" t="s">
        <v>686</v>
      </c>
      <c r="BH18" s="17" t="s">
        <v>4</v>
      </c>
      <c r="BJ18"/>
      <c r="BK18"/>
      <c r="BM18"/>
      <c r="BO18" s="17" t="s">
        <v>858</v>
      </c>
      <c r="BP18" s="17" t="s">
        <v>859</v>
      </c>
      <c r="BR18"/>
      <c r="BT18" s="17" t="s">
        <v>4</v>
      </c>
      <c r="BU18" s="17" t="s">
        <v>685</v>
      </c>
      <c r="BV18" s="17" t="s">
        <v>686</v>
      </c>
      <c r="BW18" s="17" t="s">
        <v>686</v>
      </c>
    </row>
    <row r="19" spans="1:75" x14ac:dyDescent="0.2">
      <c r="A19" s="32" t="s">
        <v>655</v>
      </c>
      <c r="G19" s="10" t="s">
        <v>64</v>
      </c>
      <c r="H19" s="20" t="s">
        <v>65</v>
      </c>
      <c r="J19" s="10" t="s">
        <v>116</v>
      </c>
      <c r="K19" s="10" t="s">
        <v>351</v>
      </c>
      <c r="X19" s="10" t="s">
        <v>250</v>
      </c>
      <c r="Y19" s="20" t="s">
        <v>251</v>
      </c>
      <c r="AO19" s="17" t="s">
        <v>64</v>
      </c>
      <c r="AP19" s="23" t="s">
        <v>65</v>
      </c>
      <c r="AU19" s="17" t="s">
        <v>441</v>
      </c>
      <c r="AV19" s="23" t="s">
        <v>473</v>
      </c>
      <c r="BA19" s="17" t="s">
        <v>549</v>
      </c>
      <c r="BB19" s="17" t="s">
        <v>576</v>
      </c>
      <c r="BC19" s="23"/>
      <c r="BD19" s="23"/>
      <c r="BF19" s="17" t="s">
        <v>688</v>
      </c>
      <c r="BG19" s="17" t="s">
        <v>689</v>
      </c>
      <c r="BH19" s="17" t="s">
        <v>9</v>
      </c>
      <c r="BJ19"/>
      <c r="BK19"/>
      <c r="BM19"/>
      <c r="BO19" s="17" t="s">
        <v>860</v>
      </c>
      <c r="BP19" s="17" t="s">
        <v>861</v>
      </c>
      <c r="BR19"/>
      <c r="BT19" s="17" t="s">
        <v>9</v>
      </c>
      <c r="BU19" s="17" t="s">
        <v>688</v>
      </c>
      <c r="BV19" s="17" t="s">
        <v>961</v>
      </c>
      <c r="BW19" s="17" t="s">
        <v>961</v>
      </c>
    </row>
    <row r="20" spans="1:75" x14ac:dyDescent="0.2">
      <c r="A20" s="30" t="s">
        <v>654</v>
      </c>
      <c r="G20" s="10" t="s">
        <v>66</v>
      </c>
      <c r="H20" s="20" t="s">
        <v>67</v>
      </c>
      <c r="J20" s="10" t="s">
        <v>117</v>
      </c>
      <c r="K20" s="10" t="s">
        <v>352</v>
      </c>
      <c r="X20" s="10" t="s">
        <v>252</v>
      </c>
      <c r="Y20" s="20" t="s">
        <v>253</v>
      </c>
      <c r="AO20" s="17" t="s">
        <v>66</v>
      </c>
      <c r="AP20" s="23" t="s">
        <v>67</v>
      </c>
      <c r="AU20" s="17" t="s">
        <v>442</v>
      </c>
      <c r="AV20" s="23" t="s">
        <v>474</v>
      </c>
      <c r="BA20" s="17" t="s">
        <v>550</v>
      </c>
      <c r="BB20" s="17" t="s">
        <v>577</v>
      </c>
      <c r="BC20" s="23"/>
      <c r="BD20" s="23"/>
      <c r="BF20" s="17" t="s">
        <v>690</v>
      </c>
      <c r="BG20" s="17" t="s">
        <v>691</v>
      </c>
      <c r="BH20" s="17" t="s">
        <v>9</v>
      </c>
      <c r="BJ20"/>
      <c r="BK20"/>
      <c r="BM20"/>
      <c r="BO20" s="17" t="s">
        <v>862</v>
      </c>
      <c r="BP20" s="17" t="s">
        <v>863</v>
      </c>
      <c r="BR20"/>
      <c r="BT20" s="17" t="s">
        <v>9</v>
      </c>
      <c r="BU20" s="17" t="s">
        <v>690</v>
      </c>
      <c r="BV20" s="17" t="s">
        <v>962</v>
      </c>
      <c r="BW20" s="17" t="s">
        <v>962</v>
      </c>
    </row>
    <row r="21" spans="1:75" x14ac:dyDescent="0.2">
      <c r="A21" s="31" t="s">
        <v>652</v>
      </c>
      <c r="G21" s="10" t="s">
        <v>68</v>
      </c>
      <c r="H21" s="20" t="s">
        <v>69</v>
      </c>
      <c r="J21" s="10" t="s">
        <v>118</v>
      </c>
      <c r="K21" s="10" t="s">
        <v>353</v>
      </c>
      <c r="X21" s="10" t="s">
        <v>254</v>
      </c>
      <c r="Y21" s="20" t="s">
        <v>255</v>
      </c>
      <c r="AO21" s="17" t="s">
        <v>68</v>
      </c>
      <c r="AP21" s="23" t="s">
        <v>69</v>
      </c>
      <c r="AU21" s="17" t="s">
        <v>443</v>
      </c>
      <c r="AV21" s="23" t="s">
        <v>475</v>
      </c>
      <c r="BA21" s="17" t="s">
        <v>551</v>
      </c>
      <c r="BB21" s="17" t="s">
        <v>578</v>
      </c>
      <c r="BC21" s="23"/>
      <c r="BD21" s="23"/>
      <c r="BF21" s="17" t="s">
        <v>692</v>
      </c>
      <c r="BG21" s="17" t="s">
        <v>693</v>
      </c>
      <c r="BH21" s="17" t="s">
        <v>9</v>
      </c>
      <c r="BJ21"/>
      <c r="BK21"/>
      <c r="BM21"/>
      <c r="BO21" s="17" t="s">
        <v>864</v>
      </c>
      <c r="BP21" s="17" t="s">
        <v>865</v>
      </c>
      <c r="BR21"/>
      <c r="BT21" s="17" t="s">
        <v>9</v>
      </c>
      <c r="BU21" s="17" t="s">
        <v>692</v>
      </c>
      <c r="BV21" s="17" t="s">
        <v>963</v>
      </c>
      <c r="BW21" s="17" t="s">
        <v>963</v>
      </c>
    </row>
    <row r="22" spans="1:75" x14ac:dyDescent="0.2">
      <c r="A22" s="6" t="s">
        <v>653</v>
      </c>
      <c r="G22" s="10" t="s">
        <v>70</v>
      </c>
      <c r="H22" s="20" t="s">
        <v>71</v>
      </c>
      <c r="J22" s="10" t="s">
        <v>119</v>
      </c>
      <c r="K22" s="10" t="s">
        <v>354</v>
      </c>
      <c r="X22" s="10" t="s">
        <v>256</v>
      </c>
      <c r="Y22" s="20" t="s">
        <v>257</v>
      </c>
      <c r="AO22" s="17" t="s">
        <v>70</v>
      </c>
      <c r="AP22" s="23" t="s">
        <v>71</v>
      </c>
      <c r="AU22" s="17" t="s">
        <v>444</v>
      </c>
      <c r="AV22" s="23" t="s">
        <v>476</v>
      </c>
      <c r="BA22" s="17" t="s">
        <v>552</v>
      </c>
      <c r="BB22" s="17" t="s">
        <v>579</v>
      </c>
      <c r="BC22" s="23"/>
      <c r="BD22" s="23"/>
      <c r="BF22" s="17" t="s">
        <v>694</v>
      </c>
      <c r="BG22" s="17" t="s">
        <v>695</v>
      </c>
      <c r="BH22" s="17" t="s">
        <v>9</v>
      </c>
      <c r="BJ22"/>
      <c r="BK22"/>
      <c r="BM22"/>
      <c r="BO22" s="17" t="s">
        <v>866</v>
      </c>
      <c r="BP22" s="17" t="s">
        <v>867</v>
      </c>
      <c r="BR22"/>
      <c r="BT22" s="17" t="s">
        <v>9</v>
      </c>
      <c r="BU22" s="17" t="s">
        <v>694</v>
      </c>
      <c r="BV22" s="17" t="s">
        <v>964</v>
      </c>
      <c r="BW22" s="17" t="s">
        <v>964</v>
      </c>
    </row>
    <row r="23" spans="1:75" x14ac:dyDescent="0.2">
      <c r="G23" s="10" t="s">
        <v>72</v>
      </c>
      <c r="H23" s="20" t="s">
        <v>73</v>
      </c>
      <c r="J23" s="10" t="s">
        <v>120</v>
      </c>
      <c r="K23" s="10" t="s">
        <v>355</v>
      </c>
      <c r="X23" s="10" t="s">
        <v>258</v>
      </c>
      <c r="Y23" s="20" t="s">
        <v>259</v>
      </c>
      <c r="AO23" s="17" t="s">
        <v>72</v>
      </c>
      <c r="AP23" s="23" t="s">
        <v>73</v>
      </c>
      <c r="AU23" s="17" t="s">
        <v>445</v>
      </c>
      <c r="AV23" s="23" t="s">
        <v>477</v>
      </c>
      <c r="BA23" s="17" t="s">
        <v>553</v>
      </c>
      <c r="BB23" s="17" t="s">
        <v>580</v>
      </c>
      <c r="BC23" s="23"/>
      <c r="BD23" s="23"/>
      <c r="BF23" s="17" t="s">
        <v>696</v>
      </c>
      <c r="BG23" s="17" t="s">
        <v>697</v>
      </c>
      <c r="BH23" s="17" t="s">
        <v>9</v>
      </c>
      <c r="BJ23"/>
      <c r="BK23"/>
      <c r="BM23"/>
      <c r="BO23" s="17" t="s">
        <v>868</v>
      </c>
      <c r="BP23" s="17" t="s">
        <v>869</v>
      </c>
      <c r="BR23"/>
      <c r="BT23" s="17" t="s">
        <v>9</v>
      </c>
      <c r="BU23" s="17" t="s">
        <v>696</v>
      </c>
      <c r="BV23" s="17" t="s">
        <v>965</v>
      </c>
      <c r="BW23" s="17" t="s">
        <v>965</v>
      </c>
    </row>
    <row r="24" spans="1:75" x14ac:dyDescent="0.2">
      <c r="G24" s="10" t="s">
        <v>74</v>
      </c>
      <c r="H24" s="20" t="s">
        <v>75</v>
      </c>
      <c r="J24" s="10" t="s">
        <v>121</v>
      </c>
      <c r="K24" s="10" t="s">
        <v>356</v>
      </c>
      <c r="X24" s="10" t="s">
        <v>260</v>
      </c>
      <c r="Y24" s="20" t="s">
        <v>261</v>
      </c>
      <c r="AO24" s="17" t="s">
        <v>74</v>
      </c>
      <c r="AP24" s="23" t="s">
        <v>75</v>
      </c>
      <c r="AU24" s="17" t="s">
        <v>446</v>
      </c>
      <c r="AV24" s="23" t="s">
        <v>478</v>
      </c>
      <c r="BA24" s="17" t="s">
        <v>554</v>
      </c>
      <c r="BB24" s="17" t="s">
        <v>581</v>
      </c>
      <c r="BC24" s="23"/>
      <c r="BD24" s="23"/>
      <c r="BF24" s="17" t="s">
        <v>1090</v>
      </c>
      <c r="BG24" s="17" t="s">
        <v>1088</v>
      </c>
      <c r="BH24" s="17" t="s">
        <v>9</v>
      </c>
      <c r="BJ24"/>
      <c r="BK24"/>
      <c r="BM24"/>
      <c r="BO24" s="17" t="s">
        <v>870</v>
      </c>
      <c r="BP24" s="17" t="s">
        <v>871</v>
      </c>
      <c r="BR24"/>
      <c r="BT24" s="17" t="s">
        <v>9</v>
      </c>
      <c r="BU24" s="17" t="s">
        <v>1090</v>
      </c>
      <c r="BV24" s="17" t="s">
        <v>1093</v>
      </c>
      <c r="BW24" s="17" t="s">
        <v>1093</v>
      </c>
    </row>
    <row r="25" spans="1:75" x14ac:dyDescent="0.2">
      <c r="G25" s="10" t="s">
        <v>76</v>
      </c>
      <c r="H25" s="20" t="s">
        <v>77</v>
      </c>
      <c r="J25" s="10" t="s">
        <v>122</v>
      </c>
      <c r="K25" s="10" t="s">
        <v>357</v>
      </c>
      <c r="X25" s="10" t="s">
        <v>262</v>
      </c>
      <c r="Y25" s="20" t="s">
        <v>263</v>
      </c>
      <c r="AO25" s="17" t="s">
        <v>76</v>
      </c>
      <c r="AP25" s="23" t="s">
        <v>77</v>
      </c>
      <c r="AU25" s="17" t="s">
        <v>447</v>
      </c>
      <c r="AV25" s="23" t="s">
        <v>479</v>
      </c>
      <c r="BA25" s="17" t="s">
        <v>555</v>
      </c>
      <c r="BB25" s="17" t="s">
        <v>582</v>
      </c>
      <c r="BC25" s="23"/>
      <c r="BD25" s="23"/>
      <c r="BF25" s="17" t="s">
        <v>1091</v>
      </c>
      <c r="BG25" s="17" t="s">
        <v>1089</v>
      </c>
      <c r="BH25" s="17" t="s">
        <v>9</v>
      </c>
      <c r="BJ25"/>
      <c r="BK25"/>
      <c r="BM25"/>
      <c r="BO25" s="17" t="s">
        <v>872</v>
      </c>
      <c r="BP25" s="17" t="s">
        <v>873</v>
      </c>
      <c r="BR25"/>
      <c r="BT25" s="17" t="s">
        <v>9</v>
      </c>
      <c r="BU25" s="17" t="s">
        <v>1091</v>
      </c>
      <c r="BV25" s="17" t="s">
        <v>1094</v>
      </c>
      <c r="BW25" s="17" t="s">
        <v>1094</v>
      </c>
    </row>
    <row r="26" spans="1:75" x14ac:dyDescent="0.2">
      <c r="G26" s="10" t="s">
        <v>78</v>
      </c>
      <c r="H26" s="20" t="s">
        <v>79</v>
      </c>
      <c r="J26" s="10" t="s">
        <v>123</v>
      </c>
      <c r="K26" s="10" t="s">
        <v>358</v>
      </c>
      <c r="X26" s="10" t="s">
        <v>264</v>
      </c>
      <c r="Y26" s="20" t="s">
        <v>265</v>
      </c>
      <c r="AO26" s="17" t="s">
        <v>78</v>
      </c>
      <c r="AP26" s="23" t="s">
        <v>79</v>
      </c>
      <c r="AU26" s="17" t="s">
        <v>448</v>
      </c>
      <c r="AV26" s="23" t="s">
        <v>480</v>
      </c>
      <c r="BA26" s="17" t="s">
        <v>556</v>
      </c>
      <c r="BB26" s="17" t="s">
        <v>16</v>
      </c>
      <c r="BC26" s="23"/>
      <c r="BD26" s="23"/>
      <c r="BF26" s="17" t="s">
        <v>698</v>
      </c>
      <c r="BG26" s="17" t="s">
        <v>699</v>
      </c>
      <c r="BH26" s="17" t="s">
        <v>9</v>
      </c>
      <c r="BJ26"/>
      <c r="BK26"/>
      <c r="BM26"/>
      <c r="BO26" s="17" t="s">
        <v>821</v>
      </c>
      <c r="BP26" s="17" t="s">
        <v>874</v>
      </c>
      <c r="BR26"/>
      <c r="BT26" s="17" t="s">
        <v>9</v>
      </c>
      <c r="BU26" s="17" t="s">
        <v>698</v>
      </c>
      <c r="BV26" s="17" t="s">
        <v>966</v>
      </c>
      <c r="BW26" s="17" t="s">
        <v>966</v>
      </c>
    </row>
    <row r="27" spans="1:75" x14ac:dyDescent="0.2">
      <c r="G27" s="10" t="s">
        <v>80</v>
      </c>
      <c r="H27" s="20" t="s">
        <v>81</v>
      </c>
      <c r="J27" s="10" t="s">
        <v>124</v>
      </c>
      <c r="K27" s="10" t="s">
        <v>359</v>
      </c>
      <c r="X27" s="10" t="s">
        <v>266</v>
      </c>
      <c r="Y27" s="20" t="s">
        <v>267</v>
      </c>
      <c r="AO27" s="17" t="s">
        <v>80</v>
      </c>
      <c r="AP27" s="23" t="s">
        <v>81</v>
      </c>
      <c r="AU27" s="17" t="s">
        <v>449</v>
      </c>
      <c r="AV27" s="23" t="s">
        <v>481</v>
      </c>
      <c r="BA27" s="17" t="s">
        <v>557</v>
      </c>
      <c r="BB27" s="17" t="s">
        <v>583</v>
      </c>
      <c r="BC27" s="23"/>
      <c r="BD27" s="23"/>
      <c r="BF27" s="17" t="s">
        <v>700</v>
      </c>
      <c r="BG27" s="17" t="s">
        <v>701</v>
      </c>
      <c r="BH27" s="17" t="s">
        <v>9</v>
      </c>
      <c r="BJ27"/>
      <c r="BK27"/>
      <c r="BM27"/>
      <c r="BO27" s="17" t="s">
        <v>875</v>
      </c>
      <c r="BP27" s="17" t="s">
        <v>876</v>
      </c>
      <c r="BR27"/>
      <c r="BT27" s="17" t="s">
        <v>9</v>
      </c>
      <c r="BU27" s="17" t="s">
        <v>704</v>
      </c>
      <c r="BV27" s="17" t="s">
        <v>967</v>
      </c>
      <c r="BW27" s="17" t="s">
        <v>967</v>
      </c>
    </row>
    <row r="28" spans="1:75" x14ac:dyDescent="0.2">
      <c r="G28" s="10" t="s">
        <v>82</v>
      </c>
      <c r="H28" s="20" t="s">
        <v>83</v>
      </c>
      <c r="J28" s="10" t="s">
        <v>125</v>
      </c>
      <c r="K28" s="10" t="s">
        <v>360</v>
      </c>
      <c r="X28" s="10" t="s">
        <v>268</v>
      </c>
      <c r="Y28" s="20" t="s">
        <v>269</v>
      </c>
      <c r="AO28" s="17" t="s">
        <v>82</v>
      </c>
      <c r="AP28" s="23" t="s">
        <v>83</v>
      </c>
      <c r="AU28" s="17" t="s">
        <v>450</v>
      </c>
      <c r="AV28" s="23" t="s">
        <v>482</v>
      </c>
      <c r="BA28" s="17" t="s">
        <v>558</v>
      </c>
      <c r="BB28" s="17" t="s">
        <v>584</v>
      </c>
      <c r="BC28" s="23"/>
      <c r="BD28" s="23"/>
      <c r="BF28" s="17" t="s">
        <v>702</v>
      </c>
      <c r="BG28" s="17" t="s">
        <v>703</v>
      </c>
      <c r="BH28" s="17" t="s">
        <v>9</v>
      </c>
      <c r="BJ28"/>
      <c r="BK28"/>
      <c r="BM28"/>
      <c r="BO28" s="17" t="s">
        <v>877</v>
      </c>
      <c r="BP28" s="17" t="s">
        <v>878</v>
      </c>
      <c r="BR28"/>
      <c r="BT28" s="17" t="s">
        <v>9</v>
      </c>
      <c r="BU28" s="17" t="s">
        <v>706</v>
      </c>
      <c r="BV28" s="17" t="s">
        <v>968</v>
      </c>
      <c r="BW28" s="17" t="s">
        <v>968</v>
      </c>
    </row>
    <row r="29" spans="1:75" x14ac:dyDescent="0.2">
      <c r="G29" s="10" t="s">
        <v>84</v>
      </c>
      <c r="H29" s="20" t="s">
        <v>85</v>
      </c>
      <c r="J29" s="10" t="s">
        <v>126</v>
      </c>
      <c r="K29" s="10" t="s">
        <v>361</v>
      </c>
      <c r="X29" s="10" t="s">
        <v>270</v>
      </c>
      <c r="Y29" s="20" t="s">
        <v>271</v>
      </c>
      <c r="AO29" s="17" t="s">
        <v>84</v>
      </c>
      <c r="AP29" s="23" t="s">
        <v>85</v>
      </c>
      <c r="AU29" s="17" t="s">
        <v>451</v>
      </c>
      <c r="AV29" s="23" t="s">
        <v>483</v>
      </c>
      <c r="BA29" s="17" t="s">
        <v>559</v>
      </c>
      <c r="BB29" s="17" t="s">
        <v>585</v>
      </c>
      <c r="BC29" s="23"/>
      <c r="BD29" s="23"/>
      <c r="BF29" s="17" t="s">
        <v>704</v>
      </c>
      <c r="BG29" s="17" t="s">
        <v>705</v>
      </c>
      <c r="BH29" s="17" t="s">
        <v>9</v>
      </c>
      <c r="BJ29"/>
      <c r="BK29"/>
      <c r="BM29"/>
      <c r="BO29" s="17" t="s">
        <v>879</v>
      </c>
      <c r="BP29" s="17" t="s">
        <v>880</v>
      </c>
      <c r="BR29"/>
      <c r="BT29" s="17" t="s">
        <v>9</v>
      </c>
      <c r="BU29" s="17" t="s">
        <v>708</v>
      </c>
      <c r="BV29" s="17" t="s">
        <v>969</v>
      </c>
      <c r="BW29" s="17" t="s">
        <v>969</v>
      </c>
    </row>
    <row r="30" spans="1:75" x14ac:dyDescent="0.2">
      <c r="G30" s="10" t="s">
        <v>86</v>
      </c>
      <c r="H30" s="20" t="s">
        <v>87</v>
      </c>
      <c r="X30" s="10" t="s">
        <v>272</v>
      </c>
      <c r="Y30" s="20" t="s">
        <v>273</v>
      </c>
      <c r="AO30" s="17" t="s">
        <v>86</v>
      </c>
      <c r="AP30" s="23" t="s">
        <v>87</v>
      </c>
      <c r="AU30" s="17" t="s">
        <v>452</v>
      </c>
      <c r="AV30" s="23" t="s">
        <v>484</v>
      </c>
      <c r="BA30" s="17" t="s">
        <v>560</v>
      </c>
      <c r="BB30" s="17" t="s">
        <v>586</v>
      </c>
      <c r="BC30" s="23"/>
      <c r="BD30" s="23"/>
      <c r="BF30" s="17" t="s">
        <v>706</v>
      </c>
      <c r="BG30" s="17" t="s">
        <v>707</v>
      </c>
      <c r="BH30" s="17" t="s">
        <v>9</v>
      </c>
      <c r="BJ30"/>
      <c r="BK30"/>
      <c r="BM30"/>
      <c r="BO30" s="17" t="s">
        <v>881</v>
      </c>
      <c r="BP30" s="17" t="s">
        <v>882</v>
      </c>
      <c r="BR30"/>
      <c r="BT30" s="17" t="s">
        <v>9</v>
      </c>
      <c r="BU30" s="17" t="s">
        <v>710</v>
      </c>
      <c r="BV30" s="17" t="s">
        <v>970</v>
      </c>
      <c r="BW30" s="17" t="s">
        <v>970</v>
      </c>
    </row>
    <row r="31" spans="1:75" x14ac:dyDescent="0.2">
      <c r="G31" s="10" t="s">
        <v>88</v>
      </c>
      <c r="H31" s="20" t="s">
        <v>89</v>
      </c>
      <c r="X31" s="10" t="s">
        <v>274</v>
      </c>
      <c r="Y31" s="20" t="s">
        <v>275</v>
      </c>
      <c r="AO31" s="17" t="s">
        <v>88</v>
      </c>
      <c r="AP31" s="23" t="s">
        <v>89</v>
      </c>
      <c r="AU31" s="17" t="s">
        <v>453</v>
      </c>
      <c r="AV31" s="23" t="s">
        <v>485</v>
      </c>
      <c r="BA31" s="17" t="s">
        <v>561</v>
      </c>
      <c r="BB31" s="17" t="s">
        <v>17</v>
      </c>
      <c r="BC31" s="23"/>
      <c r="BD31" s="23"/>
      <c r="BF31" s="17" t="s">
        <v>708</v>
      </c>
      <c r="BG31" s="17" t="s">
        <v>709</v>
      </c>
      <c r="BH31" s="17" t="s">
        <v>9</v>
      </c>
      <c r="BJ31"/>
      <c r="BK31"/>
      <c r="BM31"/>
      <c r="BO31" s="17" t="s">
        <v>883</v>
      </c>
      <c r="BP31" s="17" t="s">
        <v>884</v>
      </c>
      <c r="BR31"/>
      <c r="BT31" s="17" t="s">
        <v>9</v>
      </c>
      <c r="BU31" s="17" t="s">
        <v>712</v>
      </c>
      <c r="BV31" s="17" t="s">
        <v>971</v>
      </c>
      <c r="BW31" s="17" t="s">
        <v>971</v>
      </c>
    </row>
    <row r="32" spans="1:75" x14ac:dyDescent="0.2">
      <c r="G32" s="10" t="s">
        <v>90</v>
      </c>
      <c r="H32" s="20" t="s">
        <v>91</v>
      </c>
      <c r="X32" s="10" t="s">
        <v>276</v>
      </c>
      <c r="Y32" s="20" t="s">
        <v>277</v>
      </c>
      <c r="AO32" s="17" t="s">
        <v>90</v>
      </c>
      <c r="AP32" s="23" t="s">
        <v>91</v>
      </c>
      <c r="AU32" s="17" t="s">
        <v>454</v>
      </c>
      <c r="AV32" s="23" t="s">
        <v>486</v>
      </c>
      <c r="BA32" s="17" t="s">
        <v>562</v>
      </c>
      <c r="BB32" s="17" t="s">
        <v>587</v>
      </c>
      <c r="BC32" s="23"/>
      <c r="BD32" s="23"/>
      <c r="BF32" s="17" t="s">
        <v>710</v>
      </c>
      <c r="BG32" s="17" t="s">
        <v>711</v>
      </c>
      <c r="BH32" s="17" t="s">
        <v>9</v>
      </c>
      <c r="BJ32"/>
      <c r="BK32"/>
      <c r="BM32"/>
      <c r="BO32" s="17" t="s">
        <v>885</v>
      </c>
      <c r="BP32" s="17" t="s">
        <v>886</v>
      </c>
      <c r="BR32"/>
      <c r="BT32" s="17" t="s">
        <v>9</v>
      </c>
      <c r="BU32" s="17" t="s">
        <v>1086</v>
      </c>
      <c r="BV32" s="17" t="s">
        <v>1092</v>
      </c>
      <c r="BW32" s="17" t="s">
        <v>1092</v>
      </c>
    </row>
    <row r="33" spans="1:75" x14ac:dyDescent="0.2">
      <c r="A33" s="68"/>
      <c r="X33" s="10" t="s">
        <v>278</v>
      </c>
      <c r="Y33" s="20" t="s">
        <v>279</v>
      </c>
      <c r="AU33" s="17" t="s">
        <v>455</v>
      </c>
      <c r="AV33" s="23" t="s">
        <v>487</v>
      </c>
      <c r="BA33" s="17"/>
      <c r="BB33" s="17" t="s">
        <v>588</v>
      </c>
      <c r="BC33" s="23"/>
      <c r="BD33" s="23"/>
      <c r="BF33" s="17" t="s">
        <v>712</v>
      </c>
      <c r="BG33" s="17" t="s">
        <v>713</v>
      </c>
      <c r="BH33" s="17" t="s">
        <v>9</v>
      </c>
      <c r="BJ33"/>
      <c r="BK33"/>
      <c r="BM33"/>
      <c r="BO33" s="17" t="s">
        <v>887</v>
      </c>
      <c r="BP33" s="17" t="s">
        <v>888</v>
      </c>
      <c r="BR33"/>
      <c r="BT33" s="17" t="s">
        <v>9</v>
      </c>
      <c r="BU33" s="17" t="s">
        <v>972</v>
      </c>
      <c r="BV33" s="17" t="s">
        <v>973</v>
      </c>
      <c r="BW33" s="17" t="s">
        <v>973</v>
      </c>
    </row>
    <row r="34" spans="1:75" x14ac:dyDescent="0.2">
      <c r="X34" s="10" t="s">
        <v>280</v>
      </c>
      <c r="Y34" s="20" t="s">
        <v>281</v>
      </c>
      <c r="AU34" s="17" t="s">
        <v>456</v>
      </c>
      <c r="AV34" s="23" t="s">
        <v>488</v>
      </c>
      <c r="BA34" s="17"/>
      <c r="BB34" s="17" t="s">
        <v>589</v>
      </c>
      <c r="BC34" s="23"/>
      <c r="BD34" s="23"/>
      <c r="BF34" s="17" t="s">
        <v>1086</v>
      </c>
      <c r="BG34" s="17" t="s">
        <v>1087</v>
      </c>
      <c r="BH34" s="17" t="s">
        <v>9</v>
      </c>
      <c r="BJ34"/>
      <c r="BK34"/>
      <c r="BM34"/>
      <c r="BO34" s="17" t="s">
        <v>889</v>
      </c>
      <c r="BP34" s="17" t="s">
        <v>890</v>
      </c>
      <c r="BR34"/>
      <c r="BT34" s="17" t="s">
        <v>9</v>
      </c>
      <c r="BU34" s="17" t="s">
        <v>700</v>
      </c>
      <c r="BV34" s="17" t="s">
        <v>974</v>
      </c>
      <c r="BW34" s="17" t="s">
        <v>974</v>
      </c>
    </row>
    <row r="35" spans="1:75" x14ac:dyDescent="0.2">
      <c r="X35" s="10" t="s">
        <v>282</v>
      </c>
      <c r="Y35" s="20" t="s">
        <v>283</v>
      </c>
      <c r="AU35" s="17" t="s">
        <v>457</v>
      </c>
      <c r="AV35" s="23" t="s">
        <v>489</v>
      </c>
      <c r="BA35" s="17"/>
      <c r="BB35" s="17" t="s">
        <v>590</v>
      </c>
      <c r="BC35" s="23"/>
      <c r="BD35" s="23"/>
      <c r="BF35" s="17" t="s">
        <v>714</v>
      </c>
      <c r="BG35" s="17" t="s">
        <v>715</v>
      </c>
      <c r="BH35" s="17" t="s">
        <v>9</v>
      </c>
      <c r="BJ35"/>
      <c r="BK35"/>
      <c r="BM35"/>
      <c r="BO35"/>
      <c r="BP35"/>
      <c r="BR35"/>
      <c r="BT35" s="17" t="s">
        <v>9</v>
      </c>
      <c r="BU35" s="17" t="s">
        <v>718</v>
      </c>
      <c r="BV35" s="17" t="s">
        <v>975</v>
      </c>
      <c r="BW35" s="17" t="s">
        <v>718</v>
      </c>
    </row>
    <row r="36" spans="1:75" x14ac:dyDescent="0.2">
      <c r="X36" s="10" t="s">
        <v>284</v>
      </c>
      <c r="Y36" s="20" t="s">
        <v>285</v>
      </c>
      <c r="AU36" s="17"/>
      <c r="AV36" s="23"/>
      <c r="BA36" s="17"/>
      <c r="BB36" s="17" t="s">
        <v>591</v>
      </c>
      <c r="BC36" s="23"/>
      <c r="BD36" s="23"/>
      <c r="BF36" s="17" t="s">
        <v>716</v>
      </c>
      <c r="BG36" s="17" t="s">
        <v>717</v>
      </c>
      <c r="BH36" s="17" t="s">
        <v>9</v>
      </c>
      <c r="BJ36"/>
      <c r="BK36"/>
      <c r="BM36"/>
      <c r="BO36"/>
      <c r="BP36"/>
      <c r="BR36"/>
      <c r="BT36" s="17" t="s">
        <v>9</v>
      </c>
      <c r="BU36" s="17" t="s">
        <v>714</v>
      </c>
      <c r="BV36" s="17" t="s">
        <v>976</v>
      </c>
      <c r="BW36" s="17" t="s">
        <v>714</v>
      </c>
    </row>
    <row r="37" spans="1:75" x14ac:dyDescent="0.2">
      <c r="A37" s="68"/>
      <c r="X37" s="10" t="s">
        <v>286</v>
      </c>
      <c r="Y37" s="20" t="s">
        <v>287</v>
      </c>
      <c r="BA37" s="17"/>
      <c r="BB37" s="17" t="s">
        <v>592</v>
      </c>
      <c r="BC37" s="23"/>
      <c r="BD37" s="23"/>
      <c r="BF37" s="17" t="s">
        <v>718</v>
      </c>
      <c r="BG37" s="17" t="s">
        <v>719</v>
      </c>
      <c r="BH37" s="17" t="s">
        <v>9</v>
      </c>
      <c r="BJ37"/>
      <c r="BK37"/>
      <c r="BM37"/>
      <c r="BO37"/>
      <c r="BP37"/>
      <c r="BR37"/>
      <c r="BT37" s="17" t="s">
        <v>9</v>
      </c>
      <c r="BU37" s="17" t="s">
        <v>720</v>
      </c>
      <c r="BV37" s="17" t="s">
        <v>977</v>
      </c>
      <c r="BW37" s="17" t="s">
        <v>720</v>
      </c>
    </row>
    <row r="38" spans="1:75" x14ac:dyDescent="0.2">
      <c r="BA38" s="17"/>
      <c r="BB38" s="17" t="s">
        <v>593</v>
      </c>
      <c r="BC38" s="23"/>
      <c r="BD38" s="23"/>
      <c r="BF38" s="17" t="s">
        <v>720</v>
      </c>
      <c r="BG38" s="17" t="s">
        <v>721</v>
      </c>
      <c r="BH38" s="17" t="s">
        <v>9</v>
      </c>
      <c r="BJ38"/>
      <c r="BK38"/>
      <c r="BM38"/>
      <c r="BO38"/>
      <c r="BP38"/>
      <c r="BR38"/>
      <c r="BT38" s="17" t="s">
        <v>9</v>
      </c>
      <c r="BU38" s="17" t="s">
        <v>722</v>
      </c>
      <c r="BV38" s="17" t="s">
        <v>978</v>
      </c>
      <c r="BW38" s="17" t="s">
        <v>722</v>
      </c>
    </row>
    <row r="39" spans="1:75" x14ac:dyDescent="0.2">
      <c r="BA39" s="17"/>
      <c r="BB39" s="17" t="s">
        <v>594</v>
      </c>
      <c r="BC39" s="23"/>
      <c r="BD39" s="23"/>
      <c r="BF39" s="17" t="s">
        <v>722</v>
      </c>
      <c r="BG39" s="17" t="s">
        <v>723</v>
      </c>
      <c r="BH39" s="17" t="s">
        <v>9</v>
      </c>
      <c r="BJ39"/>
      <c r="BK39"/>
      <c r="BM39"/>
      <c r="BO39"/>
      <c r="BP39"/>
      <c r="BR39"/>
      <c r="BT39" s="17" t="s">
        <v>9</v>
      </c>
      <c r="BU39" s="17" t="s">
        <v>724</v>
      </c>
      <c r="BV39" s="17" t="s">
        <v>979</v>
      </c>
      <c r="BW39" s="17" t="s">
        <v>724</v>
      </c>
    </row>
    <row r="40" spans="1:75" x14ac:dyDescent="0.2">
      <c r="A40" s="56"/>
      <c r="BA40" s="17"/>
      <c r="BB40" s="17" t="s">
        <v>595</v>
      </c>
      <c r="BC40" s="23"/>
      <c r="BD40" s="23"/>
      <c r="BF40" s="17" t="s">
        <v>724</v>
      </c>
      <c r="BG40" s="17" t="s">
        <v>725</v>
      </c>
      <c r="BH40" s="17" t="s">
        <v>9</v>
      </c>
      <c r="BJ40"/>
      <c r="BK40"/>
      <c r="BM40"/>
      <c r="BO40"/>
      <c r="BP40"/>
      <c r="BR40"/>
      <c r="BT40" s="17" t="s">
        <v>9</v>
      </c>
      <c r="BU40" s="17" t="s">
        <v>726</v>
      </c>
      <c r="BV40" s="17" t="s">
        <v>980</v>
      </c>
      <c r="BW40" s="17" t="s">
        <v>726</v>
      </c>
    </row>
    <row r="41" spans="1:75" x14ac:dyDescent="0.2">
      <c r="BA41" s="17"/>
      <c r="BB41" s="17" t="s">
        <v>596</v>
      </c>
      <c r="BC41" s="23"/>
      <c r="BD41" s="23"/>
      <c r="BF41" s="17" t="s">
        <v>726</v>
      </c>
      <c r="BG41" s="17" t="s">
        <v>727</v>
      </c>
      <c r="BH41" s="17" t="s">
        <v>9</v>
      </c>
      <c r="BJ41"/>
      <c r="BK41"/>
      <c r="BM41"/>
      <c r="BO41"/>
      <c r="BP41"/>
      <c r="BR41"/>
      <c r="BT41" s="17" t="s">
        <v>9</v>
      </c>
      <c r="BU41" s="17" t="s">
        <v>685</v>
      </c>
      <c r="BV41" s="17" t="s">
        <v>686</v>
      </c>
      <c r="BW41" s="17" t="s">
        <v>686</v>
      </c>
    </row>
    <row r="42" spans="1:75" x14ac:dyDescent="0.2">
      <c r="BA42" s="17"/>
      <c r="BB42" s="17" t="s">
        <v>597</v>
      </c>
      <c r="BC42" s="23"/>
      <c r="BD42" s="23"/>
      <c r="BF42" s="17" t="s">
        <v>685</v>
      </c>
      <c r="BG42" s="17" t="s">
        <v>686</v>
      </c>
      <c r="BH42" s="17" t="s">
        <v>9</v>
      </c>
      <c r="BJ42"/>
      <c r="BK42"/>
      <c r="BM42"/>
      <c r="BO42"/>
      <c r="BP42"/>
      <c r="BR42"/>
      <c r="BT42" s="17"/>
      <c r="BU42" s="17"/>
      <c r="BV42" s="17"/>
      <c r="BW42" s="17"/>
    </row>
    <row r="43" spans="1:75" x14ac:dyDescent="0.2">
      <c r="BA43" s="17"/>
      <c r="BB43" s="17" t="s">
        <v>598</v>
      </c>
      <c r="BC43" s="23"/>
      <c r="BD43" s="23"/>
      <c r="BF43" s="17"/>
      <c r="BG43" s="17"/>
      <c r="BH43" s="17"/>
      <c r="BJ43"/>
      <c r="BK43"/>
      <c r="BM43"/>
      <c r="BO43"/>
      <c r="BP43"/>
      <c r="BR43"/>
    </row>
    <row r="44" spans="1:75" x14ac:dyDescent="0.2">
      <c r="A44" s="68"/>
      <c r="BA44" s="17"/>
      <c r="BB44" s="17" t="s">
        <v>599</v>
      </c>
      <c r="BC44" s="23"/>
      <c r="BD44" s="23"/>
      <c r="BF44" s="17"/>
      <c r="BG44" s="17"/>
      <c r="BH44" s="17"/>
      <c r="BJ44"/>
      <c r="BK44"/>
      <c r="BM44"/>
      <c r="BO44"/>
      <c r="BP44"/>
      <c r="BR44"/>
    </row>
    <row r="45" spans="1:75" x14ac:dyDescent="0.2">
      <c r="BA45" s="17"/>
      <c r="BB45" s="17" t="s">
        <v>600</v>
      </c>
      <c r="BC45" s="23"/>
      <c r="BD45" s="23"/>
      <c r="BF45" s="17"/>
      <c r="BG45" s="17"/>
      <c r="BH45" s="17"/>
      <c r="BJ45"/>
      <c r="BK45"/>
      <c r="BM45"/>
      <c r="BO45"/>
      <c r="BP45"/>
      <c r="BR45"/>
    </row>
    <row r="46" spans="1:75" x14ac:dyDescent="0.2">
      <c r="BA46" s="17"/>
      <c r="BB46" s="17" t="s">
        <v>601</v>
      </c>
      <c r="BC46" s="23"/>
      <c r="BD46" s="23"/>
      <c r="BF46" s="17"/>
      <c r="BG46" s="17"/>
      <c r="BH46" s="17"/>
      <c r="BJ46"/>
      <c r="BK46"/>
      <c r="BM46"/>
      <c r="BO46"/>
      <c r="BP46"/>
      <c r="BR46"/>
    </row>
    <row r="47" spans="1:75" x14ac:dyDescent="0.2">
      <c r="BA47" s="17"/>
      <c r="BB47" s="17" t="s">
        <v>602</v>
      </c>
      <c r="BC47" s="23"/>
      <c r="BD47" s="23"/>
      <c r="BF47" s="17"/>
      <c r="BG47" s="17"/>
      <c r="BH47" s="17"/>
      <c r="BJ47"/>
      <c r="BK47"/>
      <c r="BM47"/>
      <c r="BO47"/>
      <c r="BP47"/>
      <c r="BR47"/>
    </row>
    <row r="48" spans="1:75" x14ac:dyDescent="0.2">
      <c r="A48" s="11"/>
      <c r="BA48" s="17"/>
      <c r="BB48" s="17" t="s">
        <v>603</v>
      </c>
      <c r="BC48" s="23"/>
      <c r="BD48" s="23"/>
      <c r="BF48" s="17"/>
      <c r="BG48" s="17"/>
      <c r="BH48" s="17"/>
      <c r="BJ48"/>
      <c r="BK48"/>
      <c r="BM48"/>
      <c r="BO48"/>
      <c r="BP48"/>
      <c r="BR48"/>
    </row>
    <row r="49" spans="1:70" x14ac:dyDescent="0.2">
      <c r="A49" s="69"/>
      <c r="BA49" s="17"/>
      <c r="BB49" s="17" t="s">
        <v>604</v>
      </c>
      <c r="BC49" s="23"/>
      <c r="BD49" s="23"/>
      <c r="BF49" s="17"/>
      <c r="BG49" s="17"/>
      <c r="BH49" s="17"/>
      <c r="BJ49"/>
      <c r="BK49"/>
      <c r="BM49"/>
      <c r="BO49"/>
      <c r="BP49"/>
      <c r="BR49"/>
    </row>
    <row r="50" spans="1:70" x14ac:dyDescent="0.2">
      <c r="A50" s="11"/>
      <c r="BA50" s="17"/>
      <c r="BB50" s="17" t="s">
        <v>605</v>
      </c>
      <c r="BC50" s="23"/>
      <c r="BD50" s="23"/>
      <c r="BF50" s="17"/>
      <c r="BG50" s="17"/>
      <c r="BH50" s="17"/>
      <c r="BJ50"/>
      <c r="BK50"/>
      <c r="BM50"/>
      <c r="BO50"/>
      <c r="BP50"/>
      <c r="BR50"/>
    </row>
    <row r="51" spans="1:70" x14ac:dyDescent="0.2">
      <c r="A51" s="11"/>
      <c r="BA51" s="17"/>
      <c r="BB51" s="17" t="s">
        <v>18</v>
      </c>
      <c r="BC51" s="23"/>
      <c r="BD51" s="23"/>
      <c r="BF51" s="17"/>
      <c r="BG51" s="17"/>
      <c r="BH51" s="17"/>
      <c r="BJ51"/>
      <c r="BK51"/>
      <c r="BM51"/>
      <c r="BO51"/>
      <c r="BP51"/>
      <c r="BR51"/>
    </row>
    <row r="52" spans="1:70" x14ac:dyDescent="0.2">
      <c r="A52" s="11"/>
      <c r="BA52" s="17"/>
      <c r="BB52" s="17" t="s">
        <v>606</v>
      </c>
      <c r="BC52" s="23"/>
      <c r="BD52" s="23"/>
      <c r="BF52" s="17"/>
      <c r="BG52" s="17"/>
      <c r="BH52" s="17"/>
      <c r="BJ52"/>
      <c r="BK52"/>
      <c r="BM52"/>
      <c r="BO52"/>
      <c r="BP52"/>
      <c r="BR52"/>
    </row>
    <row r="53" spans="1:70" x14ac:dyDescent="0.2">
      <c r="A53" s="11"/>
      <c r="BA53" s="17"/>
      <c r="BB53" s="17" t="s">
        <v>19</v>
      </c>
      <c r="BC53" s="23"/>
      <c r="BD53" s="23"/>
      <c r="BF53" s="17"/>
      <c r="BG53" s="17"/>
      <c r="BH53" s="17"/>
      <c r="BJ53"/>
      <c r="BK53"/>
      <c r="BM53"/>
      <c r="BO53"/>
      <c r="BP53"/>
      <c r="BR53"/>
    </row>
    <row r="54" spans="1:70" x14ac:dyDescent="0.2">
      <c r="BA54" s="17"/>
      <c r="BB54" s="17" t="s">
        <v>5</v>
      </c>
      <c r="BC54" s="23"/>
      <c r="BD54" s="23"/>
      <c r="BF54" s="17"/>
      <c r="BG54" s="17"/>
      <c r="BH54" s="17"/>
      <c r="BJ54"/>
      <c r="BK54"/>
      <c r="BM54"/>
      <c r="BO54"/>
      <c r="BP54"/>
      <c r="BR54"/>
    </row>
    <row r="55" spans="1:70" x14ac:dyDescent="0.2">
      <c r="BA55" s="17"/>
      <c r="BB55" s="17" t="s">
        <v>607</v>
      </c>
      <c r="BC55" s="23"/>
      <c r="BD55" s="23"/>
      <c r="BF55" s="17"/>
      <c r="BG55" s="17"/>
      <c r="BH55" s="17"/>
      <c r="BJ55"/>
      <c r="BK55"/>
      <c r="BM55"/>
      <c r="BO55"/>
      <c r="BP55"/>
      <c r="BR55"/>
    </row>
    <row r="56" spans="1:70" x14ac:dyDescent="0.2">
      <c r="BA56" s="17"/>
      <c r="BB56" s="17" t="s">
        <v>21</v>
      </c>
      <c r="BC56" s="23"/>
      <c r="BD56" s="23"/>
      <c r="BF56" s="17"/>
      <c r="BG56" s="17"/>
      <c r="BH56" s="17"/>
      <c r="BJ56"/>
      <c r="BK56"/>
      <c r="BM56"/>
      <c r="BO56"/>
      <c r="BP56"/>
      <c r="BR56"/>
    </row>
    <row r="57" spans="1:70" x14ac:dyDescent="0.2">
      <c r="BA57" s="17"/>
      <c r="BB57" s="17" t="s">
        <v>608</v>
      </c>
      <c r="BC57" s="23"/>
      <c r="BD57" s="23"/>
      <c r="BF57" s="17"/>
      <c r="BG57" s="17"/>
      <c r="BH57" s="17"/>
      <c r="BJ57"/>
      <c r="BK57"/>
      <c r="BM57"/>
      <c r="BO57"/>
      <c r="BP57"/>
      <c r="BR57"/>
    </row>
    <row r="58" spans="1:70" x14ac:dyDescent="0.2">
      <c r="BA58" s="17"/>
      <c r="BB58" s="17" t="s">
        <v>22</v>
      </c>
      <c r="BC58" s="23"/>
      <c r="BD58" s="23"/>
      <c r="BF58" s="17"/>
      <c r="BG58" s="17"/>
      <c r="BH58" s="17"/>
      <c r="BJ58"/>
      <c r="BK58"/>
      <c r="BM58"/>
      <c r="BO58"/>
      <c r="BP58"/>
      <c r="BR58"/>
    </row>
    <row r="59" spans="1:70" x14ac:dyDescent="0.2">
      <c r="BA59" s="17"/>
      <c r="BB59" s="17" t="s">
        <v>609</v>
      </c>
      <c r="BC59" s="23"/>
      <c r="BD59" s="23"/>
      <c r="BF59" s="17"/>
      <c r="BG59" s="17"/>
      <c r="BH59" s="17"/>
      <c r="BJ59"/>
      <c r="BK59"/>
      <c r="BM59"/>
      <c r="BO59"/>
      <c r="BP59"/>
      <c r="BR59"/>
    </row>
    <row r="60" spans="1:70" x14ac:dyDescent="0.2">
      <c r="BA60" s="17"/>
      <c r="BB60" s="17" t="s">
        <v>610</v>
      </c>
      <c r="BC60" s="23"/>
      <c r="BD60" s="23"/>
      <c r="BF60" s="17"/>
      <c r="BG60" s="17"/>
      <c r="BH60" s="17"/>
      <c r="BJ60"/>
      <c r="BK60"/>
      <c r="BM60"/>
      <c r="BO60"/>
      <c r="BP60"/>
      <c r="BR60"/>
    </row>
    <row r="61" spans="1:70" x14ac:dyDescent="0.2">
      <c r="BA61" s="17"/>
      <c r="BB61" s="17" t="s">
        <v>611</v>
      </c>
      <c r="BC61" s="23"/>
      <c r="BD61" s="23"/>
      <c r="BF61" s="17"/>
      <c r="BG61" s="17"/>
      <c r="BH61" s="17"/>
      <c r="BJ61"/>
      <c r="BK61"/>
      <c r="BM61"/>
      <c r="BO61"/>
      <c r="BP61"/>
      <c r="BR61"/>
    </row>
    <row r="62" spans="1:70" x14ac:dyDescent="0.2">
      <c r="BA62" s="17"/>
      <c r="BB62" s="17" t="s">
        <v>612</v>
      </c>
      <c r="BC62" s="23"/>
      <c r="BD62" s="23"/>
      <c r="BF62" s="17"/>
      <c r="BG62" s="17"/>
      <c r="BH62" s="17"/>
      <c r="BJ62"/>
      <c r="BK62"/>
      <c r="BM62"/>
      <c r="BO62"/>
      <c r="BP62"/>
      <c r="BR62"/>
    </row>
    <row r="63" spans="1:70" x14ac:dyDescent="0.2">
      <c r="BA63" s="17"/>
      <c r="BB63" s="17" t="s">
        <v>613</v>
      </c>
      <c r="BC63" s="23"/>
      <c r="BD63" s="23"/>
      <c r="BF63" s="17"/>
      <c r="BG63" s="17"/>
      <c r="BH63" s="17"/>
      <c r="BJ63"/>
      <c r="BK63"/>
      <c r="BM63"/>
      <c r="BO63"/>
      <c r="BP63"/>
      <c r="BR63"/>
    </row>
    <row r="64" spans="1:70" x14ac:dyDescent="0.2">
      <c r="BA64" s="17"/>
      <c r="BB64" s="17" t="s">
        <v>614</v>
      </c>
      <c r="BC64" s="23"/>
      <c r="BD64" s="23"/>
      <c r="BF64" s="17"/>
      <c r="BG64" s="17"/>
      <c r="BH64" s="17"/>
      <c r="BJ64"/>
      <c r="BK64"/>
      <c r="BM64"/>
      <c r="BO64"/>
      <c r="BP64"/>
      <c r="BR64"/>
    </row>
    <row r="65" spans="53:70" x14ac:dyDescent="0.2">
      <c r="BA65" s="17"/>
      <c r="BB65" s="17" t="s">
        <v>615</v>
      </c>
      <c r="BC65" s="23"/>
      <c r="BD65" s="23"/>
      <c r="BF65" s="17"/>
      <c r="BG65" s="17"/>
      <c r="BH65" s="17"/>
      <c r="BJ65"/>
      <c r="BK65"/>
      <c r="BM65"/>
      <c r="BO65"/>
      <c r="BP65"/>
      <c r="BR65"/>
    </row>
    <row r="66" spans="53:70" x14ac:dyDescent="0.2">
      <c r="BA66" s="17"/>
      <c r="BB66" s="17" t="s">
        <v>616</v>
      </c>
      <c r="BC66" s="23"/>
      <c r="BD66" s="23"/>
      <c r="BF66" s="17"/>
      <c r="BG66" s="17"/>
      <c r="BH66" s="17"/>
      <c r="BJ66"/>
      <c r="BK66"/>
      <c r="BM66"/>
      <c r="BO66"/>
      <c r="BP66"/>
      <c r="BR66"/>
    </row>
    <row r="67" spans="53:70" x14ac:dyDescent="0.2">
      <c r="BA67" s="17"/>
      <c r="BB67" s="17" t="s">
        <v>617</v>
      </c>
      <c r="BC67" s="23"/>
      <c r="BD67" s="23"/>
      <c r="BF67" s="17"/>
      <c r="BG67" s="17"/>
      <c r="BH67" s="17"/>
      <c r="BJ67"/>
      <c r="BK67"/>
      <c r="BM67"/>
      <c r="BO67"/>
      <c r="BP67"/>
      <c r="BR67"/>
    </row>
    <row r="68" spans="53:70" x14ac:dyDescent="0.2">
      <c r="BA68" s="17"/>
      <c r="BB68" s="17" t="s">
        <v>618</v>
      </c>
      <c r="BC68" s="23"/>
      <c r="BD68" s="23"/>
      <c r="BF68" s="17"/>
      <c r="BG68" s="17"/>
      <c r="BH68" s="17"/>
      <c r="BJ68"/>
      <c r="BK68"/>
      <c r="BM68"/>
      <c r="BO68"/>
      <c r="BP68"/>
      <c r="BR68"/>
    </row>
    <row r="69" spans="53:70" x14ac:dyDescent="0.2">
      <c r="BA69" s="17"/>
      <c r="BB69" s="17" t="s">
        <v>619</v>
      </c>
      <c r="BC69" s="23"/>
      <c r="BD69" s="23"/>
      <c r="BF69" s="17"/>
      <c r="BG69" s="17"/>
      <c r="BH69" s="17"/>
      <c r="BJ69"/>
      <c r="BK69"/>
      <c r="BM69"/>
      <c r="BO69"/>
      <c r="BP69"/>
      <c r="BR69"/>
    </row>
    <row r="70" spans="53:70" x14ac:dyDescent="0.2">
      <c r="BA70" s="17"/>
      <c r="BB70" s="17" t="s">
        <v>620</v>
      </c>
      <c r="BC70" s="23"/>
      <c r="BD70" s="23"/>
      <c r="BF70" s="17"/>
      <c r="BG70" s="17"/>
      <c r="BH70" s="17"/>
      <c r="BJ70"/>
      <c r="BK70"/>
      <c r="BM70"/>
      <c r="BO70"/>
      <c r="BP70"/>
      <c r="BR70"/>
    </row>
    <row r="71" spans="53:70" x14ac:dyDescent="0.2">
      <c r="BA71" s="17"/>
      <c r="BB71" s="17" t="s">
        <v>621</v>
      </c>
      <c r="BC71" s="23"/>
      <c r="BD71" s="23"/>
      <c r="BF71" s="17"/>
      <c r="BG71" s="17"/>
      <c r="BH71" s="17"/>
      <c r="BJ71"/>
      <c r="BK71"/>
      <c r="BM71"/>
      <c r="BO71"/>
      <c r="BP71"/>
      <c r="BR71"/>
    </row>
    <row r="72" spans="53:70" x14ac:dyDescent="0.2">
      <c r="BA72" s="17"/>
      <c r="BB72" s="17" t="s">
        <v>622</v>
      </c>
      <c r="BC72" s="23"/>
      <c r="BD72" s="23"/>
      <c r="BF72" s="17"/>
      <c r="BG72" s="17"/>
      <c r="BH72" s="17"/>
      <c r="BJ72"/>
      <c r="BK72"/>
      <c r="BM72"/>
      <c r="BO72"/>
      <c r="BP72"/>
      <c r="BR72"/>
    </row>
    <row r="73" spans="53:70" x14ac:dyDescent="0.2">
      <c r="BA73" s="17"/>
      <c r="BB73" s="17" t="s">
        <v>623</v>
      </c>
      <c r="BC73" s="23"/>
      <c r="BD73" s="23"/>
      <c r="BF73" s="17"/>
      <c r="BG73" s="17"/>
      <c r="BH73" s="17"/>
      <c r="BJ73"/>
      <c r="BK73"/>
      <c r="BM73"/>
      <c r="BO73"/>
      <c r="BP73"/>
      <c r="BR73"/>
    </row>
    <row r="74" spans="53:70" x14ac:dyDescent="0.2">
      <c r="BA74" s="17"/>
      <c r="BB74" s="17" t="s">
        <v>624</v>
      </c>
      <c r="BC74" s="23"/>
      <c r="BD74" s="23"/>
      <c r="BF74" s="17"/>
      <c r="BG74" s="17"/>
      <c r="BH74" s="17"/>
      <c r="BJ74"/>
      <c r="BK74"/>
      <c r="BM74"/>
      <c r="BO74"/>
      <c r="BP74"/>
      <c r="BR74"/>
    </row>
    <row r="75" spans="53:70" x14ac:dyDescent="0.2">
      <c r="BA75" s="17"/>
      <c r="BB75" s="17" t="s">
        <v>625</v>
      </c>
      <c r="BC75" s="23"/>
      <c r="BD75" s="23"/>
      <c r="BF75" s="17"/>
      <c r="BG75" s="17"/>
      <c r="BH75" s="17"/>
      <c r="BJ75"/>
      <c r="BK75"/>
      <c r="BM75"/>
      <c r="BO75"/>
      <c r="BP75"/>
      <c r="BR75"/>
    </row>
    <row r="76" spans="53:70" x14ac:dyDescent="0.2">
      <c r="BA76" s="17"/>
      <c r="BB76" s="17" t="s">
        <v>626</v>
      </c>
      <c r="BC76" s="23"/>
      <c r="BD76" s="23"/>
      <c r="BF76" s="17"/>
      <c r="BG76" s="17"/>
      <c r="BH76" s="17"/>
      <c r="BJ76"/>
      <c r="BK76"/>
      <c r="BM76"/>
      <c r="BO76"/>
      <c r="BP76"/>
      <c r="BR76"/>
    </row>
    <row r="77" spans="53:70" x14ac:dyDescent="0.2">
      <c r="BA77" s="17"/>
      <c r="BB77" s="17" t="s">
        <v>627</v>
      </c>
      <c r="BC77" s="23"/>
      <c r="BD77" s="23"/>
      <c r="BF77" s="17"/>
      <c r="BG77" s="17"/>
      <c r="BH77" s="17"/>
      <c r="BJ77"/>
      <c r="BK77"/>
      <c r="BM77"/>
      <c r="BO77"/>
      <c r="BP77"/>
      <c r="BR77"/>
    </row>
    <row r="78" spans="53:70" x14ac:dyDescent="0.2">
      <c r="BA78" s="17"/>
      <c r="BB78" s="17" t="s">
        <v>628</v>
      </c>
      <c r="BC78" s="23"/>
      <c r="BD78" s="23"/>
      <c r="BF78" s="17"/>
      <c r="BG78" s="17"/>
      <c r="BH78" s="17"/>
      <c r="BJ78"/>
      <c r="BK78"/>
      <c r="BM78"/>
      <c r="BO78"/>
      <c r="BP78"/>
      <c r="BR78"/>
    </row>
    <row r="79" spans="53:70" x14ac:dyDescent="0.2">
      <c r="BA79" s="17"/>
      <c r="BB79" s="17" t="s">
        <v>629</v>
      </c>
      <c r="BC79" s="23"/>
      <c r="BD79" s="23"/>
      <c r="BF79" s="17"/>
      <c r="BG79" s="17"/>
      <c r="BH79" s="17"/>
      <c r="BJ79"/>
      <c r="BK79"/>
      <c r="BM79"/>
      <c r="BO79"/>
      <c r="BP79"/>
      <c r="BR79"/>
    </row>
    <row r="80" spans="53:70" x14ac:dyDescent="0.2">
      <c r="BA80" s="17"/>
      <c r="BB80" s="17" t="s">
        <v>630</v>
      </c>
      <c r="BC80" s="23"/>
      <c r="BD80" s="23"/>
      <c r="BF80" s="17"/>
      <c r="BG80" s="17"/>
      <c r="BH80" s="17"/>
      <c r="BJ80"/>
      <c r="BK80"/>
      <c r="BM80"/>
      <c r="BO80"/>
      <c r="BP80"/>
      <c r="BR80"/>
    </row>
    <row r="81" spans="53:70" x14ac:dyDescent="0.2">
      <c r="BA81" s="17"/>
      <c r="BB81" s="17" t="s">
        <v>631</v>
      </c>
      <c r="BC81" s="23"/>
      <c r="BD81" s="23"/>
      <c r="BF81" s="17"/>
      <c r="BG81" s="17"/>
      <c r="BH81" s="17"/>
      <c r="BJ81"/>
      <c r="BK81"/>
      <c r="BM81"/>
      <c r="BO81"/>
      <c r="BP81"/>
      <c r="BR81"/>
    </row>
    <row r="82" spans="53:70" x14ac:dyDescent="0.2">
      <c r="BA82" s="17"/>
      <c r="BB82" s="17" t="s">
        <v>632</v>
      </c>
      <c r="BC82" s="23"/>
      <c r="BD82" s="23"/>
      <c r="BF82" s="17"/>
      <c r="BG82" s="17"/>
      <c r="BH82" s="17"/>
      <c r="BJ82"/>
      <c r="BK82"/>
      <c r="BM82"/>
      <c r="BO82"/>
      <c r="BP82"/>
      <c r="BR82"/>
    </row>
    <row r="83" spans="53:70" x14ac:dyDescent="0.2">
      <c r="BA83" s="17"/>
      <c r="BB83" s="17" t="s">
        <v>633</v>
      </c>
      <c r="BC83" s="23"/>
      <c r="BD83" s="23"/>
      <c r="BF83" s="17"/>
      <c r="BG83" s="17"/>
      <c r="BH83" s="17"/>
      <c r="BJ83"/>
      <c r="BK83"/>
      <c r="BM83"/>
      <c r="BO83"/>
      <c r="BP83"/>
      <c r="BR83"/>
    </row>
    <row r="84" spans="53:70" x14ac:dyDescent="0.2">
      <c r="BA84" s="17"/>
      <c r="BB84" s="17" t="s">
        <v>634</v>
      </c>
      <c r="BC84" s="23"/>
      <c r="BD84" s="23"/>
      <c r="BF84" s="17"/>
      <c r="BG84" s="17"/>
      <c r="BH84" s="17"/>
      <c r="BJ84"/>
      <c r="BK84"/>
      <c r="BM84"/>
      <c r="BO84"/>
      <c r="BP84"/>
      <c r="BR84"/>
    </row>
    <row r="85" spans="53:70" x14ac:dyDescent="0.2">
      <c r="BA85" s="17"/>
      <c r="BB85" s="17" t="s">
        <v>635</v>
      </c>
      <c r="BC85" s="23"/>
      <c r="BD85" s="23"/>
      <c r="BF85" s="17"/>
      <c r="BG85" s="17"/>
      <c r="BH85" s="17"/>
      <c r="BJ85"/>
      <c r="BK85"/>
      <c r="BM85"/>
      <c r="BO85"/>
      <c r="BP85"/>
      <c r="BR85"/>
    </row>
    <row r="86" spans="53:70" x14ac:dyDescent="0.2">
      <c r="BA86" s="17"/>
      <c r="BB86" s="17" t="s">
        <v>636</v>
      </c>
      <c r="BC86" s="23"/>
      <c r="BD86" s="23"/>
      <c r="BF86" s="17"/>
      <c r="BG86" s="17"/>
      <c r="BH86" s="17"/>
      <c r="BJ86"/>
      <c r="BK86"/>
      <c r="BM86"/>
      <c r="BO86"/>
      <c r="BP86"/>
      <c r="BR86"/>
    </row>
    <row r="87" spans="53:70" x14ac:dyDescent="0.2">
      <c r="BA87" s="17"/>
      <c r="BB87" s="17" t="s">
        <v>637</v>
      </c>
      <c r="BC87" s="23"/>
      <c r="BD87" s="23"/>
      <c r="BF87" s="17"/>
      <c r="BG87" s="17"/>
      <c r="BH87" s="17"/>
      <c r="BJ87"/>
      <c r="BK87"/>
      <c r="BM87"/>
      <c r="BO87"/>
      <c r="BP87"/>
      <c r="BR87"/>
    </row>
    <row r="88" spans="53:70" x14ac:dyDescent="0.2">
      <c r="BF88" s="17"/>
      <c r="BG88" s="17"/>
      <c r="BH88" s="17"/>
    </row>
    <row r="89" spans="53:70" x14ac:dyDescent="0.2">
      <c r="BF89" s="17"/>
      <c r="BG89" s="17"/>
      <c r="BH89" s="17"/>
    </row>
    <row r="90" spans="53:70" x14ac:dyDescent="0.2">
      <c r="BF90" s="17"/>
      <c r="BG90" s="17"/>
      <c r="BH90" s="17"/>
    </row>
  </sheetData>
  <sortState ref="AR4:AS12">
    <sortCondition ref="AR12"/>
  </sortState>
  <mergeCells count="19">
    <mergeCell ref="AO2:AP2"/>
    <mergeCell ref="AR2:AS2"/>
    <mergeCell ref="AU2:AV2"/>
    <mergeCell ref="BT2:BW2"/>
    <mergeCell ref="A1:A3"/>
    <mergeCell ref="G2:H2"/>
    <mergeCell ref="M2:N2"/>
    <mergeCell ref="P2:Y2"/>
    <mergeCell ref="J2:K2"/>
    <mergeCell ref="B2:E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</mergeCells>
  <conditionalFormatting sqref="BT4:BW42">
    <cfRule type="containsErrors" dxfId="4" priority="2">
      <formula>ISERROR(BT4)</formula>
    </cfRule>
  </conditionalFormatting>
  <conditionalFormatting sqref="BT4:BW42">
    <cfRule type="cellIs" dxfId="3" priority="1" operator="equal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12914AF-2F87-4F33-A128-750AB78411A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ZM01</vt:lpstr>
      <vt:lpstr>CA01</vt:lpstr>
      <vt:lpstr>CS01</vt:lpstr>
      <vt:lpstr>LPK1</vt:lpstr>
      <vt:lpstr>C223</vt:lpstr>
      <vt:lpstr>Consulta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2022-05-24T17:14:52Z</dcterms:modified>
</cp:coreProperties>
</file>