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860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DT40" i="6" l="1"/>
  <c r="DP40" i="6"/>
  <c r="DO40" i="6"/>
  <c r="DI40" i="6"/>
  <c r="DH40" i="6"/>
  <c r="DJ40" i="6" s="1"/>
  <c r="DG40" i="6"/>
  <c r="DE40" i="6"/>
  <c r="DB40" i="6"/>
  <c r="DA40" i="6"/>
  <c r="CJ40" i="6"/>
  <c r="DS40" i="6" s="1"/>
  <c r="CB40" i="6"/>
  <c r="BV40" i="6"/>
  <c r="BS40" i="6"/>
  <c r="BR40" i="6"/>
  <c r="BP40" i="6"/>
  <c r="BL40" i="6"/>
  <c r="BI40" i="6"/>
  <c r="BK40" i="6" s="1"/>
  <c r="BH40" i="6"/>
  <c r="BD40" i="6"/>
  <c r="AZ40" i="6"/>
  <c r="BA40" i="6" s="1"/>
  <c r="AX40" i="6"/>
  <c r="AV40" i="6"/>
  <c r="AU40" i="6"/>
  <c r="AS40" i="6"/>
  <c r="N40" i="6"/>
  <c r="M40" i="6"/>
  <c r="L40" i="6"/>
  <c r="K40" i="6"/>
  <c r="CN40" i="6" s="1"/>
  <c r="J40" i="6"/>
  <c r="H40" i="6"/>
  <c r="G40" i="6"/>
  <c r="CZ40" i="6" s="1"/>
  <c r="F40" i="6"/>
  <c r="CX40" i="6" s="1"/>
  <c r="D40" i="6"/>
  <c r="A40" i="6"/>
  <c r="DT39" i="6"/>
  <c r="DP39" i="6"/>
  <c r="DO39" i="6"/>
  <c r="DH39" i="6"/>
  <c r="DJ39" i="6" s="1"/>
  <c r="DG39" i="6"/>
  <c r="DE39" i="6"/>
  <c r="DB39" i="6"/>
  <c r="DA39" i="6"/>
  <c r="CJ39" i="6"/>
  <c r="CK39" i="6" s="1"/>
  <c r="CO39" i="6" s="1"/>
  <c r="CB39" i="6"/>
  <c r="BR39" i="6"/>
  <c r="BP39" i="6"/>
  <c r="BL39" i="6"/>
  <c r="BK39" i="6"/>
  <c r="BI39" i="6"/>
  <c r="BJ39" i="6" s="1"/>
  <c r="BH39" i="6"/>
  <c r="BG39" i="6"/>
  <c r="BD39" i="6"/>
  <c r="AZ39" i="6"/>
  <c r="BE39" i="6" s="1"/>
  <c r="BF39" i="6" s="1"/>
  <c r="AX39" i="6"/>
  <c r="AV39" i="6"/>
  <c r="AU39" i="6"/>
  <c r="BV39" i="6" s="1"/>
  <c r="AS39" i="6"/>
  <c r="M39" i="6"/>
  <c r="L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J38" i="6"/>
  <c r="DH38" i="6"/>
  <c r="DI38" i="6" s="1"/>
  <c r="DG38" i="6"/>
  <c r="DE38" i="6"/>
  <c r="DB38" i="6"/>
  <c r="DA38" i="6"/>
  <c r="CN38" i="6"/>
  <c r="CJ38" i="6"/>
  <c r="CB38" i="6"/>
  <c r="BV38" i="6"/>
  <c r="BR38" i="6"/>
  <c r="BP38" i="6"/>
  <c r="BL38" i="6"/>
  <c r="BH38" i="6"/>
  <c r="BG38" i="6"/>
  <c r="BE38" i="6"/>
  <c r="BF38" i="6" s="1"/>
  <c r="BD38" i="6"/>
  <c r="AZ38" i="6"/>
  <c r="BA38" i="6" s="1"/>
  <c r="AX38" i="6"/>
  <c r="AV38" i="6"/>
  <c r="AU38" i="6"/>
  <c r="AS38" i="6"/>
  <c r="M38" i="6"/>
  <c r="K38" i="6"/>
  <c r="CM38" i="6" s="1"/>
  <c r="J38" i="6"/>
  <c r="N38" i="6" s="1"/>
  <c r="H38" i="6"/>
  <c r="G38" i="6"/>
  <c r="BI38" i="6" s="1"/>
  <c r="F38" i="6"/>
  <c r="DQ38" i="6" s="1"/>
  <c r="D38" i="6"/>
  <c r="A38" i="6"/>
  <c r="DT37" i="6"/>
  <c r="DP37" i="6"/>
  <c r="DO37" i="6"/>
  <c r="DJ37" i="6"/>
  <c r="DI37" i="6"/>
  <c r="DH37" i="6"/>
  <c r="DG37" i="6"/>
  <c r="DE37" i="6"/>
  <c r="DB37" i="6"/>
  <c r="DA37" i="6"/>
  <c r="CN37" i="6"/>
  <c r="CM37" i="6"/>
  <c r="CJ37" i="6"/>
  <c r="CB37" i="6"/>
  <c r="BV37" i="6"/>
  <c r="BR37" i="6"/>
  <c r="BP37" i="6"/>
  <c r="BL37" i="6"/>
  <c r="BI37" i="6"/>
  <c r="BK37" i="6" s="1"/>
  <c r="BH37" i="6"/>
  <c r="BG37" i="6"/>
  <c r="BE37" i="6"/>
  <c r="BF37" i="6" s="1"/>
  <c r="BD37" i="6"/>
  <c r="BA37" i="6"/>
  <c r="AZ37" i="6"/>
  <c r="AX37" i="6"/>
  <c r="AV37" i="6"/>
  <c r="AU37" i="6"/>
  <c r="AS37" i="6"/>
  <c r="N37" i="6"/>
  <c r="M37" i="6"/>
  <c r="K37" i="6"/>
  <c r="J37" i="6"/>
  <c r="BS37" i="6" s="1"/>
  <c r="H37" i="6"/>
  <c r="G37" i="6"/>
  <c r="CZ37" i="6" s="1"/>
  <c r="F37" i="6"/>
  <c r="CX37" i="6" s="1"/>
  <c r="A37" i="6"/>
  <c r="DT36" i="6"/>
  <c r="DP36" i="6"/>
  <c r="DO36" i="6"/>
  <c r="DJ36" i="6"/>
  <c r="DH36" i="6"/>
  <c r="DI36" i="6" s="1"/>
  <c r="DE36" i="6"/>
  <c r="DB36" i="6"/>
  <c r="DA36" i="6"/>
  <c r="CN36" i="6"/>
  <c r="CM36" i="6"/>
  <c r="CB36" i="6"/>
  <c r="BR36" i="6"/>
  <c r="BP36" i="6"/>
  <c r="BL36" i="6"/>
  <c r="BH36" i="6"/>
  <c r="BD36" i="6"/>
  <c r="AZ36" i="6"/>
  <c r="BG36" i="6" s="1"/>
  <c r="AX36" i="6"/>
  <c r="AV36" i="6"/>
  <c r="AU36" i="6"/>
  <c r="BV36" i="6" s="1"/>
  <c r="AS36" i="6"/>
  <c r="M36" i="6"/>
  <c r="K36" i="6"/>
  <c r="J36" i="6"/>
  <c r="N36" i="6" s="1"/>
  <c r="H36" i="6"/>
  <c r="G36" i="6"/>
  <c r="BI36" i="6" s="1"/>
  <c r="F36" i="6"/>
  <c r="CX36" i="6" s="1"/>
  <c r="A36" i="6"/>
  <c r="DT35" i="6"/>
  <c r="DP35" i="6"/>
  <c r="DO35" i="6"/>
  <c r="DH35" i="6"/>
  <c r="DJ35" i="6" s="1"/>
  <c r="DG35" i="6"/>
  <c r="DE35" i="6"/>
  <c r="DB35" i="6"/>
  <c r="DA35" i="6"/>
  <c r="CN35" i="6"/>
  <c r="CM35" i="6"/>
  <c r="CJ35" i="6"/>
  <c r="DS35" i="6" s="1"/>
  <c r="CB35" i="6"/>
  <c r="BV35" i="6"/>
  <c r="BS35" i="6"/>
  <c r="BR35" i="6"/>
  <c r="BP35" i="6"/>
  <c r="BL35" i="6"/>
  <c r="BH35" i="6"/>
  <c r="BG35" i="6"/>
  <c r="BD35" i="6"/>
  <c r="BA35" i="6"/>
  <c r="AZ35" i="6"/>
  <c r="BE35" i="6" s="1"/>
  <c r="BF35" i="6" s="1"/>
  <c r="AX35" i="6"/>
  <c r="AV35" i="6"/>
  <c r="AU35" i="6"/>
  <c r="AS35" i="6"/>
  <c r="M35" i="6"/>
  <c r="L35" i="6"/>
  <c r="K35" i="6"/>
  <c r="J35" i="6"/>
  <c r="D35" i="6" s="1"/>
  <c r="H35" i="6"/>
  <c r="G35" i="6"/>
  <c r="CZ35" i="6" s="1"/>
  <c r="F35" i="6"/>
  <c r="CX35" i="6" s="1"/>
  <c r="A35" i="6"/>
  <c r="DT34" i="6"/>
  <c r="DQ34" i="6"/>
  <c r="DP34" i="6"/>
  <c r="DO34" i="6"/>
  <c r="DH34" i="6"/>
  <c r="DI34" i="6" s="1"/>
  <c r="DE34" i="6"/>
  <c r="DB34" i="6"/>
  <c r="DA34" i="6"/>
  <c r="CW34" i="6"/>
  <c r="CV34" i="6"/>
  <c r="CB34" i="6"/>
  <c r="BV34" i="6"/>
  <c r="BS34" i="6"/>
  <c r="BR34" i="6"/>
  <c r="BP34" i="6"/>
  <c r="BL34" i="6"/>
  <c r="BH34" i="6"/>
  <c r="BG34" i="6"/>
  <c r="BD34" i="6"/>
  <c r="BA34" i="6"/>
  <c r="AZ34" i="6"/>
  <c r="BE34" i="6" s="1"/>
  <c r="BF34" i="6" s="1"/>
  <c r="AX34" i="6"/>
  <c r="AV34" i="6"/>
  <c r="AU34" i="6"/>
  <c r="AS34" i="6"/>
  <c r="M34" i="6"/>
  <c r="L34" i="6"/>
  <c r="K34" i="6"/>
  <c r="CM34" i="6" s="1"/>
  <c r="J34" i="6"/>
  <c r="N34" i="6" s="1"/>
  <c r="H34" i="6"/>
  <c r="G34" i="6"/>
  <c r="BI34" i="6" s="1"/>
  <c r="F34" i="6"/>
  <c r="CX34" i="6" s="1"/>
  <c r="E34" i="6"/>
  <c r="D34" i="6"/>
  <c r="A34" i="6"/>
  <c r="DT33" i="6"/>
  <c r="DQ33" i="6"/>
  <c r="DP33" i="6"/>
  <c r="DO33" i="6"/>
  <c r="DH33" i="6"/>
  <c r="DJ33" i="6" s="1"/>
  <c r="DE33" i="6"/>
  <c r="DB33" i="6"/>
  <c r="DA33" i="6"/>
  <c r="CW33" i="6"/>
  <c r="CB33" i="6"/>
  <c r="BR33" i="6"/>
  <c r="BP33" i="6"/>
  <c r="BL33" i="6"/>
  <c r="BH33" i="6"/>
  <c r="BE33" i="6"/>
  <c r="BF33" i="6" s="1"/>
  <c r="BD33" i="6"/>
  <c r="AZ33" i="6"/>
  <c r="BG33" i="6" s="1"/>
  <c r="AX33" i="6"/>
  <c r="AV33" i="6"/>
  <c r="AU33" i="6"/>
  <c r="BV33" i="6" s="1"/>
  <c r="AS33" i="6"/>
  <c r="M33" i="6"/>
  <c r="K33" i="6"/>
  <c r="CN33" i="6" s="1"/>
  <c r="J33" i="6"/>
  <c r="D33" i="6" s="1"/>
  <c r="H33" i="6"/>
  <c r="G33" i="6"/>
  <c r="BI33" i="6" s="1"/>
  <c r="F33" i="6"/>
  <c r="CX33" i="6" s="1"/>
  <c r="E33" i="6"/>
  <c r="CV33" i="6" s="1"/>
  <c r="A33" i="6"/>
  <c r="DT32" i="6"/>
  <c r="DQ32" i="6"/>
  <c r="DP32" i="6"/>
  <c r="DO32" i="6"/>
  <c r="DJ32" i="6"/>
  <c r="DH32" i="6"/>
  <c r="DG32" i="6" s="1"/>
  <c r="DE32" i="6"/>
  <c r="DB32" i="6"/>
  <c r="DA32" i="6"/>
  <c r="CW32" i="6"/>
  <c r="CN32" i="6"/>
  <c r="CB32" i="6"/>
  <c r="BR32" i="6"/>
  <c r="BP32" i="6"/>
  <c r="BL32" i="6"/>
  <c r="BH32" i="6"/>
  <c r="BG32" i="6"/>
  <c r="BF32" i="6"/>
  <c r="BE32" i="6"/>
  <c r="BD32" i="6"/>
  <c r="AZ32" i="6"/>
  <c r="BA32" i="6" s="1"/>
  <c r="AX32" i="6"/>
  <c r="AV32" i="6"/>
  <c r="AU32" i="6"/>
  <c r="BV32" i="6" s="1"/>
  <c r="AS32" i="6"/>
  <c r="M32" i="6"/>
  <c r="K32" i="6"/>
  <c r="CM32" i="6" s="1"/>
  <c r="J32" i="6"/>
  <c r="L32" i="6" s="1"/>
  <c r="H32" i="6"/>
  <c r="G32" i="6"/>
  <c r="CZ32" i="6" s="1"/>
  <c r="F32" i="6"/>
  <c r="CX32" i="6" s="1"/>
  <c r="E32" i="6"/>
  <c r="CV32" i="6" s="1"/>
  <c r="A32" i="6"/>
  <c r="DT31" i="6"/>
  <c r="DQ31" i="6"/>
  <c r="DP31" i="6"/>
  <c r="DO31" i="6"/>
  <c r="DJ31" i="6"/>
  <c r="DI31" i="6"/>
  <c r="DH31" i="6"/>
  <c r="DG31" i="6"/>
  <c r="DE31" i="6"/>
  <c r="DB31" i="6"/>
  <c r="DA31" i="6"/>
  <c r="CW31" i="6"/>
  <c r="CN31" i="6"/>
  <c r="CM31" i="6"/>
  <c r="CJ31" i="6"/>
  <c r="CK31" i="6" s="1"/>
  <c r="CB31" i="6"/>
  <c r="BS31" i="6"/>
  <c r="BR31" i="6"/>
  <c r="BP31" i="6"/>
  <c r="BL31" i="6"/>
  <c r="BH31" i="6"/>
  <c r="BG31" i="6"/>
  <c r="BF31" i="6"/>
  <c r="BE31" i="6"/>
  <c r="BD31" i="6"/>
  <c r="BA31" i="6"/>
  <c r="AZ31" i="6"/>
  <c r="AX31" i="6"/>
  <c r="AV31" i="6"/>
  <c r="AU31" i="6"/>
  <c r="BV31" i="6" s="1"/>
  <c r="AS31" i="6"/>
  <c r="N31" i="6"/>
  <c r="M31" i="6"/>
  <c r="K31" i="6"/>
  <c r="J31" i="6"/>
  <c r="D31" i="6" s="1"/>
  <c r="H31" i="6"/>
  <c r="G31" i="6"/>
  <c r="BI31" i="6" s="1"/>
  <c r="F31" i="6"/>
  <c r="CX31" i="6" s="1"/>
  <c r="E31" i="6"/>
  <c r="CV31" i="6" s="1"/>
  <c r="A31" i="6"/>
  <c r="DT30" i="6"/>
  <c r="DP30" i="6"/>
  <c r="DO30" i="6"/>
  <c r="DH30" i="6"/>
  <c r="DJ30" i="6" s="1"/>
  <c r="DE30" i="6"/>
  <c r="DB30" i="6"/>
  <c r="DA30" i="6"/>
  <c r="CM30" i="6"/>
  <c r="CB30" i="6"/>
  <c r="BV30" i="6"/>
  <c r="BS30" i="6"/>
  <c r="BR30" i="6"/>
  <c r="BP30" i="6"/>
  <c r="BL30" i="6"/>
  <c r="BH30" i="6"/>
  <c r="BD30" i="6"/>
  <c r="AZ30" i="6"/>
  <c r="BE30" i="6" s="1"/>
  <c r="BF30" i="6" s="1"/>
  <c r="AX30" i="6"/>
  <c r="AV30" i="6"/>
  <c r="AU30" i="6"/>
  <c r="AS30" i="6"/>
  <c r="N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Q29" i="6"/>
  <c r="DP29" i="6"/>
  <c r="DO29" i="6"/>
  <c r="DI29" i="6"/>
  <c r="DH29" i="6"/>
  <c r="DJ29" i="6" s="1"/>
  <c r="DG29" i="6"/>
  <c r="DE29" i="6"/>
  <c r="DB29" i="6"/>
  <c r="DA29" i="6"/>
  <c r="CW29" i="6"/>
  <c r="CN29" i="6"/>
  <c r="CM29" i="6"/>
  <c r="CJ29" i="6"/>
  <c r="CK29" i="6" s="1"/>
  <c r="CB29" i="6"/>
  <c r="BV29" i="6"/>
  <c r="BS29" i="6"/>
  <c r="BR29" i="6"/>
  <c r="BP29" i="6"/>
  <c r="BL29" i="6"/>
  <c r="BI29" i="6"/>
  <c r="BJ29" i="6" s="1"/>
  <c r="BH29" i="6"/>
  <c r="BD29" i="6"/>
  <c r="AZ29" i="6"/>
  <c r="BG29" i="6" s="1"/>
  <c r="AX29" i="6"/>
  <c r="AV29" i="6"/>
  <c r="AU29" i="6"/>
  <c r="AS29" i="6"/>
  <c r="N29" i="6"/>
  <c r="M29" i="6"/>
  <c r="L29" i="6"/>
  <c r="K29" i="6"/>
  <c r="J29" i="6"/>
  <c r="D29" i="6" s="1"/>
  <c r="H29" i="6"/>
  <c r="G29" i="6"/>
  <c r="CZ29" i="6" s="1"/>
  <c r="F29" i="6"/>
  <c r="CX29" i="6" s="1"/>
  <c r="E29" i="6"/>
  <c r="CV29" i="6" s="1"/>
  <c r="A29" i="6"/>
  <c r="DT28" i="6"/>
  <c r="DS28" i="6"/>
  <c r="DP28" i="6"/>
  <c r="DO28" i="6"/>
  <c r="DI28" i="6"/>
  <c r="DH28" i="6"/>
  <c r="DJ28" i="6" s="1"/>
  <c r="DG28" i="6"/>
  <c r="DE28" i="6"/>
  <c r="DB28" i="6"/>
  <c r="DA28" i="6"/>
  <c r="CJ28" i="6"/>
  <c r="CB28" i="6"/>
  <c r="BV28" i="6"/>
  <c r="BS28" i="6"/>
  <c r="BR28" i="6"/>
  <c r="BP28" i="6"/>
  <c r="BL28" i="6"/>
  <c r="BI28" i="6"/>
  <c r="BK28" i="6" s="1"/>
  <c r="BH28" i="6"/>
  <c r="BD28" i="6"/>
  <c r="AZ28" i="6"/>
  <c r="BA28" i="6" s="1"/>
  <c r="AX28" i="6"/>
  <c r="AV28" i="6"/>
  <c r="AU28" i="6"/>
  <c r="AS28" i="6"/>
  <c r="N28" i="6"/>
  <c r="M28" i="6"/>
  <c r="L28" i="6"/>
  <c r="K28" i="6"/>
  <c r="CN28" i="6" s="1"/>
  <c r="J28" i="6"/>
  <c r="H28" i="6"/>
  <c r="G28" i="6"/>
  <c r="CZ28" i="6" s="1"/>
  <c r="F28" i="6"/>
  <c r="CX28" i="6" s="1"/>
  <c r="D28" i="6"/>
  <c r="A28" i="6"/>
  <c r="DT27" i="6"/>
  <c r="DP27" i="6"/>
  <c r="DO27" i="6"/>
  <c r="DI27" i="6"/>
  <c r="DH27" i="6"/>
  <c r="DJ27" i="6" s="1"/>
  <c r="DG27" i="6"/>
  <c r="DE27" i="6"/>
  <c r="DB27" i="6"/>
  <c r="DA27" i="6"/>
  <c r="CJ27" i="6"/>
  <c r="CK27" i="6" s="1"/>
  <c r="CO27" i="6" s="1"/>
  <c r="CB27" i="6"/>
  <c r="BR27" i="6"/>
  <c r="BP27" i="6"/>
  <c r="BL27" i="6"/>
  <c r="BK27" i="6"/>
  <c r="BI27" i="6"/>
  <c r="BJ27" i="6" s="1"/>
  <c r="BH27" i="6"/>
  <c r="BG27" i="6"/>
  <c r="BD27" i="6"/>
  <c r="AZ27" i="6"/>
  <c r="BE27" i="6" s="1"/>
  <c r="BF27" i="6" s="1"/>
  <c r="AX27" i="6"/>
  <c r="AV27" i="6"/>
  <c r="AU27" i="6"/>
  <c r="BV27" i="6" s="1"/>
  <c r="AS27" i="6"/>
  <c r="M27" i="6"/>
  <c r="L27" i="6"/>
  <c r="K27" i="6"/>
  <c r="CN27" i="6" s="1"/>
  <c r="J27" i="6"/>
  <c r="BS27" i="6" s="1"/>
  <c r="H27" i="6"/>
  <c r="G27" i="6"/>
  <c r="CZ27" i="6" s="1"/>
  <c r="F27" i="6"/>
  <c r="CX27" i="6" s="1"/>
  <c r="D27" i="6"/>
  <c r="A27" i="6"/>
  <c r="DT26" i="6"/>
  <c r="DP26" i="6"/>
  <c r="DO26" i="6"/>
  <c r="DJ26" i="6"/>
  <c r="DH26" i="6"/>
  <c r="DI26" i="6" s="1"/>
  <c r="DG26" i="6"/>
  <c r="DE26" i="6"/>
  <c r="DB26" i="6"/>
  <c r="DA26" i="6"/>
  <c r="CN26" i="6"/>
  <c r="CJ26" i="6"/>
  <c r="CB26" i="6"/>
  <c r="BV26" i="6"/>
  <c r="BR26" i="6"/>
  <c r="BP26" i="6"/>
  <c r="BL26" i="6"/>
  <c r="BH26" i="6"/>
  <c r="BG26" i="6"/>
  <c r="BE26" i="6"/>
  <c r="BF26" i="6" s="1"/>
  <c r="BD26" i="6"/>
  <c r="AZ26" i="6"/>
  <c r="BA26" i="6" s="1"/>
  <c r="AX26" i="6"/>
  <c r="AV26" i="6"/>
  <c r="AU26" i="6"/>
  <c r="AS26" i="6"/>
  <c r="M26" i="6"/>
  <c r="K26" i="6"/>
  <c r="CM26" i="6" s="1"/>
  <c r="J26" i="6"/>
  <c r="N26" i="6" s="1"/>
  <c r="H26" i="6"/>
  <c r="G26" i="6"/>
  <c r="BI26" i="6" s="1"/>
  <c r="F26" i="6"/>
  <c r="DQ26" i="6" s="1"/>
  <c r="D26" i="6"/>
  <c r="A26" i="6"/>
  <c r="DT25" i="6"/>
  <c r="DP25" i="6"/>
  <c r="DO25" i="6"/>
  <c r="DJ25" i="6"/>
  <c r="DI25" i="6"/>
  <c r="DH25" i="6"/>
  <c r="DG25" i="6"/>
  <c r="DE25" i="6"/>
  <c r="DB25" i="6"/>
  <c r="DA25" i="6"/>
  <c r="CN25" i="6"/>
  <c r="CM25" i="6"/>
  <c r="CJ25" i="6"/>
  <c r="CB25" i="6"/>
  <c r="BV25" i="6"/>
  <c r="BR25" i="6"/>
  <c r="BP25" i="6"/>
  <c r="BL25" i="6"/>
  <c r="BI25" i="6"/>
  <c r="BK25" i="6" s="1"/>
  <c r="BH25" i="6"/>
  <c r="BG25" i="6"/>
  <c r="BE25" i="6"/>
  <c r="BF25" i="6" s="1"/>
  <c r="BD25" i="6"/>
  <c r="BA25" i="6"/>
  <c r="AZ25" i="6"/>
  <c r="AX25" i="6"/>
  <c r="AV25" i="6"/>
  <c r="AU25" i="6"/>
  <c r="AS25" i="6"/>
  <c r="N25" i="6"/>
  <c r="M25" i="6"/>
  <c r="K25" i="6"/>
  <c r="J25" i="6"/>
  <c r="BS25" i="6" s="1"/>
  <c r="H25" i="6"/>
  <c r="G25" i="6"/>
  <c r="CZ25" i="6" s="1"/>
  <c r="F25" i="6"/>
  <c r="CX25" i="6" s="1"/>
  <c r="A25" i="6"/>
  <c r="DT24" i="6"/>
  <c r="DP24" i="6"/>
  <c r="DO24" i="6"/>
  <c r="DJ24" i="6"/>
  <c r="DI24" i="6"/>
  <c r="DH24" i="6"/>
  <c r="DG24" i="6" s="1"/>
  <c r="DE24" i="6"/>
  <c r="DB24" i="6"/>
  <c r="DA24" i="6"/>
  <c r="CN24" i="6"/>
  <c r="CM24" i="6"/>
  <c r="CB24" i="6"/>
  <c r="BS24" i="6"/>
  <c r="BR24" i="6"/>
  <c r="BP24" i="6"/>
  <c r="BL24" i="6"/>
  <c r="BH24" i="6"/>
  <c r="BD24" i="6"/>
  <c r="AZ24" i="6"/>
  <c r="BG24" i="6" s="1"/>
  <c r="AX24" i="6"/>
  <c r="AV24" i="6"/>
  <c r="AU24" i="6"/>
  <c r="BV24" i="6" s="1"/>
  <c r="AS24" i="6"/>
  <c r="N24" i="6"/>
  <c r="M24" i="6"/>
  <c r="K24" i="6"/>
  <c r="J24" i="6"/>
  <c r="L24" i="6" s="1"/>
  <c r="H24" i="6"/>
  <c r="G24" i="6"/>
  <c r="BI24" i="6" s="1"/>
  <c r="F24" i="6"/>
  <c r="CX24" i="6" s="1"/>
  <c r="A24" i="6"/>
  <c r="DT23" i="6"/>
  <c r="DP23" i="6"/>
  <c r="DO23" i="6"/>
  <c r="DH23" i="6"/>
  <c r="DJ23" i="6" s="1"/>
  <c r="DG23" i="6"/>
  <c r="DE23" i="6"/>
  <c r="DB23" i="6"/>
  <c r="DA23" i="6"/>
  <c r="CN23" i="6"/>
  <c r="CM23" i="6"/>
  <c r="CJ23" i="6"/>
  <c r="DS23" i="6" s="1"/>
  <c r="CB23" i="6"/>
  <c r="BV23" i="6"/>
  <c r="BS23" i="6"/>
  <c r="BR23" i="6"/>
  <c r="BP23" i="6"/>
  <c r="BL23" i="6"/>
  <c r="BH23" i="6"/>
  <c r="BG23" i="6"/>
  <c r="BD23" i="6"/>
  <c r="AZ23" i="6"/>
  <c r="BA23" i="6" s="1"/>
  <c r="AX23" i="6"/>
  <c r="AV23" i="6"/>
  <c r="AU23" i="6"/>
  <c r="AS23" i="6"/>
  <c r="M23" i="6"/>
  <c r="L23" i="6"/>
  <c r="K23" i="6"/>
  <c r="J23" i="6"/>
  <c r="D23" i="6" s="1"/>
  <c r="H23" i="6"/>
  <c r="G23" i="6"/>
  <c r="BI23" i="6" s="1"/>
  <c r="F23" i="6"/>
  <c r="CX23" i="6" s="1"/>
  <c r="A23" i="6"/>
  <c r="DT22" i="6"/>
  <c r="DQ22" i="6"/>
  <c r="DP22" i="6"/>
  <c r="DO22" i="6"/>
  <c r="DH22" i="6"/>
  <c r="DI22" i="6" s="1"/>
  <c r="DG22" i="6"/>
  <c r="DE22" i="6"/>
  <c r="DB22" i="6"/>
  <c r="DA22" i="6"/>
  <c r="CW22" i="6"/>
  <c r="CV22" i="6"/>
  <c r="CJ22" i="6"/>
  <c r="CK22" i="6" s="1"/>
  <c r="CB22" i="6"/>
  <c r="BV22" i="6"/>
  <c r="BS22" i="6"/>
  <c r="BR22" i="6"/>
  <c r="BP22" i="6"/>
  <c r="BL22" i="6"/>
  <c r="BH22" i="6"/>
  <c r="BG22" i="6"/>
  <c r="BD22" i="6"/>
  <c r="BA22" i="6"/>
  <c r="AZ22" i="6"/>
  <c r="BE22" i="6" s="1"/>
  <c r="BF22" i="6" s="1"/>
  <c r="AX22" i="6"/>
  <c r="AV22" i="6"/>
  <c r="AU22" i="6"/>
  <c r="AS22" i="6"/>
  <c r="M22" i="6"/>
  <c r="L22" i="6"/>
  <c r="K22" i="6"/>
  <c r="CM22" i="6" s="1"/>
  <c r="J22" i="6"/>
  <c r="N22" i="6" s="1"/>
  <c r="H22" i="6"/>
  <c r="G22" i="6"/>
  <c r="BI22" i="6" s="1"/>
  <c r="F22" i="6"/>
  <c r="CX22" i="6" s="1"/>
  <c r="E22" i="6"/>
  <c r="D22" i="6"/>
  <c r="A22" i="6"/>
  <c r="DT21" i="6"/>
  <c r="DQ21" i="6"/>
  <c r="DP21" i="6"/>
  <c r="DO21" i="6"/>
  <c r="DH21" i="6"/>
  <c r="DJ21" i="6" s="1"/>
  <c r="DE21" i="6"/>
  <c r="DB21" i="6"/>
  <c r="DA21" i="6"/>
  <c r="CW21" i="6"/>
  <c r="CB21" i="6"/>
  <c r="BR21" i="6"/>
  <c r="BP21" i="6"/>
  <c r="BL21" i="6"/>
  <c r="BH21" i="6"/>
  <c r="BE21" i="6"/>
  <c r="BF21" i="6" s="1"/>
  <c r="BD21" i="6"/>
  <c r="BA21" i="6"/>
  <c r="AZ21" i="6"/>
  <c r="BG21" i="6" s="1"/>
  <c r="AX21" i="6"/>
  <c r="AV21" i="6"/>
  <c r="AU21" i="6"/>
  <c r="BV21" i="6" s="1"/>
  <c r="AS21" i="6"/>
  <c r="M21" i="6"/>
  <c r="K21" i="6"/>
  <c r="CN21" i="6" s="1"/>
  <c r="J21" i="6"/>
  <c r="N21" i="6" s="1"/>
  <c r="H21" i="6"/>
  <c r="G21" i="6"/>
  <c r="BI21" i="6" s="1"/>
  <c r="F21" i="6"/>
  <c r="CX21" i="6" s="1"/>
  <c r="E21" i="6"/>
  <c r="A21" i="6"/>
  <c r="DT20" i="6"/>
  <c r="DQ20" i="6"/>
  <c r="DP20" i="6"/>
  <c r="DO20" i="6"/>
  <c r="DJ20" i="6"/>
  <c r="DH20" i="6"/>
  <c r="DG20" i="6" s="1"/>
  <c r="DE20" i="6"/>
  <c r="DB20" i="6"/>
  <c r="DA20" i="6"/>
  <c r="CW20" i="6"/>
  <c r="CN20" i="6"/>
  <c r="CB20" i="6"/>
  <c r="BR20" i="6"/>
  <c r="BP20" i="6"/>
  <c r="BL20" i="6"/>
  <c r="BH20" i="6"/>
  <c r="BG20" i="6"/>
  <c r="BE20" i="6"/>
  <c r="BF20" i="6" s="1"/>
  <c r="BD20" i="6"/>
  <c r="AZ20" i="6"/>
  <c r="BA20" i="6" s="1"/>
  <c r="AX20" i="6"/>
  <c r="AV20" i="6"/>
  <c r="AU20" i="6"/>
  <c r="BV20" i="6" s="1"/>
  <c r="AS20" i="6"/>
  <c r="M20" i="6"/>
  <c r="K20" i="6"/>
  <c r="CM20" i="6" s="1"/>
  <c r="J20" i="6"/>
  <c r="L20" i="6" s="1"/>
  <c r="H20" i="6"/>
  <c r="G20" i="6"/>
  <c r="CZ20" i="6" s="1"/>
  <c r="F20" i="6"/>
  <c r="CX20" i="6" s="1"/>
  <c r="E20" i="6"/>
  <c r="CV20" i="6" s="1"/>
  <c r="A20" i="6"/>
  <c r="DT19" i="6"/>
  <c r="DQ19" i="6"/>
  <c r="DP19" i="6"/>
  <c r="DO19" i="6"/>
  <c r="DJ19" i="6"/>
  <c r="DI19" i="6"/>
  <c r="DH19" i="6"/>
  <c r="DG19" i="6"/>
  <c r="DE19" i="6"/>
  <c r="DB19" i="6"/>
  <c r="DA19" i="6"/>
  <c r="CW19" i="6"/>
  <c r="CN19" i="6"/>
  <c r="CM19" i="6"/>
  <c r="CJ19" i="6"/>
  <c r="CK19" i="6" s="1"/>
  <c r="CB19" i="6"/>
  <c r="BS19" i="6"/>
  <c r="BR19" i="6"/>
  <c r="BP19" i="6"/>
  <c r="BL19" i="6"/>
  <c r="BH19" i="6"/>
  <c r="BG19" i="6"/>
  <c r="BF19" i="6"/>
  <c r="BE19" i="6"/>
  <c r="BD19" i="6"/>
  <c r="BA19" i="6"/>
  <c r="AZ19" i="6"/>
  <c r="AX19" i="6"/>
  <c r="AV19" i="6"/>
  <c r="AU19" i="6"/>
  <c r="BV19" i="6" s="1"/>
  <c r="AS19" i="6"/>
  <c r="N19" i="6"/>
  <c r="M19" i="6"/>
  <c r="K19" i="6"/>
  <c r="J19" i="6"/>
  <c r="D19" i="6" s="1"/>
  <c r="H19" i="6"/>
  <c r="G19" i="6"/>
  <c r="BI19" i="6" s="1"/>
  <c r="F19" i="6"/>
  <c r="CX19" i="6" s="1"/>
  <c r="E19" i="6"/>
  <c r="CV19" i="6" s="1"/>
  <c r="A19" i="6"/>
  <c r="DT18" i="6"/>
  <c r="DP18" i="6"/>
  <c r="DO18" i="6"/>
  <c r="DH18" i="6"/>
  <c r="DJ18" i="6" s="1"/>
  <c r="DE18" i="6"/>
  <c r="DB18" i="6"/>
  <c r="DA18" i="6"/>
  <c r="CM18" i="6"/>
  <c r="CB18" i="6"/>
  <c r="BV18" i="6"/>
  <c r="BS18" i="6"/>
  <c r="BR18" i="6"/>
  <c r="BP18" i="6"/>
  <c r="BL18" i="6"/>
  <c r="BH18" i="6"/>
  <c r="BD18" i="6"/>
  <c r="AZ18" i="6"/>
  <c r="BE18" i="6" s="1"/>
  <c r="BF18" i="6" s="1"/>
  <c r="AX18" i="6"/>
  <c r="AV18" i="6"/>
  <c r="AU18" i="6"/>
  <c r="AS18" i="6"/>
  <c r="N18" i="6"/>
  <c r="M18" i="6"/>
  <c r="K18" i="6"/>
  <c r="CN18" i="6" s="1"/>
  <c r="J18" i="6"/>
  <c r="D18" i="6" s="1"/>
  <c r="H18" i="6"/>
  <c r="G18" i="6"/>
  <c r="BI18" i="6" s="1"/>
  <c r="F18" i="6"/>
  <c r="CX18" i="6" s="1"/>
  <c r="A18" i="6"/>
  <c r="DT17" i="6"/>
  <c r="DQ17" i="6"/>
  <c r="DP17" i="6"/>
  <c r="DO17" i="6"/>
  <c r="DH17" i="6"/>
  <c r="DJ17" i="6" s="1"/>
  <c r="DG17" i="6"/>
  <c r="DE17" i="6"/>
  <c r="DB17" i="6"/>
  <c r="DA17" i="6"/>
  <c r="CW17" i="6"/>
  <c r="CN17" i="6"/>
  <c r="CM17" i="6"/>
  <c r="CJ17" i="6"/>
  <c r="CB17" i="6"/>
  <c r="BV17" i="6"/>
  <c r="BS17" i="6"/>
  <c r="BR17" i="6"/>
  <c r="BP17" i="6"/>
  <c r="BL17" i="6"/>
  <c r="BI17" i="6"/>
  <c r="BJ17" i="6" s="1"/>
  <c r="BH17" i="6"/>
  <c r="BG17" i="6"/>
  <c r="BD17" i="6"/>
  <c r="AZ17" i="6"/>
  <c r="BE17" i="6" s="1"/>
  <c r="BF17" i="6" s="1"/>
  <c r="AX17" i="6"/>
  <c r="AV17" i="6"/>
  <c r="AU17" i="6"/>
  <c r="AS17" i="6"/>
  <c r="N17" i="6"/>
  <c r="M17" i="6"/>
  <c r="L17" i="6"/>
  <c r="K17" i="6"/>
  <c r="J17" i="6"/>
  <c r="D17" i="6" s="1"/>
  <c r="H17" i="6"/>
  <c r="G17" i="6"/>
  <c r="CZ17" i="6" s="1"/>
  <c r="F17" i="6"/>
  <c r="CX17" i="6" s="1"/>
  <c r="E17" i="6"/>
  <c r="CV17" i="6" s="1"/>
  <c r="A17" i="6"/>
  <c r="BK22" i="6" l="1"/>
  <c r="BJ22" i="6"/>
  <c r="BK34" i="6"/>
  <c r="BJ34" i="6"/>
  <c r="BK38" i="6"/>
  <c r="BJ38" i="6"/>
  <c r="CG19" i="6"/>
  <c r="CO19" i="6"/>
  <c r="CO31" i="6"/>
  <c r="CG31" i="6"/>
  <c r="BJ19" i="6"/>
  <c r="BK19" i="6"/>
  <c r="BK21" i="6"/>
  <c r="BJ21" i="6"/>
  <c r="BK26" i="6"/>
  <c r="BJ26" i="6"/>
  <c r="BK31" i="6"/>
  <c r="BJ31" i="6"/>
  <c r="BK36" i="6"/>
  <c r="BJ36" i="6"/>
  <c r="BK24" i="6"/>
  <c r="BJ24" i="6"/>
  <c r="CO28" i="6"/>
  <c r="BK33" i="6"/>
  <c r="BJ33" i="6"/>
  <c r="BK18" i="6"/>
  <c r="BJ18" i="6"/>
  <c r="BK23" i="6"/>
  <c r="BJ23" i="6"/>
  <c r="CZ31" i="6"/>
  <c r="CK17" i="6"/>
  <c r="CO17" i="6" s="1"/>
  <c r="CV21" i="6"/>
  <c r="CZ23" i="6"/>
  <c r="CZ21" i="6"/>
  <c r="CN22" i="6"/>
  <c r="DJ22" i="6"/>
  <c r="BE23" i="6"/>
  <c r="BF23" i="6" s="1"/>
  <c r="D24" i="6"/>
  <c r="L25" i="6"/>
  <c r="CX26" i="6"/>
  <c r="DS26" i="6"/>
  <c r="N27" i="6"/>
  <c r="CM27" i="6"/>
  <c r="BK29" i="6"/>
  <c r="CO29" i="6"/>
  <c r="BA33" i="6"/>
  <c r="BS33" i="6"/>
  <c r="CZ33" i="6"/>
  <c r="CN34" i="6"/>
  <c r="DJ34" i="6"/>
  <c r="D36" i="6"/>
  <c r="L37" i="6"/>
  <c r="CX38" i="6"/>
  <c r="DS38" i="6"/>
  <c r="N39" i="6"/>
  <c r="CM39" i="6"/>
  <c r="DI39" i="6"/>
  <c r="CZ18" i="6"/>
  <c r="D21" i="6"/>
  <c r="BK17" i="6"/>
  <c r="BS21" i="6"/>
  <c r="L18" i="6"/>
  <c r="BG18" i="6"/>
  <c r="CJ18" i="6"/>
  <c r="DG18" i="6"/>
  <c r="DS19" i="6"/>
  <c r="N20" i="6"/>
  <c r="BI20" i="6"/>
  <c r="DI20" i="6"/>
  <c r="CO22" i="6"/>
  <c r="CG23" i="6"/>
  <c r="E24" i="6"/>
  <c r="CV24" i="6" s="1"/>
  <c r="CW24" i="6"/>
  <c r="DQ24" i="6"/>
  <c r="CK25" i="6"/>
  <c r="CG25" i="6" s="1"/>
  <c r="BS26" i="6"/>
  <c r="CZ26" i="6"/>
  <c r="BE28" i="6"/>
  <c r="BF28" i="6" s="1"/>
  <c r="L30" i="6"/>
  <c r="BG30" i="6"/>
  <c r="CJ30" i="6"/>
  <c r="DG30" i="6"/>
  <c r="DS31" i="6"/>
  <c r="N32" i="6"/>
  <c r="BI32" i="6"/>
  <c r="DI32" i="6"/>
  <c r="E36" i="6"/>
  <c r="CV36" i="6" s="1"/>
  <c r="CW36" i="6"/>
  <c r="DQ36" i="6"/>
  <c r="CK37" i="6"/>
  <c r="CG37" i="6" s="1"/>
  <c r="BS38" i="6"/>
  <c r="CZ38" i="6"/>
  <c r="BE40" i="6"/>
  <c r="BF40" i="6" s="1"/>
  <c r="BJ25" i="6"/>
  <c r="BG28" i="6"/>
  <c r="DS29" i="6"/>
  <c r="BI30" i="6"/>
  <c r="DI30" i="6"/>
  <c r="CK35" i="6"/>
  <c r="CO35" i="6" s="1"/>
  <c r="BA36" i="6"/>
  <c r="BS36" i="6"/>
  <c r="CZ36" i="6"/>
  <c r="BJ37" i="6"/>
  <c r="D39" i="6"/>
  <c r="BG40" i="6"/>
  <c r="DI18" i="6"/>
  <c r="CK23" i="6"/>
  <c r="BA24" i="6"/>
  <c r="CZ24" i="6"/>
  <c r="BA17" i="6"/>
  <c r="D20" i="6"/>
  <c r="L21" i="6"/>
  <c r="CJ21" i="6"/>
  <c r="DG21" i="6"/>
  <c r="DS22" i="6"/>
  <c r="N23" i="6"/>
  <c r="DI23" i="6"/>
  <c r="CO25" i="6"/>
  <c r="E27" i="6"/>
  <c r="CV27" i="6" s="1"/>
  <c r="CW27" i="6"/>
  <c r="DQ27" i="6"/>
  <c r="CK28" i="6"/>
  <c r="CG28" i="6" s="1"/>
  <c r="BA29" i="6"/>
  <c r="D32" i="6"/>
  <c r="L33" i="6"/>
  <c r="CJ33" i="6"/>
  <c r="DG33" i="6"/>
  <c r="N35" i="6"/>
  <c r="BI35" i="6"/>
  <c r="DI35" i="6"/>
  <c r="E39" i="6"/>
  <c r="CV39" i="6" s="1"/>
  <c r="CW39" i="6"/>
  <c r="DQ39" i="6"/>
  <c r="CK40" i="6"/>
  <c r="CG40" i="6" s="1"/>
  <c r="CZ19" i="6"/>
  <c r="BE24" i="6"/>
  <c r="BF24" i="6" s="1"/>
  <c r="D25" i="6"/>
  <c r="L26" i="6"/>
  <c r="DS27" i="6"/>
  <c r="CM28" i="6"/>
  <c r="CZ34" i="6"/>
  <c r="BE36" i="6"/>
  <c r="BF36" i="6" s="1"/>
  <c r="D37" i="6"/>
  <c r="L38" i="6"/>
  <c r="DS39" i="6"/>
  <c r="CM40" i="6"/>
  <c r="DS17" i="6"/>
  <c r="CZ22" i="6"/>
  <c r="L19" i="6"/>
  <c r="CM21" i="6"/>
  <c r="DI21" i="6"/>
  <c r="CO23" i="6"/>
  <c r="E25" i="6"/>
  <c r="CV25" i="6" s="1"/>
  <c r="CW25" i="6"/>
  <c r="DQ25" i="6"/>
  <c r="CK26" i="6"/>
  <c r="CO26" i="6" s="1"/>
  <c r="BA27" i="6"/>
  <c r="BJ28" i="6"/>
  <c r="BE29" i="6"/>
  <c r="BF29" i="6" s="1"/>
  <c r="L31" i="6"/>
  <c r="N33" i="6"/>
  <c r="CM33" i="6"/>
  <c r="DI33" i="6"/>
  <c r="E37" i="6"/>
  <c r="CV37" i="6" s="1"/>
  <c r="CW37" i="6"/>
  <c r="DQ37" i="6"/>
  <c r="CK38" i="6"/>
  <c r="CO38" i="6" s="1"/>
  <c r="BA39" i="6"/>
  <c r="BJ40" i="6"/>
  <c r="E18" i="6"/>
  <c r="CV18" i="6" s="1"/>
  <c r="CW18" i="6"/>
  <c r="DQ18" i="6"/>
  <c r="BS20" i="6"/>
  <c r="CJ24" i="6"/>
  <c r="DS25" i="6"/>
  <c r="CG29" i="6"/>
  <c r="E30" i="6"/>
  <c r="CV30" i="6" s="1"/>
  <c r="CW30" i="6"/>
  <c r="DQ30" i="6"/>
  <c r="BS32" i="6"/>
  <c r="L36" i="6"/>
  <c r="CJ36" i="6"/>
  <c r="DG36" i="6"/>
  <c r="DS37" i="6"/>
  <c r="CG22" i="6"/>
  <c r="E23" i="6"/>
  <c r="CV23" i="6" s="1"/>
  <c r="CW23" i="6"/>
  <c r="DQ23" i="6"/>
  <c r="E35" i="6"/>
  <c r="CV35" i="6" s="1"/>
  <c r="CW35" i="6"/>
  <c r="DQ35" i="6"/>
  <c r="BA18" i="6"/>
  <c r="CG27" i="6"/>
  <c r="E28" i="6"/>
  <c r="CV28" i="6" s="1"/>
  <c r="CW28" i="6"/>
  <c r="DQ28" i="6"/>
  <c r="BA30" i="6"/>
  <c r="CJ34" i="6"/>
  <c r="DG34" i="6"/>
  <c r="CG39" i="6"/>
  <c r="E40" i="6"/>
  <c r="CV40" i="6" s="1"/>
  <c r="CW40" i="6"/>
  <c r="DQ40" i="6"/>
  <c r="DI17" i="6"/>
  <c r="CJ20" i="6"/>
  <c r="E26" i="6"/>
  <c r="CV26" i="6" s="1"/>
  <c r="CW26" i="6"/>
  <c r="CJ32" i="6"/>
  <c r="E38" i="6"/>
  <c r="CV38" i="6" s="1"/>
  <c r="CW38" i="6"/>
  <c r="CB11" i="7"/>
  <c r="DS21" i="6" l="1"/>
  <c r="CK21" i="6"/>
  <c r="CO21" i="6" s="1"/>
  <c r="CG17" i="6"/>
  <c r="CK24" i="6"/>
  <c r="CO24" i="6" s="1"/>
  <c r="DS24" i="6"/>
  <c r="BJ20" i="6"/>
  <c r="BK20" i="6"/>
  <c r="DS18" i="6"/>
  <c r="CO18" i="6"/>
  <c r="CK18" i="6"/>
  <c r="CG18" i="6"/>
  <c r="CG35" i="6"/>
  <c r="CG38" i="6"/>
  <c r="BK30" i="6"/>
  <c r="BJ30" i="6"/>
  <c r="DS33" i="6"/>
  <c r="CK33" i="6"/>
  <c r="CO33" i="6" s="1"/>
  <c r="CO37" i="6"/>
  <c r="BJ32" i="6"/>
  <c r="BK32" i="6"/>
  <c r="CK34" i="6"/>
  <c r="CG34" i="6" s="1"/>
  <c r="DS34" i="6"/>
  <c r="CG26" i="6"/>
  <c r="BK35" i="6"/>
  <c r="BJ35" i="6"/>
  <c r="CG32" i="6"/>
  <c r="DS32" i="6"/>
  <c r="CO32" i="6"/>
  <c r="CK32" i="6"/>
  <c r="CO40" i="6"/>
  <c r="DS30" i="6"/>
  <c r="CK30" i="6"/>
  <c r="CG30" i="6" s="1"/>
  <c r="CO30" i="6"/>
  <c r="DS20" i="6"/>
  <c r="CK20" i="6"/>
  <c r="CO20" i="6" s="1"/>
  <c r="CG20" i="6"/>
  <c r="CK36" i="6"/>
  <c r="CG36" i="6" s="1"/>
  <c r="DS36" i="6"/>
  <c r="DT64" i="6"/>
  <c r="DP64" i="6"/>
  <c r="DO64" i="6"/>
  <c r="DH64" i="6"/>
  <c r="DJ64" i="6" s="1"/>
  <c r="DE64" i="6"/>
  <c r="DB64" i="6"/>
  <c r="DA64" i="6"/>
  <c r="CB64" i="6"/>
  <c r="BR64" i="6"/>
  <c r="BP64" i="6"/>
  <c r="BL64" i="6"/>
  <c r="BH64" i="6"/>
  <c r="BD64" i="6"/>
  <c r="AZ64" i="6"/>
  <c r="AX64" i="6"/>
  <c r="AV64" i="6"/>
  <c r="AU64" i="6"/>
  <c r="BV64" i="6" s="1"/>
  <c r="AS64" i="6"/>
  <c r="M64" i="6"/>
  <c r="K64" i="6"/>
  <c r="CN64" i="6" s="1"/>
  <c r="J64" i="6"/>
  <c r="D64" i="6" s="1"/>
  <c r="H64" i="6"/>
  <c r="G64" i="6"/>
  <c r="CZ64" i="6" s="1"/>
  <c r="F64" i="6"/>
  <c r="CX64" i="6" s="1"/>
  <c r="A64" i="6"/>
  <c r="DT63" i="6"/>
  <c r="DP63" i="6"/>
  <c r="DO63" i="6"/>
  <c r="DH63" i="6"/>
  <c r="DG63" i="6" s="1"/>
  <c r="DE63" i="6"/>
  <c r="DB63" i="6"/>
  <c r="DA63" i="6"/>
  <c r="CB63" i="6"/>
  <c r="BR63" i="6"/>
  <c r="BP63" i="6"/>
  <c r="BL63" i="6"/>
  <c r="BH63" i="6"/>
  <c r="BD63" i="6"/>
  <c r="AZ63" i="6"/>
  <c r="AX63" i="6"/>
  <c r="AV63" i="6"/>
  <c r="AU63" i="6"/>
  <c r="BV63" i="6" s="1"/>
  <c r="AS63" i="6"/>
  <c r="M63" i="6"/>
  <c r="K63" i="6"/>
  <c r="CN63" i="6" s="1"/>
  <c r="J63" i="6"/>
  <c r="BS63" i="6" s="1"/>
  <c r="H63" i="6"/>
  <c r="G63" i="6"/>
  <c r="CZ63" i="6" s="1"/>
  <c r="F63" i="6"/>
  <c r="CX63" i="6" s="1"/>
  <c r="A63" i="6"/>
  <c r="DT62" i="6"/>
  <c r="DP62" i="6"/>
  <c r="DO62" i="6"/>
  <c r="DH62" i="6"/>
  <c r="DJ62" i="6" s="1"/>
  <c r="DE62" i="6"/>
  <c r="DB62" i="6"/>
  <c r="DA62" i="6"/>
  <c r="CB62" i="6"/>
  <c r="BR62" i="6"/>
  <c r="BP62" i="6"/>
  <c r="BL62" i="6"/>
  <c r="BH62" i="6"/>
  <c r="BD62" i="6"/>
  <c r="AZ62" i="6"/>
  <c r="AX62" i="6"/>
  <c r="AV62" i="6"/>
  <c r="AU62" i="6"/>
  <c r="BV62" i="6" s="1"/>
  <c r="AS62" i="6"/>
  <c r="M62" i="6"/>
  <c r="K62" i="6"/>
  <c r="CN62" i="6" s="1"/>
  <c r="J62" i="6"/>
  <c r="N62" i="6" s="1"/>
  <c r="H62" i="6"/>
  <c r="G62" i="6"/>
  <c r="BI62" i="6" s="1"/>
  <c r="F62" i="6"/>
  <c r="CX62" i="6" s="1"/>
  <c r="A62" i="6"/>
  <c r="DT61" i="6"/>
  <c r="DP61" i="6"/>
  <c r="DO61" i="6"/>
  <c r="DH61" i="6"/>
  <c r="DG61" i="6" s="1"/>
  <c r="DE61" i="6"/>
  <c r="DB61" i="6"/>
  <c r="DA61" i="6"/>
  <c r="CB61" i="6"/>
  <c r="BR61" i="6"/>
  <c r="BP61" i="6"/>
  <c r="BL61" i="6"/>
  <c r="BH61" i="6"/>
  <c r="BD61" i="6"/>
  <c r="AZ61" i="6"/>
  <c r="AX61" i="6"/>
  <c r="AV61" i="6"/>
  <c r="AU61" i="6"/>
  <c r="BV61" i="6" s="1"/>
  <c r="AS61" i="6"/>
  <c r="M61" i="6"/>
  <c r="K61" i="6"/>
  <c r="CN61" i="6" s="1"/>
  <c r="J61" i="6"/>
  <c r="D61" i="6" s="1"/>
  <c r="H61" i="6"/>
  <c r="G61" i="6"/>
  <c r="CZ61" i="6" s="1"/>
  <c r="F61" i="6"/>
  <c r="CX61" i="6" s="1"/>
  <c r="A61" i="6"/>
  <c r="DT60" i="6"/>
  <c r="DP60" i="6"/>
  <c r="DO60" i="6"/>
  <c r="DH60" i="6"/>
  <c r="DG60" i="6" s="1"/>
  <c r="DE60" i="6"/>
  <c r="DB60" i="6"/>
  <c r="DA60" i="6"/>
  <c r="CB60" i="6"/>
  <c r="BR60" i="6"/>
  <c r="BP60" i="6"/>
  <c r="BL60" i="6"/>
  <c r="BH60" i="6"/>
  <c r="BD60" i="6"/>
  <c r="AZ60" i="6"/>
  <c r="AX60" i="6"/>
  <c r="AV60" i="6"/>
  <c r="AU60" i="6"/>
  <c r="BV60" i="6" s="1"/>
  <c r="AS60" i="6"/>
  <c r="M60" i="6"/>
  <c r="K60" i="6"/>
  <c r="CN60" i="6" s="1"/>
  <c r="J60" i="6"/>
  <c r="D60" i="6" s="1"/>
  <c r="H60" i="6"/>
  <c r="G60" i="6"/>
  <c r="CZ60" i="6" s="1"/>
  <c r="F60" i="6"/>
  <c r="CX60" i="6" s="1"/>
  <c r="A60" i="6"/>
  <c r="DT59" i="6"/>
  <c r="DP59" i="6"/>
  <c r="DO59" i="6"/>
  <c r="DH59" i="6"/>
  <c r="DJ59" i="6" s="1"/>
  <c r="DE59" i="6"/>
  <c r="DB59" i="6"/>
  <c r="DA59" i="6"/>
  <c r="CB59" i="6"/>
  <c r="BR59" i="6"/>
  <c r="BP59" i="6"/>
  <c r="BL59" i="6"/>
  <c r="BH59" i="6"/>
  <c r="BD59" i="6"/>
  <c r="AZ59" i="6"/>
  <c r="AX59" i="6"/>
  <c r="AV59" i="6"/>
  <c r="AU59" i="6"/>
  <c r="BV59" i="6" s="1"/>
  <c r="AS59" i="6"/>
  <c r="M59" i="6"/>
  <c r="K59" i="6"/>
  <c r="CN59" i="6" s="1"/>
  <c r="J59" i="6"/>
  <c r="N59" i="6" s="1"/>
  <c r="H59" i="6"/>
  <c r="G59" i="6"/>
  <c r="BI59" i="6" s="1"/>
  <c r="F59" i="6"/>
  <c r="CX59" i="6" s="1"/>
  <c r="A59" i="6"/>
  <c r="DT58" i="6"/>
  <c r="DP58" i="6"/>
  <c r="DO58" i="6"/>
  <c r="DH58" i="6"/>
  <c r="DJ58" i="6" s="1"/>
  <c r="DE58" i="6"/>
  <c r="DB58" i="6"/>
  <c r="DA58" i="6"/>
  <c r="CB58" i="6"/>
  <c r="BR58" i="6"/>
  <c r="BP58" i="6"/>
  <c r="BL58" i="6"/>
  <c r="BH58" i="6"/>
  <c r="BD58" i="6"/>
  <c r="AZ58" i="6"/>
  <c r="AX58" i="6"/>
  <c r="AV58" i="6"/>
  <c r="AU58" i="6"/>
  <c r="BV58" i="6" s="1"/>
  <c r="AS58" i="6"/>
  <c r="M58" i="6"/>
  <c r="K58" i="6"/>
  <c r="CN58" i="6" s="1"/>
  <c r="J58" i="6"/>
  <c r="L58" i="6" s="1"/>
  <c r="H58" i="6"/>
  <c r="G58" i="6"/>
  <c r="CZ58" i="6" s="1"/>
  <c r="F58" i="6"/>
  <c r="CX58" i="6" s="1"/>
  <c r="A58" i="6"/>
  <c r="DT57" i="6"/>
  <c r="DP57" i="6"/>
  <c r="DO57" i="6"/>
  <c r="DH57" i="6"/>
  <c r="DG57" i="6" s="1"/>
  <c r="DE57" i="6"/>
  <c r="DB57" i="6"/>
  <c r="DA57" i="6"/>
  <c r="CB57" i="6"/>
  <c r="BR57" i="6"/>
  <c r="BP57" i="6"/>
  <c r="BL57" i="6"/>
  <c r="BH57" i="6"/>
  <c r="BD57" i="6"/>
  <c r="AZ57" i="6"/>
  <c r="AX57" i="6"/>
  <c r="AV57" i="6"/>
  <c r="AU57" i="6"/>
  <c r="BV57" i="6" s="1"/>
  <c r="AS57" i="6"/>
  <c r="M57" i="6"/>
  <c r="K57" i="6"/>
  <c r="CN57" i="6" s="1"/>
  <c r="J57" i="6"/>
  <c r="BS57" i="6" s="1"/>
  <c r="H57" i="6"/>
  <c r="G57" i="6"/>
  <c r="CZ57" i="6" s="1"/>
  <c r="F57" i="6"/>
  <c r="CX57" i="6" s="1"/>
  <c r="A57" i="6"/>
  <c r="DT56" i="6"/>
  <c r="DP56" i="6"/>
  <c r="DO56" i="6"/>
  <c r="DH56" i="6"/>
  <c r="DJ56" i="6" s="1"/>
  <c r="DE56" i="6"/>
  <c r="DB56" i="6"/>
  <c r="DA56" i="6"/>
  <c r="CB56" i="6"/>
  <c r="BR56" i="6"/>
  <c r="BP56" i="6"/>
  <c r="BL56" i="6"/>
  <c r="BH56" i="6"/>
  <c r="BD56" i="6"/>
  <c r="AZ56" i="6"/>
  <c r="AX56" i="6"/>
  <c r="AV56" i="6"/>
  <c r="AU56" i="6"/>
  <c r="BV56" i="6" s="1"/>
  <c r="AS56" i="6"/>
  <c r="M56" i="6"/>
  <c r="K56" i="6"/>
  <c r="CN56" i="6" s="1"/>
  <c r="J56" i="6"/>
  <c r="N56" i="6" s="1"/>
  <c r="H56" i="6"/>
  <c r="G56" i="6"/>
  <c r="BI56" i="6" s="1"/>
  <c r="F56" i="6"/>
  <c r="CX56" i="6" s="1"/>
  <c r="A56" i="6"/>
  <c r="DT55" i="6"/>
  <c r="DP55" i="6"/>
  <c r="DO55" i="6"/>
  <c r="DH55" i="6"/>
  <c r="DG55" i="6" s="1"/>
  <c r="DE55" i="6"/>
  <c r="DB55" i="6"/>
  <c r="DA55" i="6"/>
  <c r="CB55" i="6"/>
  <c r="BR55" i="6"/>
  <c r="BP55" i="6"/>
  <c r="BL55" i="6"/>
  <c r="BH55" i="6"/>
  <c r="BD55" i="6"/>
  <c r="AZ55" i="6"/>
  <c r="AX55" i="6"/>
  <c r="AV55" i="6"/>
  <c r="AU55" i="6"/>
  <c r="BV55" i="6" s="1"/>
  <c r="AS55" i="6"/>
  <c r="M55" i="6"/>
  <c r="K55" i="6"/>
  <c r="CN55" i="6" s="1"/>
  <c r="J55" i="6"/>
  <c r="D55" i="6" s="1"/>
  <c r="H55" i="6"/>
  <c r="G55" i="6"/>
  <c r="CZ55" i="6" s="1"/>
  <c r="F55" i="6"/>
  <c r="CX55" i="6" s="1"/>
  <c r="A55" i="6"/>
  <c r="DT54" i="6"/>
  <c r="DP54" i="6"/>
  <c r="DO54" i="6"/>
  <c r="DH54" i="6"/>
  <c r="DG54" i="6" s="1"/>
  <c r="DE54" i="6"/>
  <c r="DB54" i="6"/>
  <c r="DA54" i="6"/>
  <c r="CB54" i="6"/>
  <c r="BR54" i="6"/>
  <c r="BP54" i="6"/>
  <c r="BL54" i="6"/>
  <c r="BH54" i="6"/>
  <c r="BD54" i="6"/>
  <c r="AZ54" i="6"/>
  <c r="AX54" i="6"/>
  <c r="AV54" i="6"/>
  <c r="AU54" i="6"/>
  <c r="BV54" i="6" s="1"/>
  <c r="AS54" i="6"/>
  <c r="M54" i="6"/>
  <c r="K54" i="6"/>
  <c r="CN54" i="6" s="1"/>
  <c r="J54" i="6"/>
  <c r="D54" i="6" s="1"/>
  <c r="H54" i="6"/>
  <c r="G54" i="6"/>
  <c r="CZ54" i="6" s="1"/>
  <c r="F54" i="6"/>
  <c r="CX54" i="6" s="1"/>
  <c r="A54" i="6"/>
  <c r="DT53" i="6"/>
  <c r="DP53" i="6"/>
  <c r="DO53" i="6"/>
  <c r="DH53" i="6"/>
  <c r="DJ53" i="6" s="1"/>
  <c r="DE53" i="6"/>
  <c r="DB53" i="6"/>
  <c r="DA53" i="6"/>
  <c r="CB53" i="6"/>
  <c r="BR53" i="6"/>
  <c r="BP53" i="6"/>
  <c r="BL53" i="6"/>
  <c r="BH53" i="6"/>
  <c r="BD53" i="6"/>
  <c r="AZ53" i="6"/>
  <c r="AX53" i="6"/>
  <c r="AV53" i="6"/>
  <c r="AU53" i="6"/>
  <c r="BV53" i="6" s="1"/>
  <c r="AS53" i="6"/>
  <c r="M53" i="6"/>
  <c r="K53" i="6"/>
  <c r="CN53" i="6" s="1"/>
  <c r="J53" i="6"/>
  <c r="N53" i="6" s="1"/>
  <c r="H53" i="6"/>
  <c r="G53" i="6"/>
  <c r="BI53" i="6" s="1"/>
  <c r="F53" i="6"/>
  <c r="CX53" i="6" s="1"/>
  <c r="A53" i="6"/>
  <c r="DT52" i="6"/>
  <c r="DP52" i="6"/>
  <c r="DO52" i="6"/>
  <c r="DH52" i="6"/>
  <c r="DJ52" i="6" s="1"/>
  <c r="DE52" i="6"/>
  <c r="DB52" i="6"/>
  <c r="DA52" i="6"/>
  <c r="CB52" i="6"/>
  <c r="BR52" i="6"/>
  <c r="BP52" i="6"/>
  <c r="BL52" i="6"/>
  <c r="BH52" i="6"/>
  <c r="BD52" i="6"/>
  <c r="AZ52" i="6"/>
  <c r="AX52" i="6"/>
  <c r="AV52" i="6"/>
  <c r="AU52" i="6"/>
  <c r="BV52" i="6" s="1"/>
  <c r="AS52" i="6"/>
  <c r="M52" i="6"/>
  <c r="K52" i="6"/>
  <c r="CN52" i="6" s="1"/>
  <c r="J52" i="6"/>
  <c r="L52" i="6" s="1"/>
  <c r="H52" i="6"/>
  <c r="G52" i="6"/>
  <c r="CZ52" i="6" s="1"/>
  <c r="F52" i="6"/>
  <c r="DQ52" i="6" s="1"/>
  <c r="A52" i="6"/>
  <c r="DT51" i="6"/>
  <c r="DP51" i="6"/>
  <c r="DO51" i="6"/>
  <c r="DH51" i="6"/>
  <c r="DG51" i="6" s="1"/>
  <c r="DE51" i="6"/>
  <c r="DB51" i="6"/>
  <c r="DA51" i="6"/>
  <c r="CB51" i="6"/>
  <c r="BR51" i="6"/>
  <c r="BP51" i="6"/>
  <c r="BL51" i="6"/>
  <c r="BH51" i="6"/>
  <c r="BD51" i="6"/>
  <c r="AZ51" i="6"/>
  <c r="AX51" i="6"/>
  <c r="AV51" i="6"/>
  <c r="AU51" i="6"/>
  <c r="BV51" i="6" s="1"/>
  <c r="AS51" i="6"/>
  <c r="M51" i="6"/>
  <c r="K51" i="6"/>
  <c r="CN51" i="6" s="1"/>
  <c r="J51" i="6"/>
  <c r="D51" i="6" s="1"/>
  <c r="H51" i="6"/>
  <c r="G51" i="6"/>
  <c r="CZ51" i="6" s="1"/>
  <c r="F51" i="6"/>
  <c r="CX51" i="6" s="1"/>
  <c r="A51" i="6"/>
  <c r="DT50" i="6"/>
  <c r="DP50" i="6"/>
  <c r="DO50" i="6"/>
  <c r="DH50" i="6"/>
  <c r="DJ50" i="6" s="1"/>
  <c r="DE50" i="6"/>
  <c r="DB50" i="6"/>
  <c r="DA50" i="6"/>
  <c r="CB50" i="6"/>
  <c r="BR50" i="6"/>
  <c r="BP50" i="6"/>
  <c r="BL50" i="6"/>
  <c r="BH50" i="6"/>
  <c r="BD50" i="6"/>
  <c r="AZ50" i="6"/>
  <c r="AX50" i="6"/>
  <c r="AV50" i="6"/>
  <c r="AU50" i="6"/>
  <c r="BV50" i="6" s="1"/>
  <c r="AS50" i="6"/>
  <c r="M50" i="6"/>
  <c r="K50" i="6"/>
  <c r="CN50" i="6" s="1"/>
  <c r="J50" i="6"/>
  <c r="N50" i="6" s="1"/>
  <c r="H50" i="6"/>
  <c r="G50" i="6"/>
  <c r="BI50" i="6" s="1"/>
  <c r="F50" i="6"/>
  <c r="CX50" i="6" s="1"/>
  <c r="A50" i="6"/>
  <c r="DT49" i="6"/>
  <c r="DP49" i="6"/>
  <c r="DO49" i="6"/>
  <c r="DH49" i="6"/>
  <c r="DI49" i="6" s="1"/>
  <c r="DE49" i="6"/>
  <c r="DB49" i="6"/>
  <c r="DA49" i="6"/>
  <c r="CB49" i="6"/>
  <c r="BR49" i="6"/>
  <c r="BP49" i="6"/>
  <c r="BL49" i="6"/>
  <c r="BH49" i="6"/>
  <c r="BD49" i="6"/>
  <c r="AZ49" i="6"/>
  <c r="AX49" i="6"/>
  <c r="AV49" i="6"/>
  <c r="AU49" i="6"/>
  <c r="BV49" i="6" s="1"/>
  <c r="AS49" i="6"/>
  <c r="M49" i="6"/>
  <c r="K49" i="6"/>
  <c r="CN49" i="6" s="1"/>
  <c r="J49" i="6"/>
  <c r="BS49" i="6" s="1"/>
  <c r="H49" i="6"/>
  <c r="G49" i="6"/>
  <c r="CZ49" i="6" s="1"/>
  <c r="F49" i="6"/>
  <c r="CX49" i="6" s="1"/>
  <c r="A49" i="6"/>
  <c r="DT48" i="6"/>
  <c r="DP48" i="6"/>
  <c r="DO48" i="6"/>
  <c r="DH48" i="6"/>
  <c r="DG48" i="6" s="1"/>
  <c r="DE48" i="6"/>
  <c r="DB48" i="6"/>
  <c r="DA48" i="6"/>
  <c r="CB48" i="6"/>
  <c r="BR48" i="6"/>
  <c r="BP48" i="6"/>
  <c r="BL48" i="6"/>
  <c r="BH48" i="6"/>
  <c r="BD48" i="6"/>
  <c r="AZ48" i="6"/>
  <c r="AX48" i="6"/>
  <c r="AV48" i="6"/>
  <c r="AU48" i="6"/>
  <c r="BV48" i="6" s="1"/>
  <c r="AS48" i="6"/>
  <c r="M48" i="6"/>
  <c r="K48" i="6"/>
  <c r="CN48" i="6" s="1"/>
  <c r="J48" i="6"/>
  <c r="D48" i="6" s="1"/>
  <c r="H48" i="6"/>
  <c r="G48" i="6"/>
  <c r="CZ48" i="6" s="1"/>
  <c r="F48" i="6"/>
  <c r="CX48" i="6" s="1"/>
  <c r="A48" i="6"/>
  <c r="DT47" i="6"/>
  <c r="DP47" i="6"/>
  <c r="DO47" i="6"/>
  <c r="DH47" i="6"/>
  <c r="DJ47" i="6" s="1"/>
  <c r="DE47" i="6"/>
  <c r="DB47" i="6"/>
  <c r="DA47" i="6"/>
  <c r="CB47" i="6"/>
  <c r="BR47" i="6"/>
  <c r="BP47" i="6"/>
  <c r="BL47" i="6"/>
  <c r="BH47" i="6"/>
  <c r="BD47" i="6"/>
  <c r="AZ47" i="6"/>
  <c r="AX47" i="6"/>
  <c r="AV47" i="6"/>
  <c r="AU47" i="6"/>
  <c r="BV47" i="6" s="1"/>
  <c r="AS47" i="6"/>
  <c r="M47" i="6"/>
  <c r="K47" i="6"/>
  <c r="CN47" i="6" s="1"/>
  <c r="J47" i="6"/>
  <c r="N47" i="6" s="1"/>
  <c r="H47" i="6"/>
  <c r="G47" i="6"/>
  <c r="BI47" i="6" s="1"/>
  <c r="F47" i="6"/>
  <c r="CX47" i="6" s="1"/>
  <c r="A47" i="6"/>
  <c r="DT46" i="6"/>
  <c r="DP46" i="6"/>
  <c r="DO46" i="6"/>
  <c r="DH46" i="6"/>
  <c r="DJ46" i="6" s="1"/>
  <c r="DE46" i="6"/>
  <c r="DB46" i="6"/>
  <c r="DA46" i="6"/>
  <c r="CB46" i="6"/>
  <c r="BR46" i="6"/>
  <c r="BP46" i="6"/>
  <c r="BL46" i="6"/>
  <c r="BH46" i="6"/>
  <c r="BD46" i="6"/>
  <c r="AZ46" i="6"/>
  <c r="AX46" i="6"/>
  <c r="AV46" i="6"/>
  <c r="AU46" i="6"/>
  <c r="BV46" i="6" s="1"/>
  <c r="AS46" i="6"/>
  <c r="M46" i="6"/>
  <c r="K46" i="6"/>
  <c r="CN46" i="6" s="1"/>
  <c r="J46" i="6"/>
  <c r="BS46" i="6" s="1"/>
  <c r="H46" i="6"/>
  <c r="G46" i="6"/>
  <c r="CZ46" i="6" s="1"/>
  <c r="F46" i="6"/>
  <c r="CX46" i="6" s="1"/>
  <c r="A46" i="6"/>
  <c r="DT45" i="6"/>
  <c r="DP45" i="6"/>
  <c r="DO45" i="6"/>
  <c r="DH45" i="6"/>
  <c r="DG45" i="6" s="1"/>
  <c r="DE45" i="6"/>
  <c r="DB45" i="6"/>
  <c r="DA45" i="6"/>
  <c r="CB45" i="6"/>
  <c r="BR45" i="6"/>
  <c r="BP45" i="6"/>
  <c r="BL45" i="6"/>
  <c r="BH45" i="6"/>
  <c r="BD45" i="6"/>
  <c r="AZ45" i="6"/>
  <c r="AX45" i="6"/>
  <c r="AV45" i="6"/>
  <c r="AU45" i="6"/>
  <c r="BV45" i="6" s="1"/>
  <c r="AS45" i="6"/>
  <c r="M45" i="6"/>
  <c r="K45" i="6"/>
  <c r="CN45" i="6" s="1"/>
  <c r="J45" i="6"/>
  <c r="D45" i="6" s="1"/>
  <c r="H45" i="6"/>
  <c r="G45" i="6"/>
  <c r="CZ45" i="6" s="1"/>
  <c r="F45" i="6"/>
  <c r="CX45" i="6" s="1"/>
  <c r="A45" i="6"/>
  <c r="DT44" i="6"/>
  <c r="DP44" i="6"/>
  <c r="DO44" i="6"/>
  <c r="DH44" i="6"/>
  <c r="DJ44" i="6" s="1"/>
  <c r="DE44" i="6"/>
  <c r="DB44" i="6"/>
  <c r="DA44" i="6"/>
  <c r="CB44" i="6"/>
  <c r="BR44" i="6"/>
  <c r="BP44" i="6"/>
  <c r="BL44" i="6"/>
  <c r="BH44" i="6"/>
  <c r="BD44" i="6"/>
  <c r="AZ44" i="6"/>
  <c r="AX44" i="6"/>
  <c r="AV44" i="6"/>
  <c r="AU44" i="6"/>
  <c r="BV44" i="6" s="1"/>
  <c r="AS44" i="6"/>
  <c r="M44" i="6"/>
  <c r="K44" i="6"/>
  <c r="CN44" i="6" s="1"/>
  <c r="J44" i="6"/>
  <c r="N44" i="6" s="1"/>
  <c r="H44" i="6"/>
  <c r="G44" i="6"/>
  <c r="CZ44" i="6" s="1"/>
  <c r="F44" i="6"/>
  <c r="CX44" i="6" s="1"/>
  <c r="A44" i="6"/>
  <c r="DT43" i="6"/>
  <c r="DP43" i="6"/>
  <c r="DO43" i="6"/>
  <c r="DH43" i="6"/>
  <c r="DG43" i="6" s="1"/>
  <c r="DE43" i="6"/>
  <c r="DB43" i="6"/>
  <c r="DA43" i="6"/>
  <c r="CB43" i="6"/>
  <c r="BR43" i="6"/>
  <c r="BP43" i="6"/>
  <c r="BL43" i="6"/>
  <c r="BH43" i="6"/>
  <c r="BD43" i="6"/>
  <c r="AZ43" i="6"/>
  <c r="AX43" i="6"/>
  <c r="AV43" i="6"/>
  <c r="AU43" i="6"/>
  <c r="BV43" i="6" s="1"/>
  <c r="AS43" i="6"/>
  <c r="M43" i="6"/>
  <c r="K43" i="6"/>
  <c r="CN43" i="6" s="1"/>
  <c r="J43" i="6"/>
  <c r="L43" i="6" s="1"/>
  <c r="H43" i="6"/>
  <c r="G43" i="6"/>
  <c r="BI43" i="6" s="1"/>
  <c r="F43" i="6"/>
  <c r="CX43" i="6" s="1"/>
  <c r="A43" i="6"/>
  <c r="DT42" i="6"/>
  <c r="DP42" i="6"/>
  <c r="DO42" i="6"/>
  <c r="DH42" i="6"/>
  <c r="DJ42" i="6" s="1"/>
  <c r="DE42" i="6"/>
  <c r="DB42" i="6"/>
  <c r="DA42" i="6"/>
  <c r="CB42" i="6"/>
  <c r="BR42" i="6"/>
  <c r="BP42" i="6"/>
  <c r="BL42" i="6"/>
  <c r="BH42" i="6"/>
  <c r="BD42" i="6"/>
  <c r="AZ42" i="6"/>
  <c r="AX42" i="6"/>
  <c r="AV42" i="6"/>
  <c r="AU42" i="6"/>
  <c r="BV42" i="6" s="1"/>
  <c r="AS42" i="6"/>
  <c r="M42" i="6"/>
  <c r="K42" i="6"/>
  <c r="CN42" i="6" s="1"/>
  <c r="J42" i="6"/>
  <c r="N42" i="6" s="1"/>
  <c r="H42" i="6"/>
  <c r="G42" i="6"/>
  <c r="BI42" i="6" s="1"/>
  <c r="F42" i="6"/>
  <c r="CX42" i="6" s="1"/>
  <c r="A42" i="6"/>
  <c r="DT41" i="6"/>
  <c r="DP41" i="6"/>
  <c r="DO41" i="6"/>
  <c r="DH41" i="6"/>
  <c r="DJ41" i="6" s="1"/>
  <c r="DE41" i="6"/>
  <c r="DB41" i="6"/>
  <c r="DA41" i="6"/>
  <c r="CB41" i="6"/>
  <c r="BR41" i="6"/>
  <c r="BP41" i="6"/>
  <c r="BL41" i="6"/>
  <c r="BH41" i="6"/>
  <c r="BD41" i="6"/>
  <c r="AZ41" i="6"/>
  <c r="AX41" i="6"/>
  <c r="AV41" i="6"/>
  <c r="AU41" i="6"/>
  <c r="BV41" i="6" s="1"/>
  <c r="AS41" i="6"/>
  <c r="M41" i="6"/>
  <c r="K41" i="6"/>
  <c r="CN41" i="6" s="1"/>
  <c r="J41" i="6"/>
  <c r="N41" i="6" s="1"/>
  <c r="H41" i="6"/>
  <c r="G41" i="6"/>
  <c r="CZ41" i="6" s="1"/>
  <c r="F41" i="6"/>
  <c r="CX41" i="6" s="1"/>
  <c r="A41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CO36" i="6" l="1"/>
  <c r="CG33" i="6"/>
  <c r="CG24" i="6"/>
  <c r="CO34" i="6"/>
  <c r="CG21" i="6"/>
  <c r="BG10" i="6"/>
  <c r="BE10" i="6"/>
  <c r="BF10" i="6" s="1"/>
  <c r="BE42" i="6"/>
  <c r="BF42" i="6" s="1"/>
  <c r="BG42" i="6"/>
  <c r="BE54" i="6"/>
  <c r="BF54" i="6" s="1"/>
  <c r="BG54" i="6"/>
  <c r="BG43" i="6"/>
  <c r="BE43" i="6"/>
  <c r="BF43" i="6" s="1"/>
  <c r="BE55" i="6"/>
  <c r="BF55" i="6" s="1"/>
  <c r="BG55" i="6"/>
  <c r="BG8" i="6"/>
  <c r="BE8" i="6"/>
  <c r="BF8" i="6" s="1"/>
  <c r="BG44" i="6"/>
  <c r="BE44" i="6"/>
  <c r="BF44" i="6" s="1"/>
  <c r="BE56" i="6"/>
  <c r="BF56" i="6" s="1"/>
  <c r="BG56" i="6"/>
  <c r="BE9" i="6"/>
  <c r="BF9" i="6" s="1"/>
  <c r="BG9" i="6"/>
  <c r="BG45" i="6"/>
  <c r="BE45" i="6"/>
  <c r="BF45" i="6" s="1"/>
  <c r="BG57" i="6"/>
  <c r="BE57" i="6"/>
  <c r="BF57" i="6" s="1"/>
  <c r="BG11" i="6"/>
  <c r="BE11" i="6"/>
  <c r="BF11" i="6" s="1"/>
  <c r="BE47" i="6"/>
  <c r="BF47" i="6" s="1"/>
  <c r="BG47" i="6"/>
  <c r="BG59" i="6"/>
  <c r="BE59" i="6"/>
  <c r="BF59" i="6" s="1"/>
  <c r="BG46" i="6"/>
  <c r="BE46" i="6"/>
  <c r="BF46" i="6" s="1"/>
  <c r="BE12" i="6"/>
  <c r="BF12" i="6" s="1"/>
  <c r="BG12" i="6"/>
  <c r="BG48" i="6"/>
  <c r="BE48" i="6"/>
  <c r="BF48" i="6" s="1"/>
  <c r="BG60" i="6"/>
  <c r="BE60" i="6"/>
  <c r="BF60" i="6" s="1"/>
  <c r="BE13" i="6"/>
  <c r="BF13" i="6" s="1"/>
  <c r="BG13" i="6"/>
  <c r="BE49" i="6"/>
  <c r="BF49" i="6" s="1"/>
  <c r="BG49" i="6"/>
  <c r="BE61" i="6"/>
  <c r="BF61" i="6" s="1"/>
  <c r="BG61" i="6"/>
  <c r="BG14" i="6"/>
  <c r="BE14" i="6"/>
  <c r="BF14" i="6" s="1"/>
  <c r="BE50" i="6"/>
  <c r="BF50" i="6" s="1"/>
  <c r="BG50" i="6"/>
  <c r="BE62" i="6"/>
  <c r="BF62" i="6" s="1"/>
  <c r="BG62" i="6"/>
  <c r="BG15" i="6"/>
  <c r="BE15" i="6"/>
  <c r="BF15" i="6" s="1"/>
  <c r="BG51" i="6"/>
  <c r="BE51" i="6"/>
  <c r="BF51" i="6" s="1"/>
  <c r="BG63" i="6"/>
  <c r="BE63" i="6"/>
  <c r="BF63" i="6" s="1"/>
  <c r="BG58" i="6"/>
  <c r="BE58" i="6"/>
  <c r="BF58" i="6" s="1"/>
  <c r="BE16" i="6"/>
  <c r="BF16" i="6" s="1"/>
  <c r="BG16" i="6"/>
  <c r="BE52" i="6"/>
  <c r="BF52" i="6" s="1"/>
  <c r="BG52" i="6"/>
  <c r="BE64" i="6"/>
  <c r="BF64" i="6" s="1"/>
  <c r="BG64" i="6"/>
  <c r="BE41" i="6"/>
  <c r="BF41" i="6" s="1"/>
  <c r="BG41" i="6"/>
  <c r="BE53" i="6"/>
  <c r="BF53" i="6" s="1"/>
  <c r="BG53" i="6"/>
  <c r="BE7" i="6"/>
  <c r="BG7" i="6"/>
  <c r="L16" i="6"/>
  <c r="DI46" i="6"/>
  <c r="CM12" i="6"/>
  <c r="DG49" i="6"/>
  <c r="CZ13" i="6"/>
  <c r="D43" i="6"/>
  <c r="BA52" i="6"/>
  <c r="L49" i="6"/>
  <c r="BS44" i="6"/>
  <c r="L46" i="6"/>
  <c r="CJ46" i="6"/>
  <c r="BA44" i="6"/>
  <c r="CJ42" i="6"/>
  <c r="DS42" i="6" s="1"/>
  <c r="BA51" i="6"/>
  <c r="D15" i="6"/>
  <c r="BA42" i="6"/>
  <c r="DI42" i="6"/>
  <c r="D46" i="6"/>
  <c r="DQ14" i="6"/>
  <c r="DG52" i="6"/>
  <c r="CW54" i="6"/>
  <c r="BS41" i="6"/>
  <c r="L63" i="6"/>
  <c r="D9" i="6"/>
  <c r="CM55" i="6"/>
  <c r="BA60" i="6"/>
  <c r="BA15" i="6"/>
  <c r="CW14" i="6"/>
  <c r="BA48" i="6"/>
  <c r="DQ12" i="6"/>
  <c r="BA41" i="6"/>
  <c r="D49" i="6"/>
  <c r="L15" i="6"/>
  <c r="CJ52" i="6"/>
  <c r="DS52" i="6" s="1"/>
  <c r="BS60" i="6"/>
  <c r="DG46" i="6"/>
  <c r="DG9" i="6"/>
  <c r="CM10" i="6"/>
  <c r="CW10" i="6"/>
  <c r="L14" i="6"/>
  <c r="BS14" i="6"/>
  <c r="N52" i="6"/>
  <c r="BS52" i="6"/>
  <c r="D57" i="6"/>
  <c r="L59" i="6"/>
  <c r="DI61" i="6"/>
  <c r="DG15" i="6"/>
  <c r="DJ61" i="6"/>
  <c r="DQ9" i="6"/>
  <c r="DI15" i="6"/>
  <c r="CM16" i="6"/>
  <c r="CM49" i="6"/>
  <c r="BA54" i="6"/>
  <c r="L56" i="6"/>
  <c r="DQ57" i="6"/>
  <c r="L60" i="6"/>
  <c r="CZ7" i="6"/>
  <c r="BS9" i="6"/>
  <c r="CW12" i="6"/>
  <c r="L41" i="6"/>
  <c r="BA45" i="6"/>
  <c r="D52" i="6"/>
  <c r="D14" i="6"/>
  <c r="D42" i="6"/>
  <c r="L57" i="6"/>
  <c r="CW9" i="6"/>
  <c r="DI14" i="6"/>
  <c r="CJ61" i="6"/>
  <c r="DS61" i="6" s="1"/>
  <c r="D63" i="6"/>
  <c r="CM41" i="6"/>
  <c r="BA49" i="6"/>
  <c r="DI52" i="6"/>
  <c r="L54" i="6"/>
  <c r="CW57" i="6"/>
  <c r="D7" i="6"/>
  <c r="D11" i="6"/>
  <c r="DG12" i="6"/>
  <c r="CJ15" i="6"/>
  <c r="CW41" i="6"/>
  <c r="CW44" i="6"/>
  <c r="BA46" i="6"/>
  <c r="DJ49" i="6"/>
  <c r="BS54" i="6"/>
  <c r="BJ53" i="6"/>
  <c r="BK53" i="6"/>
  <c r="BK47" i="6"/>
  <c r="BJ47" i="6"/>
  <c r="BK50" i="6"/>
  <c r="BJ50" i="6"/>
  <c r="L8" i="6"/>
  <c r="DQ8" i="6"/>
  <c r="CZ10" i="6"/>
  <c r="DI12" i="6"/>
  <c r="L13" i="6"/>
  <c r="BS13" i="6"/>
  <c r="L53" i="6"/>
  <c r="DI55" i="6"/>
  <c r="CZ56" i="6"/>
  <c r="N58" i="6"/>
  <c r="BS58" i="6"/>
  <c r="BA61" i="6"/>
  <c r="BA63" i="6"/>
  <c r="CJ64" i="6"/>
  <c r="DS64" i="6" s="1"/>
  <c r="CJ9" i="6"/>
  <c r="BS8" i="6"/>
  <c r="CM9" i="6"/>
  <c r="DI11" i="6"/>
  <c r="L12" i="6"/>
  <c r="BA14" i="6"/>
  <c r="D41" i="6"/>
  <c r="DG42" i="6"/>
  <c r="N46" i="6"/>
  <c r="CZ47" i="6"/>
  <c r="N49" i="6"/>
  <c r="CZ50" i="6"/>
  <c r="L55" i="6"/>
  <c r="DJ55" i="6"/>
  <c r="L62" i="6"/>
  <c r="D10" i="6"/>
  <c r="BS12" i="6"/>
  <c r="CM13" i="6"/>
  <c r="D44" i="6"/>
  <c r="DQ45" i="6"/>
  <c r="DQ48" i="6"/>
  <c r="DQ51" i="6"/>
  <c r="CJ58" i="6"/>
  <c r="DS58" i="6" s="1"/>
  <c r="CZ62" i="6"/>
  <c r="CJ49" i="6"/>
  <c r="DS49" i="6" s="1"/>
  <c r="CZ53" i="6"/>
  <c r="N55" i="6"/>
  <c r="BS55" i="6"/>
  <c r="CM58" i="6"/>
  <c r="L7" i="6"/>
  <c r="CW8" i="6"/>
  <c r="BA9" i="6"/>
  <c r="L11" i="6"/>
  <c r="DQ11" i="6"/>
  <c r="CJ12" i="6"/>
  <c r="DS12" i="6" s="1"/>
  <c r="BS15" i="6"/>
  <c r="CZ16" i="6"/>
  <c r="DI41" i="6"/>
  <c r="L42" i="6"/>
  <c r="CM43" i="6"/>
  <c r="DI44" i="6"/>
  <c r="L45" i="6"/>
  <c r="CM46" i="6"/>
  <c r="L48" i="6"/>
  <c r="L51" i="6"/>
  <c r="DQ54" i="6"/>
  <c r="D58" i="6"/>
  <c r="L61" i="6"/>
  <c r="BA64" i="6"/>
  <c r="DG64" i="6"/>
  <c r="DQ7" i="6"/>
  <c r="CM8" i="6"/>
  <c r="BS11" i="6"/>
  <c r="DQ15" i="6"/>
  <c r="BS42" i="6"/>
  <c r="CZ43" i="6"/>
  <c r="BS45" i="6"/>
  <c r="BS48" i="6"/>
  <c r="BS51" i="6"/>
  <c r="CM52" i="6"/>
  <c r="CJ55" i="6"/>
  <c r="DS55" i="6" s="1"/>
  <c r="BA11" i="6"/>
  <c r="DQ42" i="6"/>
  <c r="E52" i="6"/>
  <c r="CV52" i="6" s="1"/>
  <c r="BA58" i="6"/>
  <c r="N61" i="6"/>
  <c r="BS61" i="6"/>
  <c r="DI64" i="6"/>
  <c r="BA8" i="6"/>
  <c r="DQ10" i="6"/>
  <c r="CM11" i="6"/>
  <c r="D12" i="6"/>
  <c r="CM15" i="6"/>
  <c r="DQ41" i="6"/>
  <c r="DQ44" i="6"/>
  <c r="CW45" i="6"/>
  <c r="CW48" i="6"/>
  <c r="CW51" i="6"/>
  <c r="CX52" i="6"/>
  <c r="DG58" i="6"/>
  <c r="CM7" i="6"/>
  <c r="CW7" i="6"/>
  <c r="DI9" i="6"/>
  <c r="L10" i="6"/>
  <c r="CW11" i="6"/>
  <c r="BA12" i="6"/>
  <c r="CW15" i="6"/>
  <c r="CM42" i="6"/>
  <c r="D8" i="6"/>
  <c r="DI8" i="6"/>
  <c r="L9" i="6"/>
  <c r="CM14" i="6"/>
  <c r="CW42" i="6"/>
  <c r="L47" i="6"/>
  <c r="L50" i="6"/>
  <c r="BA55" i="6"/>
  <c r="DI58" i="6"/>
  <c r="CZ59" i="6"/>
  <c r="CM44" i="6"/>
  <c r="BA57" i="6"/>
  <c r="N64" i="6"/>
  <c r="BS64" i="6"/>
  <c r="BJ59" i="6"/>
  <c r="BK59" i="6"/>
  <c r="BJ56" i="6"/>
  <c r="BK56" i="6"/>
  <c r="BJ62" i="6"/>
  <c r="BK62" i="6"/>
  <c r="CW47" i="6"/>
  <c r="DQ47" i="6"/>
  <c r="CM48" i="6"/>
  <c r="DI48" i="6"/>
  <c r="D50" i="6"/>
  <c r="CW50" i="6"/>
  <c r="DQ50" i="6"/>
  <c r="CM51" i="6"/>
  <c r="DI51" i="6"/>
  <c r="D53" i="6"/>
  <c r="CW53" i="6"/>
  <c r="DQ53" i="6"/>
  <c r="CM54" i="6"/>
  <c r="DI54" i="6"/>
  <c r="D56" i="6"/>
  <c r="CW56" i="6"/>
  <c r="DQ56" i="6"/>
  <c r="CM57" i="6"/>
  <c r="DI57" i="6"/>
  <c r="D59" i="6"/>
  <c r="CW59" i="6"/>
  <c r="DQ59" i="6"/>
  <c r="CM60" i="6"/>
  <c r="DI60" i="6"/>
  <c r="D62" i="6"/>
  <c r="CW62" i="6"/>
  <c r="DQ62" i="6"/>
  <c r="CM63" i="6"/>
  <c r="DI63" i="6"/>
  <c r="CM45" i="6"/>
  <c r="DI45" i="6"/>
  <c r="D47" i="6"/>
  <c r="N45" i="6"/>
  <c r="BI45" i="6"/>
  <c r="DJ45" i="6"/>
  <c r="E47" i="6"/>
  <c r="CV47" i="6" s="1"/>
  <c r="N48" i="6"/>
  <c r="BI48" i="6"/>
  <c r="DJ48" i="6"/>
  <c r="E50" i="6"/>
  <c r="CV50" i="6" s="1"/>
  <c r="N51" i="6"/>
  <c r="BI51" i="6"/>
  <c r="DJ51" i="6"/>
  <c r="E53" i="6"/>
  <c r="CV53" i="6" s="1"/>
  <c r="N54" i="6"/>
  <c r="BI54" i="6"/>
  <c r="DJ54" i="6"/>
  <c r="E56" i="6"/>
  <c r="CV56" i="6" s="1"/>
  <c r="N57" i="6"/>
  <c r="BI57" i="6"/>
  <c r="DJ57" i="6"/>
  <c r="E59" i="6"/>
  <c r="CV59" i="6" s="1"/>
  <c r="N60" i="6"/>
  <c r="BI60" i="6"/>
  <c r="DJ60" i="6"/>
  <c r="E62" i="6"/>
  <c r="CV62" i="6" s="1"/>
  <c r="N63" i="6"/>
  <c r="BI63" i="6"/>
  <c r="DJ63" i="6"/>
  <c r="BA47" i="6"/>
  <c r="BS47" i="6"/>
  <c r="BA50" i="6"/>
  <c r="BS50" i="6"/>
  <c r="BA53" i="6"/>
  <c r="BS53" i="6"/>
  <c r="BA56" i="6"/>
  <c r="BS56" i="6"/>
  <c r="BA59" i="6"/>
  <c r="BS59" i="6"/>
  <c r="BA62" i="6"/>
  <c r="BS62" i="6"/>
  <c r="L64" i="6"/>
  <c r="CW60" i="6"/>
  <c r="DQ60" i="6"/>
  <c r="CM61" i="6"/>
  <c r="CW63" i="6"/>
  <c r="DQ63" i="6"/>
  <c r="CM64" i="6"/>
  <c r="E45" i="6"/>
  <c r="CV45" i="6" s="1"/>
  <c r="BI46" i="6"/>
  <c r="E48" i="6"/>
  <c r="CV48" i="6" s="1"/>
  <c r="BI49" i="6"/>
  <c r="E51" i="6"/>
  <c r="CV51" i="6" s="1"/>
  <c r="BI52" i="6"/>
  <c r="E54" i="6"/>
  <c r="CV54" i="6" s="1"/>
  <c r="BI55" i="6"/>
  <c r="E57" i="6"/>
  <c r="CV57" i="6" s="1"/>
  <c r="BI58" i="6"/>
  <c r="E60" i="6"/>
  <c r="CV60" i="6" s="1"/>
  <c r="BI61" i="6"/>
  <c r="E63" i="6"/>
  <c r="CV63" i="6" s="1"/>
  <c r="BI64" i="6"/>
  <c r="CJ47" i="6"/>
  <c r="DS47" i="6" s="1"/>
  <c r="DG47" i="6"/>
  <c r="CJ50" i="6"/>
  <c r="DS50" i="6" s="1"/>
  <c r="DG50" i="6"/>
  <c r="CJ53" i="6"/>
  <c r="DS53" i="6" s="1"/>
  <c r="DG53" i="6"/>
  <c r="CJ56" i="6"/>
  <c r="DS56" i="6" s="1"/>
  <c r="DG56" i="6"/>
  <c r="CJ59" i="6"/>
  <c r="DS59" i="6" s="1"/>
  <c r="DG59" i="6"/>
  <c r="CJ62" i="6"/>
  <c r="DS62" i="6" s="1"/>
  <c r="DG62" i="6"/>
  <c r="CW46" i="6"/>
  <c r="DQ46" i="6"/>
  <c r="CM47" i="6"/>
  <c r="DI47" i="6"/>
  <c r="CW49" i="6"/>
  <c r="DQ49" i="6"/>
  <c r="CM50" i="6"/>
  <c r="DI50" i="6"/>
  <c r="CW52" i="6"/>
  <c r="CM53" i="6"/>
  <c r="DI53" i="6"/>
  <c r="CW55" i="6"/>
  <c r="DQ55" i="6"/>
  <c r="CM56" i="6"/>
  <c r="DI56" i="6"/>
  <c r="CW58" i="6"/>
  <c r="DQ58" i="6"/>
  <c r="CM59" i="6"/>
  <c r="DI59" i="6"/>
  <c r="CW61" i="6"/>
  <c r="DQ61" i="6"/>
  <c r="CM62" i="6"/>
  <c r="DI62" i="6"/>
  <c r="CW64" i="6"/>
  <c r="DQ64" i="6"/>
  <c r="E46" i="6"/>
  <c r="CV46" i="6" s="1"/>
  <c r="E49" i="6"/>
  <c r="CV49" i="6" s="1"/>
  <c r="E55" i="6"/>
  <c r="CV55" i="6" s="1"/>
  <c r="E58" i="6"/>
  <c r="CV58" i="6" s="1"/>
  <c r="E61" i="6"/>
  <c r="CV61" i="6" s="1"/>
  <c r="E64" i="6"/>
  <c r="CV64" i="6" s="1"/>
  <c r="CJ45" i="6"/>
  <c r="DS45" i="6" s="1"/>
  <c r="CJ48" i="6"/>
  <c r="DS48" i="6" s="1"/>
  <c r="CJ51" i="6"/>
  <c r="DS51" i="6" s="1"/>
  <c r="CJ54" i="6"/>
  <c r="DS54" i="6" s="1"/>
  <c r="CJ57" i="6"/>
  <c r="DS57" i="6" s="1"/>
  <c r="CJ60" i="6"/>
  <c r="DS60" i="6" s="1"/>
  <c r="CJ63" i="6"/>
  <c r="DS63" i="6" s="1"/>
  <c r="BK16" i="6"/>
  <c r="BJ16" i="6"/>
  <c r="BK43" i="6"/>
  <c r="BJ43" i="6"/>
  <c r="BK7" i="6"/>
  <c r="BJ7" i="6"/>
  <c r="BJ42" i="6"/>
  <c r="BK42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42" i="6"/>
  <c r="CV42" i="6" s="1"/>
  <c r="N43" i="6"/>
  <c r="DJ43" i="6"/>
  <c r="DI43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41" i="6"/>
  <c r="DS41" i="6" s="1"/>
  <c r="DG41" i="6"/>
  <c r="CZ42" i="6"/>
  <c r="CJ44" i="6"/>
  <c r="DS44" i="6" s="1"/>
  <c r="DG44" i="6"/>
  <c r="DI13" i="6"/>
  <c r="DI16" i="6"/>
  <c r="L44" i="6"/>
  <c r="CW13" i="6"/>
  <c r="DQ13" i="6"/>
  <c r="CW16" i="6"/>
  <c r="DQ16" i="6"/>
  <c r="CW43" i="6"/>
  <c r="DQ43" i="6"/>
  <c r="E7" i="6"/>
  <c r="CV7" i="6" s="1"/>
  <c r="BI8" i="6"/>
  <c r="E10" i="6"/>
  <c r="CV10" i="6" s="1"/>
  <c r="BI11" i="6"/>
  <c r="E13" i="6"/>
  <c r="CV13" i="6" s="1"/>
  <c r="BI14" i="6"/>
  <c r="E16" i="6"/>
  <c r="CV16" i="6" s="1"/>
  <c r="BI41" i="6"/>
  <c r="E43" i="6"/>
  <c r="CV43" i="6" s="1"/>
  <c r="BI44" i="6"/>
  <c r="BA7" i="6"/>
  <c r="BA10" i="6"/>
  <c r="BA13" i="6"/>
  <c r="BA16" i="6"/>
  <c r="BS16" i="6"/>
  <c r="BA43" i="6"/>
  <c r="BS43" i="6"/>
  <c r="E8" i="6"/>
  <c r="CV8" i="6" s="1"/>
  <c r="E11" i="6"/>
  <c r="CV11" i="6" s="1"/>
  <c r="E14" i="6"/>
  <c r="CV14" i="6" s="1"/>
  <c r="E41" i="6"/>
  <c r="CV41" i="6" s="1"/>
  <c r="E44" i="6"/>
  <c r="CV44" i="6" s="1"/>
  <c r="CJ7" i="6"/>
  <c r="DS7" i="6" s="1"/>
  <c r="CJ10" i="6"/>
  <c r="DS10" i="6" s="1"/>
  <c r="CJ13" i="6"/>
  <c r="DS13" i="6" s="1"/>
  <c r="CJ16" i="6"/>
  <c r="DS16" i="6" s="1"/>
  <c r="CJ43" i="6"/>
  <c r="DS43" i="6" s="1"/>
  <c r="CK46" i="6" l="1"/>
  <c r="CO46" i="6" s="1"/>
  <c r="DS46" i="6"/>
  <c r="CK9" i="6"/>
  <c r="CO9" i="6" s="1"/>
  <c r="DS9" i="6"/>
  <c r="CK15" i="6"/>
  <c r="CO15" i="6" s="1"/>
  <c r="DS15" i="6"/>
  <c r="CK42" i="6"/>
  <c r="CO42" i="6" s="1"/>
  <c r="CK12" i="6"/>
  <c r="CO12" i="6" s="1"/>
  <c r="CK55" i="6"/>
  <c r="CO55" i="6" s="1"/>
  <c r="CK49" i="6"/>
  <c r="CO49" i="6" s="1"/>
  <c r="CK61" i="6"/>
  <c r="CO61" i="6" s="1"/>
  <c r="CK64" i="6"/>
  <c r="CO64" i="6" s="1"/>
  <c r="CK58" i="6"/>
  <c r="CO58" i="6" s="1"/>
  <c r="CK52" i="6"/>
  <c r="CO52" i="6" s="1"/>
  <c r="CK60" i="6"/>
  <c r="CO60" i="6" s="1"/>
  <c r="BK60" i="6"/>
  <c r="BJ60" i="6"/>
  <c r="BK55" i="6"/>
  <c r="BJ55" i="6"/>
  <c r="BK48" i="6"/>
  <c r="BJ48" i="6"/>
  <c r="CK59" i="6"/>
  <c r="CO59" i="6" s="1"/>
  <c r="CK47" i="6"/>
  <c r="CG47" i="6" s="1"/>
  <c r="CK57" i="6"/>
  <c r="CG57" i="6" s="1"/>
  <c r="BK57" i="6"/>
  <c r="BJ57" i="6"/>
  <c r="CK63" i="6"/>
  <c r="CO63" i="6" s="1"/>
  <c r="CK54" i="6"/>
  <c r="CG54" i="6" s="1"/>
  <c r="CK45" i="6"/>
  <c r="CO45" i="6" s="1"/>
  <c r="BK64" i="6"/>
  <c r="BJ64" i="6"/>
  <c r="BK52" i="6"/>
  <c r="BJ52" i="6"/>
  <c r="BK63" i="6"/>
  <c r="BJ63" i="6"/>
  <c r="CK56" i="6"/>
  <c r="CO56" i="6" s="1"/>
  <c r="BK54" i="6"/>
  <c r="BJ54" i="6"/>
  <c r="BK45" i="6"/>
  <c r="BJ45" i="6"/>
  <c r="CK53" i="6"/>
  <c r="CG53" i="6" s="1"/>
  <c r="BK61" i="6"/>
  <c r="BJ61" i="6"/>
  <c r="BK46" i="6"/>
  <c r="BJ46" i="6"/>
  <c r="BK49" i="6"/>
  <c r="BJ49" i="6"/>
  <c r="BK51" i="6"/>
  <c r="BJ51" i="6"/>
  <c r="BK58" i="6"/>
  <c r="BJ58" i="6"/>
  <c r="CK51" i="6"/>
  <c r="CO51" i="6" s="1"/>
  <c r="CK62" i="6"/>
  <c r="CO62" i="6" s="1"/>
  <c r="CK50" i="6"/>
  <c r="CO50" i="6" s="1"/>
  <c r="CK48" i="6"/>
  <c r="CO48" i="6" s="1"/>
  <c r="CK13" i="6"/>
  <c r="CO13" i="6" s="1"/>
  <c r="BK14" i="6"/>
  <c r="BJ14" i="6"/>
  <c r="CK14" i="6"/>
  <c r="CO14" i="6" s="1"/>
  <c r="CK44" i="6"/>
  <c r="CO44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44" i="6"/>
  <c r="BJ44" i="6"/>
  <c r="CK43" i="6"/>
  <c r="CO43" i="6" s="1"/>
  <c r="BK41" i="6"/>
  <c r="BJ41" i="6"/>
  <c r="CK41" i="6"/>
  <c r="CO41" i="6" s="1"/>
  <c r="CG46" i="6" l="1"/>
  <c r="CG9" i="6"/>
  <c r="CG15" i="6"/>
  <c r="CG42" i="6"/>
  <c r="CG12" i="6"/>
  <c r="CG64" i="6"/>
  <c r="CG45" i="6"/>
  <c r="CG61" i="6"/>
  <c r="CG8" i="6"/>
  <c r="CG58" i="6"/>
  <c r="CG55" i="6"/>
  <c r="CG51" i="6"/>
  <c r="CG50" i="6"/>
  <c r="CG44" i="6"/>
  <c r="CG13" i="6"/>
  <c r="CG59" i="6"/>
  <c r="CG62" i="6"/>
  <c r="CG16" i="6"/>
  <c r="CG48" i="6"/>
  <c r="CG43" i="6"/>
  <c r="CG7" i="6"/>
  <c r="CG11" i="6"/>
  <c r="CG63" i="6"/>
  <c r="CG60" i="6"/>
  <c r="CG52" i="6"/>
  <c r="CG41" i="6"/>
  <c r="CG56" i="6"/>
  <c r="CG49" i="6"/>
  <c r="CG14" i="6"/>
  <c r="CO10" i="6"/>
  <c r="CO57" i="6"/>
  <c r="CO54" i="6"/>
  <c r="CO47" i="6"/>
  <c r="CO53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<sst xmlns="http://schemas.openxmlformats.org/spreadsheetml/2006/main" count="4295" uniqueCount="1095">
  <si>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</si>
  <si>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</si>
  <si>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</si>
  <si>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</si>
  <si>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</si>
  <si>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</si>
  <si>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</si>
  <si>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</si>
  <si>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</si>
  <si>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</si>
  <si>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</si>
  <si>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</si>
  <si>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</si>
  <si>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</si>
  <si>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</si>
  <si>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</si>
  <si>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</si>
  <si>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</si>
  <si>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</si>
  <si>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</si>
  <si>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</si>
  <si>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</si>
  <si>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</si>
  <si>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</si>
  <si>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</si>
  <si>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</si>
  <si>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</si>
  <si>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</si>
  <si>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</si>
  <si>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</si>
  <si>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</si>
  <si>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</si>
  <si>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</si>
  <si>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</si>
  <si>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</si>
  <si>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</si>
  <si>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</si>
  <si>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</si>
  <si>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</si>
  <si>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</si>
  <si>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</si>
  <si>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</si>
  <si>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</si>
  <si>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</si>
  <si>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</si>
  <si>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</si>
  <si>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</si>
  <si>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</si>
  <si>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</si>
  <si>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</si>
  <si>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</si>
  <si>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</si>
  <si>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</si>
  <si>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</si>
  <si>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</si>
  <si>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</si>
  <si>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</si>
  <si>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</si>
  <si>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</si>
  <si>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</si>
  <si>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</si>
  <si>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</si>
  <si>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</si>
  <si>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</si>
  <si>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</si>
  <si>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</si>
  <si>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</si>
  <si>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</si>
  <si>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</si>
  <si>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</si>
  <si>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</si>
  <si>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</si>
  <si>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</si>
  <si>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</si>
  <si>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</si>
  <si>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</si>
  <si>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</si>
  <si>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</si>
  <si>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</si>
  <si>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</si>
  <si>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</si>
  <si>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</si>
  <si>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</si>
  <si>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</si>
  <si>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</si>
  <si>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</si>
  <si>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</si>
  <si>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</si>
  <si>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</si>
  <si>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</si>
  <si>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</si>
  <si>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</si>
  <si>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</si>
  <si>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</si>
  <si>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</si>
  <si>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</si>
  <si>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</si>
  <si>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</si>
  <si>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</si>
  <si>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</si>
  <si>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</si>
  <si>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</si>
  <si>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</si>
  <si>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</si>
  <si>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</si>
  <si>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</si>
  <si>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</si>
  <si>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</si>
  <si>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</si>
  <si>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</si>
  <si>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</si>
  <si>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</si>
  <si>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</si>
  <si>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</si>
  <si>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</si>
  <si>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</si>
  <si>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</si>
  <si>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</si>
  <si>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</si>
  <si>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</si>
  <si>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</si>
  <si>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</si>
  <si>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</si>
  <si>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</si>
  <si>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</si>
  <si>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</si>
  <si>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</si>
  <si>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</si>
  <si>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</si>
  <si>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</si>
  <si>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</si>
  <si>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</si>
  <si>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</si>
  <si>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</si>
  <si>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</si>
  <si>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</si>
  <si>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</si>
  <si>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</si>
  <si>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</si>
  <si>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</si>
  <si>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</si>
  <si>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</si>
  <si>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</si>
  <si>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</si>
  <si>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</si>
  <si>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</si>
  <si>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</si>
  <si>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</si>
  <si>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</si>
  <si>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</si>
  <si>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</si>
  <si>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</si>
  <si>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</si>
  <si>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</si>
  <si>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</si>
  <si>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</si>
  <si>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</si>
  <si>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</si>
  <si>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</si>
  <si>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</si>
  <si>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</si>
  <si>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</si>
  <si>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</si>
  <si>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</si>
  <si>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</si>
  <si>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</si>
  <si>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</si>
  <si>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</si>
  <si>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</si>
  <si>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</si>
  <si>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</si>
  <si>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</si>
  <si>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</si>
  <si>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</si>
  <si>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</si>
  <si>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</si>
  <si>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</si>
  <si>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</si>
  <si>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</si>
  <si>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</si>
  <si>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</si>
  <si>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</si>
  <si>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</si>
  <si>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</si>
  <si>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</si>
  <si>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</si>
  <si>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</si>
  <si>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</si>
  <si>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</si>
  <si>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</si>
  <si>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</si>
  <si>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</si>
  <si>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</si>
  <si>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</si>
  <si>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</si>
  <si>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</si>
  <si>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</si>
  <si>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</si>
  <si>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</si>
  <si>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</si>
  <si>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</si>
  <si>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</si>
  <si>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</si>
  <si>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</si>
  <si>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</si>
  <si>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</si>
  <si>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</si>
  <si>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</si>
  <si>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</si>
  <si>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</si>
  <si>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</si>
  <si>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</si>
  <si>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</si>
  <si>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</si>
  <si>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</si>
  <si>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</si>
  <si>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</si>
  <si>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</si>
  <si>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</si>
  <si>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</si>
  <si>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</si>
  <si>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</si>
  <si>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</si>
  <si>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</si>
  <si>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</si>
  <si>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</si>
  <si>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</si>
  <si>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</si>
  <si>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</si>
  <si>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</si>
  <si>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</si>
  <si>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</si>
  <si>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</si>
  <si>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</si>
  <si>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</si>
  <si>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</si>
  <si>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</si>
  <si>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</si>
  <si>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</si>
  <si>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</si>
  <si>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</si>
  <si>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</si>
  <si>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</si>
  <si>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</si>
  <si>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</si>
  <si>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</si>
  <si>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</si>
  <si>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</si>
  <si>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</si>
  <si>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</si>
  <si>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</si>
  <si>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</si>
  <si>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</si>
  <si>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</si>
  <si>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</si>
  <si>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</si>
  <si>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</si>
  <si>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</si>
  <si>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</si>
  <si>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</si>
  <si>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</si>
  <si>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</si>
  <si>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</si>
  <si>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</si>
  <si>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</si>
  <si>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</si>
  <si>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</si>
  <si>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</si>
  <si>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</si>
  <si>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</si>
  <si>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</si>
  <si>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</si>
  <si>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</si>
  <si>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</si>
  <si>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</si>
  <si>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</si>
  <si>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</si>
  <si>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</si>
  <si>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</si>
  <si>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</si>
  <si>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</si>
  <si>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</si>
  <si>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</si>
  <si>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</si>
  <si>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</si>
  <si>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</si>
  <si>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</si>
  <si>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</si>
  <si>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</si>
  <si>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</si>
  <si>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</si>
  <si>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</si>
  <si>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</si>
  <si>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</si>
  <si>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</si>
  <si>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</si>
  <si>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</si>
  <si>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</si>
  <si>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</si>
  <si>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</si>
  <si>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</si>
  <si>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</si>
  <si>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</si>
  <si>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</si>
  <si>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</si>
  <si>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</si>
  <si>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</si>
  <si>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</si>
  <si>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</si>
  <si>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</si>
  <si>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</si>
  <si>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</si>
  <si>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</si>
  <si>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</si>
  <si>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</si>
  <si>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</si>
  <si>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</si>
  <si>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</si>
  <si>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</si>
  <si>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</si>
  <si>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</si>
  <si>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</si>
  <si>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</si>
  <si>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</si>
  <si>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</si>
  <si>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</si>
  <si>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</si>
  <si>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</si>
  <si>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</si>
  <si>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</si>
  <si>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</si>
  <si>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</si>
  <si>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</si>
  <si>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</si>
  <si>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</si>
  <si>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</si>
  <si>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</si>
  <si>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</si>
  <si>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</si>
  <si>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</si>
  <si>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</si>
  <si>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</si>
  <si>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</si>
  <si>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</si>
  <si>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</si>
  <si>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</si>
  <si>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</si>
  <si>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</si>
  <si>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</si>
  <si>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</si>
  <si>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</si>
  <si>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</si>
  <si>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</si>
  <si>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</si>
  <si>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</si>
  <si>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</si>
  <si>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</si>
  <si>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</si>
  <si>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</si>
  <si>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</si>
  <si>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</si>
  <si>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</si>
  <si>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</si>
  <si>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</si>
  <si>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</si>
  <si>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</si>
  <si>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</si>
  <si>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</si>
  <si>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</si>
  <si>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</si>
  <si>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</si>
  <si>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</si>
  <si>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</si>
  <si>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</si>
  <si>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</si>
  <si>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</si>
  <si>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</si>
  <si>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</si>
  <si>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</si>
  <si>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</si>
  <si>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</si>
  <si>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</si>
  <si>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</si>
  <si>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</si>
  <si>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</si>
  <si>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</si>
  <si>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</si>
  <si>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</si>
  <si>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</si>
  <si>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</si>
  <si>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</si>
  <si>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</si>
  <si>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</si>
  <si>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</si>
  <si>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</si>
  <si>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</si>
  <si>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</si>
  <si>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</si>
  <si>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</si>
  <si>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</si>
  <si>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</si>
  <si>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</si>
  <si>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</si>
  <si>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</si>
  <si>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</si>
  <si>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</si>
  <si>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</si>
  <si>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</si>
  <si>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</si>
  <si>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</si>
  <si>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</si>
  <si>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</si>
  <si>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</si>
  <si>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</si>
  <si>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</si>
  <si>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</si>
  <si>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</si>
  <si>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</si>
  <si>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</si>
  <si>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</si>
  <si>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</si>
  <si>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</si>
  <si>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</si>
  <si>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</si>
  <si>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</si>
  <si>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</si>
  <si>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</si>
  <si>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</si>
  <si>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</si>
  <si>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</si>
  <si>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</si>
  <si>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</si>
  <si>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</si>
  <si>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</si>
  <si>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</si>
  <si>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</si>
  <si>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</si>
  <si>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</si>
  <si>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</si>
  <si>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</si>
  <si>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</si>
  <si>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</si>
  <si>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</si>
  <si>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</si>
  <si>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</si>
  <si>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</si>
  <si>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</si>
  <si>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</si>
  <si>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</si>
  <si>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</si>
  <si>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</si>
  <si>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</si>
  <si>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</si>
  <si>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</si>
  <si>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</si>
  <si>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</si>
  <si>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</si>
  <si>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</si>
  <si>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</si>
  <si>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</si>
  <si>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</si>
  <si>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</si>
  <si>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</si>
  <si>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</si>
  <si>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</si>
  <si>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</si>
  <si>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</si>
  <si>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</si>
  <si>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</si>
  <si>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</si>
  <si>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</si>
  <si>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</si>
  <si>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</si>
  <si>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</si>
  <si>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</si>
  <si>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</si>
  <si>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</si>
  <si>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</si>
  <si>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</si>
  <si>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</si>
  <si>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</si>
  <si>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</si>
  <si>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</si>
  <si>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</si>
  <si>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</si>
  <si>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</si>
  <si>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</si>
  <si>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</si>
  <si>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</si>
  <si>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</si>
  <si>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</si>
  <si>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</si>
  <si>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</si>
  <si>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</si>
  <si>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</si>
  <si>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</si>
  <si>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</si>
  <si>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</si>
  <si>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</si>
  <si>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</si>
  <si>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</si>
  <si>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</si>
  <si>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</si>
  <si>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</si>
  <si>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</si>
  <si>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</si>
  <si>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</si>
  <si>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</si>
  <si>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</si>
  <si>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</si>
  <si>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</si>
  <si>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</si>
  <si>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</si>
  <si>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</si>
  <si>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</si>
  <si>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</si>
  <si>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</si>
  <si>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</si>
  <si>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</si>
  <si>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</si>
  <si>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</si>
  <si>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</si>
  <si>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</si>
  <si>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</si>
  <si>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</si>
  <si>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</si>
  <si>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</si>
  <si>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</si>
  <si>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</si>
  <si>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</si>
  <si>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</si>
  <si>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</si>
  <si>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</si>
  <si>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</si>
  <si>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</si>
  <si>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</si>
  <si>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</si>
  <si>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</si>
  <si>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</si>
  <si>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</si>
  <si>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</si>
  <si>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</si>
  <si>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</si>
  <si>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</si>
  <si>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</si>
  <si>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</si>
  <si>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</si>
  <si>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</si>
  <si>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</si>
  <si>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</si>
  <si>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</si>
  <si>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</si>
  <si>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</si>
  <si>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</si>
  <si>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</si>
  <si>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</si>
  <si>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</si>
  <si>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</si>
  <si>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</si>
  <si>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</si>
  <si>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</si>
  <si>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</si>
  <si>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</si>
  <si>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</si>
  <si>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</si>
  <si>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</si>
  <si>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</si>
  <si>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</si>
  <si>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</si>
  <si>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</si>
  <si>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</si>
  <si>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</si>
  <si>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</si>
  <si>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</si>
  <si>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</si>
  <si>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</si>
  <si>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</si>
  <si>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</si>
  <si>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</si>
  <si>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</si>
  <si>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</si>
  <si>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</si>
  <si>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</si>
  <si>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</si>
  <si>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</si>
  <si>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</si>
  <si>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</si>
  <si>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</si>
  <si>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</si>
  <si>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</si>
  <si>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</si>
  <si>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</si>
  <si>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</si>
  <si>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</si>
  <si>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</si>
  <si>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</si>
  <si>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</si>
  <si>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</si>
  <si>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</si>
  <si>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</si>
  <si>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</si>
  <si>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</si>
  <si>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</si>
  <si>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</si>
  <si>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</si>
  <si>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</si>
  <si>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</si>
  <si>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</si>
  <si>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</si>
  <si>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</si>
  <si>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</si>
  <si>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</si>
  <si>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</si>
  <si>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</si>
  <si>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</si>
  <si>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</si>
  <si>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</si>
  <si>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</si>
  <si>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</si>
  <si>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</si>
  <si>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</si>
  <si>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</si>
  <si>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</si>
  <si>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</si>
  <si>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</si>
  <si>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</si>
  <si>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</si>
  <si>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</si>
  <si>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</si>
  <si>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</si>
  <si>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</si>
  <si>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</si>
  <si>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</si>
  <si>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</si>
  <si>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</si>
  <si>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</si>
  <si>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</si>
  <si>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</si>
  <si>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</si>
  <si>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</si>
  <si>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</si>
  <si>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</si>
  <si>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</si>
  <si>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</si>
  <si>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</si>
  <si>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</si>
  <si>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</si>
  <si>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</si>
  <si>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</si>
  <si>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</si>
  <si>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</si>
  <si>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</si>
  <si>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</si>
  <si>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</si>
  <si>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</si>
  <si>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</si>
  <si>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</si>
  <si>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</si>
  <si>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</si>
  <si>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</si>
  <si>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</si>
  <si>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</si>
  <si>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</si>
  <si>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</si>
  <si>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</si>
  <si>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</si>
  <si>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</si>
  <si>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</si>
  <si>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</si>
  <si>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</si>
  <si>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</si>
  <si>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</si>
  <si>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</si>
  <si>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</si>
  <si>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</si>
  <si>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</si>
  <si>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</si>
  <si>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</si>
  <si>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</si>
  <si>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</si>
  <si>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</si>
  <si>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</si>
  <si>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</si>
  <si>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</si>
  <si>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</si>
  <si>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</si>
  <si>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</si>
  <si>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</si>
  <si>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</si>
  <si>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</si>
  <si>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</si>
  <si>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</si>
  <si>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</si>
  <si>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</si>
  <si>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</si>
  <si>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</si>
  <si>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</si>
  <si>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</si>
  <si>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</si>
  <si>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</si>
  <si>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</si>
  <si>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</si>
  <si>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</si>
  <si>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</si>
  <si>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</si>
  <si>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</si>
  <si>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</si>
  <si>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</si>
  <si>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</si>
  <si>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</si>
  <si>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</si>
  <si>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</si>
  <si>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</si>
  <si>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</si>
  <si>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</si>
  <si>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</si>
  <si>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</si>
  <si>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</si>
  <si>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</si>
  <si>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</si>
  <si>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</si>
  <si>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</si>
  <si>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</si>
  <si>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</si>
  <si>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</si>
  <si>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</si>
  <si>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</si>
  <si>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</si>
  <si>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</si>
  <si>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</si>
  <si>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</si>
  <si>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</si>
  <si>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</si>
  <si>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</si>
  <si>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</si>
  <si>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</si>
  <si>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</si>
  <si>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</si>
  <si>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</si>
  <si>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</si>
  <si>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</si>
  <si>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</si>
  <si>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</si>
  <si>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</si>
  <si>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</si>
  <si>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</si>
  <si>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</si>
  <si>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</si>
  <si>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</si>
  <si>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</si>
  <si>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</si>
  <si>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</si>
  <si>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</si>
  <si>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</si>
  <si>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</si>
  <si>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</si>
  <si>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</si>
  <si>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</si>
  <si>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</si>
  <si>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</si>
  <si>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</si>
  <si>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</si>
  <si>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</si>
  <si>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</si>
  <si>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</si>
  <si>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</si>
  <si>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</si>
  <si>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</si>
  <si>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</si>
  <si>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</si>
  <si>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</si>
  <si>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</si>
  <si>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</si>
  <si>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</si>
  <si>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</si>
  <si>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</si>
  <si>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</si>
  <si>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</si>
  <si>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</si>
  <si>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</si>
  <si>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</si>
  <si>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</si>
  <si>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</si>
  <si>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</si>
  <si>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</si>
  <si>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</si>
  <si>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</si>
  <si>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</si>
  <si>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</si>
  <si>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</si>
  <si>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</si>
  <si>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</si>
  <si>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</si>
  <si>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</si>
  <si>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</si>
  <si>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</si>
  <si>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</si>
  <si>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</si>
  <si>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</si>
  <si>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</si>
  <si>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</si>
  <si>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</si>
  <si>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</si>
  <si>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</si>
  <si>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</si>
  <si>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</si>
  <si>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</si>
  <si>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</si>
  <si>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</si>
  <si>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</si>
  <si>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</si>
  <si>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</si>
  <si>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</si>
  <si>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</si>
  <si>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</si>
  <si>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</si>
  <si>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</si>
  <si>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</si>
  <si>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</si>
  <si>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</si>
  <si>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</si>
  <si>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</si>
  <si>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</si>
  <si>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</si>
  <si>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</si>
  <si>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</si>
  <si>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</si>
  <si>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</si>
  <si>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</si>
  <si>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</si>
  <si>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</si>
  <si>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</si>
  <si>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</si>
  <si>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</si>
  <si>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</si>
  <si>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</si>
  <si>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</si>
  <si>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</si>
  <si>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</si>
  <si>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</si>
  <si>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</si>
  <si>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</si>
  <si>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</si>
  <si>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</si>
  <si>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</si>
  <si>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</si>
  <si>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</si>
  <si>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</si>
  <si>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</si>
  <si>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</si>
  <si>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</si>
  <si>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</si>
  <si>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</si>
  <si>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</si>
  <si>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</si>
  <si>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</si>
  <si>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</si>
  <si>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</si>
  <si>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</si>
  <si>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</si>
  <si>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</si>
  <si>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</si>
  <si>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</si>
  <si>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</si>
  <si>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</si>
  <si>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</si>
  <si>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</si>
  <si>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</si>
  <si>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</si>
  <si>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</si>
  <si>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</si>
  <si>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</si>
  <si>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</si>
  <si>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</si>
  <si>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</si>
  <si>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</si>
  <si>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</si>
  <si>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</si>
  <si>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</si>
  <si>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</si>
  <si>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</si>
  <si>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</si>
  <si>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</si>
  <si>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</si>
  <si>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</si>
  <si>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</si>
  <si>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</si>
  <si>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</si>
  <si>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</si>
  <si>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</si>
  <si>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</si>
  <si>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</si>
  <si>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</si>
  <si>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</si>
  <si>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</si>
  <si>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</si>
  <si>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</si>
  <si>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</si>
  <si>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</si>
  <si>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</si>
  <si>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</si>
  <si>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</si>
  <si>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</si>
  <si>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</si>
  <si>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</si>
  <si>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</si>
  <si>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</si>
  <si>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</si>
  <si>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</si>
  <si>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</si>
  <si>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</si>
  <si>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</si>
  <si>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</si>
  <si>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</si>
  <si>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</si>
  <si>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</si>
  <si>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</si>
  <si>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</si>
  <si>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</si>
  <si>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</si>
  <si>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</si>
  <si>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</si>
  <si>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</si>
  <si>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</si>
  <si>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</si>
  <si>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</si>
  <si>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</si>
  <si>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</si>
  <si>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</si>
  <si>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</si>
  <si>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</si>
  <si>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</si>
  <si>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</si>
  <si>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</si>
  <si>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</si>
  <si>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</si>
  <si>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</si>
  <si>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</si>
  <si>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</si>
  <si>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</si>
  <si>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</si>
  <si>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</si>
  <si>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</si>
  <si>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</si>
  <si>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</si>
  <si>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</si>
  <si>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</si>
  <si>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</si>
  <si>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</si>
  <si>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</si>
  <si>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</si>
  <si>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</si>
  <si>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</si>
  <si>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</si>
  <si>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</si>
  <si>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</si>
  <si>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</si>
  <si>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</si>
  <si>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</si>
  <si>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</si>
  <si>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</si>
  <si>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</si>
  <si>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</si>
  <si>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</si>
  <si>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</si>
  <si>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</si>
  <si>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</si>
  <si>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</si>
  <si>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</si>
  <si>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</si>
  <si>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</si>
  <si>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</si>
  <si>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</si>
  <si>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</si>
  <si>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</si>
  <si>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</si>
  <si>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</si>
  <si>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</si>
  <si>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</si>
  <si>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</si>
  <si>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</si>
  <si>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</si>
  <si>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</si>
  <si>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</si>
  <si>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</si>
  <si>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</si>
  <si>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</si>
  <si>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</si>
  <si>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</si>
  <si>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</si>
  <si>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</si>
  <si>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</si>
  <si>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</si>
  <si>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</si>
  <si>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</si>
  <si>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</si>
  <si>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</si>
  <si>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</si>
  <si>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</si>
  <si>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</si>
  <si>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</si>
  <si>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</si>
  <si>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</si>
  <si>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</si>
  <si>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</si>
  <si>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</si>
  <si>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</si>
  <si>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</si>
  <si>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</si>
  <si>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</si>
  <si>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</si>
  <si>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</si>
  <si>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</si>
  <si>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</si>
  <si>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</si>
  <si>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</si>
  <si>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</si>
  <si>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</si>
  <si>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</si>
  <si>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</si>
  <si>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</si>
  <si>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</si>
  <si>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</si>
  <si>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</si>
  <si>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</si>
  <si>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</si>
  <si>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</si>
  <si>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</si>
  <si>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</si>
  <si>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</si>
  <si>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</si>
  <si>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</si>
  <si>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</si>
  <si>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</si>
  <si>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</si>
  <si>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</si>
  <si>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</si>
  <si>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</si>
  <si>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</si>
  <si>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</si>
  <si>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</si>
  <si>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</si>
  <si>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</si>
  <si>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</si>
  <si>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</si>
  <si>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</si>
  <si>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</si>
  <si>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</si>
  <si>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</si>
  <si>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</si>
  <si>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</si>
  <si>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</si>
  <si>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</si>
  <si>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</si>
  <si>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</si>
  <si>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</si>
  <si>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</si>
  <si>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</si>
  <si>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</si>
  <si>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</si>
  <si>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</si>
  <si>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</si>
  <si>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</si>
  <si>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</si>
  <si>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</si>
  <si>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</si>
  <si>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</si>
  <si>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</si>
  <si>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</si>
  <si>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</si>
  <si>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</si>
  <si>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</si>
  <si>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</si>
  <si>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</si>
  <si>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</si>
  <si>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</si>
  <si>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</si>
  <si>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</si>
  <si>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</si>
  <si>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</si>
  <si>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</si>
  <si>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</si>
  <si>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</si>
  <si>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</si>
  <si>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</si>
  <si>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</si>
  <si>
    <t>OS_L3D2</t>
  </si>
  <si>
    <t>4464 Corte Laser L3D2</t>
  </si>
  <si>
    <t>4462 Corte Laser 03</t>
  </si>
  <si>
    <t>4463 Corte Laser 04</t>
  </si>
  <si>
    <t>OS_CL3</t>
  </si>
  <si>
    <t>OS_CL4</t>
  </si>
  <si>
    <t>Corte Laser_L3D2</t>
  </si>
  <si>
    <t>Corte Laser_CL3</t>
  </si>
  <si>
    <t>Corte Laser_CL4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</si>
</sst>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2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6"/>
      <tableStyleElement type="headerRow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5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64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64" si="0">IFERROR(IF(LEN(ROUND(AZ5,3)*1000)&gt;5,ROUND(AZ5,2)*100,ROUND(AZ5,3)*1000),"")</f>
        <v/>
      </c>
      <c r="BF5" s="43" t="str">
        <f>IF(BE5="","",BB5)</f>
        <v/>
      </c>
      <c r="BG5" s="43" t="str">
        <f t="shared" ref="BG5:BG64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17.05.2022</v>
      </c>
      <c r="BS5" s="49" t="str">
        <f>J5</f>
        <v/>
      </c>
      <c r="BT5" s="50">
        <v>1</v>
      </c>
      <c r="BU5" s="50" t="s">
        <v>194</v>
      </c>
      <c r="BV5" s="90" t="str">
        <f>IF(AU5="68","20","01")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17.05.2022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64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17.05.2022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64" si="14">IF(AU6="68","20","01")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64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17.05.2022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64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64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64" si="24">G7</f>
        <v/>
      </c>
      <c r="BJ7" s="43" t="str">
        <f t="shared" ref="BJ7:BJ64" si="25">IF(BI7="","","M")</f>
        <v/>
      </c>
      <c r="BK7" s="43" t="str">
        <f t="shared" ref="BK7:BK64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17.05.2022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64" si="27">IF(LEFT(DH7,3)="SUB","F","E")</f>
        <v>E</v>
      </c>
      <c r="CK7" s="43" t="str">
        <f t="shared" ref="CK7:CK64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64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64" si="30">IF(E7="DFER","K00_DP_"&amp;J7,"K00_AO_"&amp;J7)</f>
        <v>K00_AO_</v>
      </c>
      <c r="CW7" s="43" t="str">
        <f t="shared" ref="CW7:CW64" si="31">IF(OR(F7="MFER",F7="KMAT"),"INITIAL",IF(OR(F7="FERT",F7="HAWZ"),"0000999999",""))</f>
        <v/>
      </c>
      <c r="CX7" s="43" t="str">
        <f t="shared" ref="CX7:CX64" si="32">IF(OR(F7="MFER",F7="KMAT"),"INIT",IF(OR(F7="FERT",F7="HAWZ"),"999999",""))</f>
        <v/>
      </c>
      <c r="CY7" s="44">
        <v>1</v>
      </c>
      <c r="CZ7" s="43" t="str">
        <f t="shared" ref="CZ7:CZ64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17.05.2022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64" si="34">IF(OR(AR7="M",AR7="KG"),0.01,1)</f>
        <v>1</v>
      </c>
      <c r="DP7" s="43" t="str">
        <f t="shared" ref="DP7:DP64" si="35">AR7</f>
        <v>PC</v>
      </c>
      <c r="DQ7" s="43" t="str">
        <f t="shared" ref="DQ7:DQ64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64" si="37">IF(J8="","",J8)</f>
        <v/>
      </c>
      <c r="E8" s="71" t="str">
        <f t="shared" ref="E8:E64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64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64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64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64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64" si="43">IF(BE8="","",BB8)</f>
        <v/>
      </c>
      <c r="BG8" s="43" t="str">
        <f t="shared" si="1"/>
        <v/>
      </c>
      <c r="BH8" s="43" t="str">
        <f t="shared" ref="BH8:BH64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64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64" ca="1" si="46">IF(BQ8&lt;&gt;0,TEXT(TODAY(),"DD.MM.AAAA"),"")</f>
        <v>17.05.2022</v>
      </c>
      <c r="BS8" s="49" t="str">
        <f t="shared" ref="BS8:BS64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64" si="48">K8</f>
        <v/>
      </c>
      <c r="CN8" s="49" t="str">
        <f t="shared" ref="CN8:CN64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64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64" ca="1" si="51">IF(DH8&lt;&gt;0,TEXT(TODAY(),"dd.mm.aaaa"),"")</f>
        <v>17.05.2022</v>
      </c>
      <c r="DJ8" s="43" t="str">
        <f t="shared" ref="DJ8:DJ64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64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17.05.2022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17.05.2022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17.05.2022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17.05.2022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17.05.2022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17.05.2022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17.05.2022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17.05.2022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17.05.2022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17.05.2022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17.05.2022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17.05.2022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17.05.2022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17.05.2022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17.05.2022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17.05.2022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ref="D17:D40" si="54">IF(J17="","",J17)</f>
        <v/>
      </c>
      <c r="E17" s="71" t="str">
        <f t="shared" ref="E17:E40" si="55">IF(F17="","",F17)</f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ref="H17:H40" si="56">IF(B17="","",B17)</f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ref="L17:L40" si="57">J17</f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ref="N17:N40" si="58">RIGHT(J17,3)</f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ref="AX17:AX40" ca="1" si="59">IF(AW17&lt;&gt;0,TEXT(TODAY(),"DD.MM.AAAA"),"")</f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ref="BA17:BA40" si="60">IFERROR(IF(AZ17&lt;&gt;0,ROUND(AZ17,3),""),"")</f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ref="BE17:BE40" si="61">IFERROR(IF(LEN(ROUND(AZ17,3)*1000)&gt;5,ROUND(AZ17,2)*100,ROUND(AZ17,3)*1000),"")</f>
        <v/>
      </c>
      <c r="BF17" s="43" t="str">
        <f t="shared" ref="BF17:BF40" si="62">IF(BE17="","",BB17)</f>
        <v/>
      </c>
      <c r="BG17" s="43" t="str">
        <f t="shared" ref="BG17:BG40" si="63">IFERROR(IF(LEN(ROUND(AZ17,3)*1000)&gt;5,100,1000),"")</f>
        <v/>
      </c>
      <c r="BH17" s="43" t="str">
        <f t="shared" ref="BH17:BH40" si="64">AR17</f>
        <v>PC</v>
      </c>
      <c r="BI17" s="43" t="str">
        <f t="shared" ref="BI17:BI40" si="65">G17</f>
        <v/>
      </c>
      <c r="BJ17" s="43" t="str">
        <f t="shared" ref="BJ17:BJ40" si="66">IF(BI17="","","M")</f>
        <v/>
      </c>
      <c r="BK17" s="43" t="str">
        <f t="shared" ref="BK17:BK40" si="67">IF(BI17="","",1000)</f>
        <v/>
      </c>
      <c r="BL17" s="43" t="str">
        <f t="shared" ref="BL17:BL40" si="68">AR17</f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ref="BR17:BR40" ca="1" si="69">IF(BQ17&lt;&gt;0,TEXT(TODAY(),"DD.MM.AAAA"),"")</f>
        <v>17.05.2022</v>
      </c>
      <c r="BS17" s="49" t="str">
        <f t="shared" ref="BS17:BS40" si="70">J17</f>
        <v/>
      </c>
      <c r="BT17" s="50">
        <v>1</v>
      </c>
      <c r="BU17" s="50" t="s">
        <v>194</v>
      </c>
      <c r="BV17" s="90" t="str">
        <f t="shared" ref="BV17:BV40" si="71">IF(AU17="68","20","01")</f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ref="CG17:CG40" si="72">IF(AND(CJ17="F",CK17="30"),"999",RIGHT(J17,3))</f>
        <v/>
      </c>
      <c r="CH17" s="45" t="s">
        <v>430</v>
      </c>
      <c r="CI17" s="44">
        <v>0</v>
      </c>
      <c r="CJ17" s="43" t="str">
        <f t="shared" ref="CJ17:CJ40" si="73">IF(LEFT(DH17,3)="SUB","F","E")</f>
        <v>E</v>
      </c>
      <c r="CK17" s="43" t="str">
        <f t="shared" ref="CK17:CK40" si="74">IF(AND(CJ17="F",LEFT(DH17,3)="SUB"),"30",IF(CJ17="F","Z1",""))</f>
        <v/>
      </c>
      <c r="CL17" s="44">
        <v>2</v>
      </c>
      <c r="CM17" s="49" t="str">
        <f t="shared" ref="CM17:CM40" si="75">K17</f>
        <v/>
      </c>
      <c r="CN17" s="49" t="str">
        <f t="shared" ref="CN17:CN40" si="76">K17</f>
        <v/>
      </c>
      <c r="CO17" s="43" t="str">
        <f t="shared" ref="CO17:CO40" si="77">IF(AND(CJ17="F",CK17="Z1"),1,IF(CJ17="F",15,""))</f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ref="CV17:CV40" si="78">IF(E17="DFER","K00_DP_"&amp;J17,"K00_AO_"&amp;J17)</f>
        <v>K00_AO_</v>
      </c>
      <c r="CW17" s="43" t="str">
        <f t="shared" ref="CW17:CW40" si="79">IF(OR(F17="MFER",F17="KMAT"),"INITIAL",IF(OR(F17="FERT",F17="HAWZ"),"0000999999",""))</f>
        <v/>
      </c>
      <c r="CX17" s="43" t="str">
        <f t="shared" ref="CX17:CX40" si="80">IF(OR(F17="MFER",F17="KMAT"),"INIT",IF(OR(F17="FERT",F17="HAWZ"),"999999",""))</f>
        <v/>
      </c>
      <c r="CY17" s="44">
        <v>1</v>
      </c>
      <c r="CZ17" s="43" t="str">
        <f t="shared" ref="CZ17:CZ40" si="81">IF(G17=0,"",G17)</f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ref="DG17:DG40" si="82">IF(DH17&lt;&gt;0,1,"")</f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ref="DI17:DI40" ca="1" si="83">IF(DH17&lt;&gt;0,TEXT(TODAY(),"dd.mm.aaaa"),"")</f>
        <v>17.05.2022</v>
      </c>
      <c r="DJ17" s="43" t="str">
        <f t="shared" ref="DJ17:DJ40" si="84">IF(DH17&lt;&gt;0,"31.12.9999","")</f>
        <v>31.12.9999</v>
      </c>
      <c r="DL17" s="44">
        <v>1</v>
      </c>
      <c r="DM17" s="44" t="s">
        <v>1039</v>
      </c>
      <c r="DN17" s="44">
        <v>1</v>
      </c>
      <c r="DO17" s="43">
        <f t="shared" ref="DO17:DO40" si="85">IF(OR(AR17="M",AR17="KG"),0.01,1)</f>
        <v>1</v>
      </c>
      <c r="DP17" s="43" t="str">
        <f t="shared" ref="DP17:DP40" si="86">AR17</f>
        <v>PC</v>
      </c>
      <c r="DQ17" s="43" t="str">
        <f t="shared" ref="DQ17:DQ40" si="87">IF(OR(F17="MFER",F17="KMAT",F17="DFER",F17="FERT"),7925,"")</f>
        <v/>
      </c>
      <c r="DR17" s="44">
        <v>100</v>
      </c>
      <c r="DS17" s="71">
        <f t="shared" ref="DS17:DS40" si="88">IF(CJ17="F",IF(AND(CK17=30,CK17="Z1"),1,0),1)</f>
        <v>1</v>
      </c>
      <c r="DT17" s="43">
        <f t="shared" ref="DT17:DT40" si="89">DR17</f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54"/>
        <v/>
      </c>
      <c r="E18" s="71" t="str">
        <f t="shared" si="55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56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57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58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59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60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61"/>
        <v/>
      </c>
      <c r="BF18" s="43" t="str">
        <f t="shared" si="62"/>
        <v/>
      </c>
      <c r="BG18" s="43" t="str">
        <f t="shared" si="63"/>
        <v/>
      </c>
      <c r="BH18" s="43" t="str">
        <f t="shared" si="64"/>
        <v>PC</v>
      </c>
      <c r="BI18" s="43" t="str">
        <f t="shared" si="65"/>
        <v/>
      </c>
      <c r="BJ18" s="43" t="str">
        <f t="shared" si="66"/>
        <v/>
      </c>
      <c r="BK18" s="43" t="str">
        <f t="shared" si="67"/>
        <v/>
      </c>
      <c r="BL18" s="43" t="str">
        <f t="shared" si="68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69"/>
        <v>17.05.2022</v>
      </c>
      <c r="BS18" s="49" t="str">
        <f t="shared" si="70"/>
        <v/>
      </c>
      <c r="BT18" s="50">
        <v>1</v>
      </c>
      <c r="BU18" s="50" t="s">
        <v>194</v>
      </c>
      <c r="BV18" s="90" t="str">
        <f t="shared" si="71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72"/>
        <v/>
      </c>
      <c r="CH18" s="45" t="s">
        <v>430</v>
      </c>
      <c r="CI18" s="44">
        <v>0</v>
      </c>
      <c r="CJ18" s="43" t="str">
        <f t="shared" si="73"/>
        <v>E</v>
      </c>
      <c r="CK18" s="43" t="str">
        <f t="shared" si="74"/>
        <v/>
      </c>
      <c r="CL18" s="44">
        <v>2</v>
      </c>
      <c r="CM18" s="49" t="str">
        <f t="shared" si="75"/>
        <v/>
      </c>
      <c r="CN18" s="49" t="str">
        <f t="shared" si="76"/>
        <v/>
      </c>
      <c r="CO18" s="43" t="str">
        <f t="shared" si="77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78"/>
        <v>K00_AO_</v>
      </c>
      <c r="CW18" s="43" t="str">
        <f t="shared" si="79"/>
        <v/>
      </c>
      <c r="CX18" s="43" t="str">
        <f t="shared" si="80"/>
        <v/>
      </c>
      <c r="CY18" s="44">
        <v>1</v>
      </c>
      <c r="CZ18" s="43" t="str">
        <f t="shared" si="81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82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83"/>
        <v>17.05.2022</v>
      </c>
      <c r="DJ18" s="43" t="str">
        <f t="shared" si="84"/>
        <v>31.12.9999</v>
      </c>
      <c r="DL18" s="44">
        <v>1</v>
      </c>
      <c r="DM18" s="44" t="s">
        <v>1039</v>
      </c>
      <c r="DN18" s="44">
        <v>1</v>
      </c>
      <c r="DO18" s="43">
        <f t="shared" si="85"/>
        <v>1</v>
      </c>
      <c r="DP18" s="43" t="str">
        <f t="shared" si="86"/>
        <v>PC</v>
      </c>
      <c r="DQ18" s="43" t="str">
        <f t="shared" si="87"/>
        <v/>
      </c>
      <c r="DR18" s="44">
        <v>100</v>
      </c>
      <c r="DS18" s="71">
        <f t="shared" si="88"/>
        <v>1</v>
      </c>
      <c r="DT18" s="43">
        <f t="shared" si="89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54"/>
        <v/>
      </c>
      <c r="E19" s="71" t="str">
        <f t="shared" si="55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56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57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58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59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60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61"/>
        <v/>
      </c>
      <c r="BF19" s="43" t="str">
        <f t="shared" si="62"/>
        <v/>
      </c>
      <c r="BG19" s="43" t="str">
        <f t="shared" si="63"/>
        <v/>
      </c>
      <c r="BH19" s="43" t="str">
        <f t="shared" si="64"/>
        <v>PC</v>
      </c>
      <c r="BI19" s="43" t="str">
        <f t="shared" si="65"/>
        <v/>
      </c>
      <c r="BJ19" s="43" t="str">
        <f t="shared" si="66"/>
        <v/>
      </c>
      <c r="BK19" s="43" t="str">
        <f t="shared" si="67"/>
        <v/>
      </c>
      <c r="BL19" s="43" t="str">
        <f t="shared" si="68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69"/>
        <v>17.05.2022</v>
      </c>
      <c r="BS19" s="49" t="str">
        <f t="shared" si="70"/>
        <v/>
      </c>
      <c r="BT19" s="50">
        <v>1</v>
      </c>
      <c r="BU19" s="50" t="s">
        <v>194</v>
      </c>
      <c r="BV19" s="90" t="str">
        <f t="shared" si="71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72"/>
        <v/>
      </c>
      <c r="CH19" s="45" t="s">
        <v>430</v>
      </c>
      <c r="CI19" s="44">
        <v>0</v>
      </c>
      <c r="CJ19" s="43" t="str">
        <f t="shared" si="73"/>
        <v>E</v>
      </c>
      <c r="CK19" s="43" t="str">
        <f t="shared" si="74"/>
        <v/>
      </c>
      <c r="CL19" s="44">
        <v>2</v>
      </c>
      <c r="CM19" s="49" t="str">
        <f t="shared" si="75"/>
        <v/>
      </c>
      <c r="CN19" s="49" t="str">
        <f t="shared" si="76"/>
        <v/>
      </c>
      <c r="CO19" s="43" t="str">
        <f t="shared" si="77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78"/>
        <v>K00_AO_</v>
      </c>
      <c r="CW19" s="43" t="str">
        <f t="shared" si="79"/>
        <v/>
      </c>
      <c r="CX19" s="43" t="str">
        <f t="shared" si="80"/>
        <v/>
      </c>
      <c r="CY19" s="44">
        <v>1</v>
      </c>
      <c r="CZ19" s="43" t="str">
        <f t="shared" si="81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82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83"/>
        <v>17.05.2022</v>
      </c>
      <c r="DJ19" s="43" t="str">
        <f t="shared" si="84"/>
        <v>31.12.9999</v>
      </c>
      <c r="DL19" s="44">
        <v>1</v>
      </c>
      <c r="DM19" s="44" t="s">
        <v>1039</v>
      </c>
      <c r="DN19" s="44">
        <v>1</v>
      </c>
      <c r="DO19" s="43">
        <f t="shared" si="85"/>
        <v>1</v>
      </c>
      <c r="DP19" s="43" t="str">
        <f t="shared" si="86"/>
        <v>PC</v>
      </c>
      <c r="DQ19" s="43" t="str">
        <f t="shared" si="87"/>
        <v/>
      </c>
      <c r="DR19" s="44">
        <v>100</v>
      </c>
      <c r="DS19" s="71">
        <f t="shared" si="88"/>
        <v>1</v>
      </c>
      <c r="DT19" s="43">
        <f t="shared" si="89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54"/>
        <v/>
      </c>
      <c r="E20" s="71" t="str">
        <f t="shared" si="55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56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57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58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59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60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61"/>
        <v/>
      </c>
      <c r="BF20" s="43" t="str">
        <f t="shared" si="62"/>
        <v/>
      </c>
      <c r="BG20" s="43" t="str">
        <f t="shared" si="63"/>
        <v/>
      </c>
      <c r="BH20" s="43" t="str">
        <f t="shared" si="64"/>
        <v>PC</v>
      </c>
      <c r="BI20" s="43" t="str">
        <f t="shared" si="65"/>
        <v/>
      </c>
      <c r="BJ20" s="43" t="str">
        <f t="shared" si="66"/>
        <v/>
      </c>
      <c r="BK20" s="43" t="str">
        <f t="shared" si="67"/>
        <v/>
      </c>
      <c r="BL20" s="43" t="str">
        <f t="shared" si="68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69"/>
        <v>17.05.2022</v>
      </c>
      <c r="BS20" s="49" t="str">
        <f t="shared" si="70"/>
        <v/>
      </c>
      <c r="BT20" s="50">
        <v>1</v>
      </c>
      <c r="BU20" s="50" t="s">
        <v>194</v>
      </c>
      <c r="BV20" s="90" t="str">
        <f t="shared" si="71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72"/>
        <v/>
      </c>
      <c r="CH20" s="45" t="s">
        <v>430</v>
      </c>
      <c r="CI20" s="44">
        <v>0</v>
      </c>
      <c r="CJ20" s="43" t="str">
        <f t="shared" si="73"/>
        <v>E</v>
      </c>
      <c r="CK20" s="43" t="str">
        <f t="shared" si="74"/>
        <v/>
      </c>
      <c r="CL20" s="44">
        <v>2</v>
      </c>
      <c r="CM20" s="49" t="str">
        <f t="shared" si="75"/>
        <v/>
      </c>
      <c r="CN20" s="49" t="str">
        <f t="shared" si="76"/>
        <v/>
      </c>
      <c r="CO20" s="43" t="str">
        <f t="shared" si="77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78"/>
        <v>K00_AO_</v>
      </c>
      <c r="CW20" s="43" t="str">
        <f t="shared" si="79"/>
        <v/>
      </c>
      <c r="CX20" s="43" t="str">
        <f t="shared" si="80"/>
        <v/>
      </c>
      <c r="CY20" s="44">
        <v>1</v>
      </c>
      <c r="CZ20" s="43" t="str">
        <f t="shared" si="81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82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83"/>
        <v>17.05.2022</v>
      </c>
      <c r="DJ20" s="43" t="str">
        <f t="shared" si="84"/>
        <v>31.12.9999</v>
      </c>
      <c r="DL20" s="44">
        <v>1</v>
      </c>
      <c r="DM20" s="44" t="s">
        <v>1039</v>
      </c>
      <c r="DN20" s="44">
        <v>1</v>
      </c>
      <c r="DO20" s="43">
        <f t="shared" si="85"/>
        <v>1</v>
      </c>
      <c r="DP20" s="43" t="str">
        <f t="shared" si="86"/>
        <v>PC</v>
      </c>
      <c r="DQ20" s="43" t="str">
        <f t="shared" si="87"/>
        <v/>
      </c>
      <c r="DR20" s="44">
        <v>100</v>
      </c>
      <c r="DS20" s="71">
        <f t="shared" si="88"/>
        <v>1</v>
      </c>
      <c r="DT20" s="43">
        <f t="shared" si="89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54"/>
        <v/>
      </c>
      <c r="E21" s="71" t="str">
        <f t="shared" si="55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56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57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58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59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60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61"/>
        <v/>
      </c>
      <c r="BF21" s="43" t="str">
        <f t="shared" si="62"/>
        <v/>
      </c>
      <c r="BG21" s="43" t="str">
        <f t="shared" si="63"/>
        <v/>
      </c>
      <c r="BH21" s="43" t="str">
        <f t="shared" si="64"/>
        <v>PC</v>
      </c>
      <c r="BI21" s="43" t="str">
        <f t="shared" si="65"/>
        <v/>
      </c>
      <c r="BJ21" s="43" t="str">
        <f t="shared" si="66"/>
        <v/>
      </c>
      <c r="BK21" s="43" t="str">
        <f t="shared" si="67"/>
        <v/>
      </c>
      <c r="BL21" s="43" t="str">
        <f t="shared" si="68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69"/>
        <v>17.05.2022</v>
      </c>
      <c r="BS21" s="49" t="str">
        <f t="shared" si="70"/>
        <v/>
      </c>
      <c r="BT21" s="50">
        <v>1</v>
      </c>
      <c r="BU21" s="50" t="s">
        <v>194</v>
      </c>
      <c r="BV21" s="90" t="str">
        <f t="shared" si="71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72"/>
        <v/>
      </c>
      <c r="CH21" s="45" t="s">
        <v>430</v>
      </c>
      <c r="CI21" s="44">
        <v>0</v>
      </c>
      <c r="CJ21" s="43" t="str">
        <f t="shared" si="73"/>
        <v>E</v>
      </c>
      <c r="CK21" s="43" t="str">
        <f t="shared" si="74"/>
        <v/>
      </c>
      <c r="CL21" s="44">
        <v>2</v>
      </c>
      <c r="CM21" s="49" t="str">
        <f t="shared" si="75"/>
        <v/>
      </c>
      <c r="CN21" s="49" t="str">
        <f t="shared" si="76"/>
        <v/>
      </c>
      <c r="CO21" s="43" t="str">
        <f t="shared" si="77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78"/>
        <v>K00_AO_</v>
      </c>
      <c r="CW21" s="43" t="str">
        <f t="shared" si="79"/>
        <v/>
      </c>
      <c r="CX21" s="43" t="str">
        <f t="shared" si="80"/>
        <v/>
      </c>
      <c r="CY21" s="44">
        <v>1</v>
      </c>
      <c r="CZ21" s="43" t="str">
        <f t="shared" si="81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82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83"/>
        <v>17.05.2022</v>
      </c>
      <c r="DJ21" s="43" t="str">
        <f t="shared" si="84"/>
        <v>31.12.9999</v>
      </c>
      <c r="DL21" s="44">
        <v>1</v>
      </c>
      <c r="DM21" s="44" t="s">
        <v>1039</v>
      </c>
      <c r="DN21" s="44">
        <v>1</v>
      </c>
      <c r="DO21" s="43">
        <f t="shared" si="85"/>
        <v>1</v>
      </c>
      <c r="DP21" s="43" t="str">
        <f t="shared" si="86"/>
        <v>PC</v>
      </c>
      <c r="DQ21" s="43" t="str">
        <f t="shared" si="87"/>
        <v/>
      </c>
      <c r="DR21" s="44">
        <v>100</v>
      </c>
      <c r="DS21" s="71">
        <f t="shared" si="88"/>
        <v>1</v>
      </c>
      <c r="DT21" s="43">
        <f t="shared" si="89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54"/>
        <v/>
      </c>
      <c r="E22" s="71" t="str">
        <f t="shared" si="55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56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57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58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59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60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61"/>
        <v/>
      </c>
      <c r="BF22" s="43" t="str">
        <f t="shared" si="62"/>
        <v/>
      </c>
      <c r="BG22" s="43" t="str">
        <f t="shared" si="63"/>
        <v/>
      </c>
      <c r="BH22" s="43" t="str">
        <f t="shared" si="64"/>
        <v>PC</v>
      </c>
      <c r="BI22" s="43" t="str">
        <f t="shared" si="65"/>
        <v/>
      </c>
      <c r="BJ22" s="43" t="str">
        <f t="shared" si="66"/>
        <v/>
      </c>
      <c r="BK22" s="43" t="str">
        <f t="shared" si="67"/>
        <v/>
      </c>
      <c r="BL22" s="43" t="str">
        <f t="shared" si="68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69"/>
        <v>17.05.2022</v>
      </c>
      <c r="BS22" s="49" t="str">
        <f t="shared" si="70"/>
        <v/>
      </c>
      <c r="BT22" s="50">
        <v>1</v>
      </c>
      <c r="BU22" s="50" t="s">
        <v>194</v>
      </c>
      <c r="BV22" s="90" t="str">
        <f t="shared" si="71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72"/>
        <v/>
      </c>
      <c r="CH22" s="45" t="s">
        <v>430</v>
      </c>
      <c r="CI22" s="44">
        <v>0</v>
      </c>
      <c r="CJ22" s="43" t="str">
        <f t="shared" si="73"/>
        <v>E</v>
      </c>
      <c r="CK22" s="43" t="str">
        <f t="shared" si="74"/>
        <v/>
      </c>
      <c r="CL22" s="44">
        <v>2</v>
      </c>
      <c r="CM22" s="49" t="str">
        <f t="shared" si="75"/>
        <v/>
      </c>
      <c r="CN22" s="49" t="str">
        <f t="shared" si="76"/>
        <v/>
      </c>
      <c r="CO22" s="43" t="str">
        <f t="shared" si="77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78"/>
        <v>K00_AO_</v>
      </c>
      <c r="CW22" s="43" t="str">
        <f t="shared" si="79"/>
        <v/>
      </c>
      <c r="CX22" s="43" t="str">
        <f t="shared" si="80"/>
        <v/>
      </c>
      <c r="CY22" s="44">
        <v>1</v>
      </c>
      <c r="CZ22" s="43" t="str">
        <f t="shared" si="81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82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83"/>
        <v>17.05.2022</v>
      </c>
      <c r="DJ22" s="43" t="str">
        <f t="shared" si="84"/>
        <v>31.12.9999</v>
      </c>
      <c r="DL22" s="44">
        <v>1</v>
      </c>
      <c r="DM22" s="44" t="s">
        <v>1039</v>
      </c>
      <c r="DN22" s="44">
        <v>1</v>
      </c>
      <c r="DO22" s="43">
        <f t="shared" si="85"/>
        <v>1</v>
      </c>
      <c r="DP22" s="43" t="str">
        <f t="shared" si="86"/>
        <v>PC</v>
      </c>
      <c r="DQ22" s="43" t="str">
        <f t="shared" si="87"/>
        <v/>
      </c>
      <c r="DR22" s="44">
        <v>100</v>
      </c>
      <c r="DS22" s="71">
        <f t="shared" si="88"/>
        <v>1</v>
      </c>
      <c r="DT22" s="43">
        <f t="shared" si="89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54"/>
        <v/>
      </c>
      <c r="E23" s="71" t="str">
        <f t="shared" si="55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56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57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58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59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60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61"/>
        <v/>
      </c>
      <c r="BF23" s="43" t="str">
        <f t="shared" si="62"/>
        <v/>
      </c>
      <c r="BG23" s="43" t="str">
        <f t="shared" si="63"/>
        <v/>
      </c>
      <c r="BH23" s="43" t="str">
        <f t="shared" si="64"/>
        <v>PC</v>
      </c>
      <c r="BI23" s="43" t="str">
        <f t="shared" si="65"/>
        <v/>
      </c>
      <c r="BJ23" s="43" t="str">
        <f t="shared" si="66"/>
        <v/>
      </c>
      <c r="BK23" s="43" t="str">
        <f t="shared" si="67"/>
        <v/>
      </c>
      <c r="BL23" s="43" t="str">
        <f t="shared" si="68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69"/>
        <v>17.05.2022</v>
      </c>
      <c r="BS23" s="49" t="str">
        <f t="shared" si="70"/>
        <v/>
      </c>
      <c r="BT23" s="50">
        <v>1</v>
      </c>
      <c r="BU23" s="50" t="s">
        <v>194</v>
      </c>
      <c r="BV23" s="90" t="str">
        <f t="shared" si="71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72"/>
        <v/>
      </c>
      <c r="CH23" s="45" t="s">
        <v>430</v>
      </c>
      <c r="CI23" s="44">
        <v>0</v>
      </c>
      <c r="CJ23" s="43" t="str">
        <f t="shared" si="73"/>
        <v>E</v>
      </c>
      <c r="CK23" s="43" t="str">
        <f t="shared" si="74"/>
        <v/>
      </c>
      <c r="CL23" s="44">
        <v>2</v>
      </c>
      <c r="CM23" s="49" t="str">
        <f t="shared" si="75"/>
        <v/>
      </c>
      <c r="CN23" s="49" t="str">
        <f t="shared" si="76"/>
        <v/>
      </c>
      <c r="CO23" s="43" t="str">
        <f t="shared" si="77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78"/>
        <v>K00_AO_</v>
      </c>
      <c r="CW23" s="43" t="str">
        <f t="shared" si="79"/>
        <v/>
      </c>
      <c r="CX23" s="43" t="str">
        <f t="shared" si="80"/>
        <v/>
      </c>
      <c r="CY23" s="44">
        <v>1</v>
      </c>
      <c r="CZ23" s="43" t="str">
        <f t="shared" si="81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82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83"/>
        <v>17.05.2022</v>
      </c>
      <c r="DJ23" s="43" t="str">
        <f t="shared" si="84"/>
        <v>31.12.9999</v>
      </c>
      <c r="DL23" s="44">
        <v>1</v>
      </c>
      <c r="DM23" s="44" t="s">
        <v>1039</v>
      </c>
      <c r="DN23" s="44">
        <v>1</v>
      </c>
      <c r="DO23" s="43">
        <f t="shared" si="85"/>
        <v>1</v>
      </c>
      <c r="DP23" s="43" t="str">
        <f t="shared" si="86"/>
        <v>PC</v>
      </c>
      <c r="DQ23" s="43" t="str">
        <f t="shared" si="87"/>
        <v/>
      </c>
      <c r="DR23" s="44">
        <v>100</v>
      </c>
      <c r="DS23" s="71">
        <f t="shared" si="88"/>
        <v>1</v>
      </c>
      <c r="DT23" s="43">
        <f t="shared" si="89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54"/>
        <v/>
      </c>
      <c r="E24" s="71" t="str">
        <f t="shared" si="55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56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57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58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59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60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61"/>
        <v/>
      </c>
      <c r="BF24" s="43" t="str">
        <f t="shared" si="62"/>
        <v/>
      </c>
      <c r="BG24" s="43" t="str">
        <f t="shared" si="63"/>
        <v/>
      </c>
      <c r="BH24" s="43" t="str">
        <f t="shared" si="64"/>
        <v>PC</v>
      </c>
      <c r="BI24" s="43" t="str">
        <f t="shared" si="65"/>
        <v/>
      </c>
      <c r="BJ24" s="43" t="str">
        <f t="shared" si="66"/>
        <v/>
      </c>
      <c r="BK24" s="43" t="str">
        <f t="shared" si="67"/>
        <v/>
      </c>
      <c r="BL24" s="43" t="str">
        <f t="shared" si="68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69"/>
        <v>17.05.2022</v>
      </c>
      <c r="BS24" s="49" t="str">
        <f t="shared" si="70"/>
        <v/>
      </c>
      <c r="BT24" s="50">
        <v>1</v>
      </c>
      <c r="BU24" s="50" t="s">
        <v>194</v>
      </c>
      <c r="BV24" s="90" t="str">
        <f t="shared" si="71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72"/>
        <v/>
      </c>
      <c r="CH24" s="45" t="s">
        <v>430</v>
      </c>
      <c r="CI24" s="44">
        <v>0</v>
      </c>
      <c r="CJ24" s="43" t="str">
        <f t="shared" si="73"/>
        <v>E</v>
      </c>
      <c r="CK24" s="43" t="str">
        <f t="shared" si="74"/>
        <v/>
      </c>
      <c r="CL24" s="44">
        <v>2</v>
      </c>
      <c r="CM24" s="49" t="str">
        <f t="shared" si="75"/>
        <v/>
      </c>
      <c r="CN24" s="49" t="str">
        <f t="shared" si="76"/>
        <v/>
      </c>
      <c r="CO24" s="43" t="str">
        <f t="shared" si="77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78"/>
        <v>K00_AO_</v>
      </c>
      <c r="CW24" s="43" t="str">
        <f t="shared" si="79"/>
        <v/>
      </c>
      <c r="CX24" s="43" t="str">
        <f t="shared" si="80"/>
        <v/>
      </c>
      <c r="CY24" s="44">
        <v>1</v>
      </c>
      <c r="CZ24" s="43" t="str">
        <f t="shared" si="81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82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83"/>
        <v>17.05.2022</v>
      </c>
      <c r="DJ24" s="43" t="str">
        <f t="shared" si="84"/>
        <v>31.12.9999</v>
      </c>
      <c r="DL24" s="44">
        <v>1</v>
      </c>
      <c r="DM24" s="44" t="s">
        <v>1039</v>
      </c>
      <c r="DN24" s="44">
        <v>1</v>
      </c>
      <c r="DO24" s="43">
        <f t="shared" si="85"/>
        <v>1</v>
      </c>
      <c r="DP24" s="43" t="str">
        <f t="shared" si="86"/>
        <v>PC</v>
      </c>
      <c r="DQ24" s="43" t="str">
        <f t="shared" si="87"/>
        <v/>
      </c>
      <c r="DR24" s="44">
        <v>100</v>
      </c>
      <c r="DS24" s="71">
        <f t="shared" si="88"/>
        <v>1</v>
      </c>
      <c r="DT24" s="43">
        <f t="shared" si="89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54"/>
        <v/>
      </c>
      <c r="E25" s="71" t="str">
        <f t="shared" si="55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56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57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58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59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60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61"/>
        <v/>
      </c>
      <c r="BF25" s="43" t="str">
        <f t="shared" si="62"/>
        <v/>
      </c>
      <c r="BG25" s="43" t="str">
        <f t="shared" si="63"/>
        <v/>
      </c>
      <c r="BH25" s="43" t="str">
        <f t="shared" si="64"/>
        <v>PC</v>
      </c>
      <c r="BI25" s="43" t="str">
        <f t="shared" si="65"/>
        <v/>
      </c>
      <c r="BJ25" s="43" t="str">
        <f t="shared" si="66"/>
        <v/>
      </c>
      <c r="BK25" s="43" t="str">
        <f t="shared" si="67"/>
        <v/>
      </c>
      <c r="BL25" s="43" t="str">
        <f t="shared" si="68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69"/>
        <v>17.05.2022</v>
      </c>
      <c r="BS25" s="49" t="str">
        <f t="shared" si="70"/>
        <v/>
      </c>
      <c r="BT25" s="50">
        <v>1</v>
      </c>
      <c r="BU25" s="50" t="s">
        <v>194</v>
      </c>
      <c r="BV25" s="90" t="str">
        <f t="shared" si="71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72"/>
        <v/>
      </c>
      <c r="CH25" s="45" t="s">
        <v>430</v>
      </c>
      <c r="CI25" s="44">
        <v>0</v>
      </c>
      <c r="CJ25" s="43" t="str">
        <f t="shared" si="73"/>
        <v>E</v>
      </c>
      <c r="CK25" s="43" t="str">
        <f t="shared" si="74"/>
        <v/>
      </c>
      <c r="CL25" s="44">
        <v>2</v>
      </c>
      <c r="CM25" s="49" t="str">
        <f t="shared" si="75"/>
        <v/>
      </c>
      <c r="CN25" s="49" t="str">
        <f t="shared" si="76"/>
        <v/>
      </c>
      <c r="CO25" s="43" t="str">
        <f t="shared" si="77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78"/>
        <v>K00_AO_</v>
      </c>
      <c r="CW25" s="43" t="str">
        <f t="shared" si="79"/>
        <v/>
      </c>
      <c r="CX25" s="43" t="str">
        <f t="shared" si="80"/>
        <v/>
      </c>
      <c r="CY25" s="44">
        <v>1</v>
      </c>
      <c r="CZ25" s="43" t="str">
        <f t="shared" si="81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82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83"/>
        <v>17.05.2022</v>
      </c>
      <c r="DJ25" s="43" t="str">
        <f t="shared" si="84"/>
        <v>31.12.9999</v>
      </c>
      <c r="DL25" s="44">
        <v>1</v>
      </c>
      <c r="DM25" s="44" t="s">
        <v>1039</v>
      </c>
      <c r="DN25" s="44">
        <v>1</v>
      </c>
      <c r="DO25" s="43">
        <f t="shared" si="85"/>
        <v>1</v>
      </c>
      <c r="DP25" s="43" t="str">
        <f t="shared" si="86"/>
        <v>PC</v>
      </c>
      <c r="DQ25" s="43" t="str">
        <f t="shared" si="87"/>
        <v/>
      </c>
      <c r="DR25" s="44">
        <v>100</v>
      </c>
      <c r="DS25" s="71">
        <f t="shared" si="88"/>
        <v>1</v>
      </c>
      <c r="DT25" s="43">
        <f t="shared" si="89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54"/>
        <v/>
      </c>
      <c r="E26" s="71" t="str">
        <f t="shared" si="55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56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57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58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59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60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61"/>
        <v/>
      </c>
      <c r="BF26" s="43" t="str">
        <f t="shared" si="62"/>
        <v/>
      </c>
      <c r="BG26" s="43" t="str">
        <f t="shared" si="63"/>
        <v/>
      </c>
      <c r="BH26" s="43" t="str">
        <f t="shared" si="64"/>
        <v>PC</v>
      </c>
      <c r="BI26" s="43" t="str">
        <f t="shared" si="65"/>
        <v/>
      </c>
      <c r="BJ26" s="43" t="str">
        <f t="shared" si="66"/>
        <v/>
      </c>
      <c r="BK26" s="43" t="str">
        <f t="shared" si="67"/>
        <v/>
      </c>
      <c r="BL26" s="43" t="str">
        <f t="shared" si="68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69"/>
        <v>17.05.2022</v>
      </c>
      <c r="BS26" s="49" t="str">
        <f t="shared" si="70"/>
        <v/>
      </c>
      <c r="BT26" s="50">
        <v>1</v>
      </c>
      <c r="BU26" s="50" t="s">
        <v>194</v>
      </c>
      <c r="BV26" s="90" t="str">
        <f t="shared" si="71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72"/>
        <v/>
      </c>
      <c r="CH26" s="45" t="s">
        <v>430</v>
      </c>
      <c r="CI26" s="44">
        <v>0</v>
      </c>
      <c r="CJ26" s="43" t="str">
        <f t="shared" si="73"/>
        <v>E</v>
      </c>
      <c r="CK26" s="43" t="str">
        <f t="shared" si="74"/>
        <v/>
      </c>
      <c r="CL26" s="44">
        <v>2</v>
      </c>
      <c r="CM26" s="49" t="str">
        <f t="shared" si="75"/>
        <v/>
      </c>
      <c r="CN26" s="49" t="str">
        <f t="shared" si="76"/>
        <v/>
      </c>
      <c r="CO26" s="43" t="str">
        <f t="shared" si="77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78"/>
        <v>K00_AO_</v>
      </c>
      <c r="CW26" s="43" t="str">
        <f t="shared" si="79"/>
        <v/>
      </c>
      <c r="CX26" s="43" t="str">
        <f t="shared" si="80"/>
        <v/>
      </c>
      <c r="CY26" s="44">
        <v>1</v>
      </c>
      <c r="CZ26" s="43" t="str">
        <f t="shared" si="81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82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83"/>
        <v>17.05.2022</v>
      </c>
      <c r="DJ26" s="43" t="str">
        <f t="shared" si="84"/>
        <v>31.12.9999</v>
      </c>
      <c r="DL26" s="44">
        <v>1</v>
      </c>
      <c r="DM26" s="44" t="s">
        <v>1039</v>
      </c>
      <c r="DN26" s="44">
        <v>1</v>
      </c>
      <c r="DO26" s="43">
        <f t="shared" si="85"/>
        <v>1</v>
      </c>
      <c r="DP26" s="43" t="str">
        <f t="shared" si="86"/>
        <v>PC</v>
      </c>
      <c r="DQ26" s="43" t="str">
        <f t="shared" si="87"/>
        <v/>
      </c>
      <c r="DR26" s="44">
        <v>100</v>
      </c>
      <c r="DS26" s="71">
        <f t="shared" si="88"/>
        <v>1</v>
      </c>
      <c r="DT26" s="43">
        <f t="shared" si="89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54"/>
        <v/>
      </c>
      <c r="E27" s="71" t="str">
        <f t="shared" si="55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56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57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58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59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60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61"/>
        <v/>
      </c>
      <c r="BF27" s="43" t="str">
        <f t="shared" si="62"/>
        <v/>
      </c>
      <c r="BG27" s="43" t="str">
        <f t="shared" si="63"/>
        <v/>
      </c>
      <c r="BH27" s="43" t="str">
        <f t="shared" si="64"/>
        <v>PC</v>
      </c>
      <c r="BI27" s="43" t="str">
        <f t="shared" si="65"/>
        <v/>
      </c>
      <c r="BJ27" s="43" t="str">
        <f t="shared" si="66"/>
        <v/>
      </c>
      <c r="BK27" s="43" t="str">
        <f t="shared" si="67"/>
        <v/>
      </c>
      <c r="BL27" s="43" t="str">
        <f t="shared" si="68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69"/>
        <v>17.05.2022</v>
      </c>
      <c r="BS27" s="49" t="str">
        <f t="shared" si="70"/>
        <v/>
      </c>
      <c r="BT27" s="50">
        <v>1</v>
      </c>
      <c r="BU27" s="50" t="s">
        <v>194</v>
      </c>
      <c r="BV27" s="90" t="str">
        <f t="shared" si="71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72"/>
        <v/>
      </c>
      <c r="CH27" s="45" t="s">
        <v>430</v>
      </c>
      <c r="CI27" s="44">
        <v>0</v>
      </c>
      <c r="CJ27" s="43" t="str">
        <f t="shared" si="73"/>
        <v>E</v>
      </c>
      <c r="CK27" s="43" t="str">
        <f t="shared" si="74"/>
        <v/>
      </c>
      <c r="CL27" s="44">
        <v>2</v>
      </c>
      <c r="CM27" s="49" t="str">
        <f t="shared" si="75"/>
        <v/>
      </c>
      <c r="CN27" s="49" t="str">
        <f t="shared" si="76"/>
        <v/>
      </c>
      <c r="CO27" s="43" t="str">
        <f t="shared" si="77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78"/>
        <v>K00_AO_</v>
      </c>
      <c r="CW27" s="43" t="str">
        <f t="shared" si="79"/>
        <v/>
      </c>
      <c r="CX27" s="43" t="str">
        <f t="shared" si="80"/>
        <v/>
      </c>
      <c r="CY27" s="44">
        <v>1</v>
      </c>
      <c r="CZ27" s="43" t="str">
        <f t="shared" si="81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82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83"/>
        <v>17.05.2022</v>
      </c>
      <c r="DJ27" s="43" t="str">
        <f t="shared" si="84"/>
        <v>31.12.9999</v>
      </c>
      <c r="DL27" s="44">
        <v>1</v>
      </c>
      <c r="DM27" s="44" t="s">
        <v>1039</v>
      </c>
      <c r="DN27" s="44">
        <v>1</v>
      </c>
      <c r="DO27" s="43">
        <f t="shared" si="85"/>
        <v>1</v>
      </c>
      <c r="DP27" s="43" t="str">
        <f t="shared" si="86"/>
        <v>PC</v>
      </c>
      <c r="DQ27" s="43" t="str">
        <f t="shared" si="87"/>
        <v/>
      </c>
      <c r="DR27" s="44">
        <v>100</v>
      </c>
      <c r="DS27" s="71">
        <f t="shared" si="88"/>
        <v>1</v>
      </c>
      <c r="DT27" s="43">
        <f t="shared" si="89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54"/>
        <v/>
      </c>
      <c r="E28" s="71" t="str">
        <f t="shared" si="55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56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57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58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59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60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61"/>
        <v/>
      </c>
      <c r="BF28" s="43" t="str">
        <f t="shared" si="62"/>
        <v/>
      </c>
      <c r="BG28" s="43" t="str">
        <f t="shared" si="63"/>
        <v/>
      </c>
      <c r="BH28" s="43" t="str">
        <f t="shared" si="64"/>
        <v>PC</v>
      </c>
      <c r="BI28" s="43" t="str">
        <f t="shared" si="65"/>
        <v/>
      </c>
      <c r="BJ28" s="43" t="str">
        <f t="shared" si="66"/>
        <v/>
      </c>
      <c r="BK28" s="43" t="str">
        <f t="shared" si="67"/>
        <v/>
      </c>
      <c r="BL28" s="43" t="str">
        <f t="shared" si="68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69"/>
        <v>17.05.2022</v>
      </c>
      <c r="BS28" s="49" t="str">
        <f t="shared" si="70"/>
        <v/>
      </c>
      <c r="BT28" s="50">
        <v>1</v>
      </c>
      <c r="BU28" s="50" t="s">
        <v>194</v>
      </c>
      <c r="BV28" s="90" t="str">
        <f t="shared" si="71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72"/>
        <v/>
      </c>
      <c r="CH28" s="45" t="s">
        <v>430</v>
      </c>
      <c r="CI28" s="44">
        <v>0</v>
      </c>
      <c r="CJ28" s="43" t="str">
        <f t="shared" si="73"/>
        <v>E</v>
      </c>
      <c r="CK28" s="43" t="str">
        <f t="shared" si="74"/>
        <v/>
      </c>
      <c r="CL28" s="44">
        <v>2</v>
      </c>
      <c r="CM28" s="49" t="str">
        <f t="shared" si="75"/>
        <v/>
      </c>
      <c r="CN28" s="49" t="str">
        <f t="shared" si="76"/>
        <v/>
      </c>
      <c r="CO28" s="43" t="str">
        <f t="shared" si="77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78"/>
        <v>K00_AO_</v>
      </c>
      <c r="CW28" s="43" t="str">
        <f t="shared" si="79"/>
        <v/>
      </c>
      <c r="CX28" s="43" t="str">
        <f t="shared" si="80"/>
        <v/>
      </c>
      <c r="CY28" s="44">
        <v>1</v>
      </c>
      <c r="CZ28" s="43" t="str">
        <f t="shared" si="81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82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83"/>
        <v>17.05.2022</v>
      </c>
      <c r="DJ28" s="43" t="str">
        <f t="shared" si="84"/>
        <v>31.12.9999</v>
      </c>
      <c r="DL28" s="44">
        <v>1</v>
      </c>
      <c r="DM28" s="44" t="s">
        <v>1039</v>
      </c>
      <c r="DN28" s="44">
        <v>1</v>
      </c>
      <c r="DO28" s="43">
        <f t="shared" si="85"/>
        <v>1</v>
      </c>
      <c r="DP28" s="43" t="str">
        <f t="shared" si="86"/>
        <v>PC</v>
      </c>
      <c r="DQ28" s="43" t="str">
        <f t="shared" si="87"/>
        <v/>
      </c>
      <c r="DR28" s="44">
        <v>100</v>
      </c>
      <c r="DS28" s="71">
        <f t="shared" si="88"/>
        <v>1</v>
      </c>
      <c r="DT28" s="43">
        <f t="shared" si="89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54"/>
        <v/>
      </c>
      <c r="E29" s="71" t="str">
        <f t="shared" si="55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56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57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58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59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60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61"/>
        <v/>
      </c>
      <c r="BF29" s="43" t="str">
        <f t="shared" si="62"/>
        <v/>
      </c>
      <c r="BG29" s="43" t="str">
        <f t="shared" si="63"/>
        <v/>
      </c>
      <c r="BH29" s="43" t="str">
        <f t="shared" si="64"/>
        <v>PC</v>
      </c>
      <c r="BI29" s="43" t="str">
        <f t="shared" si="65"/>
        <v/>
      </c>
      <c r="BJ29" s="43" t="str">
        <f t="shared" si="66"/>
        <v/>
      </c>
      <c r="BK29" s="43" t="str">
        <f t="shared" si="67"/>
        <v/>
      </c>
      <c r="BL29" s="43" t="str">
        <f t="shared" si="68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69"/>
        <v>17.05.2022</v>
      </c>
      <c r="BS29" s="49" t="str">
        <f t="shared" si="70"/>
        <v/>
      </c>
      <c r="BT29" s="50">
        <v>1</v>
      </c>
      <c r="BU29" s="50" t="s">
        <v>194</v>
      </c>
      <c r="BV29" s="90" t="str">
        <f t="shared" si="71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72"/>
        <v/>
      </c>
      <c r="CH29" s="45" t="s">
        <v>430</v>
      </c>
      <c r="CI29" s="44">
        <v>0</v>
      </c>
      <c r="CJ29" s="43" t="str">
        <f t="shared" si="73"/>
        <v>E</v>
      </c>
      <c r="CK29" s="43" t="str">
        <f t="shared" si="74"/>
        <v/>
      </c>
      <c r="CL29" s="44">
        <v>2</v>
      </c>
      <c r="CM29" s="49" t="str">
        <f t="shared" si="75"/>
        <v/>
      </c>
      <c r="CN29" s="49" t="str">
        <f t="shared" si="76"/>
        <v/>
      </c>
      <c r="CO29" s="43" t="str">
        <f t="shared" si="77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78"/>
        <v>K00_AO_</v>
      </c>
      <c r="CW29" s="43" t="str">
        <f t="shared" si="79"/>
        <v/>
      </c>
      <c r="CX29" s="43" t="str">
        <f t="shared" si="80"/>
        <v/>
      </c>
      <c r="CY29" s="44">
        <v>1</v>
      </c>
      <c r="CZ29" s="43" t="str">
        <f t="shared" si="81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82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83"/>
        <v>17.05.2022</v>
      </c>
      <c r="DJ29" s="43" t="str">
        <f t="shared" si="84"/>
        <v>31.12.9999</v>
      </c>
      <c r="DL29" s="44">
        <v>1</v>
      </c>
      <c r="DM29" s="44" t="s">
        <v>1039</v>
      </c>
      <c r="DN29" s="44">
        <v>1</v>
      </c>
      <c r="DO29" s="43">
        <f t="shared" si="85"/>
        <v>1</v>
      </c>
      <c r="DP29" s="43" t="str">
        <f t="shared" si="86"/>
        <v>PC</v>
      </c>
      <c r="DQ29" s="43" t="str">
        <f t="shared" si="87"/>
        <v/>
      </c>
      <c r="DR29" s="44">
        <v>100</v>
      </c>
      <c r="DS29" s="71">
        <f t="shared" si="88"/>
        <v>1</v>
      </c>
      <c r="DT29" s="43">
        <f t="shared" si="89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54"/>
        <v/>
      </c>
      <c r="E30" s="71" t="str">
        <f t="shared" si="55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56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57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58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59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60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61"/>
        <v/>
      </c>
      <c r="BF30" s="43" t="str">
        <f t="shared" si="62"/>
        <v/>
      </c>
      <c r="BG30" s="43" t="str">
        <f t="shared" si="63"/>
        <v/>
      </c>
      <c r="BH30" s="43" t="str">
        <f t="shared" si="64"/>
        <v>PC</v>
      </c>
      <c r="BI30" s="43" t="str">
        <f t="shared" si="65"/>
        <v/>
      </c>
      <c r="BJ30" s="43" t="str">
        <f t="shared" si="66"/>
        <v/>
      </c>
      <c r="BK30" s="43" t="str">
        <f t="shared" si="67"/>
        <v/>
      </c>
      <c r="BL30" s="43" t="str">
        <f t="shared" si="68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69"/>
        <v>17.05.2022</v>
      </c>
      <c r="BS30" s="49" t="str">
        <f t="shared" si="70"/>
        <v/>
      </c>
      <c r="BT30" s="50">
        <v>1</v>
      </c>
      <c r="BU30" s="50" t="s">
        <v>194</v>
      </c>
      <c r="BV30" s="90" t="str">
        <f t="shared" si="71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72"/>
        <v/>
      </c>
      <c r="CH30" s="45" t="s">
        <v>430</v>
      </c>
      <c r="CI30" s="44">
        <v>0</v>
      </c>
      <c r="CJ30" s="43" t="str">
        <f t="shared" si="73"/>
        <v>E</v>
      </c>
      <c r="CK30" s="43" t="str">
        <f t="shared" si="74"/>
        <v/>
      </c>
      <c r="CL30" s="44">
        <v>2</v>
      </c>
      <c r="CM30" s="49" t="str">
        <f t="shared" si="75"/>
        <v/>
      </c>
      <c r="CN30" s="49" t="str">
        <f t="shared" si="76"/>
        <v/>
      </c>
      <c r="CO30" s="43" t="str">
        <f t="shared" si="77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78"/>
        <v>K00_AO_</v>
      </c>
      <c r="CW30" s="43" t="str">
        <f t="shared" si="79"/>
        <v/>
      </c>
      <c r="CX30" s="43" t="str">
        <f t="shared" si="80"/>
        <v/>
      </c>
      <c r="CY30" s="44">
        <v>1</v>
      </c>
      <c r="CZ30" s="43" t="str">
        <f t="shared" si="81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82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83"/>
        <v>17.05.2022</v>
      </c>
      <c r="DJ30" s="43" t="str">
        <f t="shared" si="84"/>
        <v>31.12.9999</v>
      </c>
      <c r="DL30" s="44">
        <v>1</v>
      </c>
      <c r="DM30" s="44" t="s">
        <v>1039</v>
      </c>
      <c r="DN30" s="44">
        <v>1</v>
      </c>
      <c r="DO30" s="43">
        <f t="shared" si="85"/>
        <v>1</v>
      </c>
      <c r="DP30" s="43" t="str">
        <f t="shared" si="86"/>
        <v>PC</v>
      </c>
      <c r="DQ30" s="43" t="str">
        <f t="shared" si="87"/>
        <v/>
      </c>
      <c r="DR30" s="44">
        <v>100</v>
      </c>
      <c r="DS30" s="71">
        <f t="shared" si="88"/>
        <v>1</v>
      </c>
      <c r="DT30" s="43">
        <f t="shared" si="89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54"/>
        <v/>
      </c>
      <c r="E31" s="71" t="str">
        <f t="shared" si="55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56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57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58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59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60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61"/>
        <v/>
      </c>
      <c r="BF31" s="43" t="str">
        <f t="shared" si="62"/>
        <v/>
      </c>
      <c r="BG31" s="43" t="str">
        <f t="shared" si="63"/>
        <v/>
      </c>
      <c r="BH31" s="43" t="str">
        <f t="shared" si="64"/>
        <v>PC</v>
      </c>
      <c r="BI31" s="43" t="str">
        <f t="shared" si="65"/>
        <v/>
      </c>
      <c r="BJ31" s="43" t="str">
        <f t="shared" si="66"/>
        <v/>
      </c>
      <c r="BK31" s="43" t="str">
        <f t="shared" si="67"/>
        <v/>
      </c>
      <c r="BL31" s="43" t="str">
        <f t="shared" si="68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69"/>
        <v>17.05.2022</v>
      </c>
      <c r="BS31" s="49" t="str">
        <f t="shared" si="70"/>
        <v/>
      </c>
      <c r="BT31" s="50">
        <v>1</v>
      </c>
      <c r="BU31" s="50" t="s">
        <v>194</v>
      </c>
      <c r="BV31" s="90" t="str">
        <f t="shared" si="71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72"/>
        <v/>
      </c>
      <c r="CH31" s="45" t="s">
        <v>430</v>
      </c>
      <c r="CI31" s="44">
        <v>0</v>
      </c>
      <c r="CJ31" s="43" t="str">
        <f t="shared" si="73"/>
        <v>E</v>
      </c>
      <c r="CK31" s="43" t="str">
        <f t="shared" si="74"/>
        <v/>
      </c>
      <c r="CL31" s="44">
        <v>2</v>
      </c>
      <c r="CM31" s="49" t="str">
        <f t="shared" si="75"/>
        <v/>
      </c>
      <c r="CN31" s="49" t="str">
        <f t="shared" si="76"/>
        <v/>
      </c>
      <c r="CO31" s="43" t="str">
        <f t="shared" si="77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78"/>
        <v>K00_AO_</v>
      </c>
      <c r="CW31" s="43" t="str">
        <f t="shared" si="79"/>
        <v/>
      </c>
      <c r="CX31" s="43" t="str">
        <f t="shared" si="80"/>
        <v/>
      </c>
      <c r="CY31" s="44">
        <v>1</v>
      </c>
      <c r="CZ31" s="43" t="str">
        <f t="shared" si="81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82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83"/>
        <v>17.05.2022</v>
      </c>
      <c r="DJ31" s="43" t="str">
        <f t="shared" si="84"/>
        <v>31.12.9999</v>
      </c>
      <c r="DL31" s="44">
        <v>1</v>
      </c>
      <c r="DM31" s="44" t="s">
        <v>1039</v>
      </c>
      <c r="DN31" s="44">
        <v>1</v>
      </c>
      <c r="DO31" s="43">
        <f t="shared" si="85"/>
        <v>1</v>
      </c>
      <c r="DP31" s="43" t="str">
        <f t="shared" si="86"/>
        <v>PC</v>
      </c>
      <c r="DQ31" s="43" t="str">
        <f t="shared" si="87"/>
        <v/>
      </c>
      <c r="DR31" s="44">
        <v>100</v>
      </c>
      <c r="DS31" s="71">
        <f t="shared" si="88"/>
        <v>1</v>
      </c>
      <c r="DT31" s="43">
        <f t="shared" si="89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54"/>
        <v/>
      </c>
      <c r="E32" s="71" t="str">
        <f t="shared" si="55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56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57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58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59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60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61"/>
        <v/>
      </c>
      <c r="BF32" s="43" t="str">
        <f t="shared" si="62"/>
        <v/>
      </c>
      <c r="BG32" s="43" t="str">
        <f t="shared" si="63"/>
        <v/>
      </c>
      <c r="BH32" s="43" t="str">
        <f t="shared" si="64"/>
        <v>PC</v>
      </c>
      <c r="BI32" s="43" t="str">
        <f t="shared" si="65"/>
        <v/>
      </c>
      <c r="BJ32" s="43" t="str">
        <f t="shared" si="66"/>
        <v/>
      </c>
      <c r="BK32" s="43" t="str">
        <f t="shared" si="67"/>
        <v/>
      </c>
      <c r="BL32" s="43" t="str">
        <f t="shared" si="68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69"/>
        <v>17.05.2022</v>
      </c>
      <c r="BS32" s="49" t="str">
        <f t="shared" si="70"/>
        <v/>
      </c>
      <c r="BT32" s="50">
        <v>1</v>
      </c>
      <c r="BU32" s="50" t="s">
        <v>194</v>
      </c>
      <c r="BV32" s="90" t="str">
        <f t="shared" si="71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72"/>
        <v/>
      </c>
      <c r="CH32" s="45" t="s">
        <v>430</v>
      </c>
      <c r="CI32" s="44">
        <v>0</v>
      </c>
      <c r="CJ32" s="43" t="str">
        <f t="shared" si="73"/>
        <v>E</v>
      </c>
      <c r="CK32" s="43" t="str">
        <f t="shared" si="74"/>
        <v/>
      </c>
      <c r="CL32" s="44">
        <v>2</v>
      </c>
      <c r="CM32" s="49" t="str">
        <f t="shared" si="75"/>
        <v/>
      </c>
      <c r="CN32" s="49" t="str">
        <f t="shared" si="76"/>
        <v/>
      </c>
      <c r="CO32" s="43" t="str">
        <f t="shared" si="77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78"/>
        <v>K00_AO_</v>
      </c>
      <c r="CW32" s="43" t="str">
        <f t="shared" si="79"/>
        <v/>
      </c>
      <c r="CX32" s="43" t="str">
        <f t="shared" si="80"/>
        <v/>
      </c>
      <c r="CY32" s="44">
        <v>1</v>
      </c>
      <c r="CZ32" s="43" t="str">
        <f t="shared" si="81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82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83"/>
        <v>17.05.2022</v>
      </c>
      <c r="DJ32" s="43" t="str">
        <f t="shared" si="84"/>
        <v>31.12.9999</v>
      </c>
      <c r="DL32" s="44">
        <v>1</v>
      </c>
      <c r="DM32" s="44" t="s">
        <v>1039</v>
      </c>
      <c r="DN32" s="44">
        <v>1</v>
      </c>
      <c r="DO32" s="43">
        <f t="shared" si="85"/>
        <v>1</v>
      </c>
      <c r="DP32" s="43" t="str">
        <f t="shared" si="86"/>
        <v>PC</v>
      </c>
      <c r="DQ32" s="43" t="str">
        <f t="shared" si="87"/>
        <v/>
      </c>
      <c r="DR32" s="44">
        <v>100</v>
      </c>
      <c r="DS32" s="71">
        <f t="shared" si="88"/>
        <v>1</v>
      </c>
      <c r="DT32" s="43">
        <f t="shared" si="89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54"/>
        <v/>
      </c>
      <c r="E33" s="71" t="str">
        <f t="shared" si="55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56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57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58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59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60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61"/>
        <v/>
      </c>
      <c r="BF33" s="43" t="str">
        <f t="shared" si="62"/>
        <v/>
      </c>
      <c r="BG33" s="43" t="str">
        <f t="shared" si="63"/>
        <v/>
      </c>
      <c r="BH33" s="43" t="str">
        <f t="shared" si="64"/>
        <v>PC</v>
      </c>
      <c r="BI33" s="43" t="str">
        <f t="shared" si="65"/>
        <v/>
      </c>
      <c r="BJ33" s="43" t="str">
        <f t="shared" si="66"/>
        <v/>
      </c>
      <c r="BK33" s="43" t="str">
        <f t="shared" si="67"/>
        <v/>
      </c>
      <c r="BL33" s="43" t="str">
        <f t="shared" si="68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69"/>
        <v>17.05.2022</v>
      </c>
      <c r="BS33" s="49" t="str">
        <f t="shared" si="70"/>
        <v/>
      </c>
      <c r="BT33" s="50">
        <v>1</v>
      </c>
      <c r="BU33" s="50" t="s">
        <v>194</v>
      </c>
      <c r="BV33" s="90" t="str">
        <f t="shared" si="71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72"/>
        <v/>
      </c>
      <c r="CH33" s="45" t="s">
        <v>430</v>
      </c>
      <c r="CI33" s="44">
        <v>0</v>
      </c>
      <c r="CJ33" s="43" t="str">
        <f t="shared" si="73"/>
        <v>E</v>
      </c>
      <c r="CK33" s="43" t="str">
        <f t="shared" si="74"/>
        <v/>
      </c>
      <c r="CL33" s="44">
        <v>2</v>
      </c>
      <c r="CM33" s="49" t="str">
        <f t="shared" si="75"/>
        <v/>
      </c>
      <c r="CN33" s="49" t="str">
        <f t="shared" si="76"/>
        <v/>
      </c>
      <c r="CO33" s="43" t="str">
        <f t="shared" si="77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78"/>
        <v>K00_AO_</v>
      </c>
      <c r="CW33" s="43" t="str">
        <f t="shared" si="79"/>
        <v/>
      </c>
      <c r="CX33" s="43" t="str">
        <f t="shared" si="80"/>
        <v/>
      </c>
      <c r="CY33" s="44">
        <v>1</v>
      </c>
      <c r="CZ33" s="43" t="str">
        <f t="shared" si="81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82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83"/>
        <v>17.05.2022</v>
      </c>
      <c r="DJ33" s="43" t="str">
        <f t="shared" si="84"/>
        <v>31.12.9999</v>
      </c>
      <c r="DL33" s="44">
        <v>1</v>
      </c>
      <c r="DM33" s="44" t="s">
        <v>1039</v>
      </c>
      <c r="DN33" s="44">
        <v>1</v>
      </c>
      <c r="DO33" s="43">
        <f t="shared" si="85"/>
        <v>1</v>
      </c>
      <c r="DP33" s="43" t="str">
        <f t="shared" si="86"/>
        <v>PC</v>
      </c>
      <c r="DQ33" s="43" t="str">
        <f t="shared" si="87"/>
        <v/>
      </c>
      <c r="DR33" s="44">
        <v>100</v>
      </c>
      <c r="DS33" s="71">
        <f t="shared" si="88"/>
        <v>1</v>
      </c>
      <c r="DT33" s="43">
        <f t="shared" si="89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54"/>
        <v/>
      </c>
      <c r="E34" s="71" t="str">
        <f t="shared" si="55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56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57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58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59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60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61"/>
        <v/>
      </c>
      <c r="BF34" s="43" t="str">
        <f t="shared" si="62"/>
        <v/>
      </c>
      <c r="BG34" s="43" t="str">
        <f t="shared" si="63"/>
        <v/>
      </c>
      <c r="BH34" s="43" t="str">
        <f t="shared" si="64"/>
        <v>PC</v>
      </c>
      <c r="BI34" s="43" t="str">
        <f t="shared" si="65"/>
        <v/>
      </c>
      <c r="BJ34" s="43" t="str">
        <f t="shared" si="66"/>
        <v/>
      </c>
      <c r="BK34" s="43" t="str">
        <f t="shared" si="67"/>
        <v/>
      </c>
      <c r="BL34" s="43" t="str">
        <f t="shared" si="68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69"/>
        <v>17.05.2022</v>
      </c>
      <c r="BS34" s="49" t="str">
        <f t="shared" si="70"/>
        <v/>
      </c>
      <c r="BT34" s="50">
        <v>1</v>
      </c>
      <c r="BU34" s="50" t="s">
        <v>194</v>
      </c>
      <c r="BV34" s="90" t="str">
        <f t="shared" si="71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72"/>
        <v/>
      </c>
      <c r="CH34" s="45" t="s">
        <v>430</v>
      </c>
      <c r="CI34" s="44">
        <v>0</v>
      </c>
      <c r="CJ34" s="43" t="str">
        <f t="shared" si="73"/>
        <v>E</v>
      </c>
      <c r="CK34" s="43" t="str">
        <f t="shared" si="74"/>
        <v/>
      </c>
      <c r="CL34" s="44">
        <v>2</v>
      </c>
      <c r="CM34" s="49" t="str">
        <f t="shared" si="75"/>
        <v/>
      </c>
      <c r="CN34" s="49" t="str">
        <f t="shared" si="76"/>
        <v/>
      </c>
      <c r="CO34" s="43" t="str">
        <f t="shared" si="77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78"/>
        <v>K00_AO_</v>
      </c>
      <c r="CW34" s="43" t="str">
        <f t="shared" si="79"/>
        <v/>
      </c>
      <c r="CX34" s="43" t="str">
        <f t="shared" si="80"/>
        <v/>
      </c>
      <c r="CY34" s="44">
        <v>1</v>
      </c>
      <c r="CZ34" s="43" t="str">
        <f t="shared" si="81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82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83"/>
        <v>17.05.2022</v>
      </c>
      <c r="DJ34" s="43" t="str">
        <f t="shared" si="84"/>
        <v>31.12.9999</v>
      </c>
      <c r="DL34" s="44">
        <v>1</v>
      </c>
      <c r="DM34" s="44" t="s">
        <v>1039</v>
      </c>
      <c r="DN34" s="44">
        <v>1</v>
      </c>
      <c r="DO34" s="43">
        <f t="shared" si="85"/>
        <v>1</v>
      </c>
      <c r="DP34" s="43" t="str">
        <f t="shared" si="86"/>
        <v>PC</v>
      </c>
      <c r="DQ34" s="43" t="str">
        <f t="shared" si="87"/>
        <v/>
      </c>
      <c r="DR34" s="44">
        <v>100</v>
      </c>
      <c r="DS34" s="71">
        <f t="shared" si="88"/>
        <v>1</v>
      </c>
      <c r="DT34" s="43">
        <f t="shared" si="89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54"/>
        <v/>
      </c>
      <c r="E35" s="71" t="str">
        <f t="shared" si="55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56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57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58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59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60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61"/>
        <v/>
      </c>
      <c r="BF35" s="43" t="str">
        <f t="shared" si="62"/>
        <v/>
      </c>
      <c r="BG35" s="43" t="str">
        <f t="shared" si="63"/>
        <v/>
      </c>
      <c r="BH35" s="43" t="str">
        <f t="shared" si="64"/>
        <v>PC</v>
      </c>
      <c r="BI35" s="43" t="str">
        <f t="shared" si="65"/>
        <v/>
      </c>
      <c r="BJ35" s="43" t="str">
        <f t="shared" si="66"/>
        <v/>
      </c>
      <c r="BK35" s="43" t="str">
        <f t="shared" si="67"/>
        <v/>
      </c>
      <c r="BL35" s="43" t="str">
        <f t="shared" si="68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69"/>
        <v>17.05.2022</v>
      </c>
      <c r="BS35" s="49" t="str">
        <f t="shared" si="70"/>
        <v/>
      </c>
      <c r="BT35" s="50">
        <v>1</v>
      </c>
      <c r="BU35" s="50" t="s">
        <v>194</v>
      </c>
      <c r="BV35" s="90" t="str">
        <f t="shared" si="71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72"/>
        <v/>
      </c>
      <c r="CH35" s="45" t="s">
        <v>430</v>
      </c>
      <c r="CI35" s="44">
        <v>0</v>
      </c>
      <c r="CJ35" s="43" t="str">
        <f t="shared" si="73"/>
        <v>E</v>
      </c>
      <c r="CK35" s="43" t="str">
        <f t="shared" si="74"/>
        <v/>
      </c>
      <c r="CL35" s="44">
        <v>2</v>
      </c>
      <c r="CM35" s="49" t="str">
        <f t="shared" si="75"/>
        <v/>
      </c>
      <c r="CN35" s="49" t="str">
        <f t="shared" si="76"/>
        <v/>
      </c>
      <c r="CO35" s="43" t="str">
        <f t="shared" si="77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78"/>
        <v>K00_AO_</v>
      </c>
      <c r="CW35" s="43" t="str">
        <f t="shared" si="79"/>
        <v/>
      </c>
      <c r="CX35" s="43" t="str">
        <f t="shared" si="80"/>
        <v/>
      </c>
      <c r="CY35" s="44">
        <v>1</v>
      </c>
      <c r="CZ35" s="43" t="str">
        <f t="shared" si="81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82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83"/>
        <v>17.05.2022</v>
      </c>
      <c r="DJ35" s="43" t="str">
        <f t="shared" si="84"/>
        <v>31.12.9999</v>
      </c>
      <c r="DL35" s="44">
        <v>1</v>
      </c>
      <c r="DM35" s="44" t="s">
        <v>1039</v>
      </c>
      <c r="DN35" s="44">
        <v>1</v>
      </c>
      <c r="DO35" s="43">
        <f t="shared" si="85"/>
        <v>1</v>
      </c>
      <c r="DP35" s="43" t="str">
        <f t="shared" si="86"/>
        <v>PC</v>
      </c>
      <c r="DQ35" s="43" t="str">
        <f t="shared" si="87"/>
        <v/>
      </c>
      <c r="DR35" s="44">
        <v>100</v>
      </c>
      <c r="DS35" s="71">
        <f t="shared" si="88"/>
        <v>1</v>
      </c>
      <c r="DT35" s="43">
        <f t="shared" si="89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54"/>
        <v/>
      </c>
      <c r="E36" s="71" t="str">
        <f t="shared" si="55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56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57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58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59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60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61"/>
        <v/>
      </c>
      <c r="BF36" s="43" t="str">
        <f t="shared" si="62"/>
        <v/>
      </c>
      <c r="BG36" s="43" t="str">
        <f t="shared" si="63"/>
        <v/>
      </c>
      <c r="BH36" s="43" t="str">
        <f t="shared" si="64"/>
        <v>PC</v>
      </c>
      <c r="BI36" s="43" t="str">
        <f t="shared" si="65"/>
        <v/>
      </c>
      <c r="BJ36" s="43" t="str">
        <f t="shared" si="66"/>
        <v/>
      </c>
      <c r="BK36" s="43" t="str">
        <f t="shared" si="67"/>
        <v/>
      </c>
      <c r="BL36" s="43" t="str">
        <f t="shared" si="68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69"/>
        <v>17.05.2022</v>
      </c>
      <c r="BS36" s="49" t="str">
        <f t="shared" si="70"/>
        <v/>
      </c>
      <c r="BT36" s="50">
        <v>1</v>
      </c>
      <c r="BU36" s="50" t="s">
        <v>194</v>
      </c>
      <c r="BV36" s="90" t="str">
        <f t="shared" si="71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72"/>
        <v/>
      </c>
      <c r="CH36" s="45" t="s">
        <v>430</v>
      </c>
      <c r="CI36" s="44">
        <v>0</v>
      </c>
      <c r="CJ36" s="43" t="str">
        <f t="shared" si="73"/>
        <v>E</v>
      </c>
      <c r="CK36" s="43" t="str">
        <f t="shared" si="74"/>
        <v/>
      </c>
      <c r="CL36" s="44">
        <v>2</v>
      </c>
      <c r="CM36" s="49" t="str">
        <f t="shared" si="75"/>
        <v/>
      </c>
      <c r="CN36" s="49" t="str">
        <f t="shared" si="76"/>
        <v/>
      </c>
      <c r="CO36" s="43" t="str">
        <f t="shared" si="77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78"/>
        <v>K00_AO_</v>
      </c>
      <c r="CW36" s="43" t="str">
        <f t="shared" si="79"/>
        <v/>
      </c>
      <c r="CX36" s="43" t="str">
        <f t="shared" si="80"/>
        <v/>
      </c>
      <c r="CY36" s="44">
        <v>1</v>
      </c>
      <c r="CZ36" s="43" t="str">
        <f t="shared" si="81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82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83"/>
        <v>17.05.2022</v>
      </c>
      <c r="DJ36" s="43" t="str">
        <f t="shared" si="84"/>
        <v>31.12.9999</v>
      </c>
      <c r="DL36" s="44">
        <v>1</v>
      </c>
      <c r="DM36" s="44" t="s">
        <v>1039</v>
      </c>
      <c r="DN36" s="44">
        <v>1</v>
      </c>
      <c r="DO36" s="43">
        <f t="shared" si="85"/>
        <v>1</v>
      </c>
      <c r="DP36" s="43" t="str">
        <f t="shared" si="86"/>
        <v>PC</v>
      </c>
      <c r="DQ36" s="43" t="str">
        <f t="shared" si="87"/>
        <v/>
      </c>
      <c r="DR36" s="44">
        <v>100</v>
      </c>
      <c r="DS36" s="71">
        <f t="shared" si="88"/>
        <v>1</v>
      </c>
      <c r="DT36" s="43">
        <f t="shared" si="89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54"/>
        <v/>
      </c>
      <c r="E37" s="71" t="str">
        <f t="shared" si="55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56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57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58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59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60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61"/>
        <v/>
      </c>
      <c r="BF37" s="43" t="str">
        <f t="shared" si="62"/>
        <v/>
      </c>
      <c r="BG37" s="43" t="str">
        <f t="shared" si="63"/>
        <v/>
      </c>
      <c r="BH37" s="43" t="str">
        <f t="shared" si="64"/>
        <v>PC</v>
      </c>
      <c r="BI37" s="43" t="str">
        <f t="shared" si="65"/>
        <v/>
      </c>
      <c r="BJ37" s="43" t="str">
        <f t="shared" si="66"/>
        <v/>
      </c>
      <c r="BK37" s="43" t="str">
        <f t="shared" si="67"/>
        <v/>
      </c>
      <c r="BL37" s="43" t="str">
        <f t="shared" si="68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69"/>
        <v>17.05.2022</v>
      </c>
      <c r="BS37" s="49" t="str">
        <f t="shared" si="70"/>
        <v/>
      </c>
      <c r="BT37" s="50">
        <v>1</v>
      </c>
      <c r="BU37" s="50" t="s">
        <v>194</v>
      </c>
      <c r="BV37" s="90" t="str">
        <f t="shared" si="71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72"/>
        <v/>
      </c>
      <c r="CH37" s="45" t="s">
        <v>430</v>
      </c>
      <c r="CI37" s="44">
        <v>0</v>
      </c>
      <c r="CJ37" s="43" t="str">
        <f t="shared" si="73"/>
        <v>E</v>
      </c>
      <c r="CK37" s="43" t="str">
        <f t="shared" si="74"/>
        <v/>
      </c>
      <c r="CL37" s="44">
        <v>2</v>
      </c>
      <c r="CM37" s="49" t="str">
        <f t="shared" si="75"/>
        <v/>
      </c>
      <c r="CN37" s="49" t="str">
        <f t="shared" si="76"/>
        <v/>
      </c>
      <c r="CO37" s="43" t="str">
        <f t="shared" si="77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78"/>
        <v>K00_AO_</v>
      </c>
      <c r="CW37" s="43" t="str">
        <f t="shared" si="79"/>
        <v/>
      </c>
      <c r="CX37" s="43" t="str">
        <f t="shared" si="80"/>
        <v/>
      </c>
      <c r="CY37" s="44">
        <v>1</v>
      </c>
      <c r="CZ37" s="43" t="str">
        <f t="shared" si="81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82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83"/>
        <v>17.05.2022</v>
      </c>
      <c r="DJ37" s="43" t="str">
        <f t="shared" si="84"/>
        <v>31.12.9999</v>
      </c>
      <c r="DL37" s="44">
        <v>1</v>
      </c>
      <c r="DM37" s="44" t="s">
        <v>1039</v>
      </c>
      <c r="DN37" s="44">
        <v>1</v>
      </c>
      <c r="DO37" s="43">
        <f t="shared" si="85"/>
        <v>1</v>
      </c>
      <c r="DP37" s="43" t="str">
        <f t="shared" si="86"/>
        <v>PC</v>
      </c>
      <c r="DQ37" s="43" t="str">
        <f t="shared" si="87"/>
        <v/>
      </c>
      <c r="DR37" s="44">
        <v>100</v>
      </c>
      <c r="DS37" s="71">
        <f t="shared" si="88"/>
        <v>1</v>
      </c>
      <c r="DT37" s="43">
        <f t="shared" si="89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54"/>
        <v/>
      </c>
      <c r="E38" s="71" t="str">
        <f t="shared" si="55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56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57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58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59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60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61"/>
        <v/>
      </c>
      <c r="BF38" s="43" t="str">
        <f t="shared" si="62"/>
        <v/>
      </c>
      <c r="BG38" s="43" t="str">
        <f t="shared" si="63"/>
        <v/>
      </c>
      <c r="BH38" s="43" t="str">
        <f t="shared" si="64"/>
        <v>PC</v>
      </c>
      <c r="BI38" s="43" t="str">
        <f t="shared" si="65"/>
        <v/>
      </c>
      <c r="BJ38" s="43" t="str">
        <f t="shared" si="66"/>
        <v/>
      </c>
      <c r="BK38" s="43" t="str">
        <f t="shared" si="67"/>
        <v/>
      </c>
      <c r="BL38" s="43" t="str">
        <f t="shared" si="68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69"/>
        <v>17.05.2022</v>
      </c>
      <c r="BS38" s="49" t="str">
        <f t="shared" si="70"/>
        <v/>
      </c>
      <c r="BT38" s="50">
        <v>1</v>
      </c>
      <c r="BU38" s="50" t="s">
        <v>194</v>
      </c>
      <c r="BV38" s="90" t="str">
        <f t="shared" si="71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72"/>
        <v/>
      </c>
      <c r="CH38" s="45" t="s">
        <v>430</v>
      </c>
      <c r="CI38" s="44">
        <v>0</v>
      </c>
      <c r="CJ38" s="43" t="str">
        <f t="shared" si="73"/>
        <v>E</v>
      </c>
      <c r="CK38" s="43" t="str">
        <f t="shared" si="74"/>
        <v/>
      </c>
      <c r="CL38" s="44">
        <v>2</v>
      </c>
      <c r="CM38" s="49" t="str">
        <f t="shared" si="75"/>
        <v/>
      </c>
      <c r="CN38" s="49" t="str">
        <f t="shared" si="76"/>
        <v/>
      </c>
      <c r="CO38" s="43" t="str">
        <f t="shared" si="77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78"/>
        <v>K00_AO_</v>
      </c>
      <c r="CW38" s="43" t="str">
        <f t="shared" si="79"/>
        <v/>
      </c>
      <c r="CX38" s="43" t="str">
        <f t="shared" si="80"/>
        <v/>
      </c>
      <c r="CY38" s="44">
        <v>1</v>
      </c>
      <c r="CZ38" s="43" t="str">
        <f t="shared" si="81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82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83"/>
        <v>17.05.2022</v>
      </c>
      <c r="DJ38" s="43" t="str">
        <f t="shared" si="84"/>
        <v>31.12.9999</v>
      </c>
      <c r="DL38" s="44">
        <v>1</v>
      </c>
      <c r="DM38" s="44" t="s">
        <v>1039</v>
      </c>
      <c r="DN38" s="44">
        <v>1</v>
      </c>
      <c r="DO38" s="43">
        <f t="shared" si="85"/>
        <v>1</v>
      </c>
      <c r="DP38" s="43" t="str">
        <f t="shared" si="86"/>
        <v>PC</v>
      </c>
      <c r="DQ38" s="43" t="str">
        <f t="shared" si="87"/>
        <v/>
      </c>
      <c r="DR38" s="44">
        <v>100</v>
      </c>
      <c r="DS38" s="71">
        <f t="shared" si="88"/>
        <v>1</v>
      </c>
      <c r="DT38" s="43">
        <f t="shared" si="89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54"/>
        <v/>
      </c>
      <c r="E39" s="71" t="str">
        <f t="shared" si="55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56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57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58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59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60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61"/>
        <v/>
      </c>
      <c r="BF39" s="43" t="str">
        <f t="shared" si="62"/>
        <v/>
      </c>
      <c r="BG39" s="43" t="str">
        <f t="shared" si="63"/>
        <v/>
      </c>
      <c r="BH39" s="43" t="str">
        <f t="shared" si="64"/>
        <v>PC</v>
      </c>
      <c r="BI39" s="43" t="str">
        <f t="shared" si="65"/>
        <v/>
      </c>
      <c r="BJ39" s="43" t="str">
        <f t="shared" si="66"/>
        <v/>
      </c>
      <c r="BK39" s="43" t="str">
        <f t="shared" si="67"/>
        <v/>
      </c>
      <c r="BL39" s="43" t="str">
        <f t="shared" si="68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69"/>
        <v>17.05.2022</v>
      </c>
      <c r="BS39" s="49" t="str">
        <f t="shared" si="70"/>
        <v/>
      </c>
      <c r="BT39" s="50">
        <v>1</v>
      </c>
      <c r="BU39" s="50" t="s">
        <v>194</v>
      </c>
      <c r="BV39" s="90" t="str">
        <f t="shared" si="71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72"/>
        <v/>
      </c>
      <c r="CH39" s="45" t="s">
        <v>430</v>
      </c>
      <c r="CI39" s="44">
        <v>0</v>
      </c>
      <c r="CJ39" s="43" t="str">
        <f t="shared" si="73"/>
        <v>E</v>
      </c>
      <c r="CK39" s="43" t="str">
        <f t="shared" si="74"/>
        <v/>
      </c>
      <c r="CL39" s="44">
        <v>2</v>
      </c>
      <c r="CM39" s="49" t="str">
        <f t="shared" si="75"/>
        <v/>
      </c>
      <c r="CN39" s="49" t="str">
        <f t="shared" si="76"/>
        <v/>
      </c>
      <c r="CO39" s="43" t="str">
        <f t="shared" si="77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78"/>
        <v>K00_AO_</v>
      </c>
      <c r="CW39" s="43" t="str">
        <f t="shared" si="79"/>
        <v/>
      </c>
      <c r="CX39" s="43" t="str">
        <f t="shared" si="80"/>
        <v/>
      </c>
      <c r="CY39" s="44">
        <v>1</v>
      </c>
      <c r="CZ39" s="43" t="str">
        <f t="shared" si="81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82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83"/>
        <v>17.05.2022</v>
      </c>
      <c r="DJ39" s="43" t="str">
        <f t="shared" si="84"/>
        <v>31.12.9999</v>
      </c>
      <c r="DL39" s="44">
        <v>1</v>
      </c>
      <c r="DM39" s="44" t="s">
        <v>1039</v>
      </c>
      <c r="DN39" s="44">
        <v>1</v>
      </c>
      <c r="DO39" s="43">
        <f t="shared" si="85"/>
        <v>1</v>
      </c>
      <c r="DP39" s="43" t="str">
        <f t="shared" si="86"/>
        <v>PC</v>
      </c>
      <c r="DQ39" s="43" t="str">
        <f t="shared" si="87"/>
        <v/>
      </c>
      <c r="DR39" s="44">
        <v>100</v>
      </c>
      <c r="DS39" s="71">
        <f t="shared" si="88"/>
        <v>1</v>
      </c>
      <c r="DT39" s="43">
        <f t="shared" si="89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54"/>
        <v/>
      </c>
      <c r="E40" s="71" t="str">
        <f t="shared" si="55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56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57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58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59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60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61"/>
        <v/>
      </c>
      <c r="BF40" s="43" t="str">
        <f t="shared" si="62"/>
        <v/>
      </c>
      <c r="BG40" s="43" t="str">
        <f t="shared" si="63"/>
        <v/>
      </c>
      <c r="BH40" s="43" t="str">
        <f t="shared" si="64"/>
        <v>PC</v>
      </c>
      <c r="BI40" s="43" t="str">
        <f t="shared" si="65"/>
        <v/>
      </c>
      <c r="BJ40" s="43" t="str">
        <f t="shared" si="66"/>
        <v/>
      </c>
      <c r="BK40" s="43" t="str">
        <f t="shared" si="67"/>
        <v/>
      </c>
      <c r="BL40" s="43" t="str">
        <f t="shared" si="68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69"/>
        <v>17.05.2022</v>
      </c>
      <c r="BS40" s="49" t="str">
        <f t="shared" si="70"/>
        <v/>
      </c>
      <c r="BT40" s="50">
        <v>1</v>
      </c>
      <c r="BU40" s="50" t="s">
        <v>194</v>
      </c>
      <c r="BV40" s="90" t="str">
        <f t="shared" si="71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72"/>
        <v/>
      </c>
      <c r="CH40" s="45" t="s">
        <v>430</v>
      </c>
      <c r="CI40" s="44">
        <v>0</v>
      </c>
      <c r="CJ40" s="43" t="str">
        <f t="shared" si="73"/>
        <v>E</v>
      </c>
      <c r="CK40" s="43" t="str">
        <f t="shared" si="74"/>
        <v/>
      </c>
      <c r="CL40" s="44">
        <v>2</v>
      </c>
      <c r="CM40" s="49" t="str">
        <f t="shared" si="75"/>
        <v/>
      </c>
      <c r="CN40" s="49" t="str">
        <f t="shared" si="76"/>
        <v/>
      </c>
      <c r="CO40" s="43" t="str">
        <f t="shared" si="77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78"/>
        <v>K00_AO_</v>
      </c>
      <c r="CW40" s="43" t="str">
        <f t="shared" si="79"/>
        <v/>
      </c>
      <c r="CX40" s="43" t="str">
        <f t="shared" si="80"/>
        <v/>
      </c>
      <c r="CY40" s="44">
        <v>1</v>
      </c>
      <c r="CZ40" s="43" t="str">
        <f t="shared" si="81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82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83"/>
        <v>17.05.2022</v>
      </c>
      <c r="DJ40" s="43" t="str">
        <f t="shared" si="84"/>
        <v>31.12.9999</v>
      </c>
      <c r="DL40" s="44">
        <v>1</v>
      </c>
      <c r="DM40" s="44" t="s">
        <v>1039</v>
      </c>
      <c r="DN40" s="44">
        <v>1</v>
      </c>
      <c r="DO40" s="43">
        <f t="shared" si="85"/>
        <v>1</v>
      </c>
      <c r="DP40" s="43" t="str">
        <f t="shared" si="86"/>
        <v>PC</v>
      </c>
      <c r="DQ40" s="43" t="str">
        <f t="shared" si="87"/>
        <v/>
      </c>
      <c r="DR40" s="44">
        <v>100</v>
      </c>
      <c r="DS40" s="71">
        <f t="shared" si="88"/>
        <v>1</v>
      </c>
      <c r="DT40" s="43">
        <f t="shared" si="89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  <row r="41" spans="1:130" x14ac:dyDescent="0.2">
      <c r="A41" s="7" t="str">
        <f t="shared" si="2"/>
        <v>Execução 37</v>
      </c>
      <c r="B41" s="79"/>
      <c r="C41" s="85"/>
      <c r="D41" s="71" t="str">
        <f t="shared" si="37"/>
        <v/>
      </c>
      <c r="E41" s="71" t="str">
        <f t="shared" si="38"/>
        <v/>
      </c>
      <c r="F41" s="43" t="str">
        <f>IF(IFERROR(INDEX(Consulta!$A:$DN,MATCH('ZM01'!$C41,Consulta!$D:$D,0),'ZM01'!F$2),"")=0,"",IFERROR(INDEX(Consulta!$A:$DN,MATCH('ZM01'!$C41,Consulta!$D:$D,0),'ZM01'!F$2),""))</f>
        <v/>
      </c>
      <c r="G41" s="43" t="str">
        <f>IF(IFERROR(INDEX(Consulta!$A:$DN,MATCH('ZM01'!$C41,Consulta!$D:$D,0),'ZM01'!G$2),"")=0,"",IFERROR(INDEX(Consulta!$A:$DN,MATCH('ZM01'!$C41,Consulta!$D:$D,0),'ZM01'!G$2),""))</f>
        <v/>
      </c>
      <c r="H41" s="43" t="str">
        <f t="shared" si="23"/>
        <v/>
      </c>
      <c r="I41" s="44" t="s">
        <v>100</v>
      </c>
      <c r="J41" s="43" t="str">
        <f>IF(IFERROR(INDEX(Consulta!$A:$DN,MATCH('ZM01'!$C41,Consulta!$D:$D,0),'ZM01'!J$2),"")=0,"",IFERROR(INDEX(Consulta!$A:$DN,MATCH('ZM01'!$C41,Consulta!$D:$D,0),'ZM01'!J$2),""))</f>
        <v/>
      </c>
      <c r="K41" s="43" t="str">
        <f>IF(IFERROR(INDEX(Consulta!$A:$DN,MATCH('ZM01'!$C41,Consulta!$D:$D,0),'ZM01'!K$2),"")=0,"",IFERROR(INDEX(Consulta!$A:$DN,MATCH('ZM01'!$C41,Consulta!$D:$D,0),'ZM01'!K$2),""))</f>
        <v/>
      </c>
      <c r="L41" s="43" t="str">
        <f t="shared" si="39"/>
        <v/>
      </c>
      <c r="M41" s="43" t="str">
        <f>IF(IFERROR(INDEX(Consulta!$A:$DN,MATCH('ZM01'!$C41,Consulta!$D:$D,0),'ZM01'!M$2),"")=0,"",IFERROR(INDEX(Consulta!$A:$DN,MATCH('ZM01'!$C41,Consulta!$D:$D,0),'ZM01'!M$2),""))</f>
        <v/>
      </c>
      <c r="N41" s="43" t="str">
        <f t="shared" si="40"/>
        <v/>
      </c>
      <c r="P41" s="45" t="s">
        <v>101</v>
      </c>
      <c r="Q41" s="45" t="s">
        <v>102</v>
      </c>
      <c r="R41" s="45" t="s">
        <v>103</v>
      </c>
      <c r="S41" s="45" t="s">
        <v>104</v>
      </c>
      <c r="T41" s="45" t="s">
        <v>105</v>
      </c>
      <c r="U41" s="45" t="s">
        <v>106</v>
      </c>
      <c r="V41" s="45" t="s">
        <v>107</v>
      </c>
      <c r="W41" s="45" t="s">
        <v>109</v>
      </c>
      <c r="X41" s="45" t="s">
        <v>110</v>
      </c>
      <c r="Y41" s="45"/>
      <c r="Z41" s="45"/>
      <c r="AA41" s="45" t="s">
        <v>112</v>
      </c>
      <c r="AB41" s="45" t="s">
        <v>113</v>
      </c>
      <c r="AC41" s="45" t="s">
        <v>114</v>
      </c>
      <c r="AD41" s="45" t="s">
        <v>115</v>
      </c>
      <c r="AE41" s="45" t="s">
        <v>117</v>
      </c>
      <c r="AF41" s="45" t="s">
        <v>118</v>
      </c>
      <c r="AG41" s="45" t="s">
        <v>119</v>
      </c>
      <c r="AH41" s="45" t="s">
        <v>120</v>
      </c>
      <c r="AI41" s="45" t="s">
        <v>121</v>
      </c>
      <c r="AJ41" s="45" t="s">
        <v>122</v>
      </c>
      <c r="AK41" s="45" t="s">
        <v>123</v>
      </c>
      <c r="AL41" s="45" t="s">
        <v>124</v>
      </c>
      <c r="AM41" s="45" t="s">
        <v>125</v>
      </c>
      <c r="AN41" s="45" t="s">
        <v>126</v>
      </c>
      <c r="AO41" s="45"/>
      <c r="AP41" s="45"/>
      <c r="AR41" s="44" t="s">
        <v>822</v>
      </c>
      <c r="AS41" s="43" t="str">
        <f>IF(IFERROR(INDEX(Consulta!$A:$DN,MATCH('ZM01'!$C41,Consulta!$D:$D,0),'ZM01'!AS$2),"")=0,"",IFERROR(INDEX(Consulta!$A:$DN,MATCH('ZM01'!$C41,Consulta!$D:$D,0),'ZM01'!AS$2),""))</f>
        <v/>
      </c>
      <c r="AT41" s="45"/>
      <c r="AU41" s="43" t="str">
        <f>IF(IFERROR(INDEX(Consulta!$A:$DN,MATCH('ZM01'!$C41,Consulta!$D:$D,0),'ZM01'!AU$2),"")=0,"",IFERROR(INDEX(Consulta!$A:$DN,MATCH('ZM01'!$C41,Consulta!$D:$D,0),'ZM01'!AU$2),""))</f>
        <v/>
      </c>
      <c r="AV41" s="43" t="str">
        <f>IF(IFERROR(INDEX(Consulta!$A:$DN,MATCH('ZM01'!$C41,Consulta!$D:$D,0),'ZM01'!AV$2),"")=0,"",IFERROR(INDEX(Consulta!$A:$DN,MATCH('ZM01'!$C41,Consulta!$D:$D,0),'ZM01'!AV$2),""))</f>
        <v/>
      </c>
      <c r="AW41" s="45"/>
      <c r="AX41" s="46" t="str">
        <f t="shared" ca="1" si="41"/>
        <v/>
      </c>
      <c r="AY41" s="47" t="s">
        <v>755</v>
      </c>
      <c r="AZ41" s="43" t="str">
        <f>IF(IFERROR(ROUND(INDEX(Consulta!$A:$DN,MATCH('ZM01'!$C41,Consulta!$D:$D,0),'ZM01'!AZ$2),3),"")=0,"",IFERROR(ROUND(INDEX(Consulta!$A:$DN,MATCH('ZM01'!$C41,Consulta!$D:$D,0),'ZM01'!AZ$2),3),""))</f>
        <v/>
      </c>
      <c r="BA41" s="43" t="str">
        <f t="shared" si="42"/>
        <v/>
      </c>
      <c r="BB41" s="48" t="s">
        <v>299</v>
      </c>
      <c r="BC41" s="48"/>
      <c r="BD41" s="43" t="str">
        <f>IF(IFERROR(INDEX(Consulta!$A:$DN,MATCH('ZM01'!$C41,Consulta!$D:$D,0),'ZM01'!BD$2),"")=0,"",IFERROR(INDEX(Consulta!$A:$DN,MATCH('ZM01'!$C41,Consulta!$D:$D,0),'ZM01'!BD$2),""))</f>
        <v/>
      </c>
      <c r="BE41" s="43" t="str">
        <f t="shared" si="0"/>
        <v/>
      </c>
      <c r="BF41" s="43" t="str">
        <f t="shared" si="43"/>
        <v/>
      </c>
      <c r="BG41" s="43" t="str">
        <f t="shared" si="1"/>
        <v/>
      </c>
      <c r="BH41" s="43" t="str">
        <f t="shared" si="44"/>
        <v>PC</v>
      </c>
      <c r="BI41" s="43" t="str">
        <f t="shared" si="24"/>
        <v/>
      </c>
      <c r="BJ41" s="43" t="str">
        <f t="shared" si="25"/>
        <v/>
      </c>
      <c r="BK41" s="43" t="str">
        <f t="shared" si="26"/>
        <v/>
      </c>
      <c r="BL41" s="43" t="str">
        <f t="shared" si="45"/>
        <v>PC</v>
      </c>
      <c r="BN41" s="44"/>
      <c r="BO41" s="44" t="s">
        <v>925</v>
      </c>
      <c r="BP41" s="43" t="str">
        <f>IF(OR(IFERROR(INDEX(Consulta!$A:$DN,MATCH('ZM01'!$C41,Consulta!$D:$D,0),'ZM01'!BP$2),"")=0,IFERROR(INDEX(Consulta!$A:$DN,MATCH('ZM01'!$C41,Consulta!$D:$D,0),'ZM01'!BP$2),"")=AR41),"",IFERROR(INDEX(Consulta!$A:$DN,MATCH('ZM01'!$C41,Consulta!$D:$D,0),'ZM01'!BP$2),""))</f>
        <v/>
      </c>
      <c r="BQ41" s="45">
        <v>99</v>
      </c>
      <c r="BR41" s="46" t="str">
        <f t="shared" ca="1" si="46"/>
        <v>17.05.2022</v>
      </c>
      <c r="BS41" s="49" t="str">
        <f t="shared" si="47"/>
        <v/>
      </c>
      <c r="BT41" s="50">
        <v>1</v>
      </c>
      <c r="BU41" s="50" t="s">
        <v>194</v>
      </c>
      <c r="BV41" s="90" t="str">
        <f t="shared" si="14"/>
        <v>01</v>
      </c>
      <c r="BW41" s="50" t="s">
        <v>755</v>
      </c>
      <c r="BX41" s="44">
        <v>1</v>
      </c>
      <c r="BY41" s="44" t="s">
        <v>372</v>
      </c>
      <c r="BZ41" s="50" t="s">
        <v>197</v>
      </c>
      <c r="CA41" s="50" t="s">
        <v>197</v>
      </c>
      <c r="CB41" s="43" t="str">
        <f>IF(IFERROR(INDEX(Consulta!$A:$DN,MATCH('ZM01'!$C41,Consulta!$D:$D,0),'ZM01'!CB$2),"")=0,"",IFERROR(INDEX(Consulta!$A:$DN,MATCH('ZM01'!$C41,Consulta!$D:$D,0),'ZM01'!CB$2),""))</f>
        <v/>
      </c>
      <c r="CC41" s="44" t="s">
        <v>392</v>
      </c>
      <c r="CD41" s="50">
        <v>0</v>
      </c>
      <c r="CE41" s="45" t="s">
        <v>403</v>
      </c>
      <c r="CF41" s="45" t="s">
        <v>84</v>
      </c>
      <c r="CG41" s="43" t="str">
        <f t="shared" si="15"/>
        <v/>
      </c>
      <c r="CH41" s="45" t="s">
        <v>430</v>
      </c>
      <c r="CI41" s="44">
        <v>0</v>
      </c>
      <c r="CJ41" s="43" t="str">
        <f t="shared" si="27"/>
        <v>E</v>
      </c>
      <c r="CK41" s="43" t="str">
        <f t="shared" si="28"/>
        <v/>
      </c>
      <c r="CL41" s="44">
        <v>2</v>
      </c>
      <c r="CM41" s="49" t="str">
        <f t="shared" si="48"/>
        <v/>
      </c>
      <c r="CN41" s="49" t="str">
        <f t="shared" si="49"/>
        <v/>
      </c>
      <c r="CO41" s="43" t="str">
        <f t="shared" si="29"/>
        <v/>
      </c>
      <c r="CP41" s="44">
        <v>1</v>
      </c>
      <c r="CQ41" s="50" t="s">
        <v>515</v>
      </c>
      <c r="CR41" s="44" t="s">
        <v>372</v>
      </c>
      <c r="CS41" s="44">
        <v>2</v>
      </c>
      <c r="CT41" s="44">
        <v>42</v>
      </c>
      <c r="CU41" s="44">
        <v>10</v>
      </c>
      <c r="CV41" s="43" t="str">
        <f t="shared" si="30"/>
        <v>K00_AO_</v>
      </c>
      <c r="CW41" s="43" t="str">
        <f t="shared" si="31"/>
        <v/>
      </c>
      <c r="CX41" s="43" t="str">
        <f t="shared" si="32"/>
        <v/>
      </c>
      <c r="CY41" s="44">
        <v>1</v>
      </c>
      <c r="CZ41" s="43" t="str">
        <f t="shared" si="33"/>
        <v/>
      </c>
      <c r="DA41" s="43" t="str">
        <f>IF(IFERROR(INDEX(Consulta!$A:$DN,MATCH('ZM01'!$C41,Consulta!$D:$D,0),'ZM01'!DA$2),"")=0,"",IFERROR(INDEX(Consulta!$A:$DN,MATCH('ZM01'!$C41,Consulta!$D:$D,0),'ZM01'!DA$2),""))</f>
        <v/>
      </c>
      <c r="DB41" s="43" t="str">
        <f>IF(IFERROR(INDEX(Consulta!$A:$DN,MATCH('ZM01'!$C41,Consulta!$D:$D,0),'ZM01'!DB$2),"")=0,"",IFERROR(INDEX(Consulta!$A:$DN,MATCH('ZM01'!$C41,Consulta!$D:$D,0),'ZM01'!DB$2),""))</f>
        <v/>
      </c>
      <c r="DC41" s="45">
        <v>0</v>
      </c>
      <c r="DD41" s="45">
        <v>0</v>
      </c>
      <c r="DE41" s="43" t="str">
        <f>IF(IFERROR(INDEX(Consulta!$A:$DN,MATCH('ZM01'!$C41,Consulta!$D:$D,0),'ZM01'!DE$2),"")=0,"",IFERROR(TEXT(VALUE(INDEX(Consulta!$A:$DN,MATCH('ZM01'!$C41,Consulta!$D:$D,0),'ZM01'!DE$2))/100,"0,00"),""))</f>
        <v/>
      </c>
      <c r="DG41" s="43">
        <f t="shared" si="50"/>
        <v>1</v>
      </c>
      <c r="DH41" s="43" t="str">
        <f>IF(IFERROR(INDEX(Consulta!$A:$DN,MATCH('ZM01'!$C41,Consulta!$D:$D,0),'ZM01'!DH$2),"")=0,"",IFERROR(VLOOKUP(INDEX(Consulta!$A:$DN,MATCH('ZM01'!$C41,Consulta!$D:$D,0),'ZM01'!DH$2),'Listas de Dados'!BU:BW,3,0),""))</f>
        <v/>
      </c>
      <c r="DI41" s="43" t="str">
        <f t="shared" ca="1" si="51"/>
        <v>17.05.2022</v>
      </c>
      <c r="DJ41" s="43" t="str">
        <f t="shared" si="52"/>
        <v>31.12.9999</v>
      </c>
      <c r="DL41" s="44">
        <v>1</v>
      </c>
      <c r="DM41" s="44" t="s">
        <v>1039</v>
      </c>
      <c r="DN41" s="44">
        <v>1</v>
      </c>
      <c r="DO41" s="43">
        <f t="shared" si="34"/>
        <v>1</v>
      </c>
      <c r="DP41" s="43" t="str">
        <f t="shared" si="35"/>
        <v>PC</v>
      </c>
      <c r="DQ41" s="43" t="str">
        <f t="shared" si="36"/>
        <v/>
      </c>
      <c r="DR41" s="44">
        <v>100</v>
      </c>
      <c r="DS41" s="71">
        <f t="shared" si="21"/>
        <v>1</v>
      </c>
      <c r="DT41" s="43">
        <f t="shared" si="53"/>
        <v>100</v>
      </c>
      <c r="DU41" s="44">
        <v>1</v>
      </c>
      <c r="DV41" s="44">
        <v>0</v>
      </c>
      <c r="DW41" s="44" t="s">
        <v>826</v>
      </c>
      <c r="DX41" s="45">
        <v>0</v>
      </c>
      <c r="DY41" s="44">
        <v>100</v>
      </c>
      <c r="DZ41" s="60"/>
    </row>
    <row r="42" spans="1:130" x14ac:dyDescent="0.2">
      <c r="A42" s="7" t="str">
        <f t="shared" si="2"/>
        <v>Execução 38</v>
      </c>
      <c r="B42" s="75"/>
      <c r="C42" s="85"/>
      <c r="D42" s="71" t="str">
        <f t="shared" si="37"/>
        <v/>
      </c>
      <c r="E42" s="71" t="str">
        <f t="shared" si="38"/>
        <v/>
      </c>
      <c r="F42" s="43" t="str">
        <f>IF(IFERROR(INDEX(Consulta!$A:$DN,MATCH('ZM01'!$C42,Consulta!$D:$D,0),'ZM01'!F$2),"")=0,"",IFERROR(INDEX(Consulta!$A:$DN,MATCH('ZM01'!$C42,Consulta!$D:$D,0),'ZM01'!F$2),""))</f>
        <v/>
      </c>
      <c r="G42" s="43" t="str">
        <f>IF(IFERROR(INDEX(Consulta!$A:$DN,MATCH('ZM01'!$C42,Consulta!$D:$D,0),'ZM01'!G$2),"")=0,"",IFERROR(INDEX(Consulta!$A:$DN,MATCH('ZM01'!$C42,Consulta!$D:$D,0),'ZM01'!G$2),""))</f>
        <v/>
      </c>
      <c r="H42" s="43" t="str">
        <f t="shared" si="23"/>
        <v/>
      </c>
      <c r="I42" s="44" t="s">
        <v>100</v>
      </c>
      <c r="J42" s="43" t="str">
        <f>IF(IFERROR(INDEX(Consulta!$A:$DN,MATCH('ZM01'!$C42,Consulta!$D:$D,0),'ZM01'!J$2),"")=0,"",IFERROR(INDEX(Consulta!$A:$DN,MATCH('ZM01'!$C42,Consulta!$D:$D,0),'ZM01'!J$2),""))</f>
        <v/>
      </c>
      <c r="K42" s="43" t="str">
        <f>IF(IFERROR(INDEX(Consulta!$A:$DN,MATCH('ZM01'!$C42,Consulta!$D:$D,0),'ZM01'!K$2),"")=0,"",IFERROR(INDEX(Consulta!$A:$DN,MATCH('ZM01'!$C42,Consulta!$D:$D,0),'ZM01'!K$2),""))</f>
        <v/>
      </c>
      <c r="L42" s="43" t="str">
        <f t="shared" si="39"/>
        <v/>
      </c>
      <c r="M42" s="43" t="str">
        <f>IF(IFERROR(INDEX(Consulta!$A:$DN,MATCH('ZM01'!$C42,Consulta!$D:$D,0),'ZM01'!M$2),"")=0,"",IFERROR(INDEX(Consulta!$A:$DN,MATCH('ZM01'!$C42,Consulta!$D:$D,0),'ZM01'!M$2),""))</f>
        <v/>
      </c>
      <c r="N42" s="43" t="str">
        <f t="shared" si="40"/>
        <v/>
      </c>
      <c r="P42" s="45" t="s">
        <v>101</v>
      </c>
      <c r="Q42" s="45" t="s">
        <v>102</v>
      </c>
      <c r="R42" s="45" t="s">
        <v>103</v>
      </c>
      <c r="S42" s="45" t="s">
        <v>104</v>
      </c>
      <c r="T42" s="45" t="s">
        <v>105</v>
      </c>
      <c r="U42" s="45" t="s">
        <v>106</v>
      </c>
      <c r="V42" s="45" t="s">
        <v>107</v>
      </c>
      <c r="W42" s="45" t="s">
        <v>109</v>
      </c>
      <c r="X42" s="45" t="s">
        <v>110</v>
      </c>
      <c r="Y42" s="45"/>
      <c r="Z42" s="45"/>
      <c r="AA42" s="45" t="s">
        <v>112</v>
      </c>
      <c r="AB42" s="45" t="s">
        <v>113</v>
      </c>
      <c r="AC42" s="45" t="s">
        <v>114</v>
      </c>
      <c r="AD42" s="45" t="s">
        <v>115</v>
      </c>
      <c r="AE42" s="45" t="s">
        <v>117</v>
      </c>
      <c r="AF42" s="45" t="s">
        <v>118</v>
      </c>
      <c r="AG42" s="45" t="s">
        <v>119</v>
      </c>
      <c r="AH42" s="45" t="s">
        <v>120</v>
      </c>
      <c r="AI42" s="45" t="s">
        <v>121</v>
      </c>
      <c r="AJ42" s="45" t="s">
        <v>122</v>
      </c>
      <c r="AK42" s="45" t="s">
        <v>123</v>
      </c>
      <c r="AL42" s="45" t="s">
        <v>124</v>
      </c>
      <c r="AM42" s="45" t="s">
        <v>125</v>
      </c>
      <c r="AN42" s="45" t="s">
        <v>126</v>
      </c>
      <c r="AO42" s="45"/>
      <c r="AP42" s="45"/>
      <c r="AR42" s="44" t="s">
        <v>822</v>
      </c>
      <c r="AS42" s="43" t="str">
        <f>IF(IFERROR(INDEX(Consulta!$A:$DN,MATCH('ZM01'!$C42,Consulta!$D:$D,0),'ZM01'!AS$2),"")=0,"",IFERROR(INDEX(Consulta!$A:$DN,MATCH('ZM01'!$C42,Consulta!$D:$D,0),'ZM01'!AS$2),""))</f>
        <v/>
      </c>
      <c r="AT42" s="45"/>
      <c r="AU42" s="43" t="str">
        <f>IF(IFERROR(INDEX(Consulta!$A:$DN,MATCH('ZM01'!$C42,Consulta!$D:$D,0),'ZM01'!AU$2),"")=0,"",IFERROR(INDEX(Consulta!$A:$DN,MATCH('ZM01'!$C42,Consulta!$D:$D,0),'ZM01'!AU$2),""))</f>
        <v/>
      </c>
      <c r="AV42" s="43" t="str">
        <f>IF(IFERROR(INDEX(Consulta!$A:$DN,MATCH('ZM01'!$C42,Consulta!$D:$D,0),'ZM01'!AV$2),"")=0,"",IFERROR(INDEX(Consulta!$A:$DN,MATCH('ZM01'!$C42,Consulta!$D:$D,0),'ZM01'!AV$2),""))</f>
        <v/>
      </c>
      <c r="AW42" s="45"/>
      <c r="AX42" s="46" t="str">
        <f t="shared" ca="1" si="41"/>
        <v/>
      </c>
      <c r="AY42" s="47" t="s">
        <v>755</v>
      </c>
      <c r="AZ42" s="43" t="str">
        <f>IF(IFERROR(ROUND(INDEX(Consulta!$A:$DN,MATCH('ZM01'!$C42,Consulta!$D:$D,0),'ZM01'!AZ$2),3),"")=0,"",IFERROR(ROUND(INDEX(Consulta!$A:$DN,MATCH('ZM01'!$C42,Consulta!$D:$D,0),'ZM01'!AZ$2),3),""))</f>
        <v/>
      </c>
      <c r="BA42" s="43" t="str">
        <f t="shared" si="42"/>
        <v/>
      </c>
      <c r="BB42" s="48" t="s">
        <v>299</v>
      </c>
      <c r="BC42" s="48"/>
      <c r="BD42" s="43" t="str">
        <f>IF(IFERROR(INDEX(Consulta!$A:$DN,MATCH('ZM01'!$C42,Consulta!$D:$D,0),'ZM01'!BD$2),"")=0,"",IFERROR(INDEX(Consulta!$A:$DN,MATCH('ZM01'!$C42,Consulta!$D:$D,0),'ZM01'!BD$2),""))</f>
        <v/>
      </c>
      <c r="BE42" s="43" t="str">
        <f t="shared" si="0"/>
        <v/>
      </c>
      <c r="BF42" s="43" t="str">
        <f t="shared" si="43"/>
        <v/>
      </c>
      <c r="BG42" s="43" t="str">
        <f t="shared" si="1"/>
        <v/>
      </c>
      <c r="BH42" s="43" t="str">
        <f t="shared" si="44"/>
        <v>PC</v>
      </c>
      <c r="BI42" s="43" t="str">
        <f t="shared" si="24"/>
        <v/>
      </c>
      <c r="BJ42" s="43" t="str">
        <f t="shared" si="25"/>
        <v/>
      </c>
      <c r="BK42" s="43" t="str">
        <f t="shared" si="26"/>
        <v/>
      </c>
      <c r="BL42" s="43" t="str">
        <f t="shared" si="45"/>
        <v>PC</v>
      </c>
      <c r="BN42" s="44"/>
      <c r="BO42" s="44" t="s">
        <v>925</v>
      </c>
      <c r="BP42" s="43" t="str">
        <f>IF(OR(IFERROR(INDEX(Consulta!$A:$DN,MATCH('ZM01'!$C42,Consulta!$D:$D,0),'ZM01'!BP$2),"")=0,IFERROR(INDEX(Consulta!$A:$DN,MATCH('ZM01'!$C42,Consulta!$D:$D,0),'ZM01'!BP$2),"")=AR42),"",IFERROR(INDEX(Consulta!$A:$DN,MATCH('ZM01'!$C42,Consulta!$D:$D,0),'ZM01'!BP$2),""))</f>
        <v/>
      </c>
      <c r="BQ42" s="45">
        <v>99</v>
      </c>
      <c r="BR42" s="46" t="str">
        <f t="shared" ca="1" si="46"/>
        <v>17.05.2022</v>
      </c>
      <c r="BS42" s="49" t="str">
        <f t="shared" si="47"/>
        <v/>
      </c>
      <c r="BT42" s="50">
        <v>1</v>
      </c>
      <c r="BU42" s="50" t="s">
        <v>194</v>
      </c>
      <c r="BV42" s="90" t="str">
        <f t="shared" si="14"/>
        <v>01</v>
      </c>
      <c r="BW42" s="50" t="s">
        <v>755</v>
      </c>
      <c r="BX42" s="44">
        <v>1</v>
      </c>
      <c r="BY42" s="44" t="s">
        <v>372</v>
      </c>
      <c r="BZ42" s="50" t="s">
        <v>197</v>
      </c>
      <c r="CA42" s="50" t="s">
        <v>197</v>
      </c>
      <c r="CB42" s="43" t="str">
        <f>IF(IFERROR(INDEX(Consulta!$A:$DN,MATCH('ZM01'!$C42,Consulta!$D:$D,0),'ZM01'!CB$2),"")=0,"",IFERROR(INDEX(Consulta!$A:$DN,MATCH('ZM01'!$C42,Consulta!$D:$D,0),'ZM01'!CB$2),""))</f>
        <v/>
      </c>
      <c r="CC42" s="44" t="s">
        <v>392</v>
      </c>
      <c r="CD42" s="50">
        <v>0</v>
      </c>
      <c r="CE42" s="45" t="s">
        <v>403</v>
      </c>
      <c r="CF42" s="45" t="s">
        <v>84</v>
      </c>
      <c r="CG42" s="43" t="str">
        <f t="shared" si="15"/>
        <v/>
      </c>
      <c r="CH42" s="45" t="s">
        <v>430</v>
      </c>
      <c r="CI42" s="44">
        <v>0</v>
      </c>
      <c r="CJ42" s="43" t="str">
        <f t="shared" si="27"/>
        <v>E</v>
      </c>
      <c r="CK42" s="43" t="str">
        <f t="shared" si="28"/>
        <v/>
      </c>
      <c r="CL42" s="44">
        <v>2</v>
      </c>
      <c r="CM42" s="49" t="str">
        <f t="shared" si="48"/>
        <v/>
      </c>
      <c r="CN42" s="49" t="str">
        <f t="shared" si="49"/>
        <v/>
      </c>
      <c r="CO42" s="43" t="str">
        <f t="shared" si="29"/>
        <v/>
      </c>
      <c r="CP42" s="44">
        <v>1</v>
      </c>
      <c r="CQ42" s="50" t="s">
        <v>515</v>
      </c>
      <c r="CR42" s="44" t="s">
        <v>372</v>
      </c>
      <c r="CS42" s="44">
        <v>2</v>
      </c>
      <c r="CT42" s="44">
        <v>42</v>
      </c>
      <c r="CU42" s="44">
        <v>10</v>
      </c>
      <c r="CV42" s="43" t="str">
        <f t="shared" si="30"/>
        <v>K00_AO_</v>
      </c>
      <c r="CW42" s="43" t="str">
        <f t="shared" si="31"/>
        <v/>
      </c>
      <c r="CX42" s="43" t="str">
        <f t="shared" si="32"/>
        <v/>
      </c>
      <c r="CY42" s="44">
        <v>1</v>
      </c>
      <c r="CZ42" s="43" t="str">
        <f t="shared" si="33"/>
        <v/>
      </c>
      <c r="DA42" s="43" t="str">
        <f>IF(IFERROR(INDEX(Consulta!$A:$DN,MATCH('ZM01'!$C42,Consulta!$D:$D,0),'ZM01'!DA$2),"")=0,"",IFERROR(INDEX(Consulta!$A:$DN,MATCH('ZM01'!$C42,Consulta!$D:$D,0),'ZM01'!DA$2),""))</f>
        <v/>
      </c>
      <c r="DB42" s="43" t="str">
        <f>IF(IFERROR(INDEX(Consulta!$A:$DN,MATCH('ZM01'!$C42,Consulta!$D:$D,0),'ZM01'!DB$2),"")=0,"",IFERROR(INDEX(Consulta!$A:$DN,MATCH('ZM01'!$C42,Consulta!$D:$D,0),'ZM01'!DB$2),""))</f>
        <v/>
      </c>
      <c r="DC42" s="45">
        <v>0</v>
      </c>
      <c r="DD42" s="45">
        <v>0</v>
      </c>
      <c r="DE42" s="43" t="str">
        <f>IF(IFERROR(INDEX(Consulta!$A:$DN,MATCH('ZM01'!$C42,Consulta!$D:$D,0),'ZM01'!DE$2),"")=0,"",IFERROR(TEXT(VALUE(INDEX(Consulta!$A:$DN,MATCH('ZM01'!$C42,Consulta!$D:$D,0),'ZM01'!DE$2))/100,"0,00"),""))</f>
        <v/>
      </c>
      <c r="DG42" s="43">
        <f t="shared" si="50"/>
        <v>1</v>
      </c>
      <c r="DH42" s="43" t="str">
        <f>IF(IFERROR(INDEX(Consulta!$A:$DN,MATCH('ZM01'!$C42,Consulta!$D:$D,0),'ZM01'!DH$2),"")=0,"",IFERROR(VLOOKUP(INDEX(Consulta!$A:$DN,MATCH('ZM01'!$C42,Consulta!$D:$D,0),'ZM01'!DH$2),'Listas de Dados'!BU:BW,3,0),""))</f>
        <v/>
      </c>
      <c r="DI42" s="43" t="str">
        <f t="shared" ca="1" si="51"/>
        <v>17.05.2022</v>
      </c>
      <c r="DJ42" s="43" t="str">
        <f t="shared" si="52"/>
        <v>31.12.9999</v>
      </c>
      <c r="DL42" s="44">
        <v>1</v>
      </c>
      <c r="DM42" s="44" t="s">
        <v>1039</v>
      </c>
      <c r="DN42" s="44">
        <v>1</v>
      </c>
      <c r="DO42" s="43">
        <f t="shared" si="34"/>
        <v>1</v>
      </c>
      <c r="DP42" s="43" t="str">
        <f t="shared" si="35"/>
        <v>PC</v>
      </c>
      <c r="DQ42" s="43" t="str">
        <f t="shared" si="36"/>
        <v/>
      </c>
      <c r="DR42" s="44">
        <v>100</v>
      </c>
      <c r="DS42" s="71">
        <f t="shared" si="21"/>
        <v>1</v>
      </c>
      <c r="DT42" s="43">
        <f t="shared" si="53"/>
        <v>100</v>
      </c>
      <c r="DU42" s="44">
        <v>1</v>
      </c>
      <c r="DV42" s="44">
        <v>0</v>
      </c>
      <c r="DW42" s="44" t="s">
        <v>826</v>
      </c>
      <c r="DX42" s="45">
        <v>0</v>
      </c>
      <c r="DY42" s="44">
        <v>100</v>
      </c>
      <c r="DZ42" s="61"/>
    </row>
    <row r="43" spans="1:130" x14ac:dyDescent="0.2">
      <c r="A43" s="7" t="str">
        <f t="shared" si="2"/>
        <v>Execução 39</v>
      </c>
      <c r="B43" s="79"/>
      <c r="C43" s="85"/>
      <c r="D43" s="71" t="str">
        <f t="shared" si="37"/>
        <v/>
      </c>
      <c r="E43" s="71" t="str">
        <f t="shared" si="38"/>
        <v/>
      </c>
      <c r="F43" s="43" t="str">
        <f>IF(IFERROR(INDEX(Consulta!$A:$DN,MATCH('ZM01'!$C43,Consulta!$D:$D,0),'ZM01'!F$2),"")=0,"",IFERROR(INDEX(Consulta!$A:$DN,MATCH('ZM01'!$C43,Consulta!$D:$D,0),'ZM01'!F$2),""))</f>
        <v/>
      </c>
      <c r="G43" s="43" t="str">
        <f>IF(IFERROR(INDEX(Consulta!$A:$DN,MATCH('ZM01'!$C43,Consulta!$D:$D,0),'ZM01'!G$2),"")=0,"",IFERROR(INDEX(Consulta!$A:$DN,MATCH('ZM01'!$C43,Consulta!$D:$D,0),'ZM01'!G$2),""))</f>
        <v/>
      </c>
      <c r="H43" s="43" t="str">
        <f t="shared" si="23"/>
        <v/>
      </c>
      <c r="I43" s="44" t="s">
        <v>100</v>
      </c>
      <c r="J43" s="43" t="str">
        <f>IF(IFERROR(INDEX(Consulta!$A:$DN,MATCH('ZM01'!$C43,Consulta!$D:$D,0),'ZM01'!J$2),"")=0,"",IFERROR(INDEX(Consulta!$A:$DN,MATCH('ZM01'!$C43,Consulta!$D:$D,0),'ZM01'!J$2),""))</f>
        <v/>
      </c>
      <c r="K43" s="43" t="str">
        <f>IF(IFERROR(INDEX(Consulta!$A:$DN,MATCH('ZM01'!$C43,Consulta!$D:$D,0),'ZM01'!K$2),"")=0,"",IFERROR(INDEX(Consulta!$A:$DN,MATCH('ZM01'!$C43,Consulta!$D:$D,0),'ZM01'!K$2),""))</f>
        <v/>
      </c>
      <c r="L43" s="43" t="str">
        <f t="shared" si="39"/>
        <v/>
      </c>
      <c r="M43" s="43" t="str">
        <f>IF(IFERROR(INDEX(Consulta!$A:$DN,MATCH('ZM01'!$C43,Consulta!$D:$D,0),'ZM01'!M$2),"")=0,"",IFERROR(INDEX(Consulta!$A:$DN,MATCH('ZM01'!$C43,Consulta!$D:$D,0),'ZM01'!M$2),""))</f>
        <v/>
      </c>
      <c r="N43" s="43" t="str">
        <f t="shared" si="40"/>
        <v/>
      </c>
      <c r="P43" s="45" t="s">
        <v>101</v>
      </c>
      <c r="Q43" s="45" t="s">
        <v>102</v>
      </c>
      <c r="R43" s="45" t="s">
        <v>103</v>
      </c>
      <c r="S43" s="45" t="s">
        <v>104</v>
      </c>
      <c r="T43" s="45" t="s">
        <v>105</v>
      </c>
      <c r="U43" s="45" t="s">
        <v>106</v>
      </c>
      <c r="V43" s="45" t="s">
        <v>107</v>
      </c>
      <c r="W43" s="45" t="s">
        <v>109</v>
      </c>
      <c r="X43" s="45" t="s">
        <v>110</v>
      </c>
      <c r="Y43" s="45"/>
      <c r="Z43" s="45"/>
      <c r="AA43" s="45" t="s">
        <v>112</v>
      </c>
      <c r="AB43" s="45" t="s">
        <v>113</v>
      </c>
      <c r="AC43" s="45" t="s">
        <v>114</v>
      </c>
      <c r="AD43" s="45" t="s">
        <v>115</v>
      </c>
      <c r="AE43" s="45" t="s">
        <v>117</v>
      </c>
      <c r="AF43" s="45" t="s">
        <v>118</v>
      </c>
      <c r="AG43" s="45" t="s">
        <v>119</v>
      </c>
      <c r="AH43" s="45" t="s">
        <v>120</v>
      </c>
      <c r="AI43" s="45" t="s">
        <v>121</v>
      </c>
      <c r="AJ43" s="45" t="s">
        <v>122</v>
      </c>
      <c r="AK43" s="45" t="s">
        <v>123</v>
      </c>
      <c r="AL43" s="45" t="s">
        <v>124</v>
      </c>
      <c r="AM43" s="45" t="s">
        <v>125</v>
      </c>
      <c r="AN43" s="45" t="s">
        <v>126</v>
      </c>
      <c r="AO43" s="45"/>
      <c r="AP43" s="45"/>
      <c r="AR43" s="44" t="s">
        <v>822</v>
      </c>
      <c r="AS43" s="43" t="str">
        <f>IF(IFERROR(INDEX(Consulta!$A:$DN,MATCH('ZM01'!$C43,Consulta!$D:$D,0),'ZM01'!AS$2),"")=0,"",IFERROR(INDEX(Consulta!$A:$DN,MATCH('ZM01'!$C43,Consulta!$D:$D,0),'ZM01'!AS$2),""))</f>
        <v/>
      </c>
      <c r="AT43" s="45"/>
      <c r="AU43" s="43" t="str">
        <f>IF(IFERROR(INDEX(Consulta!$A:$DN,MATCH('ZM01'!$C43,Consulta!$D:$D,0),'ZM01'!AU$2),"")=0,"",IFERROR(INDEX(Consulta!$A:$DN,MATCH('ZM01'!$C43,Consulta!$D:$D,0),'ZM01'!AU$2),""))</f>
        <v/>
      </c>
      <c r="AV43" s="43" t="str">
        <f>IF(IFERROR(INDEX(Consulta!$A:$DN,MATCH('ZM01'!$C43,Consulta!$D:$D,0),'ZM01'!AV$2),"")=0,"",IFERROR(INDEX(Consulta!$A:$DN,MATCH('ZM01'!$C43,Consulta!$D:$D,0),'ZM01'!AV$2),""))</f>
        <v/>
      </c>
      <c r="AW43" s="45"/>
      <c r="AX43" s="46" t="str">
        <f t="shared" ca="1" si="41"/>
        <v/>
      </c>
      <c r="AY43" s="47" t="s">
        <v>755</v>
      </c>
      <c r="AZ43" s="43" t="str">
        <f>IF(IFERROR(ROUND(INDEX(Consulta!$A:$DN,MATCH('ZM01'!$C43,Consulta!$D:$D,0),'ZM01'!AZ$2),3),"")=0,"",IFERROR(ROUND(INDEX(Consulta!$A:$DN,MATCH('ZM01'!$C43,Consulta!$D:$D,0),'ZM01'!AZ$2),3),""))</f>
        <v/>
      </c>
      <c r="BA43" s="43" t="str">
        <f t="shared" si="42"/>
        <v/>
      </c>
      <c r="BB43" s="48" t="s">
        <v>299</v>
      </c>
      <c r="BC43" s="48"/>
      <c r="BD43" s="43" t="str">
        <f>IF(IFERROR(INDEX(Consulta!$A:$DN,MATCH('ZM01'!$C43,Consulta!$D:$D,0),'ZM01'!BD$2),"")=0,"",IFERROR(INDEX(Consulta!$A:$DN,MATCH('ZM01'!$C43,Consulta!$D:$D,0),'ZM01'!BD$2),""))</f>
        <v/>
      </c>
      <c r="BE43" s="43" t="str">
        <f t="shared" si="0"/>
        <v/>
      </c>
      <c r="BF43" s="43" t="str">
        <f t="shared" si="43"/>
        <v/>
      </c>
      <c r="BG43" s="43" t="str">
        <f t="shared" si="1"/>
        <v/>
      </c>
      <c r="BH43" s="43" t="str">
        <f t="shared" si="44"/>
        <v>PC</v>
      </c>
      <c r="BI43" s="43" t="str">
        <f t="shared" si="24"/>
        <v/>
      </c>
      <c r="BJ43" s="43" t="str">
        <f t="shared" si="25"/>
        <v/>
      </c>
      <c r="BK43" s="43" t="str">
        <f t="shared" si="26"/>
        <v/>
      </c>
      <c r="BL43" s="43" t="str">
        <f t="shared" si="45"/>
        <v>PC</v>
      </c>
      <c r="BN43" s="44"/>
      <c r="BO43" s="44" t="s">
        <v>925</v>
      </c>
      <c r="BP43" s="43" t="str">
        <f>IF(OR(IFERROR(INDEX(Consulta!$A:$DN,MATCH('ZM01'!$C43,Consulta!$D:$D,0),'ZM01'!BP$2),"")=0,IFERROR(INDEX(Consulta!$A:$DN,MATCH('ZM01'!$C43,Consulta!$D:$D,0),'ZM01'!BP$2),"")=AR43),"",IFERROR(INDEX(Consulta!$A:$DN,MATCH('ZM01'!$C43,Consulta!$D:$D,0),'ZM01'!BP$2),""))</f>
        <v/>
      </c>
      <c r="BQ43" s="45">
        <v>99</v>
      </c>
      <c r="BR43" s="46" t="str">
        <f t="shared" ca="1" si="46"/>
        <v>17.05.2022</v>
      </c>
      <c r="BS43" s="49" t="str">
        <f t="shared" si="47"/>
        <v/>
      </c>
      <c r="BT43" s="50">
        <v>1</v>
      </c>
      <c r="BU43" s="50" t="s">
        <v>194</v>
      </c>
      <c r="BV43" s="90" t="str">
        <f t="shared" si="14"/>
        <v>01</v>
      </c>
      <c r="BW43" s="50" t="s">
        <v>755</v>
      </c>
      <c r="BX43" s="44">
        <v>1</v>
      </c>
      <c r="BY43" s="44" t="s">
        <v>372</v>
      </c>
      <c r="BZ43" s="50" t="s">
        <v>197</v>
      </c>
      <c r="CA43" s="50" t="s">
        <v>197</v>
      </c>
      <c r="CB43" s="43" t="str">
        <f>IF(IFERROR(INDEX(Consulta!$A:$DN,MATCH('ZM01'!$C43,Consulta!$D:$D,0),'ZM01'!CB$2),"")=0,"",IFERROR(INDEX(Consulta!$A:$DN,MATCH('ZM01'!$C43,Consulta!$D:$D,0),'ZM01'!CB$2),""))</f>
        <v/>
      </c>
      <c r="CC43" s="44" t="s">
        <v>392</v>
      </c>
      <c r="CD43" s="50">
        <v>0</v>
      </c>
      <c r="CE43" s="45" t="s">
        <v>403</v>
      </c>
      <c r="CF43" s="45" t="s">
        <v>84</v>
      </c>
      <c r="CG43" s="43" t="str">
        <f t="shared" si="15"/>
        <v/>
      </c>
      <c r="CH43" s="45" t="s">
        <v>430</v>
      </c>
      <c r="CI43" s="44">
        <v>0</v>
      </c>
      <c r="CJ43" s="43" t="str">
        <f t="shared" si="27"/>
        <v>E</v>
      </c>
      <c r="CK43" s="43" t="str">
        <f t="shared" si="28"/>
        <v/>
      </c>
      <c r="CL43" s="44">
        <v>2</v>
      </c>
      <c r="CM43" s="49" t="str">
        <f t="shared" si="48"/>
        <v/>
      </c>
      <c r="CN43" s="49" t="str">
        <f t="shared" si="49"/>
        <v/>
      </c>
      <c r="CO43" s="43" t="str">
        <f t="shared" si="29"/>
        <v/>
      </c>
      <c r="CP43" s="44">
        <v>1</v>
      </c>
      <c r="CQ43" s="50" t="s">
        <v>515</v>
      </c>
      <c r="CR43" s="44" t="s">
        <v>372</v>
      </c>
      <c r="CS43" s="44">
        <v>2</v>
      </c>
      <c r="CT43" s="44">
        <v>42</v>
      </c>
      <c r="CU43" s="44">
        <v>10</v>
      </c>
      <c r="CV43" s="43" t="str">
        <f t="shared" si="30"/>
        <v>K00_AO_</v>
      </c>
      <c r="CW43" s="43" t="str">
        <f t="shared" si="31"/>
        <v/>
      </c>
      <c r="CX43" s="43" t="str">
        <f t="shared" si="32"/>
        <v/>
      </c>
      <c r="CY43" s="44">
        <v>1</v>
      </c>
      <c r="CZ43" s="43" t="str">
        <f t="shared" si="33"/>
        <v/>
      </c>
      <c r="DA43" s="43" t="str">
        <f>IF(IFERROR(INDEX(Consulta!$A:$DN,MATCH('ZM01'!$C43,Consulta!$D:$D,0),'ZM01'!DA$2),"")=0,"",IFERROR(INDEX(Consulta!$A:$DN,MATCH('ZM01'!$C43,Consulta!$D:$D,0),'ZM01'!DA$2),""))</f>
        <v/>
      </c>
      <c r="DB43" s="43" t="str">
        <f>IF(IFERROR(INDEX(Consulta!$A:$DN,MATCH('ZM01'!$C43,Consulta!$D:$D,0),'ZM01'!DB$2),"")=0,"",IFERROR(INDEX(Consulta!$A:$DN,MATCH('ZM01'!$C43,Consulta!$D:$D,0),'ZM01'!DB$2),""))</f>
        <v/>
      </c>
      <c r="DC43" s="45">
        <v>0</v>
      </c>
      <c r="DD43" s="45">
        <v>0</v>
      </c>
      <c r="DE43" s="43" t="str">
        <f>IF(IFERROR(INDEX(Consulta!$A:$DN,MATCH('ZM01'!$C43,Consulta!$D:$D,0),'ZM01'!DE$2),"")=0,"",IFERROR(TEXT(VALUE(INDEX(Consulta!$A:$DN,MATCH('ZM01'!$C43,Consulta!$D:$D,0),'ZM01'!DE$2))/100,"0,00"),""))</f>
        <v/>
      </c>
      <c r="DG43" s="43">
        <f t="shared" si="50"/>
        <v>1</v>
      </c>
      <c r="DH43" s="43" t="str">
        <f>IF(IFERROR(INDEX(Consulta!$A:$DN,MATCH('ZM01'!$C43,Consulta!$D:$D,0),'ZM01'!DH$2),"")=0,"",IFERROR(VLOOKUP(INDEX(Consulta!$A:$DN,MATCH('ZM01'!$C43,Consulta!$D:$D,0),'ZM01'!DH$2),'Listas de Dados'!BU:BW,3,0),""))</f>
        <v/>
      </c>
      <c r="DI43" s="43" t="str">
        <f t="shared" ca="1" si="51"/>
        <v>17.05.2022</v>
      </c>
      <c r="DJ43" s="43" t="str">
        <f t="shared" si="52"/>
        <v>31.12.9999</v>
      </c>
      <c r="DL43" s="44">
        <v>1</v>
      </c>
      <c r="DM43" s="44" t="s">
        <v>1039</v>
      </c>
      <c r="DN43" s="44">
        <v>1</v>
      </c>
      <c r="DO43" s="43">
        <f t="shared" si="34"/>
        <v>1</v>
      </c>
      <c r="DP43" s="43" t="str">
        <f t="shared" si="35"/>
        <v>PC</v>
      </c>
      <c r="DQ43" s="43" t="str">
        <f t="shared" si="36"/>
        <v/>
      </c>
      <c r="DR43" s="44">
        <v>100</v>
      </c>
      <c r="DS43" s="71">
        <f t="shared" si="21"/>
        <v>1</v>
      </c>
      <c r="DT43" s="43">
        <f t="shared" si="53"/>
        <v>100</v>
      </c>
      <c r="DU43" s="44">
        <v>1</v>
      </c>
      <c r="DV43" s="44">
        <v>0</v>
      </c>
      <c r="DW43" s="44" t="s">
        <v>826</v>
      </c>
      <c r="DX43" s="45">
        <v>0</v>
      </c>
      <c r="DY43" s="44">
        <v>100</v>
      </c>
      <c r="DZ43" s="60"/>
    </row>
    <row r="44" spans="1:130" x14ac:dyDescent="0.2">
      <c r="A44" s="7" t="str">
        <f t="shared" si="2"/>
        <v>Execução 40</v>
      </c>
      <c r="B44" s="75"/>
      <c r="C44" s="85"/>
      <c r="D44" s="71" t="str">
        <f t="shared" si="37"/>
        <v/>
      </c>
      <c r="E44" s="71" t="str">
        <f t="shared" si="38"/>
        <v/>
      </c>
      <c r="F44" s="43" t="str">
        <f>IF(IFERROR(INDEX(Consulta!$A:$DN,MATCH('ZM01'!$C44,Consulta!$D:$D,0),'ZM01'!F$2),"")=0,"",IFERROR(INDEX(Consulta!$A:$DN,MATCH('ZM01'!$C44,Consulta!$D:$D,0),'ZM01'!F$2),""))</f>
        <v/>
      </c>
      <c r="G44" s="43" t="str">
        <f>IF(IFERROR(INDEX(Consulta!$A:$DN,MATCH('ZM01'!$C44,Consulta!$D:$D,0),'ZM01'!G$2),"")=0,"",IFERROR(INDEX(Consulta!$A:$DN,MATCH('ZM01'!$C44,Consulta!$D:$D,0),'ZM01'!G$2),""))</f>
        <v/>
      </c>
      <c r="H44" s="43" t="str">
        <f t="shared" si="23"/>
        <v/>
      </c>
      <c r="I44" s="44" t="s">
        <v>100</v>
      </c>
      <c r="J44" s="43" t="str">
        <f>IF(IFERROR(INDEX(Consulta!$A:$DN,MATCH('ZM01'!$C44,Consulta!$D:$D,0),'ZM01'!J$2),"")=0,"",IFERROR(INDEX(Consulta!$A:$DN,MATCH('ZM01'!$C44,Consulta!$D:$D,0),'ZM01'!J$2),""))</f>
        <v/>
      </c>
      <c r="K44" s="43" t="str">
        <f>IF(IFERROR(INDEX(Consulta!$A:$DN,MATCH('ZM01'!$C44,Consulta!$D:$D,0),'ZM01'!K$2),"")=0,"",IFERROR(INDEX(Consulta!$A:$DN,MATCH('ZM01'!$C44,Consulta!$D:$D,0),'ZM01'!K$2),""))</f>
        <v/>
      </c>
      <c r="L44" s="43" t="str">
        <f t="shared" si="39"/>
        <v/>
      </c>
      <c r="M44" s="43" t="str">
        <f>IF(IFERROR(INDEX(Consulta!$A:$DN,MATCH('ZM01'!$C44,Consulta!$D:$D,0),'ZM01'!M$2),"")=0,"",IFERROR(INDEX(Consulta!$A:$DN,MATCH('ZM01'!$C44,Consulta!$D:$D,0),'ZM01'!M$2),""))</f>
        <v/>
      </c>
      <c r="N44" s="43" t="str">
        <f t="shared" si="40"/>
        <v/>
      </c>
      <c r="P44" s="45" t="s">
        <v>101</v>
      </c>
      <c r="Q44" s="45" t="s">
        <v>102</v>
      </c>
      <c r="R44" s="45" t="s">
        <v>103</v>
      </c>
      <c r="S44" s="45" t="s">
        <v>104</v>
      </c>
      <c r="T44" s="45" t="s">
        <v>105</v>
      </c>
      <c r="U44" s="45" t="s">
        <v>106</v>
      </c>
      <c r="V44" s="45" t="s">
        <v>107</v>
      </c>
      <c r="W44" s="45" t="s">
        <v>109</v>
      </c>
      <c r="X44" s="45" t="s">
        <v>110</v>
      </c>
      <c r="Y44" s="45"/>
      <c r="Z44" s="45"/>
      <c r="AA44" s="45" t="s">
        <v>112</v>
      </c>
      <c r="AB44" s="45" t="s">
        <v>113</v>
      </c>
      <c r="AC44" s="45" t="s">
        <v>114</v>
      </c>
      <c r="AD44" s="45" t="s">
        <v>115</v>
      </c>
      <c r="AE44" s="45" t="s">
        <v>117</v>
      </c>
      <c r="AF44" s="45" t="s">
        <v>118</v>
      </c>
      <c r="AG44" s="45" t="s">
        <v>119</v>
      </c>
      <c r="AH44" s="45" t="s">
        <v>120</v>
      </c>
      <c r="AI44" s="45" t="s">
        <v>121</v>
      </c>
      <c r="AJ44" s="45" t="s">
        <v>122</v>
      </c>
      <c r="AK44" s="45" t="s">
        <v>123</v>
      </c>
      <c r="AL44" s="45" t="s">
        <v>124</v>
      </c>
      <c r="AM44" s="45" t="s">
        <v>125</v>
      </c>
      <c r="AN44" s="45" t="s">
        <v>126</v>
      </c>
      <c r="AO44" s="45"/>
      <c r="AP44" s="45"/>
      <c r="AR44" s="44" t="s">
        <v>822</v>
      </c>
      <c r="AS44" s="43" t="str">
        <f>IF(IFERROR(INDEX(Consulta!$A:$DN,MATCH('ZM01'!$C44,Consulta!$D:$D,0),'ZM01'!AS$2),"")=0,"",IFERROR(INDEX(Consulta!$A:$DN,MATCH('ZM01'!$C44,Consulta!$D:$D,0),'ZM01'!AS$2),""))</f>
        <v/>
      </c>
      <c r="AT44" s="45"/>
      <c r="AU44" s="43" t="str">
        <f>IF(IFERROR(INDEX(Consulta!$A:$DN,MATCH('ZM01'!$C44,Consulta!$D:$D,0),'ZM01'!AU$2),"")=0,"",IFERROR(INDEX(Consulta!$A:$DN,MATCH('ZM01'!$C44,Consulta!$D:$D,0),'ZM01'!AU$2),""))</f>
        <v/>
      </c>
      <c r="AV44" s="43" t="str">
        <f>IF(IFERROR(INDEX(Consulta!$A:$DN,MATCH('ZM01'!$C44,Consulta!$D:$D,0),'ZM01'!AV$2),"")=0,"",IFERROR(INDEX(Consulta!$A:$DN,MATCH('ZM01'!$C44,Consulta!$D:$D,0),'ZM01'!AV$2),""))</f>
        <v/>
      </c>
      <c r="AW44" s="45"/>
      <c r="AX44" s="46" t="str">
        <f t="shared" ca="1" si="41"/>
        <v/>
      </c>
      <c r="AY44" s="47" t="s">
        <v>755</v>
      </c>
      <c r="AZ44" s="43" t="str">
        <f>IF(IFERROR(ROUND(INDEX(Consulta!$A:$DN,MATCH('ZM01'!$C44,Consulta!$D:$D,0),'ZM01'!AZ$2),3),"")=0,"",IFERROR(ROUND(INDEX(Consulta!$A:$DN,MATCH('ZM01'!$C44,Consulta!$D:$D,0),'ZM01'!AZ$2),3),""))</f>
        <v/>
      </c>
      <c r="BA44" s="43" t="str">
        <f t="shared" si="42"/>
        <v/>
      </c>
      <c r="BB44" s="48" t="s">
        <v>299</v>
      </c>
      <c r="BC44" s="48"/>
      <c r="BD44" s="43" t="str">
        <f>IF(IFERROR(INDEX(Consulta!$A:$DN,MATCH('ZM01'!$C44,Consulta!$D:$D,0),'ZM01'!BD$2),"")=0,"",IFERROR(INDEX(Consulta!$A:$DN,MATCH('ZM01'!$C44,Consulta!$D:$D,0),'ZM01'!BD$2),""))</f>
        <v/>
      </c>
      <c r="BE44" s="43" t="str">
        <f t="shared" si="0"/>
        <v/>
      </c>
      <c r="BF44" s="43" t="str">
        <f t="shared" si="43"/>
        <v/>
      </c>
      <c r="BG44" s="43" t="str">
        <f t="shared" si="1"/>
        <v/>
      </c>
      <c r="BH44" s="43" t="str">
        <f t="shared" si="44"/>
        <v>PC</v>
      </c>
      <c r="BI44" s="43" t="str">
        <f t="shared" si="24"/>
        <v/>
      </c>
      <c r="BJ44" s="43" t="str">
        <f t="shared" si="25"/>
        <v/>
      </c>
      <c r="BK44" s="43" t="str">
        <f t="shared" si="26"/>
        <v/>
      </c>
      <c r="BL44" s="43" t="str">
        <f t="shared" si="45"/>
        <v>PC</v>
      </c>
      <c r="BN44" s="44"/>
      <c r="BO44" s="44" t="s">
        <v>925</v>
      </c>
      <c r="BP44" s="43" t="str">
        <f>IF(OR(IFERROR(INDEX(Consulta!$A:$DN,MATCH('ZM01'!$C44,Consulta!$D:$D,0),'ZM01'!BP$2),"")=0,IFERROR(INDEX(Consulta!$A:$DN,MATCH('ZM01'!$C44,Consulta!$D:$D,0),'ZM01'!BP$2),"")=AR44),"",IFERROR(INDEX(Consulta!$A:$DN,MATCH('ZM01'!$C44,Consulta!$D:$D,0),'ZM01'!BP$2),""))</f>
        <v/>
      </c>
      <c r="BQ44" s="45">
        <v>99</v>
      </c>
      <c r="BR44" s="46" t="str">
        <f t="shared" ca="1" si="46"/>
        <v>17.05.2022</v>
      </c>
      <c r="BS44" s="49" t="str">
        <f t="shared" si="47"/>
        <v/>
      </c>
      <c r="BT44" s="50">
        <v>1</v>
      </c>
      <c r="BU44" s="50" t="s">
        <v>194</v>
      </c>
      <c r="BV44" s="90" t="str">
        <f t="shared" si="14"/>
        <v>01</v>
      </c>
      <c r="BW44" s="50" t="s">
        <v>755</v>
      </c>
      <c r="BX44" s="44">
        <v>1</v>
      </c>
      <c r="BY44" s="44" t="s">
        <v>372</v>
      </c>
      <c r="BZ44" s="50" t="s">
        <v>197</v>
      </c>
      <c r="CA44" s="50" t="s">
        <v>197</v>
      </c>
      <c r="CB44" s="43" t="str">
        <f>IF(IFERROR(INDEX(Consulta!$A:$DN,MATCH('ZM01'!$C44,Consulta!$D:$D,0),'ZM01'!CB$2),"")=0,"",IFERROR(INDEX(Consulta!$A:$DN,MATCH('ZM01'!$C44,Consulta!$D:$D,0),'ZM01'!CB$2),""))</f>
        <v/>
      </c>
      <c r="CC44" s="44" t="s">
        <v>392</v>
      </c>
      <c r="CD44" s="50">
        <v>0</v>
      </c>
      <c r="CE44" s="45" t="s">
        <v>403</v>
      </c>
      <c r="CF44" s="45" t="s">
        <v>84</v>
      </c>
      <c r="CG44" s="43" t="str">
        <f t="shared" si="15"/>
        <v/>
      </c>
      <c r="CH44" s="45" t="s">
        <v>430</v>
      </c>
      <c r="CI44" s="44">
        <v>0</v>
      </c>
      <c r="CJ44" s="43" t="str">
        <f t="shared" si="27"/>
        <v>E</v>
      </c>
      <c r="CK44" s="43" t="str">
        <f t="shared" si="28"/>
        <v/>
      </c>
      <c r="CL44" s="44">
        <v>2</v>
      </c>
      <c r="CM44" s="49" t="str">
        <f t="shared" si="48"/>
        <v/>
      </c>
      <c r="CN44" s="49" t="str">
        <f t="shared" si="49"/>
        <v/>
      </c>
      <c r="CO44" s="43" t="str">
        <f t="shared" si="29"/>
        <v/>
      </c>
      <c r="CP44" s="44">
        <v>1</v>
      </c>
      <c r="CQ44" s="50" t="s">
        <v>515</v>
      </c>
      <c r="CR44" s="44" t="s">
        <v>372</v>
      </c>
      <c r="CS44" s="44">
        <v>2</v>
      </c>
      <c r="CT44" s="44">
        <v>42</v>
      </c>
      <c r="CU44" s="44">
        <v>10</v>
      </c>
      <c r="CV44" s="43" t="str">
        <f t="shared" si="30"/>
        <v>K00_AO_</v>
      </c>
      <c r="CW44" s="43" t="str">
        <f t="shared" si="31"/>
        <v/>
      </c>
      <c r="CX44" s="43" t="str">
        <f t="shared" si="32"/>
        <v/>
      </c>
      <c r="CY44" s="44">
        <v>1</v>
      </c>
      <c r="CZ44" s="43" t="str">
        <f t="shared" si="33"/>
        <v/>
      </c>
      <c r="DA44" s="43" t="str">
        <f>IF(IFERROR(INDEX(Consulta!$A:$DN,MATCH('ZM01'!$C44,Consulta!$D:$D,0),'ZM01'!DA$2),"")=0,"",IFERROR(INDEX(Consulta!$A:$DN,MATCH('ZM01'!$C44,Consulta!$D:$D,0),'ZM01'!DA$2),""))</f>
        <v/>
      </c>
      <c r="DB44" s="43" t="str">
        <f>IF(IFERROR(INDEX(Consulta!$A:$DN,MATCH('ZM01'!$C44,Consulta!$D:$D,0),'ZM01'!DB$2),"")=0,"",IFERROR(INDEX(Consulta!$A:$DN,MATCH('ZM01'!$C44,Consulta!$D:$D,0),'ZM01'!DB$2),""))</f>
        <v/>
      </c>
      <c r="DC44" s="45">
        <v>0</v>
      </c>
      <c r="DD44" s="45">
        <v>0</v>
      </c>
      <c r="DE44" s="43" t="str">
        <f>IF(IFERROR(INDEX(Consulta!$A:$DN,MATCH('ZM01'!$C44,Consulta!$D:$D,0),'ZM01'!DE$2),"")=0,"",IFERROR(TEXT(VALUE(INDEX(Consulta!$A:$DN,MATCH('ZM01'!$C44,Consulta!$D:$D,0),'ZM01'!DE$2))/100,"0,00"),""))</f>
        <v/>
      </c>
      <c r="DG44" s="43">
        <f t="shared" si="50"/>
        <v>1</v>
      </c>
      <c r="DH44" s="43" t="str">
        <f>IF(IFERROR(INDEX(Consulta!$A:$DN,MATCH('ZM01'!$C44,Consulta!$D:$D,0),'ZM01'!DH$2),"")=0,"",IFERROR(VLOOKUP(INDEX(Consulta!$A:$DN,MATCH('ZM01'!$C44,Consulta!$D:$D,0),'ZM01'!DH$2),'Listas de Dados'!BU:BW,3,0),""))</f>
        <v/>
      </c>
      <c r="DI44" s="43" t="str">
        <f t="shared" ca="1" si="51"/>
        <v>17.05.2022</v>
      </c>
      <c r="DJ44" s="43" t="str">
        <f t="shared" si="52"/>
        <v>31.12.9999</v>
      </c>
      <c r="DL44" s="44">
        <v>1</v>
      </c>
      <c r="DM44" s="44" t="s">
        <v>1039</v>
      </c>
      <c r="DN44" s="44">
        <v>1</v>
      </c>
      <c r="DO44" s="43">
        <f t="shared" si="34"/>
        <v>1</v>
      </c>
      <c r="DP44" s="43" t="str">
        <f t="shared" si="35"/>
        <v>PC</v>
      </c>
      <c r="DQ44" s="43" t="str">
        <f t="shared" si="36"/>
        <v/>
      </c>
      <c r="DR44" s="44">
        <v>100</v>
      </c>
      <c r="DS44" s="71">
        <f t="shared" si="21"/>
        <v>1</v>
      </c>
      <c r="DT44" s="43">
        <f t="shared" si="53"/>
        <v>100</v>
      </c>
      <c r="DU44" s="44">
        <v>1</v>
      </c>
      <c r="DV44" s="44">
        <v>0</v>
      </c>
      <c r="DW44" s="44" t="s">
        <v>826</v>
      </c>
      <c r="DX44" s="45">
        <v>0</v>
      </c>
      <c r="DY44" s="44">
        <v>100</v>
      </c>
      <c r="DZ44" s="61"/>
    </row>
    <row r="45" spans="1:130" x14ac:dyDescent="0.2">
      <c r="A45" s="7" t="str">
        <f t="shared" si="2"/>
        <v>Execução 41</v>
      </c>
      <c r="B45" s="79"/>
      <c r="C45" s="85"/>
      <c r="D45" s="71" t="str">
        <f t="shared" si="37"/>
        <v/>
      </c>
      <c r="E45" s="71" t="str">
        <f t="shared" si="38"/>
        <v/>
      </c>
      <c r="F45" s="43" t="str">
        <f>IF(IFERROR(INDEX(Consulta!$A:$DN,MATCH('ZM01'!$C45,Consulta!$D:$D,0),'ZM01'!F$2),"")=0,"",IFERROR(INDEX(Consulta!$A:$DN,MATCH('ZM01'!$C45,Consulta!$D:$D,0),'ZM01'!F$2),""))</f>
        <v/>
      </c>
      <c r="G45" s="43" t="str">
        <f>IF(IFERROR(INDEX(Consulta!$A:$DN,MATCH('ZM01'!$C45,Consulta!$D:$D,0),'ZM01'!G$2),"")=0,"",IFERROR(INDEX(Consulta!$A:$DN,MATCH('ZM01'!$C45,Consulta!$D:$D,0),'ZM01'!G$2),""))</f>
        <v/>
      </c>
      <c r="H45" s="43" t="str">
        <f t="shared" si="23"/>
        <v/>
      </c>
      <c r="I45" s="44" t="s">
        <v>100</v>
      </c>
      <c r="J45" s="43" t="str">
        <f>IF(IFERROR(INDEX(Consulta!$A:$DN,MATCH('ZM01'!$C45,Consulta!$D:$D,0),'ZM01'!J$2),"")=0,"",IFERROR(INDEX(Consulta!$A:$DN,MATCH('ZM01'!$C45,Consulta!$D:$D,0),'ZM01'!J$2),""))</f>
        <v/>
      </c>
      <c r="K45" s="43" t="str">
        <f>IF(IFERROR(INDEX(Consulta!$A:$DN,MATCH('ZM01'!$C45,Consulta!$D:$D,0),'ZM01'!K$2),"")=0,"",IFERROR(INDEX(Consulta!$A:$DN,MATCH('ZM01'!$C45,Consulta!$D:$D,0),'ZM01'!K$2),""))</f>
        <v/>
      </c>
      <c r="L45" s="43" t="str">
        <f t="shared" si="39"/>
        <v/>
      </c>
      <c r="M45" s="43" t="str">
        <f>IF(IFERROR(INDEX(Consulta!$A:$DN,MATCH('ZM01'!$C45,Consulta!$D:$D,0),'ZM01'!M$2),"")=0,"",IFERROR(INDEX(Consulta!$A:$DN,MATCH('ZM01'!$C45,Consulta!$D:$D,0),'ZM01'!M$2),""))</f>
        <v/>
      </c>
      <c r="N45" s="43" t="str">
        <f t="shared" si="40"/>
        <v/>
      </c>
      <c r="P45" s="45" t="s">
        <v>101</v>
      </c>
      <c r="Q45" s="45" t="s">
        <v>102</v>
      </c>
      <c r="R45" s="45" t="s">
        <v>103</v>
      </c>
      <c r="S45" s="45" t="s">
        <v>104</v>
      </c>
      <c r="T45" s="45" t="s">
        <v>105</v>
      </c>
      <c r="U45" s="45" t="s">
        <v>106</v>
      </c>
      <c r="V45" s="45" t="s">
        <v>107</v>
      </c>
      <c r="W45" s="45" t="s">
        <v>109</v>
      </c>
      <c r="X45" s="45" t="s">
        <v>110</v>
      </c>
      <c r="Y45" s="45"/>
      <c r="Z45" s="45"/>
      <c r="AA45" s="45" t="s">
        <v>112</v>
      </c>
      <c r="AB45" s="45" t="s">
        <v>113</v>
      </c>
      <c r="AC45" s="45" t="s">
        <v>114</v>
      </c>
      <c r="AD45" s="45" t="s">
        <v>115</v>
      </c>
      <c r="AE45" s="45" t="s">
        <v>117</v>
      </c>
      <c r="AF45" s="45" t="s">
        <v>118</v>
      </c>
      <c r="AG45" s="45" t="s">
        <v>119</v>
      </c>
      <c r="AH45" s="45" t="s">
        <v>120</v>
      </c>
      <c r="AI45" s="45" t="s">
        <v>121</v>
      </c>
      <c r="AJ45" s="45" t="s">
        <v>122</v>
      </c>
      <c r="AK45" s="45" t="s">
        <v>123</v>
      </c>
      <c r="AL45" s="45" t="s">
        <v>124</v>
      </c>
      <c r="AM45" s="45" t="s">
        <v>125</v>
      </c>
      <c r="AN45" s="45" t="s">
        <v>126</v>
      </c>
      <c r="AO45" s="45"/>
      <c r="AP45" s="45"/>
      <c r="AR45" s="44" t="s">
        <v>822</v>
      </c>
      <c r="AS45" s="43" t="str">
        <f>IF(IFERROR(INDEX(Consulta!$A:$DN,MATCH('ZM01'!$C45,Consulta!$D:$D,0),'ZM01'!AS$2),"")=0,"",IFERROR(INDEX(Consulta!$A:$DN,MATCH('ZM01'!$C45,Consulta!$D:$D,0),'ZM01'!AS$2),""))</f>
        <v/>
      </c>
      <c r="AT45" s="45"/>
      <c r="AU45" s="43" t="str">
        <f>IF(IFERROR(INDEX(Consulta!$A:$DN,MATCH('ZM01'!$C45,Consulta!$D:$D,0),'ZM01'!AU$2),"")=0,"",IFERROR(INDEX(Consulta!$A:$DN,MATCH('ZM01'!$C45,Consulta!$D:$D,0),'ZM01'!AU$2),""))</f>
        <v/>
      </c>
      <c r="AV45" s="43" t="str">
        <f>IF(IFERROR(INDEX(Consulta!$A:$DN,MATCH('ZM01'!$C45,Consulta!$D:$D,0),'ZM01'!AV$2),"")=0,"",IFERROR(INDEX(Consulta!$A:$DN,MATCH('ZM01'!$C45,Consulta!$D:$D,0),'ZM01'!AV$2),""))</f>
        <v/>
      </c>
      <c r="AW45" s="45"/>
      <c r="AX45" s="46" t="str">
        <f t="shared" ca="1" si="41"/>
        <v/>
      </c>
      <c r="AY45" s="47" t="s">
        <v>755</v>
      </c>
      <c r="AZ45" s="43" t="str">
        <f>IF(IFERROR(ROUND(INDEX(Consulta!$A:$DN,MATCH('ZM01'!$C45,Consulta!$D:$D,0),'ZM01'!AZ$2),3),"")=0,"",IFERROR(ROUND(INDEX(Consulta!$A:$DN,MATCH('ZM01'!$C45,Consulta!$D:$D,0),'ZM01'!AZ$2),3),""))</f>
        <v/>
      </c>
      <c r="BA45" s="43" t="str">
        <f t="shared" si="42"/>
        <v/>
      </c>
      <c r="BB45" s="48" t="s">
        <v>299</v>
      </c>
      <c r="BC45" s="48"/>
      <c r="BD45" s="43" t="str">
        <f>IF(IFERROR(INDEX(Consulta!$A:$DN,MATCH('ZM01'!$C45,Consulta!$D:$D,0),'ZM01'!BD$2),"")=0,"",IFERROR(INDEX(Consulta!$A:$DN,MATCH('ZM01'!$C45,Consulta!$D:$D,0),'ZM01'!BD$2),""))</f>
        <v/>
      </c>
      <c r="BE45" s="43" t="str">
        <f t="shared" si="0"/>
        <v/>
      </c>
      <c r="BF45" s="43" t="str">
        <f t="shared" si="43"/>
        <v/>
      </c>
      <c r="BG45" s="43" t="str">
        <f t="shared" si="1"/>
        <v/>
      </c>
      <c r="BH45" s="43" t="str">
        <f t="shared" si="44"/>
        <v>PC</v>
      </c>
      <c r="BI45" s="43" t="str">
        <f t="shared" si="24"/>
        <v/>
      </c>
      <c r="BJ45" s="43" t="str">
        <f t="shared" si="25"/>
        <v/>
      </c>
      <c r="BK45" s="43" t="str">
        <f t="shared" si="26"/>
        <v/>
      </c>
      <c r="BL45" s="43" t="str">
        <f t="shared" si="45"/>
        <v>PC</v>
      </c>
      <c r="BN45" s="44"/>
      <c r="BO45" s="44" t="s">
        <v>925</v>
      </c>
      <c r="BP45" s="43" t="str">
        <f>IF(OR(IFERROR(INDEX(Consulta!$A:$DN,MATCH('ZM01'!$C45,Consulta!$D:$D,0),'ZM01'!BP$2),"")=0,IFERROR(INDEX(Consulta!$A:$DN,MATCH('ZM01'!$C45,Consulta!$D:$D,0),'ZM01'!BP$2),"")=AR45),"",IFERROR(INDEX(Consulta!$A:$DN,MATCH('ZM01'!$C45,Consulta!$D:$D,0),'ZM01'!BP$2),""))</f>
        <v/>
      </c>
      <c r="BQ45" s="45">
        <v>99</v>
      </c>
      <c r="BR45" s="46" t="str">
        <f t="shared" ca="1" si="46"/>
        <v>17.05.2022</v>
      </c>
      <c r="BS45" s="49" t="str">
        <f t="shared" si="47"/>
        <v/>
      </c>
      <c r="BT45" s="50">
        <v>1</v>
      </c>
      <c r="BU45" s="50" t="s">
        <v>194</v>
      </c>
      <c r="BV45" s="90" t="str">
        <f t="shared" si="14"/>
        <v>01</v>
      </c>
      <c r="BW45" s="50" t="s">
        <v>755</v>
      </c>
      <c r="BX45" s="44">
        <v>1</v>
      </c>
      <c r="BY45" s="44" t="s">
        <v>372</v>
      </c>
      <c r="BZ45" s="50" t="s">
        <v>197</v>
      </c>
      <c r="CA45" s="50" t="s">
        <v>197</v>
      </c>
      <c r="CB45" s="43" t="str">
        <f>IF(IFERROR(INDEX(Consulta!$A:$DN,MATCH('ZM01'!$C45,Consulta!$D:$D,0),'ZM01'!CB$2),"")=0,"",IFERROR(INDEX(Consulta!$A:$DN,MATCH('ZM01'!$C45,Consulta!$D:$D,0),'ZM01'!CB$2),""))</f>
        <v/>
      </c>
      <c r="CC45" s="44" t="s">
        <v>392</v>
      </c>
      <c r="CD45" s="50">
        <v>0</v>
      </c>
      <c r="CE45" s="45" t="s">
        <v>403</v>
      </c>
      <c r="CF45" s="45" t="s">
        <v>84</v>
      </c>
      <c r="CG45" s="43" t="str">
        <f t="shared" si="15"/>
        <v/>
      </c>
      <c r="CH45" s="45" t="s">
        <v>430</v>
      </c>
      <c r="CI45" s="44">
        <v>0</v>
      </c>
      <c r="CJ45" s="43" t="str">
        <f t="shared" si="27"/>
        <v>E</v>
      </c>
      <c r="CK45" s="43" t="str">
        <f t="shared" si="28"/>
        <v/>
      </c>
      <c r="CL45" s="44">
        <v>2</v>
      </c>
      <c r="CM45" s="49" t="str">
        <f t="shared" si="48"/>
        <v/>
      </c>
      <c r="CN45" s="49" t="str">
        <f t="shared" si="49"/>
        <v/>
      </c>
      <c r="CO45" s="43" t="str">
        <f t="shared" si="29"/>
        <v/>
      </c>
      <c r="CP45" s="44">
        <v>1</v>
      </c>
      <c r="CQ45" s="50" t="s">
        <v>515</v>
      </c>
      <c r="CR45" s="44" t="s">
        <v>372</v>
      </c>
      <c r="CS45" s="44">
        <v>2</v>
      </c>
      <c r="CT45" s="44">
        <v>42</v>
      </c>
      <c r="CU45" s="44">
        <v>10</v>
      </c>
      <c r="CV45" s="43" t="str">
        <f t="shared" si="30"/>
        <v>K00_AO_</v>
      </c>
      <c r="CW45" s="43" t="str">
        <f t="shared" si="31"/>
        <v/>
      </c>
      <c r="CX45" s="43" t="str">
        <f t="shared" si="32"/>
        <v/>
      </c>
      <c r="CY45" s="44">
        <v>1</v>
      </c>
      <c r="CZ45" s="43" t="str">
        <f t="shared" si="33"/>
        <v/>
      </c>
      <c r="DA45" s="43" t="str">
        <f>IF(IFERROR(INDEX(Consulta!$A:$DN,MATCH('ZM01'!$C45,Consulta!$D:$D,0),'ZM01'!DA$2),"")=0,"",IFERROR(INDEX(Consulta!$A:$DN,MATCH('ZM01'!$C45,Consulta!$D:$D,0),'ZM01'!DA$2),""))</f>
        <v/>
      </c>
      <c r="DB45" s="43" t="str">
        <f>IF(IFERROR(INDEX(Consulta!$A:$DN,MATCH('ZM01'!$C45,Consulta!$D:$D,0),'ZM01'!DB$2),"")=0,"",IFERROR(INDEX(Consulta!$A:$DN,MATCH('ZM01'!$C45,Consulta!$D:$D,0),'ZM01'!DB$2),""))</f>
        <v/>
      </c>
      <c r="DC45" s="45">
        <v>0</v>
      </c>
      <c r="DD45" s="45">
        <v>0</v>
      </c>
      <c r="DE45" s="43" t="str">
        <f>IF(IFERROR(INDEX(Consulta!$A:$DN,MATCH('ZM01'!$C45,Consulta!$D:$D,0),'ZM01'!DE$2),"")=0,"",IFERROR(TEXT(VALUE(INDEX(Consulta!$A:$DN,MATCH('ZM01'!$C45,Consulta!$D:$D,0),'ZM01'!DE$2))/100,"0,00"),""))</f>
        <v/>
      </c>
      <c r="DG45" s="43">
        <f t="shared" si="50"/>
        <v>1</v>
      </c>
      <c r="DH45" s="43" t="str">
        <f>IF(IFERROR(INDEX(Consulta!$A:$DN,MATCH('ZM01'!$C45,Consulta!$D:$D,0),'ZM01'!DH$2),"")=0,"",IFERROR(VLOOKUP(INDEX(Consulta!$A:$DN,MATCH('ZM01'!$C45,Consulta!$D:$D,0),'ZM01'!DH$2),'Listas de Dados'!BU:BW,3,0),""))</f>
        <v/>
      </c>
      <c r="DI45" s="43" t="str">
        <f t="shared" ca="1" si="51"/>
        <v>17.05.2022</v>
      </c>
      <c r="DJ45" s="43" t="str">
        <f t="shared" si="52"/>
        <v>31.12.9999</v>
      </c>
      <c r="DL45" s="44">
        <v>1</v>
      </c>
      <c r="DM45" s="44" t="s">
        <v>1039</v>
      </c>
      <c r="DN45" s="44">
        <v>1</v>
      </c>
      <c r="DO45" s="43">
        <f t="shared" si="34"/>
        <v>1</v>
      </c>
      <c r="DP45" s="43" t="str">
        <f t="shared" si="35"/>
        <v>PC</v>
      </c>
      <c r="DQ45" s="43" t="str">
        <f t="shared" si="36"/>
        <v/>
      </c>
      <c r="DR45" s="44">
        <v>100</v>
      </c>
      <c r="DS45" s="71">
        <f t="shared" si="21"/>
        <v>1</v>
      </c>
      <c r="DT45" s="43">
        <f t="shared" si="53"/>
        <v>100</v>
      </c>
      <c r="DU45" s="44">
        <v>1</v>
      </c>
      <c r="DV45" s="44">
        <v>0</v>
      </c>
      <c r="DW45" s="44" t="s">
        <v>826</v>
      </c>
      <c r="DX45" s="45">
        <v>0</v>
      </c>
      <c r="DY45" s="44">
        <v>100</v>
      </c>
      <c r="DZ45" s="60"/>
    </row>
    <row r="46" spans="1:130" x14ac:dyDescent="0.2">
      <c r="A46" s="7" t="str">
        <f t="shared" si="2"/>
        <v>Execução 42</v>
      </c>
      <c r="B46" s="75"/>
      <c r="C46" s="85"/>
      <c r="D46" s="71" t="str">
        <f t="shared" si="37"/>
        <v/>
      </c>
      <c r="E46" s="71" t="str">
        <f t="shared" si="38"/>
        <v/>
      </c>
      <c r="F46" s="43" t="str">
        <f>IF(IFERROR(INDEX(Consulta!$A:$DN,MATCH('ZM01'!$C46,Consulta!$D:$D,0),'ZM01'!F$2),"")=0,"",IFERROR(INDEX(Consulta!$A:$DN,MATCH('ZM01'!$C46,Consulta!$D:$D,0),'ZM01'!F$2),""))</f>
        <v/>
      </c>
      <c r="G46" s="43" t="str">
        <f>IF(IFERROR(INDEX(Consulta!$A:$DN,MATCH('ZM01'!$C46,Consulta!$D:$D,0),'ZM01'!G$2),"")=0,"",IFERROR(INDEX(Consulta!$A:$DN,MATCH('ZM01'!$C46,Consulta!$D:$D,0),'ZM01'!G$2),""))</f>
        <v/>
      </c>
      <c r="H46" s="43" t="str">
        <f t="shared" si="23"/>
        <v/>
      </c>
      <c r="I46" s="44" t="s">
        <v>100</v>
      </c>
      <c r="J46" s="43" t="str">
        <f>IF(IFERROR(INDEX(Consulta!$A:$DN,MATCH('ZM01'!$C46,Consulta!$D:$D,0),'ZM01'!J$2),"")=0,"",IFERROR(INDEX(Consulta!$A:$DN,MATCH('ZM01'!$C46,Consulta!$D:$D,0),'ZM01'!J$2),""))</f>
        <v/>
      </c>
      <c r="K46" s="43" t="str">
        <f>IF(IFERROR(INDEX(Consulta!$A:$DN,MATCH('ZM01'!$C46,Consulta!$D:$D,0),'ZM01'!K$2),"")=0,"",IFERROR(INDEX(Consulta!$A:$DN,MATCH('ZM01'!$C46,Consulta!$D:$D,0),'ZM01'!K$2),""))</f>
        <v/>
      </c>
      <c r="L46" s="43" t="str">
        <f t="shared" si="39"/>
        <v/>
      </c>
      <c r="M46" s="43" t="str">
        <f>IF(IFERROR(INDEX(Consulta!$A:$DN,MATCH('ZM01'!$C46,Consulta!$D:$D,0),'ZM01'!M$2),"")=0,"",IFERROR(INDEX(Consulta!$A:$DN,MATCH('ZM01'!$C46,Consulta!$D:$D,0),'ZM01'!M$2),""))</f>
        <v/>
      </c>
      <c r="N46" s="43" t="str">
        <f t="shared" si="40"/>
        <v/>
      </c>
      <c r="P46" s="45" t="s">
        <v>101</v>
      </c>
      <c r="Q46" s="45" t="s">
        <v>102</v>
      </c>
      <c r="R46" s="45" t="s">
        <v>103</v>
      </c>
      <c r="S46" s="45" t="s">
        <v>104</v>
      </c>
      <c r="T46" s="45" t="s">
        <v>105</v>
      </c>
      <c r="U46" s="45" t="s">
        <v>106</v>
      </c>
      <c r="V46" s="45" t="s">
        <v>107</v>
      </c>
      <c r="W46" s="45" t="s">
        <v>109</v>
      </c>
      <c r="X46" s="45" t="s">
        <v>110</v>
      </c>
      <c r="Y46" s="45"/>
      <c r="Z46" s="45"/>
      <c r="AA46" s="45" t="s">
        <v>112</v>
      </c>
      <c r="AB46" s="45" t="s">
        <v>113</v>
      </c>
      <c r="AC46" s="45" t="s">
        <v>114</v>
      </c>
      <c r="AD46" s="45" t="s">
        <v>115</v>
      </c>
      <c r="AE46" s="45" t="s">
        <v>117</v>
      </c>
      <c r="AF46" s="45" t="s">
        <v>118</v>
      </c>
      <c r="AG46" s="45" t="s">
        <v>119</v>
      </c>
      <c r="AH46" s="45" t="s">
        <v>120</v>
      </c>
      <c r="AI46" s="45" t="s">
        <v>121</v>
      </c>
      <c r="AJ46" s="45" t="s">
        <v>122</v>
      </c>
      <c r="AK46" s="45" t="s">
        <v>123</v>
      </c>
      <c r="AL46" s="45" t="s">
        <v>124</v>
      </c>
      <c r="AM46" s="45" t="s">
        <v>125</v>
      </c>
      <c r="AN46" s="45" t="s">
        <v>126</v>
      </c>
      <c r="AO46" s="45"/>
      <c r="AP46" s="45"/>
      <c r="AR46" s="44" t="s">
        <v>822</v>
      </c>
      <c r="AS46" s="43" t="str">
        <f>IF(IFERROR(INDEX(Consulta!$A:$DN,MATCH('ZM01'!$C46,Consulta!$D:$D,0),'ZM01'!AS$2),"")=0,"",IFERROR(INDEX(Consulta!$A:$DN,MATCH('ZM01'!$C46,Consulta!$D:$D,0),'ZM01'!AS$2),""))</f>
        <v/>
      </c>
      <c r="AT46" s="45"/>
      <c r="AU46" s="43" t="str">
        <f>IF(IFERROR(INDEX(Consulta!$A:$DN,MATCH('ZM01'!$C46,Consulta!$D:$D,0),'ZM01'!AU$2),"")=0,"",IFERROR(INDEX(Consulta!$A:$DN,MATCH('ZM01'!$C46,Consulta!$D:$D,0),'ZM01'!AU$2),""))</f>
        <v/>
      </c>
      <c r="AV46" s="43" t="str">
        <f>IF(IFERROR(INDEX(Consulta!$A:$DN,MATCH('ZM01'!$C46,Consulta!$D:$D,0),'ZM01'!AV$2),"")=0,"",IFERROR(INDEX(Consulta!$A:$DN,MATCH('ZM01'!$C46,Consulta!$D:$D,0),'ZM01'!AV$2),""))</f>
        <v/>
      </c>
      <c r="AW46" s="45"/>
      <c r="AX46" s="46" t="str">
        <f t="shared" ca="1" si="41"/>
        <v/>
      </c>
      <c r="AY46" s="47" t="s">
        <v>755</v>
      </c>
      <c r="AZ46" s="43" t="str">
        <f>IF(IFERROR(ROUND(INDEX(Consulta!$A:$DN,MATCH('ZM01'!$C46,Consulta!$D:$D,0),'ZM01'!AZ$2),3),"")=0,"",IFERROR(ROUND(INDEX(Consulta!$A:$DN,MATCH('ZM01'!$C46,Consulta!$D:$D,0),'ZM01'!AZ$2),3),""))</f>
        <v/>
      </c>
      <c r="BA46" s="43" t="str">
        <f t="shared" si="42"/>
        <v/>
      </c>
      <c r="BB46" s="48" t="s">
        <v>299</v>
      </c>
      <c r="BC46" s="48"/>
      <c r="BD46" s="43" t="str">
        <f>IF(IFERROR(INDEX(Consulta!$A:$DN,MATCH('ZM01'!$C46,Consulta!$D:$D,0),'ZM01'!BD$2),"")=0,"",IFERROR(INDEX(Consulta!$A:$DN,MATCH('ZM01'!$C46,Consulta!$D:$D,0),'ZM01'!BD$2),""))</f>
        <v/>
      </c>
      <c r="BE46" s="43" t="str">
        <f t="shared" si="0"/>
        <v/>
      </c>
      <c r="BF46" s="43" t="str">
        <f t="shared" si="43"/>
        <v/>
      </c>
      <c r="BG46" s="43" t="str">
        <f t="shared" si="1"/>
        <v/>
      </c>
      <c r="BH46" s="43" t="str">
        <f t="shared" si="44"/>
        <v>PC</v>
      </c>
      <c r="BI46" s="43" t="str">
        <f t="shared" si="24"/>
        <v/>
      </c>
      <c r="BJ46" s="43" t="str">
        <f t="shared" si="25"/>
        <v/>
      </c>
      <c r="BK46" s="43" t="str">
        <f t="shared" si="26"/>
        <v/>
      </c>
      <c r="BL46" s="43" t="str">
        <f t="shared" si="45"/>
        <v>PC</v>
      </c>
      <c r="BN46" s="44"/>
      <c r="BO46" s="44" t="s">
        <v>925</v>
      </c>
      <c r="BP46" s="43" t="str">
        <f>IF(OR(IFERROR(INDEX(Consulta!$A:$DN,MATCH('ZM01'!$C46,Consulta!$D:$D,0),'ZM01'!BP$2),"")=0,IFERROR(INDEX(Consulta!$A:$DN,MATCH('ZM01'!$C46,Consulta!$D:$D,0),'ZM01'!BP$2),"")=AR46),"",IFERROR(INDEX(Consulta!$A:$DN,MATCH('ZM01'!$C46,Consulta!$D:$D,0),'ZM01'!BP$2),""))</f>
        <v/>
      </c>
      <c r="BQ46" s="45">
        <v>99</v>
      </c>
      <c r="BR46" s="46" t="str">
        <f t="shared" ca="1" si="46"/>
        <v>17.05.2022</v>
      </c>
      <c r="BS46" s="49" t="str">
        <f t="shared" si="47"/>
        <v/>
      </c>
      <c r="BT46" s="50">
        <v>1</v>
      </c>
      <c r="BU46" s="50" t="s">
        <v>194</v>
      </c>
      <c r="BV46" s="90" t="str">
        <f t="shared" si="14"/>
        <v>01</v>
      </c>
      <c r="BW46" s="50" t="s">
        <v>755</v>
      </c>
      <c r="BX46" s="44">
        <v>1</v>
      </c>
      <c r="BY46" s="44" t="s">
        <v>372</v>
      </c>
      <c r="BZ46" s="50" t="s">
        <v>197</v>
      </c>
      <c r="CA46" s="50" t="s">
        <v>197</v>
      </c>
      <c r="CB46" s="43" t="str">
        <f>IF(IFERROR(INDEX(Consulta!$A:$DN,MATCH('ZM01'!$C46,Consulta!$D:$D,0),'ZM01'!CB$2),"")=0,"",IFERROR(INDEX(Consulta!$A:$DN,MATCH('ZM01'!$C46,Consulta!$D:$D,0),'ZM01'!CB$2),""))</f>
        <v/>
      </c>
      <c r="CC46" s="44" t="s">
        <v>392</v>
      </c>
      <c r="CD46" s="50">
        <v>0</v>
      </c>
      <c r="CE46" s="45" t="s">
        <v>403</v>
      </c>
      <c r="CF46" s="45" t="s">
        <v>84</v>
      </c>
      <c r="CG46" s="43" t="str">
        <f t="shared" si="15"/>
        <v/>
      </c>
      <c r="CH46" s="45" t="s">
        <v>430</v>
      </c>
      <c r="CI46" s="44">
        <v>0</v>
      </c>
      <c r="CJ46" s="43" t="str">
        <f t="shared" si="27"/>
        <v>E</v>
      </c>
      <c r="CK46" s="43" t="str">
        <f t="shared" si="28"/>
        <v/>
      </c>
      <c r="CL46" s="44">
        <v>2</v>
      </c>
      <c r="CM46" s="49" t="str">
        <f t="shared" si="48"/>
        <v/>
      </c>
      <c r="CN46" s="49" t="str">
        <f t="shared" si="49"/>
        <v/>
      </c>
      <c r="CO46" s="43" t="str">
        <f t="shared" si="29"/>
        <v/>
      </c>
      <c r="CP46" s="44">
        <v>1</v>
      </c>
      <c r="CQ46" s="50" t="s">
        <v>515</v>
      </c>
      <c r="CR46" s="44" t="s">
        <v>372</v>
      </c>
      <c r="CS46" s="44">
        <v>2</v>
      </c>
      <c r="CT46" s="44">
        <v>42</v>
      </c>
      <c r="CU46" s="44">
        <v>10</v>
      </c>
      <c r="CV46" s="43" t="str">
        <f t="shared" si="30"/>
        <v>K00_AO_</v>
      </c>
      <c r="CW46" s="43" t="str">
        <f t="shared" si="31"/>
        <v/>
      </c>
      <c r="CX46" s="43" t="str">
        <f t="shared" si="32"/>
        <v/>
      </c>
      <c r="CY46" s="44">
        <v>1</v>
      </c>
      <c r="CZ46" s="43" t="str">
        <f t="shared" si="33"/>
        <v/>
      </c>
      <c r="DA46" s="43" t="str">
        <f>IF(IFERROR(INDEX(Consulta!$A:$DN,MATCH('ZM01'!$C46,Consulta!$D:$D,0),'ZM01'!DA$2),"")=0,"",IFERROR(INDEX(Consulta!$A:$DN,MATCH('ZM01'!$C46,Consulta!$D:$D,0),'ZM01'!DA$2),""))</f>
        <v/>
      </c>
      <c r="DB46" s="43" t="str">
        <f>IF(IFERROR(INDEX(Consulta!$A:$DN,MATCH('ZM01'!$C46,Consulta!$D:$D,0),'ZM01'!DB$2),"")=0,"",IFERROR(INDEX(Consulta!$A:$DN,MATCH('ZM01'!$C46,Consulta!$D:$D,0),'ZM01'!DB$2),""))</f>
        <v/>
      </c>
      <c r="DC46" s="45">
        <v>0</v>
      </c>
      <c r="DD46" s="45">
        <v>0</v>
      </c>
      <c r="DE46" s="43" t="str">
        <f>IF(IFERROR(INDEX(Consulta!$A:$DN,MATCH('ZM01'!$C46,Consulta!$D:$D,0),'ZM01'!DE$2),"")=0,"",IFERROR(TEXT(VALUE(INDEX(Consulta!$A:$DN,MATCH('ZM01'!$C46,Consulta!$D:$D,0),'ZM01'!DE$2))/100,"0,00"),""))</f>
        <v/>
      </c>
      <c r="DG46" s="43">
        <f t="shared" si="50"/>
        <v>1</v>
      </c>
      <c r="DH46" s="43" t="str">
        <f>IF(IFERROR(INDEX(Consulta!$A:$DN,MATCH('ZM01'!$C46,Consulta!$D:$D,0),'ZM01'!DH$2),"")=0,"",IFERROR(VLOOKUP(INDEX(Consulta!$A:$DN,MATCH('ZM01'!$C46,Consulta!$D:$D,0),'ZM01'!DH$2),'Listas de Dados'!BU:BW,3,0),""))</f>
        <v/>
      </c>
      <c r="DI46" s="43" t="str">
        <f t="shared" ca="1" si="51"/>
        <v>17.05.2022</v>
      </c>
      <c r="DJ46" s="43" t="str">
        <f t="shared" si="52"/>
        <v>31.12.9999</v>
      </c>
      <c r="DL46" s="44">
        <v>1</v>
      </c>
      <c r="DM46" s="44" t="s">
        <v>1039</v>
      </c>
      <c r="DN46" s="44">
        <v>1</v>
      </c>
      <c r="DO46" s="43">
        <f t="shared" si="34"/>
        <v>1</v>
      </c>
      <c r="DP46" s="43" t="str">
        <f t="shared" si="35"/>
        <v>PC</v>
      </c>
      <c r="DQ46" s="43" t="str">
        <f t="shared" si="36"/>
        <v/>
      </c>
      <c r="DR46" s="44">
        <v>100</v>
      </c>
      <c r="DS46" s="71">
        <f t="shared" si="21"/>
        <v>1</v>
      </c>
      <c r="DT46" s="43">
        <f t="shared" si="53"/>
        <v>100</v>
      </c>
      <c r="DU46" s="44">
        <v>1</v>
      </c>
      <c r="DV46" s="44">
        <v>0</v>
      </c>
      <c r="DW46" s="44" t="s">
        <v>826</v>
      </c>
      <c r="DX46" s="45">
        <v>0</v>
      </c>
      <c r="DY46" s="44">
        <v>100</v>
      </c>
      <c r="DZ46" s="61"/>
    </row>
    <row r="47" spans="1:130" x14ac:dyDescent="0.2">
      <c r="A47" s="7" t="str">
        <f t="shared" si="2"/>
        <v>Execução 43</v>
      </c>
      <c r="B47" s="79"/>
      <c r="C47" s="85"/>
      <c r="D47" s="71" t="str">
        <f t="shared" si="37"/>
        <v/>
      </c>
      <c r="E47" s="71" t="str">
        <f t="shared" si="38"/>
        <v/>
      </c>
      <c r="F47" s="43" t="str">
        <f>IF(IFERROR(INDEX(Consulta!$A:$DN,MATCH('ZM01'!$C47,Consulta!$D:$D,0),'ZM01'!F$2),"")=0,"",IFERROR(INDEX(Consulta!$A:$DN,MATCH('ZM01'!$C47,Consulta!$D:$D,0),'ZM01'!F$2),""))</f>
        <v/>
      </c>
      <c r="G47" s="43" t="str">
        <f>IF(IFERROR(INDEX(Consulta!$A:$DN,MATCH('ZM01'!$C47,Consulta!$D:$D,0),'ZM01'!G$2),"")=0,"",IFERROR(INDEX(Consulta!$A:$DN,MATCH('ZM01'!$C47,Consulta!$D:$D,0),'ZM01'!G$2),""))</f>
        <v/>
      </c>
      <c r="H47" s="43" t="str">
        <f t="shared" si="23"/>
        <v/>
      </c>
      <c r="I47" s="44" t="s">
        <v>100</v>
      </c>
      <c r="J47" s="43" t="str">
        <f>IF(IFERROR(INDEX(Consulta!$A:$DN,MATCH('ZM01'!$C47,Consulta!$D:$D,0),'ZM01'!J$2),"")=0,"",IFERROR(INDEX(Consulta!$A:$DN,MATCH('ZM01'!$C47,Consulta!$D:$D,0),'ZM01'!J$2),""))</f>
        <v/>
      </c>
      <c r="K47" s="43" t="str">
        <f>IF(IFERROR(INDEX(Consulta!$A:$DN,MATCH('ZM01'!$C47,Consulta!$D:$D,0),'ZM01'!K$2),"")=0,"",IFERROR(INDEX(Consulta!$A:$DN,MATCH('ZM01'!$C47,Consulta!$D:$D,0),'ZM01'!K$2),""))</f>
        <v/>
      </c>
      <c r="L47" s="43" t="str">
        <f t="shared" si="39"/>
        <v/>
      </c>
      <c r="M47" s="43" t="str">
        <f>IF(IFERROR(INDEX(Consulta!$A:$DN,MATCH('ZM01'!$C47,Consulta!$D:$D,0),'ZM01'!M$2),"")=0,"",IFERROR(INDEX(Consulta!$A:$DN,MATCH('ZM01'!$C47,Consulta!$D:$D,0),'ZM01'!M$2),""))</f>
        <v/>
      </c>
      <c r="N47" s="43" t="str">
        <f t="shared" si="40"/>
        <v/>
      </c>
      <c r="P47" s="45" t="s">
        <v>101</v>
      </c>
      <c r="Q47" s="45" t="s">
        <v>102</v>
      </c>
      <c r="R47" s="45" t="s">
        <v>103</v>
      </c>
      <c r="S47" s="45" t="s">
        <v>104</v>
      </c>
      <c r="T47" s="45" t="s">
        <v>105</v>
      </c>
      <c r="U47" s="45" t="s">
        <v>106</v>
      </c>
      <c r="V47" s="45" t="s">
        <v>107</v>
      </c>
      <c r="W47" s="45" t="s">
        <v>109</v>
      </c>
      <c r="X47" s="45" t="s">
        <v>110</v>
      </c>
      <c r="Y47" s="45"/>
      <c r="Z47" s="45"/>
      <c r="AA47" s="45" t="s">
        <v>112</v>
      </c>
      <c r="AB47" s="45" t="s">
        <v>113</v>
      </c>
      <c r="AC47" s="45" t="s">
        <v>114</v>
      </c>
      <c r="AD47" s="45" t="s">
        <v>115</v>
      </c>
      <c r="AE47" s="45" t="s">
        <v>117</v>
      </c>
      <c r="AF47" s="45" t="s">
        <v>118</v>
      </c>
      <c r="AG47" s="45" t="s">
        <v>119</v>
      </c>
      <c r="AH47" s="45" t="s">
        <v>120</v>
      </c>
      <c r="AI47" s="45" t="s">
        <v>121</v>
      </c>
      <c r="AJ47" s="45" t="s">
        <v>122</v>
      </c>
      <c r="AK47" s="45" t="s">
        <v>123</v>
      </c>
      <c r="AL47" s="45" t="s">
        <v>124</v>
      </c>
      <c r="AM47" s="45" t="s">
        <v>125</v>
      </c>
      <c r="AN47" s="45" t="s">
        <v>126</v>
      </c>
      <c r="AO47" s="45"/>
      <c r="AP47" s="45"/>
      <c r="AR47" s="44" t="s">
        <v>822</v>
      </c>
      <c r="AS47" s="43" t="str">
        <f>IF(IFERROR(INDEX(Consulta!$A:$DN,MATCH('ZM01'!$C47,Consulta!$D:$D,0),'ZM01'!AS$2),"")=0,"",IFERROR(INDEX(Consulta!$A:$DN,MATCH('ZM01'!$C47,Consulta!$D:$D,0),'ZM01'!AS$2),""))</f>
        <v/>
      </c>
      <c r="AT47" s="45"/>
      <c r="AU47" s="43" t="str">
        <f>IF(IFERROR(INDEX(Consulta!$A:$DN,MATCH('ZM01'!$C47,Consulta!$D:$D,0),'ZM01'!AU$2),"")=0,"",IFERROR(INDEX(Consulta!$A:$DN,MATCH('ZM01'!$C47,Consulta!$D:$D,0),'ZM01'!AU$2),""))</f>
        <v/>
      </c>
      <c r="AV47" s="43" t="str">
        <f>IF(IFERROR(INDEX(Consulta!$A:$DN,MATCH('ZM01'!$C47,Consulta!$D:$D,0),'ZM01'!AV$2),"")=0,"",IFERROR(INDEX(Consulta!$A:$DN,MATCH('ZM01'!$C47,Consulta!$D:$D,0),'ZM01'!AV$2),""))</f>
        <v/>
      </c>
      <c r="AW47" s="45"/>
      <c r="AX47" s="46" t="str">
        <f t="shared" ca="1" si="41"/>
        <v/>
      </c>
      <c r="AY47" s="47" t="s">
        <v>755</v>
      </c>
      <c r="AZ47" s="43" t="str">
        <f>IF(IFERROR(ROUND(INDEX(Consulta!$A:$DN,MATCH('ZM01'!$C47,Consulta!$D:$D,0),'ZM01'!AZ$2),3),"")=0,"",IFERROR(ROUND(INDEX(Consulta!$A:$DN,MATCH('ZM01'!$C47,Consulta!$D:$D,0),'ZM01'!AZ$2),3),""))</f>
        <v/>
      </c>
      <c r="BA47" s="43" t="str">
        <f t="shared" si="42"/>
        <v/>
      </c>
      <c r="BB47" s="48" t="s">
        <v>299</v>
      </c>
      <c r="BC47" s="48"/>
      <c r="BD47" s="43" t="str">
        <f>IF(IFERROR(INDEX(Consulta!$A:$DN,MATCH('ZM01'!$C47,Consulta!$D:$D,0),'ZM01'!BD$2),"")=0,"",IFERROR(INDEX(Consulta!$A:$DN,MATCH('ZM01'!$C47,Consulta!$D:$D,0),'ZM01'!BD$2),""))</f>
        <v/>
      </c>
      <c r="BE47" s="43" t="str">
        <f t="shared" si="0"/>
        <v/>
      </c>
      <c r="BF47" s="43" t="str">
        <f t="shared" si="43"/>
        <v/>
      </c>
      <c r="BG47" s="43" t="str">
        <f t="shared" si="1"/>
        <v/>
      </c>
      <c r="BH47" s="43" t="str">
        <f t="shared" si="44"/>
        <v>PC</v>
      </c>
      <c r="BI47" s="43" t="str">
        <f t="shared" si="24"/>
        <v/>
      </c>
      <c r="BJ47" s="43" t="str">
        <f t="shared" si="25"/>
        <v/>
      </c>
      <c r="BK47" s="43" t="str">
        <f t="shared" si="26"/>
        <v/>
      </c>
      <c r="BL47" s="43" t="str">
        <f t="shared" si="45"/>
        <v>PC</v>
      </c>
      <c r="BN47" s="44"/>
      <c r="BO47" s="44" t="s">
        <v>925</v>
      </c>
      <c r="BP47" s="43" t="str">
        <f>IF(OR(IFERROR(INDEX(Consulta!$A:$DN,MATCH('ZM01'!$C47,Consulta!$D:$D,0),'ZM01'!BP$2),"")=0,IFERROR(INDEX(Consulta!$A:$DN,MATCH('ZM01'!$C47,Consulta!$D:$D,0),'ZM01'!BP$2),"")=AR47),"",IFERROR(INDEX(Consulta!$A:$DN,MATCH('ZM01'!$C47,Consulta!$D:$D,0),'ZM01'!BP$2),""))</f>
        <v/>
      </c>
      <c r="BQ47" s="45">
        <v>99</v>
      </c>
      <c r="BR47" s="46" t="str">
        <f t="shared" ca="1" si="46"/>
        <v>17.05.2022</v>
      </c>
      <c r="BS47" s="49" t="str">
        <f t="shared" si="47"/>
        <v/>
      </c>
      <c r="BT47" s="50">
        <v>1</v>
      </c>
      <c r="BU47" s="50" t="s">
        <v>194</v>
      </c>
      <c r="BV47" s="90" t="str">
        <f t="shared" si="14"/>
        <v>01</v>
      </c>
      <c r="BW47" s="50" t="s">
        <v>755</v>
      </c>
      <c r="BX47" s="44">
        <v>1</v>
      </c>
      <c r="BY47" s="44" t="s">
        <v>372</v>
      </c>
      <c r="BZ47" s="50" t="s">
        <v>197</v>
      </c>
      <c r="CA47" s="50" t="s">
        <v>197</v>
      </c>
      <c r="CB47" s="43" t="str">
        <f>IF(IFERROR(INDEX(Consulta!$A:$DN,MATCH('ZM01'!$C47,Consulta!$D:$D,0),'ZM01'!CB$2),"")=0,"",IFERROR(INDEX(Consulta!$A:$DN,MATCH('ZM01'!$C47,Consulta!$D:$D,0),'ZM01'!CB$2),""))</f>
        <v/>
      </c>
      <c r="CC47" s="44" t="s">
        <v>392</v>
      </c>
      <c r="CD47" s="50">
        <v>0</v>
      </c>
      <c r="CE47" s="45" t="s">
        <v>403</v>
      </c>
      <c r="CF47" s="45" t="s">
        <v>84</v>
      </c>
      <c r="CG47" s="43" t="str">
        <f t="shared" si="15"/>
        <v/>
      </c>
      <c r="CH47" s="45" t="s">
        <v>430</v>
      </c>
      <c r="CI47" s="44">
        <v>0</v>
      </c>
      <c r="CJ47" s="43" t="str">
        <f t="shared" si="27"/>
        <v>E</v>
      </c>
      <c r="CK47" s="43" t="str">
        <f t="shared" si="28"/>
        <v/>
      </c>
      <c r="CL47" s="44">
        <v>2</v>
      </c>
      <c r="CM47" s="49" t="str">
        <f t="shared" si="48"/>
        <v/>
      </c>
      <c r="CN47" s="49" t="str">
        <f t="shared" si="49"/>
        <v/>
      </c>
      <c r="CO47" s="43" t="str">
        <f t="shared" si="29"/>
        <v/>
      </c>
      <c r="CP47" s="44">
        <v>1</v>
      </c>
      <c r="CQ47" s="50" t="s">
        <v>515</v>
      </c>
      <c r="CR47" s="44" t="s">
        <v>372</v>
      </c>
      <c r="CS47" s="44">
        <v>2</v>
      </c>
      <c r="CT47" s="44">
        <v>42</v>
      </c>
      <c r="CU47" s="44">
        <v>10</v>
      </c>
      <c r="CV47" s="43" t="str">
        <f t="shared" si="30"/>
        <v>K00_AO_</v>
      </c>
      <c r="CW47" s="43" t="str">
        <f t="shared" si="31"/>
        <v/>
      </c>
      <c r="CX47" s="43" t="str">
        <f t="shared" si="32"/>
        <v/>
      </c>
      <c r="CY47" s="44">
        <v>1</v>
      </c>
      <c r="CZ47" s="43" t="str">
        <f t="shared" si="33"/>
        <v/>
      </c>
      <c r="DA47" s="43" t="str">
        <f>IF(IFERROR(INDEX(Consulta!$A:$DN,MATCH('ZM01'!$C47,Consulta!$D:$D,0),'ZM01'!DA$2),"")=0,"",IFERROR(INDEX(Consulta!$A:$DN,MATCH('ZM01'!$C47,Consulta!$D:$D,0),'ZM01'!DA$2),""))</f>
        <v/>
      </c>
      <c r="DB47" s="43" t="str">
        <f>IF(IFERROR(INDEX(Consulta!$A:$DN,MATCH('ZM01'!$C47,Consulta!$D:$D,0),'ZM01'!DB$2),"")=0,"",IFERROR(INDEX(Consulta!$A:$DN,MATCH('ZM01'!$C47,Consulta!$D:$D,0),'ZM01'!DB$2),""))</f>
        <v/>
      </c>
      <c r="DC47" s="45">
        <v>0</v>
      </c>
      <c r="DD47" s="45">
        <v>0</v>
      </c>
      <c r="DE47" s="43" t="str">
        <f>IF(IFERROR(INDEX(Consulta!$A:$DN,MATCH('ZM01'!$C47,Consulta!$D:$D,0),'ZM01'!DE$2),"")=0,"",IFERROR(TEXT(VALUE(INDEX(Consulta!$A:$DN,MATCH('ZM01'!$C47,Consulta!$D:$D,0),'ZM01'!DE$2))/100,"0,00"),""))</f>
        <v/>
      </c>
      <c r="DG47" s="43">
        <f t="shared" si="50"/>
        <v>1</v>
      </c>
      <c r="DH47" s="43" t="str">
        <f>IF(IFERROR(INDEX(Consulta!$A:$DN,MATCH('ZM01'!$C47,Consulta!$D:$D,0),'ZM01'!DH$2),"")=0,"",IFERROR(VLOOKUP(INDEX(Consulta!$A:$DN,MATCH('ZM01'!$C47,Consulta!$D:$D,0),'ZM01'!DH$2),'Listas de Dados'!BU:BW,3,0),""))</f>
        <v/>
      </c>
      <c r="DI47" s="43" t="str">
        <f t="shared" ca="1" si="51"/>
        <v>17.05.2022</v>
      </c>
      <c r="DJ47" s="43" t="str">
        <f t="shared" si="52"/>
        <v>31.12.9999</v>
      </c>
      <c r="DL47" s="44">
        <v>1</v>
      </c>
      <c r="DM47" s="44" t="s">
        <v>1039</v>
      </c>
      <c r="DN47" s="44">
        <v>1</v>
      </c>
      <c r="DO47" s="43">
        <f t="shared" si="34"/>
        <v>1</v>
      </c>
      <c r="DP47" s="43" t="str">
        <f t="shared" si="35"/>
        <v>PC</v>
      </c>
      <c r="DQ47" s="43" t="str">
        <f t="shared" si="36"/>
        <v/>
      </c>
      <c r="DR47" s="44">
        <v>100</v>
      </c>
      <c r="DS47" s="71">
        <f t="shared" si="21"/>
        <v>1</v>
      </c>
      <c r="DT47" s="43">
        <f t="shared" si="53"/>
        <v>100</v>
      </c>
      <c r="DU47" s="44">
        <v>1</v>
      </c>
      <c r="DV47" s="44">
        <v>0</v>
      </c>
      <c r="DW47" s="44" t="s">
        <v>826</v>
      </c>
      <c r="DX47" s="45">
        <v>0</v>
      </c>
      <c r="DY47" s="44">
        <v>100</v>
      </c>
      <c r="DZ47" s="60"/>
    </row>
    <row r="48" spans="1:130" x14ac:dyDescent="0.2">
      <c r="A48" s="7" t="str">
        <f t="shared" si="2"/>
        <v>Execução 44</v>
      </c>
      <c r="B48" s="75"/>
      <c r="C48" s="85"/>
      <c r="D48" s="71" t="str">
        <f t="shared" si="37"/>
        <v/>
      </c>
      <c r="E48" s="71" t="str">
        <f t="shared" si="38"/>
        <v/>
      </c>
      <c r="F48" s="43" t="str">
        <f>IF(IFERROR(INDEX(Consulta!$A:$DN,MATCH('ZM01'!$C48,Consulta!$D:$D,0),'ZM01'!F$2),"")=0,"",IFERROR(INDEX(Consulta!$A:$DN,MATCH('ZM01'!$C48,Consulta!$D:$D,0),'ZM01'!F$2),""))</f>
        <v/>
      </c>
      <c r="G48" s="43" t="str">
        <f>IF(IFERROR(INDEX(Consulta!$A:$DN,MATCH('ZM01'!$C48,Consulta!$D:$D,0),'ZM01'!G$2),"")=0,"",IFERROR(INDEX(Consulta!$A:$DN,MATCH('ZM01'!$C48,Consulta!$D:$D,0),'ZM01'!G$2),""))</f>
        <v/>
      </c>
      <c r="H48" s="43" t="str">
        <f t="shared" si="23"/>
        <v/>
      </c>
      <c r="I48" s="44" t="s">
        <v>100</v>
      </c>
      <c r="J48" s="43" t="str">
        <f>IF(IFERROR(INDEX(Consulta!$A:$DN,MATCH('ZM01'!$C48,Consulta!$D:$D,0),'ZM01'!J$2),"")=0,"",IFERROR(INDEX(Consulta!$A:$DN,MATCH('ZM01'!$C48,Consulta!$D:$D,0),'ZM01'!J$2),""))</f>
        <v/>
      </c>
      <c r="K48" s="43" t="str">
        <f>IF(IFERROR(INDEX(Consulta!$A:$DN,MATCH('ZM01'!$C48,Consulta!$D:$D,0),'ZM01'!K$2),"")=0,"",IFERROR(INDEX(Consulta!$A:$DN,MATCH('ZM01'!$C48,Consulta!$D:$D,0),'ZM01'!K$2),""))</f>
        <v/>
      </c>
      <c r="L48" s="43" t="str">
        <f t="shared" si="39"/>
        <v/>
      </c>
      <c r="M48" s="43" t="str">
        <f>IF(IFERROR(INDEX(Consulta!$A:$DN,MATCH('ZM01'!$C48,Consulta!$D:$D,0),'ZM01'!M$2),"")=0,"",IFERROR(INDEX(Consulta!$A:$DN,MATCH('ZM01'!$C48,Consulta!$D:$D,0),'ZM01'!M$2),""))</f>
        <v/>
      </c>
      <c r="N48" s="43" t="str">
        <f t="shared" si="40"/>
        <v/>
      </c>
      <c r="P48" s="45" t="s">
        <v>101</v>
      </c>
      <c r="Q48" s="45" t="s">
        <v>102</v>
      </c>
      <c r="R48" s="45" t="s">
        <v>103</v>
      </c>
      <c r="S48" s="45" t="s">
        <v>104</v>
      </c>
      <c r="T48" s="45" t="s">
        <v>105</v>
      </c>
      <c r="U48" s="45" t="s">
        <v>106</v>
      </c>
      <c r="V48" s="45" t="s">
        <v>107</v>
      </c>
      <c r="W48" s="45" t="s">
        <v>109</v>
      </c>
      <c r="X48" s="45" t="s">
        <v>110</v>
      </c>
      <c r="Y48" s="45"/>
      <c r="Z48" s="45"/>
      <c r="AA48" s="45" t="s">
        <v>112</v>
      </c>
      <c r="AB48" s="45" t="s">
        <v>113</v>
      </c>
      <c r="AC48" s="45" t="s">
        <v>114</v>
      </c>
      <c r="AD48" s="45" t="s">
        <v>115</v>
      </c>
      <c r="AE48" s="45" t="s">
        <v>117</v>
      </c>
      <c r="AF48" s="45" t="s">
        <v>118</v>
      </c>
      <c r="AG48" s="45" t="s">
        <v>119</v>
      </c>
      <c r="AH48" s="45" t="s">
        <v>120</v>
      </c>
      <c r="AI48" s="45" t="s">
        <v>121</v>
      </c>
      <c r="AJ48" s="45" t="s">
        <v>122</v>
      </c>
      <c r="AK48" s="45" t="s">
        <v>123</v>
      </c>
      <c r="AL48" s="45" t="s">
        <v>124</v>
      </c>
      <c r="AM48" s="45" t="s">
        <v>125</v>
      </c>
      <c r="AN48" s="45" t="s">
        <v>126</v>
      </c>
      <c r="AO48" s="45"/>
      <c r="AP48" s="45"/>
      <c r="AR48" s="44" t="s">
        <v>822</v>
      </c>
      <c r="AS48" s="43" t="str">
        <f>IF(IFERROR(INDEX(Consulta!$A:$DN,MATCH('ZM01'!$C48,Consulta!$D:$D,0),'ZM01'!AS$2),"")=0,"",IFERROR(INDEX(Consulta!$A:$DN,MATCH('ZM01'!$C48,Consulta!$D:$D,0),'ZM01'!AS$2),""))</f>
        <v/>
      </c>
      <c r="AT48" s="45"/>
      <c r="AU48" s="43" t="str">
        <f>IF(IFERROR(INDEX(Consulta!$A:$DN,MATCH('ZM01'!$C48,Consulta!$D:$D,0),'ZM01'!AU$2),"")=0,"",IFERROR(INDEX(Consulta!$A:$DN,MATCH('ZM01'!$C48,Consulta!$D:$D,0),'ZM01'!AU$2),""))</f>
        <v/>
      </c>
      <c r="AV48" s="43" t="str">
        <f>IF(IFERROR(INDEX(Consulta!$A:$DN,MATCH('ZM01'!$C48,Consulta!$D:$D,0),'ZM01'!AV$2),"")=0,"",IFERROR(INDEX(Consulta!$A:$DN,MATCH('ZM01'!$C48,Consulta!$D:$D,0),'ZM01'!AV$2),""))</f>
        <v/>
      </c>
      <c r="AW48" s="45"/>
      <c r="AX48" s="46" t="str">
        <f t="shared" ca="1" si="41"/>
        <v/>
      </c>
      <c r="AY48" s="47" t="s">
        <v>755</v>
      </c>
      <c r="AZ48" s="43" t="str">
        <f>IF(IFERROR(ROUND(INDEX(Consulta!$A:$DN,MATCH('ZM01'!$C48,Consulta!$D:$D,0),'ZM01'!AZ$2),3),"")=0,"",IFERROR(ROUND(INDEX(Consulta!$A:$DN,MATCH('ZM01'!$C48,Consulta!$D:$D,0),'ZM01'!AZ$2),3),""))</f>
        <v/>
      </c>
      <c r="BA48" s="43" t="str">
        <f t="shared" si="42"/>
        <v/>
      </c>
      <c r="BB48" s="48" t="s">
        <v>299</v>
      </c>
      <c r="BC48" s="48"/>
      <c r="BD48" s="43" t="str">
        <f>IF(IFERROR(INDEX(Consulta!$A:$DN,MATCH('ZM01'!$C48,Consulta!$D:$D,0),'ZM01'!BD$2),"")=0,"",IFERROR(INDEX(Consulta!$A:$DN,MATCH('ZM01'!$C48,Consulta!$D:$D,0),'ZM01'!BD$2),""))</f>
        <v/>
      </c>
      <c r="BE48" s="43" t="str">
        <f t="shared" si="0"/>
        <v/>
      </c>
      <c r="BF48" s="43" t="str">
        <f t="shared" si="43"/>
        <v/>
      </c>
      <c r="BG48" s="43" t="str">
        <f t="shared" si="1"/>
        <v/>
      </c>
      <c r="BH48" s="43" t="str">
        <f t="shared" si="44"/>
        <v>PC</v>
      </c>
      <c r="BI48" s="43" t="str">
        <f t="shared" si="24"/>
        <v/>
      </c>
      <c r="BJ48" s="43" t="str">
        <f t="shared" si="25"/>
        <v/>
      </c>
      <c r="BK48" s="43" t="str">
        <f t="shared" si="26"/>
        <v/>
      </c>
      <c r="BL48" s="43" t="str">
        <f t="shared" si="45"/>
        <v>PC</v>
      </c>
      <c r="BN48" s="44"/>
      <c r="BO48" s="44" t="s">
        <v>925</v>
      </c>
      <c r="BP48" s="43" t="str">
        <f>IF(OR(IFERROR(INDEX(Consulta!$A:$DN,MATCH('ZM01'!$C48,Consulta!$D:$D,0),'ZM01'!BP$2),"")=0,IFERROR(INDEX(Consulta!$A:$DN,MATCH('ZM01'!$C48,Consulta!$D:$D,0),'ZM01'!BP$2),"")=AR48),"",IFERROR(INDEX(Consulta!$A:$DN,MATCH('ZM01'!$C48,Consulta!$D:$D,0),'ZM01'!BP$2),""))</f>
        <v/>
      </c>
      <c r="BQ48" s="45">
        <v>99</v>
      </c>
      <c r="BR48" s="46" t="str">
        <f t="shared" ca="1" si="46"/>
        <v>17.05.2022</v>
      </c>
      <c r="BS48" s="49" t="str">
        <f t="shared" si="47"/>
        <v/>
      </c>
      <c r="BT48" s="50">
        <v>1</v>
      </c>
      <c r="BU48" s="50" t="s">
        <v>194</v>
      </c>
      <c r="BV48" s="90" t="str">
        <f t="shared" si="14"/>
        <v>01</v>
      </c>
      <c r="BW48" s="50" t="s">
        <v>755</v>
      </c>
      <c r="BX48" s="44">
        <v>1</v>
      </c>
      <c r="BY48" s="44" t="s">
        <v>372</v>
      </c>
      <c r="BZ48" s="50" t="s">
        <v>197</v>
      </c>
      <c r="CA48" s="50" t="s">
        <v>197</v>
      </c>
      <c r="CB48" s="43" t="str">
        <f>IF(IFERROR(INDEX(Consulta!$A:$DN,MATCH('ZM01'!$C48,Consulta!$D:$D,0),'ZM01'!CB$2),"")=0,"",IFERROR(INDEX(Consulta!$A:$DN,MATCH('ZM01'!$C48,Consulta!$D:$D,0),'ZM01'!CB$2),""))</f>
        <v/>
      </c>
      <c r="CC48" s="44" t="s">
        <v>392</v>
      </c>
      <c r="CD48" s="50">
        <v>0</v>
      </c>
      <c r="CE48" s="45" t="s">
        <v>403</v>
      </c>
      <c r="CF48" s="45" t="s">
        <v>84</v>
      </c>
      <c r="CG48" s="43" t="str">
        <f t="shared" si="15"/>
        <v/>
      </c>
      <c r="CH48" s="45" t="s">
        <v>430</v>
      </c>
      <c r="CI48" s="44">
        <v>0</v>
      </c>
      <c r="CJ48" s="43" t="str">
        <f t="shared" si="27"/>
        <v>E</v>
      </c>
      <c r="CK48" s="43" t="str">
        <f t="shared" si="28"/>
        <v/>
      </c>
      <c r="CL48" s="44">
        <v>2</v>
      </c>
      <c r="CM48" s="49" t="str">
        <f t="shared" si="48"/>
        <v/>
      </c>
      <c r="CN48" s="49" t="str">
        <f t="shared" si="49"/>
        <v/>
      </c>
      <c r="CO48" s="43" t="str">
        <f t="shared" si="29"/>
        <v/>
      </c>
      <c r="CP48" s="44">
        <v>1</v>
      </c>
      <c r="CQ48" s="50" t="s">
        <v>515</v>
      </c>
      <c r="CR48" s="44" t="s">
        <v>372</v>
      </c>
      <c r="CS48" s="44">
        <v>2</v>
      </c>
      <c r="CT48" s="44">
        <v>42</v>
      </c>
      <c r="CU48" s="44">
        <v>10</v>
      </c>
      <c r="CV48" s="43" t="str">
        <f t="shared" si="30"/>
        <v>K00_AO_</v>
      </c>
      <c r="CW48" s="43" t="str">
        <f t="shared" si="31"/>
        <v/>
      </c>
      <c r="CX48" s="43" t="str">
        <f t="shared" si="32"/>
        <v/>
      </c>
      <c r="CY48" s="44">
        <v>1</v>
      </c>
      <c r="CZ48" s="43" t="str">
        <f t="shared" si="33"/>
        <v/>
      </c>
      <c r="DA48" s="43" t="str">
        <f>IF(IFERROR(INDEX(Consulta!$A:$DN,MATCH('ZM01'!$C48,Consulta!$D:$D,0),'ZM01'!DA$2),"")=0,"",IFERROR(INDEX(Consulta!$A:$DN,MATCH('ZM01'!$C48,Consulta!$D:$D,0),'ZM01'!DA$2),""))</f>
        <v/>
      </c>
      <c r="DB48" s="43" t="str">
        <f>IF(IFERROR(INDEX(Consulta!$A:$DN,MATCH('ZM01'!$C48,Consulta!$D:$D,0),'ZM01'!DB$2),"")=0,"",IFERROR(INDEX(Consulta!$A:$DN,MATCH('ZM01'!$C48,Consulta!$D:$D,0),'ZM01'!DB$2),""))</f>
        <v/>
      </c>
      <c r="DC48" s="45">
        <v>0</v>
      </c>
      <c r="DD48" s="45">
        <v>0</v>
      </c>
      <c r="DE48" s="43" t="str">
        <f>IF(IFERROR(INDEX(Consulta!$A:$DN,MATCH('ZM01'!$C48,Consulta!$D:$D,0),'ZM01'!DE$2),"")=0,"",IFERROR(TEXT(VALUE(INDEX(Consulta!$A:$DN,MATCH('ZM01'!$C48,Consulta!$D:$D,0),'ZM01'!DE$2))/100,"0,00"),""))</f>
        <v/>
      </c>
      <c r="DG48" s="43">
        <f t="shared" si="50"/>
        <v>1</v>
      </c>
      <c r="DH48" s="43" t="str">
        <f>IF(IFERROR(INDEX(Consulta!$A:$DN,MATCH('ZM01'!$C48,Consulta!$D:$D,0),'ZM01'!DH$2),"")=0,"",IFERROR(VLOOKUP(INDEX(Consulta!$A:$DN,MATCH('ZM01'!$C48,Consulta!$D:$D,0),'ZM01'!DH$2),'Listas de Dados'!BU:BW,3,0),""))</f>
        <v/>
      </c>
      <c r="DI48" s="43" t="str">
        <f t="shared" ca="1" si="51"/>
        <v>17.05.2022</v>
      </c>
      <c r="DJ48" s="43" t="str">
        <f t="shared" si="52"/>
        <v>31.12.9999</v>
      </c>
      <c r="DL48" s="44">
        <v>1</v>
      </c>
      <c r="DM48" s="44" t="s">
        <v>1039</v>
      </c>
      <c r="DN48" s="44">
        <v>1</v>
      </c>
      <c r="DO48" s="43">
        <f t="shared" si="34"/>
        <v>1</v>
      </c>
      <c r="DP48" s="43" t="str">
        <f t="shared" si="35"/>
        <v>PC</v>
      </c>
      <c r="DQ48" s="43" t="str">
        <f t="shared" si="36"/>
        <v/>
      </c>
      <c r="DR48" s="44">
        <v>100</v>
      </c>
      <c r="DS48" s="71">
        <f t="shared" si="21"/>
        <v>1</v>
      </c>
      <c r="DT48" s="43">
        <f t="shared" si="53"/>
        <v>100</v>
      </c>
      <c r="DU48" s="44">
        <v>1</v>
      </c>
      <c r="DV48" s="44">
        <v>0</v>
      </c>
      <c r="DW48" s="44" t="s">
        <v>826</v>
      </c>
      <c r="DX48" s="45">
        <v>0</v>
      </c>
      <c r="DY48" s="44">
        <v>100</v>
      </c>
      <c r="DZ48" s="61"/>
    </row>
    <row r="49" spans="1:130" x14ac:dyDescent="0.2">
      <c r="A49" s="7" t="str">
        <f t="shared" si="2"/>
        <v>Execução 45</v>
      </c>
      <c r="B49" s="79"/>
      <c r="C49" s="85"/>
      <c r="D49" s="71" t="str">
        <f t="shared" si="37"/>
        <v/>
      </c>
      <c r="E49" s="71" t="str">
        <f t="shared" si="38"/>
        <v/>
      </c>
      <c r="F49" s="43" t="str">
        <f>IF(IFERROR(INDEX(Consulta!$A:$DN,MATCH('ZM01'!$C49,Consulta!$D:$D,0),'ZM01'!F$2),"")=0,"",IFERROR(INDEX(Consulta!$A:$DN,MATCH('ZM01'!$C49,Consulta!$D:$D,0),'ZM01'!F$2),""))</f>
        <v/>
      </c>
      <c r="G49" s="43" t="str">
        <f>IF(IFERROR(INDEX(Consulta!$A:$DN,MATCH('ZM01'!$C49,Consulta!$D:$D,0),'ZM01'!G$2),"")=0,"",IFERROR(INDEX(Consulta!$A:$DN,MATCH('ZM01'!$C49,Consulta!$D:$D,0),'ZM01'!G$2),""))</f>
        <v/>
      </c>
      <c r="H49" s="43" t="str">
        <f t="shared" si="23"/>
        <v/>
      </c>
      <c r="I49" s="44" t="s">
        <v>100</v>
      </c>
      <c r="J49" s="43" t="str">
        <f>IF(IFERROR(INDEX(Consulta!$A:$DN,MATCH('ZM01'!$C49,Consulta!$D:$D,0),'ZM01'!J$2),"")=0,"",IFERROR(INDEX(Consulta!$A:$DN,MATCH('ZM01'!$C49,Consulta!$D:$D,0),'ZM01'!J$2),""))</f>
        <v/>
      </c>
      <c r="K49" s="43" t="str">
        <f>IF(IFERROR(INDEX(Consulta!$A:$DN,MATCH('ZM01'!$C49,Consulta!$D:$D,0),'ZM01'!K$2),"")=0,"",IFERROR(INDEX(Consulta!$A:$DN,MATCH('ZM01'!$C49,Consulta!$D:$D,0),'ZM01'!K$2),""))</f>
        <v/>
      </c>
      <c r="L49" s="43" t="str">
        <f t="shared" si="39"/>
        <v/>
      </c>
      <c r="M49" s="43" t="str">
        <f>IF(IFERROR(INDEX(Consulta!$A:$DN,MATCH('ZM01'!$C49,Consulta!$D:$D,0),'ZM01'!M$2),"")=0,"",IFERROR(INDEX(Consulta!$A:$DN,MATCH('ZM01'!$C49,Consulta!$D:$D,0),'ZM01'!M$2),""))</f>
        <v/>
      </c>
      <c r="N49" s="43" t="str">
        <f t="shared" si="40"/>
        <v/>
      </c>
      <c r="P49" s="45" t="s">
        <v>101</v>
      </c>
      <c r="Q49" s="45" t="s">
        <v>102</v>
      </c>
      <c r="R49" s="45" t="s">
        <v>103</v>
      </c>
      <c r="S49" s="45" t="s">
        <v>104</v>
      </c>
      <c r="T49" s="45" t="s">
        <v>105</v>
      </c>
      <c r="U49" s="45" t="s">
        <v>106</v>
      </c>
      <c r="V49" s="45" t="s">
        <v>107</v>
      </c>
      <c r="W49" s="45" t="s">
        <v>109</v>
      </c>
      <c r="X49" s="45" t="s">
        <v>110</v>
      </c>
      <c r="Y49" s="45"/>
      <c r="Z49" s="45"/>
      <c r="AA49" s="45" t="s">
        <v>112</v>
      </c>
      <c r="AB49" s="45" t="s">
        <v>113</v>
      </c>
      <c r="AC49" s="45" t="s">
        <v>114</v>
      </c>
      <c r="AD49" s="45" t="s">
        <v>115</v>
      </c>
      <c r="AE49" s="45" t="s">
        <v>117</v>
      </c>
      <c r="AF49" s="45" t="s">
        <v>118</v>
      </c>
      <c r="AG49" s="45" t="s">
        <v>119</v>
      </c>
      <c r="AH49" s="45" t="s">
        <v>120</v>
      </c>
      <c r="AI49" s="45" t="s">
        <v>121</v>
      </c>
      <c r="AJ49" s="45" t="s">
        <v>122</v>
      </c>
      <c r="AK49" s="45" t="s">
        <v>123</v>
      </c>
      <c r="AL49" s="45" t="s">
        <v>124</v>
      </c>
      <c r="AM49" s="45" t="s">
        <v>125</v>
      </c>
      <c r="AN49" s="45" t="s">
        <v>126</v>
      </c>
      <c r="AO49" s="45"/>
      <c r="AP49" s="45"/>
      <c r="AR49" s="44" t="s">
        <v>822</v>
      </c>
      <c r="AS49" s="43" t="str">
        <f>IF(IFERROR(INDEX(Consulta!$A:$DN,MATCH('ZM01'!$C49,Consulta!$D:$D,0),'ZM01'!AS$2),"")=0,"",IFERROR(INDEX(Consulta!$A:$DN,MATCH('ZM01'!$C49,Consulta!$D:$D,0),'ZM01'!AS$2),""))</f>
        <v/>
      </c>
      <c r="AT49" s="45"/>
      <c r="AU49" s="43" t="str">
        <f>IF(IFERROR(INDEX(Consulta!$A:$DN,MATCH('ZM01'!$C49,Consulta!$D:$D,0),'ZM01'!AU$2),"")=0,"",IFERROR(INDEX(Consulta!$A:$DN,MATCH('ZM01'!$C49,Consulta!$D:$D,0),'ZM01'!AU$2),""))</f>
        <v/>
      </c>
      <c r="AV49" s="43" t="str">
        <f>IF(IFERROR(INDEX(Consulta!$A:$DN,MATCH('ZM01'!$C49,Consulta!$D:$D,0),'ZM01'!AV$2),"")=0,"",IFERROR(INDEX(Consulta!$A:$DN,MATCH('ZM01'!$C49,Consulta!$D:$D,0),'ZM01'!AV$2),""))</f>
        <v/>
      </c>
      <c r="AW49" s="45"/>
      <c r="AX49" s="46" t="str">
        <f t="shared" ca="1" si="41"/>
        <v/>
      </c>
      <c r="AY49" s="47" t="s">
        <v>755</v>
      </c>
      <c r="AZ49" s="43" t="str">
        <f>IF(IFERROR(ROUND(INDEX(Consulta!$A:$DN,MATCH('ZM01'!$C49,Consulta!$D:$D,0),'ZM01'!AZ$2),3),"")=0,"",IFERROR(ROUND(INDEX(Consulta!$A:$DN,MATCH('ZM01'!$C49,Consulta!$D:$D,0),'ZM01'!AZ$2),3),""))</f>
        <v/>
      </c>
      <c r="BA49" s="43" t="str">
        <f t="shared" si="42"/>
        <v/>
      </c>
      <c r="BB49" s="48" t="s">
        <v>299</v>
      </c>
      <c r="BC49" s="48"/>
      <c r="BD49" s="43" t="str">
        <f>IF(IFERROR(INDEX(Consulta!$A:$DN,MATCH('ZM01'!$C49,Consulta!$D:$D,0),'ZM01'!BD$2),"")=0,"",IFERROR(INDEX(Consulta!$A:$DN,MATCH('ZM01'!$C49,Consulta!$D:$D,0),'ZM01'!BD$2),""))</f>
        <v/>
      </c>
      <c r="BE49" s="43" t="str">
        <f t="shared" si="0"/>
        <v/>
      </c>
      <c r="BF49" s="43" t="str">
        <f t="shared" si="43"/>
        <v/>
      </c>
      <c r="BG49" s="43" t="str">
        <f t="shared" si="1"/>
        <v/>
      </c>
      <c r="BH49" s="43" t="str">
        <f t="shared" si="44"/>
        <v>PC</v>
      </c>
      <c r="BI49" s="43" t="str">
        <f t="shared" si="24"/>
        <v/>
      </c>
      <c r="BJ49" s="43" t="str">
        <f t="shared" si="25"/>
        <v/>
      </c>
      <c r="BK49" s="43" t="str">
        <f t="shared" si="26"/>
        <v/>
      </c>
      <c r="BL49" s="43" t="str">
        <f t="shared" si="45"/>
        <v>PC</v>
      </c>
      <c r="BN49" s="44"/>
      <c r="BO49" s="44" t="s">
        <v>925</v>
      </c>
      <c r="BP49" s="43" t="str">
        <f>IF(OR(IFERROR(INDEX(Consulta!$A:$DN,MATCH('ZM01'!$C49,Consulta!$D:$D,0),'ZM01'!BP$2),"")=0,IFERROR(INDEX(Consulta!$A:$DN,MATCH('ZM01'!$C49,Consulta!$D:$D,0),'ZM01'!BP$2),"")=AR49),"",IFERROR(INDEX(Consulta!$A:$DN,MATCH('ZM01'!$C49,Consulta!$D:$D,0),'ZM01'!BP$2),""))</f>
        <v/>
      </c>
      <c r="BQ49" s="45">
        <v>99</v>
      </c>
      <c r="BR49" s="46" t="str">
        <f t="shared" ca="1" si="46"/>
        <v>17.05.2022</v>
      </c>
      <c r="BS49" s="49" t="str">
        <f t="shared" si="47"/>
        <v/>
      </c>
      <c r="BT49" s="50">
        <v>1</v>
      </c>
      <c r="BU49" s="50" t="s">
        <v>194</v>
      </c>
      <c r="BV49" s="90" t="str">
        <f t="shared" si="14"/>
        <v>01</v>
      </c>
      <c r="BW49" s="50" t="s">
        <v>755</v>
      </c>
      <c r="BX49" s="44">
        <v>1</v>
      </c>
      <c r="BY49" s="44" t="s">
        <v>372</v>
      </c>
      <c r="BZ49" s="50" t="s">
        <v>197</v>
      </c>
      <c r="CA49" s="50" t="s">
        <v>197</v>
      </c>
      <c r="CB49" s="43" t="str">
        <f>IF(IFERROR(INDEX(Consulta!$A:$DN,MATCH('ZM01'!$C49,Consulta!$D:$D,0),'ZM01'!CB$2),"")=0,"",IFERROR(INDEX(Consulta!$A:$DN,MATCH('ZM01'!$C49,Consulta!$D:$D,0),'ZM01'!CB$2),""))</f>
        <v/>
      </c>
      <c r="CC49" s="44" t="s">
        <v>392</v>
      </c>
      <c r="CD49" s="50">
        <v>0</v>
      </c>
      <c r="CE49" s="45" t="s">
        <v>403</v>
      </c>
      <c r="CF49" s="45" t="s">
        <v>84</v>
      </c>
      <c r="CG49" s="43" t="str">
        <f t="shared" si="15"/>
        <v/>
      </c>
      <c r="CH49" s="45" t="s">
        <v>430</v>
      </c>
      <c r="CI49" s="44">
        <v>0</v>
      </c>
      <c r="CJ49" s="43" t="str">
        <f t="shared" si="27"/>
        <v>E</v>
      </c>
      <c r="CK49" s="43" t="str">
        <f t="shared" si="28"/>
        <v/>
      </c>
      <c r="CL49" s="44">
        <v>2</v>
      </c>
      <c r="CM49" s="49" t="str">
        <f t="shared" si="48"/>
        <v/>
      </c>
      <c r="CN49" s="49" t="str">
        <f t="shared" si="49"/>
        <v/>
      </c>
      <c r="CO49" s="43" t="str">
        <f t="shared" si="29"/>
        <v/>
      </c>
      <c r="CP49" s="44">
        <v>1</v>
      </c>
      <c r="CQ49" s="50" t="s">
        <v>515</v>
      </c>
      <c r="CR49" s="44" t="s">
        <v>372</v>
      </c>
      <c r="CS49" s="44">
        <v>2</v>
      </c>
      <c r="CT49" s="44">
        <v>42</v>
      </c>
      <c r="CU49" s="44">
        <v>10</v>
      </c>
      <c r="CV49" s="43" t="str">
        <f t="shared" si="30"/>
        <v>K00_AO_</v>
      </c>
      <c r="CW49" s="43" t="str">
        <f t="shared" si="31"/>
        <v/>
      </c>
      <c r="CX49" s="43" t="str">
        <f t="shared" si="32"/>
        <v/>
      </c>
      <c r="CY49" s="44">
        <v>1</v>
      </c>
      <c r="CZ49" s="43" t="str">
        <f t="shared" si="33"/>
        <v/>
      </c>
      <c r="DA49" s="43" t="str">
        <f>IF(IFERROR(INDEX(Consulta!$A:$DN,MATCH('ZM01'!$C49,Consulta!$D:$D,0),'ZM01'!DA$2),"")=0,"",IFERROR(INDEX(Consulta!$A:$DN,MATCH('ZM01'!$C49,Consulta!$D:$D,0),'ZM01'!DA$2),""))</f>
        <v/>
      </c>
      <c r="DB49" s="43" t="str">
        <f>IF(IFERROR(INDEX(Consulta!$A:$DN,MATCH('ZM01'!$C49,Consulta!$D:$D,0),'ZM01'!DB$2),"")=0,"",IFERROR(INDEX(Consulta!$A:$DN,MATCH('ZM01'!$C49,Consulta!$D:$D,0),'ZM01'!DB$2),""))</f>
        <v/>
      </c>
      <c r="DC49" s="45">
        <v>0</v>
      </c>
      <c r="DD49" s="45">
        <v>0</v>
      </c>
      <c r="DE49" s="43" t="str">
        <f>IF(IFERROR(INDEX(Consulta!$A:$DN,MATCH('ZM01'!$C49,Consulta!$D:$D,0),'ZM01'!DE$2),"")=0,"",IFERROR(TEXT(VALUE(INDEX(Consulta!$A:$DN,MATCH('ZM01'!$C49,Consulta!$D:$D,0),'ZM01'!DE$2))/100,"0,00"),""))</f>
        <v/>
      </c>
      <c r="DG49" s="43">
        <f t="shared" si="50"/>
        <v>1</v>
      </c>
      <c r="DH49" s="43" t="str">
        <f>IF(IFERROR(INDEX(Consulta!$A:$DN,MATCH('ZM01'!$C49,Consulta!$D:$D,0),'ZM01'!DH$2),"")=0,"",IFERROR(VLOOKUP(INDEX(Consulta!$A:$DN,MATCH('ZM01'!$C49,Consulta!$D:$D,0),'ZM01'!DH$2),'Listas de Dados'!BU:BW,3,0),""))</f>
        <v/>
      </c>
      <c r="DI49" s="43" t="str">
        <f t="shared" ca="1" si="51"/>
        <v>17.05.2022</v>
      </c>
      <c r="DJ49" s="43" t="str">
        <f t="shared" si="52"/>
        <v>31.12.9999</v>
      </c>
      <c r="DL49" s="44">
        <v>1</v>
      </c>
      <c r="DM49" s="44" t="s">
        <v>1039</v>
      </c>
      <c r="DN49" s="44">
        <v>1</v>
      </c>
      <c r="DO49" s="43">
        <f t="shared" si="34"/>
        <v>1</v>
      </c>
      <c r="DP49" s="43" t="str">
        <f t="shared" si="35"/>
        <v>PC</v>
      </c>
      <c r="DQ49" s="43" t="str">
        <f t="shared" si="36"/>
        <v/>
      </c>
      <c r="DR49" s="44">
        <v>100</v>
      </c>
      <c r="DS49" s="71">
        <f t="shared" si="21"/>
        <v>1</v>
      </c>
      <c r="DT49" s="43">
        <f t="shared" si="53"/>
        <v>100</v>
      </c>
      <c r="DU49" s="44">
        <v>1</v>
      </c>
      <c r="DV49" s="44">
        <v>0</v>
      </c>
      <c r="DW49" s="44" t="s">
        <v>826</v>
      </c>
      <c r="DX49" s="45">
        <v>0</v>
      </c>
      <c r="DY49" s="44">
        <v>100</v>
      </c>
      <c r="DZ49" s="60"/>
    </row>
    <row r="50" spans="1:130" x14ac:dyDescent="0.2">
      <c r="A50" s="7" t="str">
        <f t="shared" si="2"/>
        <v>Execução 46</v>
      </c>
      <c r="B50" s="75"/>
      <c r="C50" s="85"/>
      <c r="D50" s="71" t="str">
        <f t="shared" si="37"/>
        <v/>
      </c>
      <c r="E50" s="71" t="str">
        <f t="shared" si="38"/>
        <v/>
      </c>
      <c r="F50" s="43" t="str">
        <f>IF(IFERROR(INDEX(Consulta!$A:$DN,MATCH('ZM01'!$C50,Consulta!$D:$D,0),'ZM01'!F$2),"")=0,"",IFERROR(INDEX(Consulta!$A:$DN,MATCH('ZM01'!$C50,Consulta!$D:$D,0),'ZM01'!F$2),""))</f>
        <v/>
      </c>
      <c r="G50" s="43" t="str">
        <f>IF(IFERROR(INDEX(Consulta!$A:$DN,MATCH('ZM01'!$C50,Consulta!$D:$D,0),'ZM01'!G$2),"")=0,"",IFERROR(INDEX(Consulta!$A:$DN,MATCH('ZM01'!$C50,Consulta!$D:$D,0),'ZM01'!G$2),""))</f>
        <v/>
      </c>
      <c r="H50" s="43" t="str">
        <f t="shared" si="23"/>
        <v/>
      </c>
      <c r="I50" s="44" t="s">
        <v>100</v>
      </c>
      <c r="J50" s="43" t="str">
        <f>IF(IFERROR(INDEX(Consulta!$A:$DN,MATCH('ZM01'!$C50,Consulta!$D:$D,0),'ZM01'!J$2),"")=0,"",IFERROR(INDEX(Consulta!$A:$DN,MATCH('ZM01'!$C50,Consulta!$D:$D,0),'ZM01'!J$2),""))</f>
        <v/>
      </c>
      <c r="K50" s="43" t="str">
        <f>IF(IFERROR(INDEX(Consulta!$A:$DN,MATCH('ZM01'!$C50,Consulta!$D:$D,0),'ZM01'!K$2),"")=0,"",IFERROR(INDEX(Consulta!$A:$DN,MATCH('ZM01'!$C50,Consulta!$D:$D,0),'ZM01'!K$2),""))</f>
        <v/>
      </c>
      <c r="L50" s="43" t="str">
        <f t="shared" si="39"/>
        <v/>
      </c>
      <c r="M50" s="43" t="str">
        <f>IF(IFERROR(INDEX(Consulta!$A:$DN,MATCH('ZM01'!$C50,Consulta!$D:$D,0),'ZM01'!M$2),"")=0,"",IFERROR(INDEX(Consulta!$A:$DN,MATCH('ZM01'!$C50,Consulta!$D:$D,0),'ZM01'!M$2),""))</f>
        <v/>
      </c>
      <c r="N50" s="43" t="str">
        <f t="shared" si="40"/>
        <v/>
      </c>
      <c r="P50" s="45" t="s">
        <v>101</v>
      </c>
      <c r="Q50" s="45" t="s">
        <v>102</v>
      </c>
      <c r="R50" s="45" t="s">
        <v>103</v>
      </c>
      <c r="S50" s="45" t="s">
        <v>104</v>
      </c>
      <c r="T50" s="45" t="s">
        <v>105</v>
      </c>
      <c r="U50" s="45" t="s">
        <v>106</v>
      </c>
      <c r="V50" s="45" t="s">
        <v>107</v>
      </c>
      <c r="W50" s="45" t="s">
        <v>109</v>
      </c>
      <c r="X50" s="45" t="s">
        <v>110</v>
      </c>
      <c r="Y50" s="45"/>
      <c r="Z50" s="45"/>
      <c r="AA50" s="45" t="s">
        <v>112</v>
      </c>
      <c r="AB50" s="45" t="s">
        <v>113</v>
      </c>
      <c r="AC50" s="45" t="s">
        <v>114</v>
      </c>
      <c r="AD50" s="45" t="s">
        <v>115</v>
      </c>
      <c r="AE50" s="45" t="s">
        <v>117</v>
      </c>
      <c r="AF50" s="45" t="s">
        <v>118</v>
      </c>
      <c r="AG50" s="45" t="s">
        <v>119</v>
      </c>
      <c r="AH50" s="45" t="s">
        <v>120</v>
      </c>
      <c r="AI50" s="45" t="s">
        <v>121</v>
      </c>
      <c r="AJ50" s="45" t="s">
        <v>122</v>
      </c>
      <c r="AK50" s="45" t="s">
        <v>123</v>
      </c>
      <c r="AL50" s="45" t="s">
        <v>124</v>
      </c>
      <c r="AM50" s="45" t="s">
        <v>125</v>
      </c>
      <c r="AN50" s="45" t="s">
        <v>126</v>
      </c>
      <c r="AO50" s="45"/>
      <c r="AP50" s="45"/>
      <c r="AR50" s="44" t="s">
        <v>822</v>
      </c>
      <c r="AS50" s="43" t="str">
        <f>IF(IFERROR(INDEX(Consulta!$A:$DN,MATCH('ZM01'!$C50,Consulta!$D:$D,0),'ZM01'!AS$2),"")=0,"",IFERROR(INDEX(Consulta!$A:$DN,MATCH('ZM01'!$C50,Consulta!$D:$D,0),'ZM01'!AS$2),""))</f>
        <v/>
      </c>
      <c r="AT50" s="45"/>
      <c r="AU50" s="43" t="str">
        <f>IF(IFERROR(INDEX(Consulta!$A:$DN,MATCH('ZM01'!$C50,Consulta!$D:$D,0),'ZM01'!AU$2),"")=0,"",IFERROR(INDEX(Consulta!$A:$DN,MATCH('ZM01'!$C50,Consulta!$D:$D,0),'ZM01'!AU$2),""))</f>
        <v/>
      </c>
      <c r="AV50" s="43" t="str">
        <f>IF(IFERROR(INDEX(Consulta!$A:$DN,MATCH('ZM01'!$C50,Consulta!$D:$D,0),'ZM01'!AV$2),"")=0,"",IFERROR(INDEX(Consulta!$A:$DN,MATCH('ZM01'!$C50,Consulta!$D:$D,0),'ZM01'!AV$2),""))</f>
        <v/>
      </c>
      <c r="AW50" s="45"/>
      <c r="AX50" s="46" t="str">
        <f t="shared" ca="1" si="41"/>
        <v/>
      </c>
      <c r="AY50" s="47" t="s">
        <v>755</v>
      </c>
      <c r="AZ50" s="43" t="str">
        <f>IF(IFERROR(ROUND(INDEX(Consulta!$A:$DN,MATCH('ZM01'!$C50,Consulta!$D:$D,0),'ZM01'!AZ$2),3),"")=0,"",IFERROR(ROUND(INDEX(Consulta!$A:$DN,MATCH('ZM01'!$C50,Consulta!$D:$D,0),'ZM01'!AZ$2),3),""))</f>
        <v/>
      </c>
      <c r="BA50" s="43" t="str">
        <f t="shared" si="42"/>
        <v/>
      </c>
      <c r="BB50" s="48" t="s">
        <v>299</v>
      </c>
      <c r="BC50" s="48"/>
      <c r="BD50" s="43" t="str">
        <f>IF(IFERROR(INDEX(Consulta!$A:$DN,MATCH('ZM01'!$C50,Consulta!$D:$D,0),'ZM01'!BD$2),"")=0,"",IFERROR(INDEX(Consulta!$A:$DN,MATCH('ZM01'!$C50,Consulta!$D:$D,0),'ZM01'!BD$2),""))</f>
        <v/>
      </c>
      <c r="BE50" s="43" t="str">
        <f t="shared" si="0"/>
        <v/>
      </c>
      <c r="BF50" s="43" t="str">
        <f t="shared" si="43"/>
        <v/>
      </c>
      <c r="BG50" s="43" t="str">
        <f t="shared" si="1"/>
        <v/>
      </c>
      <c r="BH50" s="43" t="str">
        <f t="shared" si="44"/>
        <v>PC</v>
      </c>
      <c r="BI50" s="43" t="str">
        <f t="shared" si="24"/>
        <v/>
      </c>
      <c r="BJ50" s="43" t="str">
        <f t="shared" si="25"/>
        <v/>
      </c>
      <c r="BK50" s="43" t="str">
        <f t="shared" si="26"/>
        <v/>
      </c>
      <c r="BL50" s="43" t="str">
        <f t="shared" si="45"/>
        <v>PC</v>
      </c>
      <c r="BN50" s="44"/>
      <c r="BO50" s="44" t="s">
        <v>925</v>
      </c>
      <c r="BP50" s="43" t="str">
        <f>IF(OR(IFERROR(INDEX(Consulta!$A:$DN,MATCH('ZM01'!$C50,Consulta!$D:$D,0),'ZM01'!BP$2),"")=0,IFERROR(INDEX(Consulta!$A:$DN,MATCH('ZM01'!$C50,Consulta!$D:$D,0),'ZM01'!BP$2),"")=AR50),"",IFERROR(INDEX(Consulta!$A:$DN,MATCH('ZM01'!$C50,Consulta!$D:$D,0),'ZM01'!BP$2),""))</f>
        <v/>
      </c>
      <c r="BQ50" s="45">
        <v>99</v>
      </c>
      <c r="BR50" s="46" t="str">
        <f t="shared" ca="1" si="46"/>
        <v>17.05.2022</v>
      </c>
      <c r="BS50" s="49" t="str">
        <f t="shared" si="47"/>
        <v/>
      </c>
      <c r="BT50" s="50">
        <v>1</v>
      </c>
      <c r="BU50" s="50" t="s">
        <v>194</v>
      </c>
      <c r="BV50" s="90" t="str">
        <f t="shared" si="14"/>
        <v>01</v>
      </c>
      <c r="BW50" s="50" t="s">
        <v>755</v>
      </c>
      <c r="BX50" s="44">
        <v>1</v>
      </c>
      <c r="BY50" s="44" t="s">
        <v>372</v>
      </c>
      <c r="BZ50" s="50" t="s">
        <v>197</v>
      </c>
      <c r="CA50" s="50" t="s">
        <v>197</v>
      </c>
      <c r="CB50" s="43" t="str">
        <f>IF(IFERROR(INDEX(Consulta!$A:$DN,MATCH('ZM01'!$C50,Consulta!$D:$D,0),'ZM01'!CB$2),"")=0,"",IFERROR(INDEX(Consulta!$A:$DN,MATCH('ZM01'!$C50,Consulta!$D:$D,0),'ZM01'!CB$2),""))</f>
        <v/>
      </c>
      <c r="CC50" s="44" t="s">
        <v>392</v>
      </c>
      <c r="CD50" s="50">
        <v>0</v>
      </c>
      <c r="CE50" s="45" t="s">
        <v>403</v>
      </c>
      <c r="CF50" s="45" t="s">
        <v>84</v>
      </c>
      <c r="CG50" s="43" t="str">
        <f t="shared" si="15"/>
        <v/>
      </c>
      <c r="CH50" s="45" t="s">
        <v>430</v>
      </c>
      <c r="CI50" s="44">
        <v>0</v>
      </c>
      <c r="CJ50" s="43" t="str">
        <f t="shared" si="27"/>
        <v>E</v>
      </c>
      <c r="CK50" s="43" t="str">
        <f t="shared" si="28"/>
        <v/>
      </c>
      <c r="CL50" s="44">
        <v>2</v>
      </c>
      <c r="CM50" s="49" t="str">
        <f t="shared" si="48"/>
        <v/>
      </c>
      <c r="CN50" s="49" t="str">
        <f t="shared" si="49"/>
        <v/>
      </c>
      <c r="CO50" s="43" t="str">
        <f t="shared" si="29"/>
        <v/>
      </c>
      <c r="CP50" s="44">
        <v>1</v>
      </c>
      <c r="CQ50" s="50" t="s">
        <v>515</v>
      </c>
      <c r="CR50" s="44" t="s">
        <v>372</v>
      </c>
      <c r="CS50" s="44">
        <v>2</v>
      </c>
      <c r="CT50" s="44">
        <v>42</v>
      </c>
      <c r="CU50" s="44">
        <v>10</v>
      </c>
      <c r="CV50" s="43" t="str">
        <f t="shared" si="30"/>
        <v>K00_AO_</v>
      </c>
      <c r="CW50" s="43" t="str">
        <f t="shared" si="31"/>
        <v/>
      </c>
      <c r="CX50" s="43" t="str">
        <f t="shared" si="32"/>
        <v/>
      </c>
      <c r="CY50" s="44">
        <v>1</v>
      </c>
      <c r="CZ50" s="43" t="str">
        <f t="shared" si="33"/>
        <v/>
      </c>
      <c r="DA50" s="43" t="str">
        <f>IF(IFERROR(INDEX(Consulta!$A:$DN,MATCH('ZM01'!$C50,Consulta!$D:$D,0),'ZM01'!DA$2),"")=0,"",IFERROR(INDEX(Consulta!$A:$DN,MATCH('ZM01'!$C50,Consulta!$D:$D,0),'ZM01'!DA$2),""))</f>
        <v/>
      </c>
      <c r="DB50" s="43" t="str">
        <f>IF(IFERROR(INDEX(Consulta!$A:$DN,MATCH('ZM01'!$C50,Consulta!$D:$D,0),'ZM01'!DB$2),"")=0,"",IFERROR(INDEX(Consulta!$A:$DN,MATCH('ZM01'!$C50,Consulta!$D:$D,0),'ZM01'!DB$2),""))</f>
        <v/>
      </c>
      <c r="DC50" s="45">
        <v>0</v>
      </c>
      <c r="DD50" s="45">
        <v>0</v>
      </c>
      <c r="DE50" s="43" t="str">
        <f>IF(IFERROR(INDEX(Consulta!$A:$DN,MATCH('ZM01'!$C50,Consulta!$D:$D,0),'ZM01'!DE$2),"")=0,"",IFERROR(TEXT(VALUE(INDEX(Consulta!$A:$DN,MATCH('ZM01'!$C50,Consulta!$D:$D,0),'ZM01'!DE$2))/100,"0,00"),""))</f>
        <v/>
      </c>
      <c r="DG50" s="43">
        <f t="shared" si="50"/>
        <v>1</v>
      </c>
      <c r="DH50" s="43" t="str">
        <f>IF(IFERROR(INDEX(Consulta!$A:$DN,MATCH('ZM01'!$C50,Consulta!$D:$D,0),'ZM01'!DH$2),"")=0,"",IFERROR(VLOOKUP(INDEX(Consulta!$A:$DN,MATCH('ZM01'!$C50,Consulta!$D:$D,0),'ZM01'!DH$2),'Listas de Dados'!BU:BW,3,0),""))</f>
        <v/>
      </c>
      <c r="DI50" s="43" t="str">
        <f t="shared" ca="1" si="51"/>
        <v>17.05.2022</v>
      </c>
      <c r="DJ50" s="43" t="str">
        <f t="shared" si="52"/>
        <v>31.12.9999</v>
      </c>
      <c r="DL50" s="44">
        <v>1</v>
      </c>
      <c r="DM50" s="44" t="s">
        <v>1039</v>
      </c>
      <c r="DN50" s="44">
        <v>1</v>
      </c>
      <c r="DO50" s="43">
        <f t="shared" si="34"/>
        <v>1</v>
      </c>
      <c r="DP50" s="43" t="str">
        <f t="shared" si="35"/>
        <v>PC</v>
      </c>
      <c r="DQ50" s="43" t="str">
        <f t="shared" si="36"/>
        <v/>
      </c>
      <c r="DR50" s="44">
        <v>100</v>
      </c>
      <c r="DS50" s="71">
        <f t="shared" si="21"/>
        <v>1</v>
      </c>
      <c r="DT50" s="43">
        <f t="shared" si="53"/>
        <v>100</v>
      </c>
      <c r="DU50" s="44">
        <v>1</v>
      </c>
      <c r="DV50" s="44">
        <v>0</v>
      </c>
      <c r="DW50" s="44" t="s">
        <v>826</v>
      </c>
      <c r="DX50" s="45">
        <v>0</v>
      </c>
      <c r="DY50" s="44">
        <v>100</v>
      </c>
      <c r="DZ50" s="61"/>
    </row>
    <row r="51" spans="1:130" x14ac:dyDescent="0.2">
      <c r="A51" s="7" t="str">
        <f t="shared" si="2"/>
        <v>Execução 47</v>
      </c>
      <c r="B51" s="79"/>
      <c r="C51" s="85"/>
      <c r="D51" s="71" t="str">
        <f t="shared" si="37"/>
        <v/>
      </c>
      <c r="E51" s="71" t="str">
        <f t="shared" si="38"/>
        <v/>
      </c>
      <c r="F51" s="43" t="str">
        <f>IF(IFERROR(INDEX(Consulta!$A:$DN,MATCH('ZM01'!$C51,Consulta!$D:$D,0),'ZM01'!F$2),"")=0,"",IFERROR(INDEX(Consulta!$A:$DN,MATCH('ZM01'!$C51,Consulta!$D:$D,0),'ZM01'!F$2),""))</f>
        <v/>
      </c>
      <c r="G51" s="43" t="str">
        <f>IF(IFERROR(INDEX(Consulta!$A:$DN,MATCH('ZM01'!$C51,Consulta!$D:$D,0),'ZM01'!G$2),"")=0,"",IFERROR(INDEX(Consulta!$A:$DN,MATCH('ZM01'!$C51,Consulta!$D:$D,0),'ZM01'!G$2),""))</f>
        <v/>
      </c>
      <c r="H51" s="43" t="str">
        <f t="shared" si="23"/>
        <v/>
      </c>
      <c r="I51" s="44" t="s">
        <v>100</v>
      </c>
      <c r="J51" s="43" t="str">
        <f>IF(IFERROR(INDEX(Consulta!$A:$DN,MATCH('ZM01'!$C51,Consulta!$D:$D,0),'ZM01'!J$2),"")=0,"",IFERROR(INDEX(Consulta!$A:$DN,MATCH('ZM01'!$C51,Consulta!$D:$D,0),'ZM01'!J$2),""))</f>
        <v/>
      </c>
      <c r="K51" s="43" t="str">
        <f>IF(IFERROR(INDEX(Consulta!$A:$DN,MATCH('ZM01'!$C51,Consulta!$D:$D,0),'ZM01'!K$2),"")=0,"",IFERROR(INDEX(Consulta!$A:$DN,MATCH('ZM01'!$C51,Consulta!$D:$D,0),'ZM01'!K$2),""))</f>
        <v/>
      </c>
      <c r="L51" s="43" t="str">
        <f t="shared" si="39"/>
        <v/>
      </c>
      <c r="M51" s="43" t="str">
        <f>IF(IFERROR(INDEX(Consulta!$A:$DN,MATCH('ZM01'!$C51,Consulta!$D:$D,0),'ZM01'!M$2),"")=0,"",IFERROR(INDEX(Consulta!$A:$DN,MATCH('ZM01'!$C51,Consulta!$D:$D,0),'ZM01'!M$2),""))</f>
        <v/>
      </c>
      <c r="N51" s="43" t="str">
        <f t="shared" si="40"/>
        <v/>
      </c>
      <c r="P51" s="45" t="s">
        <v>101</v>
      </c>
      <c r="Q51" s="45" t="s">
        <v>102</v>
      </c>
      <c r="R51" s="45" t="s">
        <v>103</v>
      </c>
      <c r="S51" s="45" t="s">
        <v>104</v>
      </c>
      <c r="T51" s="45" t="s">
        <v>105</v>
      </c>
      <c r="U51" s="45" t="s">
        <v>106</v>
      </c>
      <c r="V51" s="45" t="s">
        <v>107</v>
      </c>
      <c r="W51" s="45" t="s">
        <v>109</v>
      </c>
      <c r="X51" s="45" t="s">
        <v>110</v>
      </c>
      <c r="Y51" s="45"/>
      <c r="Z51" s="45"/>
      <c r="AA51" s="45" t="s">
        <v>112</v>
      </c>
      <c r="AB51" s="45" t="s">
        <v>113</v>
      </c>
      <c r="AC51" s="45" t="s">
        <v>114</v>
      </c>
      <c r="AD51" s="45" t="s">
        <v>115</v>
      </c>
      <c r="AE51" s="45" t="s">
        <v>117</v>
      </c>
      <c r="AF51" s="45" t="s">
        <v>118</v>
      </c>
      <c r="AG51" s="45" t="s">
        <v>119</v>
      </c>
      <c r="AH51" s="45" t="s">
        <v>120</v>
      </c>
      <c r="AI51" s="45" t="s">
        <v>121</v>
      </c>
      <c r="AJ51" s="45" t="s">
        <v>122</v>
      </c>
      <c r="AK51" s="45" t="s">
        <v>123</v>
      </c>
      <c r="AL51" s="45" t="s">
        <v>124</v>
      </c>
      <c r="AM51" s="45" t="s">
        <v>125</v>
      </c>
      <c r="AN51" s="45" t="s">
        <v>126</v>
      </c>
      <c r="AO51" s="45"/>
      <c r="AP51" s="45"/>
      <c r="AR51" s="44" t="s">
        <v>822</v>
      </c>
      <c r="AS51" s="43" t="str">
        <f>IF(IFERROR(INDEX(Consulta!$A:$DN,MATCH('ZM01'!$C51,Consulta!$D:$D,0),'ZM01'!AS$2),"")=0,"",IFERROR(INDEX(Consulta!$A:$DN,MATCH('ZM01'!$C51,Consulta!$D:$D,0),'ZM01'!AS$2),""))</f>
        <v/>
      </c>
      <c r="AT51" s="45"/>
      <c r="AU51" s="43" t="str">
        <f>IF(IFERROR(INDEX(Consulta!$A:$DN,MATCH('ZM01'!$C51,Consulta!$D:$D,0),'ZM01'!AU$2),"")=0,"",IFERROR(INDEX(Consulta!$A:$DN,MATCH('ZM01'!$C51,Consulta!$D:$D,0),'ZM01'!AU$2),""))</f>
        <v/>
      </c>
      <c r="AV51" s="43" t="str">
        <f>IF(IFERROR(INDEX(Consulta!$A:$DN,MATCH('ZM01'!$C51,Consulta!$D:$D,0),'ZM01'!AV$2),"")=0,"",IFERROR(INDEX(Consulta!$A:$DN,MATCH('ZM01'!$C51,Consulta!$D:$D,0),'ZM01'!AV$2),""))</f>
        <v/>
      </c>
      <c r="AW51" s="45"/>
      <c r="AX51" s="46" t="str">
        <f t="shared" ca="1" si="41"/>
        <v/>
      </c>
      <c r="AY51" s="47" t="s">
        <v>755</v>
      </c>
      <c r="AZ51" s="43" t="str">
        <f>IF(IFERROR(ROUND(INDEX(Consulta!$A:$DN,MATCH('ZM01'!$C51,Consulta!$D:$D,0),'ZM01'!AZ$2),3),"")=0,"",IFERROR(ROUND(INDEX(Consulta!$A:$DN,MATCH('ZM01'!$C51,Consulta!$D:$D,0),'ZM01'!AZ$2),3),""))</f>
        <v/>
      </c>
      <c r="BA51" s="43" t="str">
        <f t="shared" si="42"/>
        <v/>
      </c>
      <c r="BB51" s="48" t="s">
        <v>299</v>
      </c>
      <c r="BC51" s="48"/>
      <c r="BD51" s="43" t="str">
        <f>IF(IFERROR(INDEX(Consulta!$A:$DN,MATCH('ZM01'!$C51,Consulta!$D:$D,0),'ZM01'!BD$2),"")=0,"",IFERROR(INDEX(Consulta!$A:$DN,MATCH('ZM01'!$C51,Consulta!$D:$D,0),'ZM01'!BD$2),""))</f>
        <v/>
      </c>
      <c r="BE51" s="43" t="str">
        <f t="shared" si="0"/>
        <v/>
      </c>
      <c r="BF51" s="43" t="str">
        <f t="shared" si="43"/>
        <v/>
      </c>
      <c r="BG51" s="43" t="str">
        <f t="shared" si="1"/>
        <v/>
      </c>
      <c r="BH51" s="43" t="str">
        <f t="shared" si="44"/>
        <v>PC</v>
      </c>
      <c r="BI51" s="43" t="str">
        <f t="shared" si="24"/>
        <v/>
      </c>
      <c r="BJ51" s="43" t="str">
        <f t="shared" si="25"/>
        <v/>
      </c>
      <c r="BK51" s="43" t="str">
        <f t="shared" si="26"/>
        <v/>
      </c>
      <c r="BL51" s="43" t="str">
        <f t="shared" si="45"/>
        <v>PC</v>
      </c>
      <c r="BN51" s="44"/>
      <c r="BO51" s="44" t="s">
        <v>925</v>
      </c>
      <c r="BP51" s="43" t="str">
        <f>IF(OR(IFERROR(INDEX(Consulta!$A:$DN,MATCH('ZM01'!$C51,Consulta!$D:$D,0),'ZM01'!BP$2),"")=0,IFERROR(INDEX(Consulta!$A:$DN,MATCH('ZM01'!$C51,Consulta!$D:$D,0),'ZM01'!BP$2),"")=AR51),"",IFERROR(INDEX(Consulta!$A:$DN,MATCH('ZM01'!$C51,Consulta!$D:$D,0),'ZM01'!BP$2),""))</f>
        <v/>
      </c>
      <c r="BQ51" s="45">
        <v>99</v>
      </c>
      <c r="BR51" s="46" t="str">
        <f t="shared" ca="1" si="46"/>
        <v>17.05.2022</v>
      </c>
      <c r="BS51" s="49" t="str">
        <f t="shared" si="47"/>
        <v/>
      </c>
      <c r="BT51" s="50">
        <v>1</v>
      </c>
      <c r="BU51" s="50" t="s">
        <v>194</v>
      </c>
      <c r="BV51" s="90" t="str">
        <f t="shared" si="14"/>
        <v>01</v>
      </c>
      <c r="BW51" s="50" t="s">
        <v>755</v>
      </c>
      <c r="BX51" s="44">
        <v>1</v>
      </c>
      <c r="BY51" s="44" t="s">
        <v>372</v>
      </c>
      <c r="BZ51" s="50" t="s">
        <v>197</v>
      </c>
      <c r="CA51" s="50" t="s">
        <v>197</v>
      </c>
      <c r="CB51" s="43" t="str">
        <f>IF(IFERROR(INDEX(Consulta!$A:$DN,MATCH('ZM01'!$C51,Consulta!$D:$D,0),'ZM01'!CB$2),"")=0,"",IFERROR(INDEX(Consulta!$A:$DN,MATCH('ZM01'!$C51,Consulta!$D:$D,0),'ZM01'!CB$2),""))</f>
        <v/>
      </c>
      <c r="CC51" s="44" t="s">
        <v>392</v>
      </c>
      <c r="CD51" s="50">
        <v>0</v>
      </c>
      <c r="CE51" s="45" t="s">
        <v>403</v>
      </c>
      <c r="CF51" s="45" t="s">
        <v>84</v>
      </c>
      <c r="CG51" s="43" t="str">
        <f t="shared" si="15"/>
        <v/>
      </c>
      <c r="CH51" s="45" t="s">
        <v>430</v>
      </c>
      <c r="CI51" s="44">
        <v>0</v>
      </c>
      <c r="CJ51" s="43" t="str">
        <f t="shared" si="27"/>
        <v>E</v>
      </c>
      <c r="CK51" s="43" t="str">
        <f t="shared" si="28"/>
        <v/>
      </c>
      <c r="CL51" s="44">
        <v>2</v>
      </c>
      <c r="CM51" s="49" t="str">
        <f t="shared" si="48"/>
        <v/>
      </c>
      <c r="CN51" s="49" t="str">
        <f t="shared" si="49"/>
        <v/>
      </c>
      <c r="CO51" s="43" t="str">
        <f t="shared" si="29"/>
        <v/>
      </c>
      <c r="CP51" s="44">
        <v>1</v>
      </c>
      <c r="CQ51" s="50" t="s">
        <v>515</v>
      </c>
      <c r="CR51" s="44" t="s">
        <v>372</v>
      </c>
      <c r="CS51" s="44">
        <v>2</v>
      </c>
      <c r="CT51" s="44">
        <v>42</v>
      </c>
      <c r="CU51" s="44">
        <v>10</v>
      </c>
      <c r="CV51" s="43" t="str">
        <f t="shared" si="30"/>
        <v>K00_AO_</v>
      </c>
      <c r="CW51" s="43" t="str">
        <f t="shared" si="31"/>
        <v/>
      </c>
      <c r="CX51" s="43" t="str">
        <f t="shared" si="32"/>
        <v/>
      </c>
      <c r="CY51" s="44">
        <v>1</v>
      </c>
      <c r="CZ51" s="43" t="str">
        <f t="shared" si="33"/>
        <v/>
      </c>
      <c r="DA51" s="43" t="str">
        <f>IF(IFERROR(INDEX(Consulta!$A:$DN,MATCH('ZM01'!$C51,Consulta!$D:$D,0),'ZM01'!DA$2),"")=0,"",IFERROR(INDEX(Consulta!$A:$DN,MATCH('ZM01'!$C51,Consulta!$D:$D,0),'ZM01'!DA$2),""))</f>
        <v/>
      </c>
      <c r="DB51" s="43" t="str">
        <f>IF(IFERROR(INDEX(Consulta!$A:$DN,MATCH('ZM01'!$C51,Consulta!$D:$D,0),'ZM01'!DB$2),"")=0,"",IFERROR(INDEX(Consulta!$A:$DN,MATCH('ZM01'!$C51,Consulta!$D:$D,0),'ZM01'!DB$2),""))</f>
        <v/>
      </c>
      <c r="DC51" s="45">
        <v>0</v>
      </c>
      <c r="DD51" s="45">
        <v>0</v>
      </c>
      <c r="DE51" s="43" t="str">
        <f>IF(IFERROR(INDEX(Consulta!$A:$DN,MATCH('ZM01'!$C51,Consulta!$D:$D,0),'ZM01'!DE$2),"")=0,"",IFERROR(TEXT(VALUE(INDEX(Consulta!$A:$DN,MATCH('ZM01'!$C51,Consulta!$D:$D,0),'ZM01'!DE$2))/100,"0,00"),""))</f>
        <v/>
      </c>
      <c r="DG51" s="43">
        <f t="shared" si="50"/>
        <v>1</v>
      </c>
      <c r="DH51" s="43" t="str">
        <f>IF(IFERROR(INDEX(Consulta!$A:$DN,MATCH('ZM01'!$C51,Consulta!$D:$D,0),'ZM01'!DH$2),"")=0,"",IFERROR(VLOOKUP(INDEX(Consulta!$A:$DN,MATCH('ZM01'!$C51,Consulta!$D:$D,0),'ZM01'!DH$2),'Listas de Dados'!BU:BW,3,0),""))</f>
        <v/>
      </c>
      <c r="DI51" s="43" t="str">
        <f t="shared" ca="1" si="51"/>
        <v>17.05.2022</v>
      </c>
      <c r="DJ51" s="43" t="str">
        <f t="shared" si="52"/>
        <v>31.12.9999</v>
      </c>
      <c r="DL51" s="44">
        <v>1</v>
      </c>
      <c r="DM51" s="44" t="s">
        <v>1039</v>
      </c>
      <c r="DN51" s="44">
        <v>1</v>
      </c>
      <c r="DO51" s="43">
        <f t="shared" si="34"/>
        <v>1</v>
      </c>
      <c r="DP51" s="43" t="str">
        <f t="shared" si="35"/>
        <v>PC</v>
      </c>
      <c r="DQ51" s="43" t="str">
        <f t="shared" si="36"/>
        <v/>
      </c>
      <c r="DR51" s="44">
        <v>100</v>
      </c>
      <c r="DS51" s="71">
        <f t="shared" si="21"/>
        <v>1</v>
      </c>
      <c r="DT51" s="43">
        <f t="shared" si="53"/>
        <v>100</v>
      </c>
      <c r="DU51" s="44">
        <v>1</v>
      </c>
      <c r="DV51" s="44">
        <v>0</v>
      </c>
      <c r="DW51" s="44" t="s">
        <v>826</v>
      </c>
      <c r="DX51" s="45">
        <v>0</v>
      </c>
      <c r="DY51" s="44">
        <v>100</v>
      </c>
      <c r="DZ51" s="60"/>
    </row>
    <row r="52" spans="1:130" x14ac:dyDescent="0.2">
      <c r="A52" s="7" t="str">
        <f t="shared" si="2"/>
        <v>Execução 48</v>
      </c>
      <c r="B52" s="75"/>
      <c r="C52" s="85"/>
      <c r="D52" s="71" t="str">
        <f t="shared" si="37"/>
        <v/>
      </c>
      <c r="E52" s="71" t="str">
        <f t="shared" si="38"/>
        <v/>
      </c>
      <c r="F52" s="43" t="str">
        <f>IF(IFERROR(INDEX(Consulta!$A:$DN,MATCH('ZM01'!$C52,Consulta!$D:$D,0),'ZM01'!F$2),"")=0,"",IFERROR(INDEX(Consulta!$A:$DN,MATCH('ZM01'!$C52,Consulta!$D:$D,0),'ZM01'!F$2),""))</f>
        <v/>
      </c>
      <c r="G52" s="43" t="str">
        <f>IF(IFERROR(INDEX(Consulta!$A:$DN,MATCH('ZM01'!$C52,Consulta!$D:$D,0),'ZM01'!G$2),"")=0,"",IFERROR(INDEX(Consulta!$A:$DN,MATCH('ZM01'!$C52,Consulta!$D:$D,0),'ZM01'!G$2),""))</f>
        <v/>
      </c>
      <c r="H52" s="43" t="str">
        <f t="shared" si="23"/>
        <v/>
      </c>
      <c r="I52" s="44" t="s">
        <v>100</v>
      </c>
      <c r="J52" s="43" t="str">
        <f>IF(IFERROR(INDEX(Consulta!$A:$DN,MATCH('ZM01'!$C52,Consulta!$D:$D,0),'ZM01'!J$2),"")=0,"",IFERROR(INDEX(Consulta!$A:$DN,MATCH('ZM01'!$C52,Consulta!$D:$D,0),'ZM01'!J$2),""))</f>
        <v/>
      </c>
      <c r="K52" s="43" t="str">
        <f>IF(IFERROR(INDEX(Consulta!$A:$DN,MATCH('ZM01'!$C52,Consulta!$D:$D,0),'ZM01'!K$2),"")=0,"",IFERROR(INDEX(Consulta!$A:$DN,MATCH('ZM01'!$C52,Consulta!$D:$D,0),'ZM01'!K$2),""))</f>
        <v/>
      </c>
      <c r="L52" s="43" t="str">
        <f t="shared" si="39"/>
        <v/>
      </c>
      <c r="M52" s="43" t="str">
        <f>IF(IFERROR(INDEX(Consulta!$A:$DN,MATCH('ZM01'!$C52,Consulta!$D:$D,0),'ZM01'!M$2),"")=0,"",IFERROR(INDEX(Consulta!$A:$DN,MATCH('ZM01'!$C52,Consulta!$D:$D,0),'ZM01'!M$2),""))</f>
        <v/>
      </c>
      <c r="N52" s="43" t="str">
        <f t="shared" si="40"/>
        <v/>
      </c>
      <c r="P52" s="45" t="s">
        <v>101</v>
      </c>
      <c r="Q52" s="45" t="s">
        <v>102</v>
      </c>
      <c r="R52" s="45" t="s">
        <v>103</v>
      </c>
      <c r="S52" s="45" t="s">
        <v>104</v>
      </c>
      <c r="T52" s="45" t="s">
        <v>105</v>
      </c>
      <c r="U52" s="45" t="s">
        <v>106</v>
      </c>
      <c r="V52" s="45" t="s">
        <v>107</v>
      </c>
      <c r="W52" s="45" t="s">
        <v>109</v>
      </c>
      <c r="X52" s="45" t="s">
        <v>110</v>
      </c>
      <c r="Y52" s="45"/>
      <c r="Z52" s="45"/>
      <c r="AA52" s="45" t="s">
        <v>112</v>
      </c>
      <c r="AB52" s="45" t="s">
        <v>113</v>
      </c>
      <c r="AC52" s="45" t="s">
        <v>114</v>
      </c>
      <c r="AD52" s="45" t="s">
        <v>115</v>
      </c>
      <c r="AE52" s="45" t="s">
        <v>117</v>
      </c>
      <c r="AF52" s="45" t="s">
        <v>118</v>
      </c>
      <c r="AG52" s="45" t="s">
        <v>119</v>
      </c>
      <c r="AH52" s="45" t="s">
        <v>120</v>
      </c>
      <c r="AI52" s="45" t="s">
        <v>121</v>
      </c>
      <c r="AJ52" s="45" t="s">
        <v>122</v>
      </c>
      <c r="AK52" s="45" t="s">
        <v>123</v>
      </c>
      <c r="AL52" s="45" t="s">
        <v>124</v>
      </c>
      <c r="AM52" s="45" t="s">
        <v>125</v>
      </c>
      <c r="AN52" s="45" t="s">
        <v>126</v>
      </c>
      <c r="AO52" s="45"/>
      <c r="AP52" s="45"/>
      <c r="AR52" s="44" t="s">
        <v>822</v>
      </c>
      <c r="AS52" s="43" t="str">
        <f>IF(IFERROR(INDEX(Consulta!$A:$DN,MATCH('ZM01'!$C52,Consulta!$D:$D,0),'ZM01'!AS$2),"")=0,"",IFERROR(INDEX(Consulta!$A:$DN,MATCH('ZM01'!$C52,Consulta!$D:$D,0),'ZM01'!AS$2),""))</f>
        <v/>
      </c>
      <c r="AT52" s="45"/>
      <c r="AU52" s="43" t="str">
        <f>IF(IFERROR(INDEX(Consulta!$A:$DN,MATCH('ZM01'!$C52,Consulta!$D:$D,0),'ZM01'!AU$2),"")=0,"",IFERROR(INDEX(Consulta!$A:$DN,MATCH('ZM01'!$C52,Consulta!$D:$D,0),'ZM01'!AU$2),""))</f>
        <v/>
      </c>
      <c r="AV52" s="43" t="str">
        <f>IF(IFERROR(INDEX(Consulta!$A:$DN,MATCH('ZM01'!$C52,Consulta!$D:$D,0),'ZM01'!AV$2),"")=0,"",IFERROR(INDEX(Consulta!$A:$DN,MATCH('ZM01'!$C52,Consulta!$D:$D,0),'ZM01'!AV$2),""))</f>
        <v/>
      </c>
      <c r="AW52" s="45"/>
      <c r="AX52" s="46" t="str">
        <f t="shared" ca="1" si="41"/>
        <v/>
      </c>
      <c r="AY52" s="47" t="s">
        <v>755</v>
      </c>
      <c r="AZ52" s="43" t="str">
        <f>IF(IFERROR(ROUND(INDEX(Consulta!$A:$DN,MATCH('ZM01'!$C52,Consulta!$D:$D,0),'ZM01'!AZ$2),3),"")=0,"",IFERROR(ROUND(INDEX(Consulta!$A:$DN,MATCH('ZM01'!$C52,Consulta!$D:$D,0),'ZM01'!AZ$2),3),""))</f>
        <v/>
      </c>
      <c r="BA52" s="43" t="str">
        <f t="shared" si="42"/>
        <v/>
      </c>
      <c r="BB52" s="48" t="s">
        <v>299</v>
      </c>
      <c r="BC52" s="48"/>
      <c r="BD52" s="43" t="str">
        <f>IF(IFERROR(INDEX(Consulta!$A:$DN,MATCH('ZM01'!$C52,Consulta!$D:$D,0),'ZM01'!BD$2),"")=0,"",IFERROR(INDEX(Consulta!$A:$DN,MATCH('ZM01'!$C52,Consulta!$D:$D,0),'ZM01'!BD$2),""))</f>
        <v/>
      </c>
      <c r="BE52" s="43" t="str">
        <f t="shared" si="0"/>
        <v/>
      </c>
      <c r="BF52" s="43" t="str">
        <f t="shared" si="43"/>
        <v/>
      </c>
      <c r="BG52" s="43" t="str">
        <f t="shared" si="1"/>
        <v/>
      </c>
      <c r="BH52" s="43" t="str">
        <f t="shared" si="44"/>
        <v>PC</v>
      </c>
      <c r="BI52" s="43" t="str">
        <f t="shared" si="24"/>
        <v/>
      </c>
      <c r="BJ52" s="43" t="str">
        <f t="shared" si="25"/>
        <v/>
      </c>
      <c r="BK52" s="43" t="str">
        <f t="shared" si="26"/>
        <v/>
      </c>
      <c r="BL52" s="43" t="str">
        <f t="shared" si="45"/>
        <v>PC</v>
      </c>
      <c r="BN52" s="44"/>
      <c r="BO52" s="44" t="s">
        <v>925</v>
      </c>
      <c r="BP52" s="43" t="str">
        <f>IF(OR(IFERROR(INDEX(Consulta!$A:$DN,MATCH('ZM01'!$C52,Consulta!$D:$D,0),'ZM01'!BP$2),"")=0,IFERROR(INDEX(Consulta!$A:$DN,MATCH('ZM01'!$C52,Consulta!$D:$D,0),'ZM01'!BP$2),"")=AR52),"",IFERROR(INDEX(Consulta!$A:$DN,MATCH('ZM01'!$C52,Consulta!$D:$D,0),'ZM01'!BP$2),""))</f>
        <v/>
      </c>
      <c r="BQ52" s="45">
        <v>99</v>
      </c>
      <c r="BR52" s="46" t="str">
        <f t="shared" ca="1" si="46"/>
        <v>17.05.2022</v>
      </c>
      <c r="BS52" s="49" t="str">
        <f t="shared" si="47"/>
        <v/>
      </c>
      <c r="BT52" s="50">
        <v>1</v>
      </c>
      <c r="BU52" s="50" t="s">
        <v>194</v>
      </c>
      <c r="BV52" s="90" t="str">
        <f t="shared" si="14"/>
        <v>01</v>
      </c>
      <c r="BW52" s="50" t="s">
        <v>755</v>
      </c>
      <c r="BX52" s="44">
        <v>1</v>
      </c>
      <c r="BY52" s="44" t="s">
        <v>372</v>
      </c>
      <c r="BZ52" s="50" t="s">
        <v>197</v>
      </c>
      <c r="CA52" s="50" t="s">
        <v>197</v>
      </c>
      <c r="CB52" s="43" t="str">
        <f>IF(IFERROR(INDEX(Consulta!$A:$DN,MATCH('ZM01'!$C52,Consulta!$D:$D,0),'ZM01'!CB$2),"")=0,"",IFERROR(INDEX(Consulta!$A:$DN,MATCH('ZM01'!$C52,Consulta!$D:$D,0),'ZM01'!CB$2),""))</f>
        <v/>
      </c>
      <c r="CC52" s="44" t="s">
        <v>392</v>
      </c>
      <c r="CD52" s="50">
        <v>0</v>
      </c>
      <c r="CE52" s="45" t="s">
        <v>403</v>
      </c>
      <c r="CF52" s="45" t="s">
        <v>84</v>
      </c>
      <c r="CG52" s="43" t="str">
        <f t="shared" si="15"/>
        <v/>
      </c>
      <c r="CH52" s="45" t="s">
        <v>430</v>
      </c>
      <c r="CI52" s="44">
        <v>0</v>
      </c>
      <c r="CJ52" s="43" t="str">
        <f t="shared" si="27"/>
        <v>E</v>
      </c>
      <c r="CK52" s="43" t="str">
        <f t="shared" si="28"/>
        <v/>
      </c>
      <c r="CL52" s="44">
        <v>2</v>
      </c>
      <c r="CM52" s="49" t="str">
        <f t="shared" si="48"/>
        <v/>
      </c>
      <c r="CN52" s="49" t="str">
        <f t="shared" si="49"/>
        <v/>
      </c>
      <c r="CO52" s="43" t="str">
        <f t="shared" si="29"/>
        <v/>
      </c>
      <c r="CP52" s="44">
        <v>1</v>
      </c>
      <c r="CQ52" s="50" t="s">
        <v>515</v>
      </c>
      <c r="CR52" s="44" t="s">
        <v>372</v>
      </c>
      <c r="CS52" s="44">
        <v>2</v>
      </c>
      <c r="CT52" s="44">
        <v>42</v>
      </c>
      <c r="CU52" s="44">
        <v>10</v>
      </c>
      <c r="CV52" s="43" t="str">
        <f t="shared" si="30"/>
        <v>K00_AO_</v>
      </c>
      <c r="CW52" s="43" t="str">
        <f t="shared" si="31"/>
        <v/>
      </c>
      <c r="CX52" s="43" t="str">
        <f t="shared" si="32"/>
        <v/>
      </c>
      <c r="CY52" s="44">
        <v>1</v>
      </c>
      <c r="CZ52" s="43" t="str">
        <f t="shared" si="33"/>
        <v/>
      </c>
      <c r="DA52" s="43" t="str">
        <f>IF(IFERROR(INDEX(Consulta!$A:$DN,MATCH('ZM01'!$C52,Consulta!$D:$D,0),'ZM01'!DA$2),"")=0,"",IFERROR(INDEX(Consulta!$A:$DN,MATCH('ZM01'!$C52,Consulta!$D:$D,0),'ZM01'!DA$2),""))</f>
        <v/>
      </c>
      <c r="DB52" s="43" t="str">
        <f>IF(IFERROR(INDEX(Consulta!$A:$DN,MATCH('ZM01'!$C52,Consulta!$D:$D,0),'ZM01'!DB$2),"")=0,"",IFERROR(INDEX(Consulta!$A:$DN,MATCH('ZM01'!$C52,Consulta!$D:$D,0),'ZM01'!DB$2),""))</f>
        <v/>
      </c>
      <c r="DC52" s="45">
        <v>0</v>
      </c>
      <c r="DD52" s="45">
        <v>0</v>
      </c>
      <c r="DE52" s="43" t="str">
        <f>IF(IFERROR(INDEX(Consulta!$A:$DN,MATCH('ZM01'!$C52,Consulta!$D:$D,0),'ZM01'!DE$2),"")=0,"",IFERROR(TEXT(VALUE(INDEX(Consulta!$A:$DN,MATCH('ZM01'!$C52,Consulta!$D:$D,0),'ZM01'!DE$2))/100,"0,00"),""))</f>
        <v/>
      </c>
      <c r="DG52" s="43">
        <f t="shared" si="50"/>
        <v>1</v>
      </c>
      <c r="DH52" s="43" t="str">
        <f>IF(IFERROR(INDEX(Consulta!$A:$DN,MATCH('ZM01'!$C52,Consulta!$D:$D,0),'ZM01'!DH$2),"")=0,"",IFERROR(VLOOKUP(INDEX(Consulta!$A:$DN,MATCH('ZM01'!$C52,Consulta!$D:$D,0),'ZM01'!DH$2),'Listas de Dados'!BU:BW,3,0),""))</f>
        <v/>
      </c>
      <c r="DI52" s="43" t="str">
        <f t="shared" ca="1" si="51"/>
        <v>17.05.2022</v>
      </c>
      <c r="DJ52" s="43" t="str">
        <f t="shared" si="52"/>
        <v>31.12.9999</v>
      </c>
      <c r="DL52" s="44">
        <v>1</v>
      </c>
      <c r="DM52" s="44" t="s">
        <v>1039</v>
      </c>
      <c r="DN52" s="44">
        <v>1</v>
      </c>
      <c r="DO52" s="43">
        <f t="shared" si="34"/>
        <v>1</v>
      </c>
      <c r="DP52" s="43" t="str">
        <f t="shared" si="35"/>
        <v>PC</v>
      </c>
      <c r="DQ52" s="43" t="str">
        <f t="shared" si="36"/>
        <v/>
      </c>
      <c r="DR52" s="44">
        <v>100</v>
      </c>
      <c r="DS52" s="71">
        <f t="shared" si="21"/>
        <v>1</v>
      </c>
      <c r="DT52" s="43">
        <f t="shared" si="53"/>
        <v>100</v>
      </c>
      <c r="DU52" s="44">
        <v>1</v>
      </c>
      <c r="DV52" s="44">
        <v>0</v>
      </c>
      <c r="DW52" s="44" t="s">
        <v>826</v>
      </c>
      <c r="DX52" s="45">
        <v>0</v>
      </c>
      <c r="DY52" s="44">
        <v>100</v>
      </c>
      <c r="DZ52" s="61"/>
    </row>
    <row r="53" spans="1:130" x14ac:dyDescent="0.2">
      <c r="A53" s="7" t="str">
        <f t="shared" si="2"/>
        <v>Execução 49</v>
      </c>
      <c r="B53" s="79"/>
      <c r="C53" s="85"/>
      <c r="D53" s="71" t="str">
        <f t="shared" si="37"/>
        <v/>
      </c>
      <c r="E53" s="71" t="str">
        <f t="shared" si="38"/>
        <v/>
      </c>
      <c r="F53" s="43" t="str">
        <f>IF(IFERROR(INDEX(Consulta!$A:$DN,MATCH('ZM01'!$C53,Consulta!$D:$D,0),'ZM01'!F$2),"")=0,"",IFERROR(INDEX(Consulta!$A:$DN,MATCH('ZM01'!$C53,Consulta!$D:$D,0),'ZM01'!F$2),""))</f>
        <v/>
      </c>
      <c r="G53" s="43" t="str">
        <f>IF(IFERROR(INDEX(Consulta!$A:$DN,MATCH('ZM01'!$C53,Consulta!$D:$D,0),'ZM01'!G$2),"")=0,"",IFERROR(INDEX(Consulta!$A:$DN,MATCH('ZM01'!$C53,Consulta!$D:$D,0),'ZM01'!G$2),""))</f>
        <v/>
      </c>
      <c r="H53" s="43" t="str">
        <f t="shared" si="23"/>
        <v/>
      </c>
      <c r="I53" s="44" t="s">
        <v>100</v>
      </c>
      <c r="J53" s="43" t="str">
        <f>IF(IFERROR(INDEX(Consulta!$A:$DN,MATCH('ZM01'!$C53,Consulta!$D:$D,0),'ZM01'!J$2),"")=0,"",IFERROR(INDEX(Consulta!$A:$DN,MATCH('ZM01'!$C53,Consulta!$D:$D,0),'ZM01'!J$2),""))</f>
        <v/>
      </c>
      <c r="K53" s="43" t="str">
        <f>IF(IFERROR(INDEX(Consulta!$A:$DN,MATCH('ZM01'!$C53,Consulta!$D:$D,0),'ZM01'!K$2),"")=0,"",IFERROR(INDEX(Consulta!$A:$DN,MATCH('ZM01'!$C53,Consulta!$D:$D,0),'ZM01'!K$2),""))</f>
        <v/>
      </c>
      <c r="L53" s="43" t="str">
        <f t="shared" si="39"/>
        <v/>
      </c>
      <c r="M53" s="43" t="str">
        <f>IF(IFERROR(INDEX(Consulta!$A:$DN,MATCH('ZM01'!$C53,Consulta!$D:$D,0),'ZM01'!M$2),"")=0,"",IFERROR(INDEX(Consulta!$A:$DN,MATCH('ZM01'!$C53,Consulta!$D:$D,0),'ZM01'!M$2),""))</f>
        <v/>
      </c>
      <c r="N53" s="43" t="str">
        <f t="shared" si="40"/>
        <v/>
      </c>
      <c r="P53" s="45" t="s">
        <v>101</v>
      </c>
      <c r="Q53" s="45" t="s">
        <v>102</v>
      </c>
      <c r="R53" s="45" t="s">
        <v>103</v>
      </c>
      <c r="S53" s="45" t="s">
        <v>104</v>
      </c>
      <c r="T53" s="45" t="s">
        <v>105</v>
      </c>
      <c r="U53" s="45" t="s">
        <v>106</v>
      </c>
      <c r="V53" s="45" t="s">
        <v>107</v>
      </c>
      <c r="W53" s="45" t="s">
        <v>109</v>
      </c>
      <c r="X53" s="45" t="s">
        <v>110</v>
      </c>
      <c r="Y53" s="45"/>
      <c r="Z53" s="45"/>
      <c r="AA53" s="45" t="s">
        <v>112</v>
      </c>
      <c r="AB53" s="45" t="s">
        <v>113</v>
      </c>
      <c r="AC53" s="45" t="s">
        <v>114</v>
      </c>
      <c r="AD53" s="45" t="s">
        <v>115</v>
      </c>
      <c r="AE53" s="45" t="s">
        <v>117</v>
      </c>
      <c r="AF53" s="45" t="s">
        <v>118</v>
      </c>
      <c r="AG53" s="45" t="s">
        <v>119</v>
      </c>
      <c r="AH53" s="45" t="s">
        <v>120</v>
      </c>
      <c r="AI53" s="45" t="s">
        <v>121</v>
      </c>
      <c r="AJ53" s="45" t="s">
        <v>122</v>
      </c>
      <c r="AK53" s="45" t="s">
        <v>123</v>
      </c>
      <c r="AL53" s="45" t="s">
        <v>124</v>
      </c>
      <c r="AM53" s="45" t="s">
        <v>125</v>
      </c>
      <c r="AN53" s="45" t="s">
        <v>126</v>
      </c>
      <c r="AO53" s="45"/>
      <c r="AP53" s="45"/>
      <c r="AR53" s="44" t="s">
        <v>822</v>
      </c>
      <c r="AS53" s="43" t="str">
        <f>IF(IFERROR(INDEX(Consulta!$A:$DN,MATCH('ZM01'!$C53,Consulta!$D:$D,0),'ZM01'!AS$2),"")=0,"",IFERROR(INDEX(Consulta!$A:$DN,MATCH('ZM01'!$C53,Consulta!$D:$D,0),'ZM01'!AS$2),""))</f>
        <v/>
      </c>
      <c r="AT53" s="45"/>
      <c r="AU53" s="43" t="str">
        <f>IF(IFERROR(INDEX(Consulta!$A:$DN,MATCH('ZM01'!$C53,Consulta!$D:$D,0),'ZM01'!AU$2),"")=0,"",IFERROR(INDEX(Consulta!$A:$DN,MATCH('ZM01'!$C53,Consulta!$D:$D,0),'ZM01'!AU$2),""))</f>
        <v/>
      </c>
      <c r="AV53" s="43" t="str">
        <f>IF(IFERROR(INDEX(Consulta!$A:$DN,MATCH('ZM01'!$C53,Consulta!$D:$D,0),'ZM01'!AV$2),"")=0,"",IFERROR(INDEX(Consulta!$A:$DN,MATCH('ZM01'!$C53,Consulta!$D:$D,0),'ZM01'!AV$2),""))</f>
        <v/>
      </c>
      <c r="AW53" s="45"/>
      <c r="AX53" s="46" t="str">
        <f t="shared" ca="1" si="41"/>
        <v/>
      </c>
      <c r="AY53" s="47" t="s">
        <v>755</v>
      </c>
      <c r="AZ53" s="43" t="str">
        <f>IF(IFERROR(ROUND(INDEX(Consulta!$A:$DN,MATCH('ZM01'!$C53,Consulta!$D:$D,0),'ZM01'!AZ$2),3),"")=0,"",IFERROR(ROUND(INDEX(Consulta!$A:$DN,MATCH('ZM01'!$C53,Consulta!$D:$D,0),'ZM01'!AZ$2),3),""))</f>
        <v/>
      </c>
      <c r="BA53" s="43" t="str">
        <f t="shared" si="42"/>
        <v/>
      </c>
      <c r="BB53" s="48" t="s">
        <v>299</v>
      </c>
      <c r="BC53" s="48"/>
      <c r="BD53" s="43" t="str">
        <f>IF(IFERROR(INDEX(Consulta!$A:$DN,MATCH('ZM01'!$C53,Consulta!$D:$D,0),'ZM01'!BD$2),"")=0,"",IFERROR(INDEX(Consulta!$A:$DN,MATCH('ZM01'!$C53,Consulta!$D:$D,0),'ZM01'!BD$2),""))</f>
        <v/>
      </c>
      <c r="BE53" s="43" t="str">
        <f t="shared" si="0"/>
        <v/>
      </c>
      <c r="BF53" s="43" t="str">
        <f t="shared" si="43"/>
        <v/>
      </c>
      <c r="BG53" s="43" t="str">
        <f t="shared" si="1"/>
        <v/>
      </c>
      <c r="BH53" s="43" t="str">
        <f t="shared" si="44"/>
        <v>PC</v>
      </c>
      <c r="BI53" s="43" t="str">
        <f t="shared" si="24"/>
        <v/>
      </c>
      <c r="BJ53" s="43" t="str">
        <f t="shared" si="25"/>
        <v/>
      </c>
      <c r="BK53" s="43" t="str">
        <f t="shared" si="26"/>
        <v/>
      </c>
      <c r="BL53" s="43" t="str">
        <f t="shared" si="45"/>
        <v>PC</v>
      </c>
      <c r="BN53" s="44"/>
      <c r="BO53" s="44" t="s">
        <v>925</v>
      </c>
      <c r="BP53" s="43" t="str">
        <f>IF(OR(IFERROR(INDEX(Consulta!$A:$DN,MATCH('ZM01'!$C53,Consulta!$D:$D,0),'ZM01'!BP$2),"")=0,IFERROR(INDEX(Consulta!$A:$DN,MATCH('ZM01'!$C53,Consulta!$D:$D,0),'ZM01'!BP$2),"")=AR53),"",IFERROR(INDEX(Consulta!$A:$DN,MATCH('ZM01'!$C53,Consulta!$D:$D,0),'ZM01'!BP$2),""))</f>
        <v/>
      </c>
      <c r="BQ53" s="45">
        <v>99</v>
      </c>
      <c r="BR53" s="46" t="str">
        <f t="shared" ca="1" si="46"/>
        <v>17.05.2022</v>
      </c>
      <c r="BS53" s="49" t="str">
        <f t="shared" si="47"/>
        <v/>
      </c>
      <c r="BT53" s="50">
        <v>1</v>
      </c>
      <c r="BU53" s="50" t="s">
        <v>194</v>
      </c>
      <c r="BV53" s="90" t="str">
        <f t="shared" si="14"/>
        <v>01</v>
      </c>
      <c r="BW53" s="50" t="s">
        <v>755</v>
      </c>
      <c r="BX53" s="44">
        <v>1</v>
      </c>
      <c r="BY53" s="44" t="s">
        <v>372</v>
      </c>
      <c r="BZ53" s="50" t="s">
        <v>197</v>
      </c>
      <c r="CA53" s="50" t="s">
        <v>197</v>
      </c>
      <c r="CB53" s="43" t="str">
        <f>IF(IFERROR(INDEX(Consulta!$A:$DN,MATCH('ZM01'!$C53,Consulta!$D:$D,0),'ZM01'!CB$2),"")=0,"",IFERROR(INDEX(Consulta!$A:$DN,MATCH('ZM01'!$C53,Consulta!$D:$D,0),'ZM01'!CB$2),""))</f>
        <v/>
      </c>
      <c r="CC53" s="44" t="s">
        <v>392</v>
      </c>
      <c r="CD53" s="50">
        <v>0</v>
      </c>
      <c r="CE53" s="45" t="s">
        <v>403</v>
      </c>
      <c r="CF53" s="45" t="s">
        <v>84</v>
      </c>
      <c r="CG53" s="43" t="str">
        <f t="shared" si="15"/>
        <v/>
      </c>
      <c r="CH53" s="45" t="s">
        <v>430</v>
      </c>
      <c r="CI53" s="44">
        <v>0</v>
      </c>
      <c r="CJ53" s="43" t="str">
        <f t="shared" si="27"/>
        <v>E</v>
      </c>
      <c r="CK53" s="43" t="str">
        <f t="shared" si="28"/>
        <v/>
      </c>
      <c r="CL53" s="44">
        <v>2</v>
      </c>
      <c r="CM53" s="49" t="str">
        <f t="shared" si="48"/>
        <v/>
      </c>
      <c r="CN53" s="49" t="str">
        <f t="shared" si="49"/>
        <v/>
      </c>
      <c r="CO53" s="43" t="str">
        <f t="shared" si="29"/>
        <v/>
      </c>
      <c r="CP53" s="44">
        <v>1</v>
      </c>
      <c r="CQ53" s="50" t="s">
        <v>515</v>
      </c>
      <c r="CR53" s="44" t="s">
        <v>372</v>
      </c>
      <c r="CS53" s="44">
        <v>2</v>
      </c>
      <c r="CT53" s="44">
        <v>42</v>
      </c>
      <c r="CU53" s="44">
        <v>10</v>
      </c>
      <c r="CV53" s="43" t="str">
        <f t="shared" si="30"/>
        <v>K00_AO_</v>
      </c>
      <c r="CW53" s="43" t="str">
        <f t="shared" si="31"/>
        <v/>
      </c>
      <c r="CX53" s="43" t="str">
        <f t="shared" si="32"/>
        <v/>
      </c>
      <c r="CY53" s="44">
        <v>1</v>
      </c>
      <c r="CZ53" s="43" t="str">
        <f t="shared" si="33"/>
        <v/>
      </c>
      <c r="DA53" s="43" t="str">
        <f>IF(IFERROR(INDEX(Consulta!$A:$DN,MATCH('ZM01'!$C53,Consulta!$D:$D,0),'ZM01'!DA$2),"")=0,"",IFERROR(INDEX(Consulta!$A:$DN,MATCH('ZM01'!$C53,Consulta!$D:$D,0),'ZM01'!DA$2),""))</f>
        <v/>
      </c>
      <c r="DB53" s="43" t="str">
        <f>IF(IFERROR(INDEX(Consulta!$A:$DN,MATCH('ZM01'!$C53,Consulta!$D:$D,0),'ZM01'!DB$2),"")=0,"",IFERROR(INDEX(Consulta!$A:$DN,MATCH('ZM01'!$C53,Consulta!$D:$D,0),'ZM01'!DB$2),""))</f>
        <v/>
      </c>
      <c r="DC53" s="45">
        <v>0</v>
      </c>
      <c r="DD53" s="45">
        <v>0</v>
      </c>
      <c r="DE53" s="43" t="str">
        <f>IF(IFERROR(INDEX(Consulta!$A:$DN,MATCH('ZM01'!$C53,Consulta!$D:$D,0),'ZM01'!DE$2),"")=0,"",IFERROR(TEXT(VALUE(INDEX(Consulta!$A:$DN,MATCH('ZM01'!$C53,Consulta!$D:$D,0),'ZM01'!DE$2))/100,"0,00"),""))</f>
        <v/>
      </c>
      <c r="DG53" s="43">
        <f t="shared" si="50"/>
        <v>1</v>
      </c>
      <c r="DH53" s="43" t="str">
        <f>IF(IFERROR(INDEX(Consulta!$A:$DN,MATCH('ZM01'!$C53,Consulta!$D:$D,0),'ZM01'!DH$2),"")=0,"",IFERROR(VLOOKUP(INDEX(Consulta!$A:$DN,MATCH('ZM01'!$C53,Consulta!$D:$D,0),'ZM01'!DH$2),'Listas de Dados'!BU:BW,3,0),""))</f>
        <v/>
      </c>
      <c r="DI53" s="43" t="str">
        <f t="shared" ca="1" si="51"/>
        <v>17.05.2022</v>
      </c>
      <c r="DJ53" s="43" t="str">
        <f t="shared" si="52"/>
        <v>31.12.9999</v>
      </c>
      <c r="DL53" s="44">
        <v>1</v>
      </c>
      <c r="DM53" s="44" t="s">
        <v>1039</v>
      </c>
      <c r="DN53" s="44">
        <v>1</v>
      </c>
      <c r="DO53" s="43">
        <f t="shared" si="34"/>
        <v>1</v>
      </c>
      <c r="DP53" s="43" t="str">
        <f t="shared" si="35"/>
        <v>PC</v>
      </c>
      <c r="DQ53" s="43" t="str">
        <f t="shared" si="36"/>
        <v/>
      </c>
      <c r="DR53" s="44">
        <v>100</v>
      </c>
      <c r="DS53" s="71">
        <f t="shared" si="21"/>
        <v>1</v>
      </c>
      <c r="DT53" s="43">
        <f t="shared" si="53"/>
        <v>100</v>
      </c>
      <c r="DU53" s="44">
        <v>1</v>
      </c>
      <c r="DV53" s="44">
        <v>0</v>
      </c>
      <c r="DW53" s="44" t="s">
        <v>826</v>
      </c>
      <c r="DX53" s="45">
        <v>0</v>
      </c>
      <c r="DY53" s="44">
        <v>100</v>
      </c>
      <c r="DZ53" s="60"/>
    </row>
    <row r="54" spans="1:130" x14ac:dyDescent="0.2">
      <c r="A54" s="7" t="str">
        <f t="shared" si="2"/>
        <v>Execução 50</v>
      </c>
      <c r="B54" s="75"/>
      <c r="C54" s="85"/>
      <c r="D54" s="71" t="str">
        <f t="shared" si="37"/>
        <v/>
      </c>
      <c r="E54" s="71" t="str">
        <f t="shared" si="38"/>
        <v/>
      </c>
      <c r="F54" s="43" t="str">
        <f>IF(IFERROR(INDEX(Consulta!$A:$DN,MATCH('ZM01'!$C54,Consulta!$D:$D,0),'ZM01'!F$2),"")=0,"",IFERROR(INDEX(Consulta!$A:$DN,MATCH('ZM01'!$C54,Consulta!$D:$D,0),'ZM01'!F$2),""))</f>
        <v/>
      </c>
      <c r="G54" s="43" t="str">
        <f>IF(IFERROR(INDEX(Consulta!$A:$DN,MATCH('ZM01'!$C54,Consulta!$D:$D,0),'ZM01'!G$2),"")=0,"",IFERROR(INDEX(Consulta!$A:$DN,MATCH('ZM01'!$C54,Consulta!$D:$D,0),'ZM01'!G$2),""))</f>
        <v/>
      </c>
      <c r="H54" s="43" t="str">
        <f t="shared" si="23"/>
        <v/>
      </c>
      <c r="I54" s="44" t="s">
        <v>100</v>
      </c>
      <c r="J54" s="43" t="str">
        <f>IF(IFERROR(INDEX(Consulta!$A:$DN,MATCH('ZM01'!$C54,Consulta!$D:$D,0),'ZM01'!J$2),"")=0,"",IFERROR(INDEX(Consulta!$A:$DN,MATCH('ZM01'!$C54,Consulta!$D:$D,0),'ZM01'!J$2),""))</f>
        <v/>
      </c>
      <c r="K54" s="43" t="str">
        <f>IF(IFERROR(INDEX(Consulta!$A:$DN,MATCH('ZM01'!$C54,Consulta!$D:$D,0),'ZM01'!K$2),"")=0,"",IFERROR(INDEX(Consulta!$A:$DN,MATCH('ZM01'!$C54,Consulta!$D:$D,0),'ZM01'!K$2),""))</f>
        <v/>
      </c>
      <c r="L54" s="43" t="str">
        <f t="shared" si="39"/>
        <v/>
      </c>
      <c r="M54" s="43" t="str">
        <f>IF(IFERROR(INDEX(Consulta!$A:$DN,MATCH('ZM01'!$C54,Consulta!$D:$D,0),'ZM01'!M$2),"")=0,"",IFERROR(INDEX(Consulta!$A:$DN,MATCH('ZM01'!$C54,Consulta!$D:$D,0),'ZM01'!M$2),""))</f>
        <v/>
      </c>
      <c r="N54" s="43" t="str">
        <f t="shared" si="40"/>
        <v/>
      </c>
      <c r="P54" s="45" t="s">
        <v>101</v>
      </c>
      <c r="Q54" s="45" t="s">
        <v>102</v>
      </c>
      <c r="R54" s="45" t="s">
        <v>103</v>
      </c>
      <c r="S54" s="45" t="s">
        <v>104</v>
      </c>
      <c r="T54" s="45" t="s">
        <v>105</v>
      </c>
      <c r="U54" s="45" t="s">
        <v>106</v>
      </c>
      <c r="V54" s="45" t="s">
        <v>107</v>
      </c>
      <c r="W54" s="45" t="s">
        <v>109</v>
      </c>
      <c r="X54" s="45" t="s">
        <v>110</v>
      </c>
      <c r="Y54" s="45"/>
      <c r="Z54" s="45"/>
      <c r="AA54" s="45" t="s">
        <v>112</v>
      </c>
      <c r="AB54" s="45" t="s">
        <v>113</v>
      </c>
      <c r="AC54" s="45" t="s">
        <v>114</v>
      </c>
      <c r="AD54" s="45" t="s">
        <v>115</v>
      </c>
      <c r="AE54" s="45" t="s">
        <v>117</v>
      </c>
      <c r="AF54" s="45" t="s">
        <v>118</v>
      </c>
      <c r="AG54" s="45" t="s">
        <v>119</v>
      </c>
      <c r="AH54" s="45" t="s">
        <v>120</v>
      </c>
      <c r="AI54" s="45" t="s">
        <v>121</v>
      </c>
      <c r="AJ54" s="45" t="s">
        <v>122</v>
      </c>
      <c r="AK54" s="45" t="s">
        <v>123</v>
      </c>
      <c r="AL54" s="45" t="s">
        <v>124</v>
      </c>
      <c r="AM54" s="45" t="s">
        <v>125</v>
      </c>
      <c r="AN54" s="45" t="s">
        <v>126</v>
      </c>
      <c r="AO54" s="45"/>
      <c r="AP54" s="45"/>
      <c r="AR54" s="44" t="s">
        <v>822</v>
      </c>
      <c r="AS54" s="43" t="str">
        <f>IF(IFERROR(INDEX(Consulta!$A:$DN,MATCH('ZM01'!$C54,Consulta!$D:$D,0),'ZM01'!AS$2),"")=0,"",IFERROR(INDEX(Consulta!$A:$DN,MATCH('ZM01'!$C54,Consulta!$D:$D,0),'ZM01'!AS$2),""))</f>
        <v/>
      </c>
      <c r="AT54" s="45"/>
      <c r="AU54" s="43" t="str">
        <f>IF(IFERROR(INDEX(Consulta!$A:$DN,MATCH('ZM01'!$C54,Consulta!$D:$D,0),'ZM01'!AU$2),"")=0,"",IFERROR(INDEX(Consulta!$A:$DN,MATCH('ZM01'!$C54,Consulta!$D:$D,0),'ZM01'!AU$2),""))</f>
        <v/>
      </c>
      <c r="AV54" s="43" t="str">
        <f>IF(IFERROR(INDEX(Consulta!$A:$DN,MATCH('ZM01'!$C54,Consulta!$D:$D,0),'ZM01'!AV$2),"")=0,"",IFERROR(INDEX(Consulta!$A:$DN,MATCH('ZM01'!$C54,Consulta!$D:$D,0),'ZM01'!AV$2),""))</f>
        <v/>
      </c>
      <c r="AW54" s="45"/>
      <c r="AX54" s="46" t="str">
        <f t="shared" ca="1" si="41"/>
        <v/>
      </c>
      <c r="AY54" s="47" t="s">
        <v>755</v>
      </c>
      <c r="AZ54" s="43" t="str">
        <f>IF(IFERROR(ROUND(INDEX(Consulta!$A:$DN,MATCH('ZM01'!$C54,Consulta!$D:$D,0),'ZM01'!AZ$2),3),"")=0,"",IFERROR(ROUND(INDEX(Consulta!$A:$DN,MATCH('ZM01'!$C54,Consulta!$D:$D,0),'ZM01'!AZ$2),3),""))</f>
        <v/>
      </c>
      <c r="BA54" s="43" t="str">
        <f t="shared" si="42"/>
        <v/>
      </c>
      <c r="BB54" s="48" t="s">
        <v>299</v>
      </c>
      <c r="BC54" s="48"/>
      <c r="BD54" s="43" t="str">
        <f>IF(IFERROR(INDEX(Consulta!$A:$DN,MATCH('ZM01'!$C54,Consulta!$D:$D,0),'ZM01'!BD$2),"")=0,"",IFERROR(INDEX(Consulta!$A:$DN,MATCH('ZM01'!$C54,Consulta!$D:$D,0),'ZM01'!BD$2),""))</f>
        <v/>
      </c>
      <c r="BE54" s="43" t="str">
        <f t="shared" si="0"/>
        <v/>
      </c>
      <c r="BF54" s="43" t="str">
        <f t="shared" si="43"/>
        <v/>
      </c>
      <c r="BG54" s="43" t="str">
        <f t="shared" si="1"/>
        <v/>
      </c>
      <c r="BH54" s="43" t="str">
        <f t="shared" si="44"/>
        <v>PC</v>
      </c>
      <c r="BI54" s="43" t="str">
        <f t="shared" si="24"/>
        <v/>
      </c>
      <c r="BJ54" s="43" t="str">
        <f t="shared" si="25"/>
        <v/>
      </c>
      <c r="BK54" s="43" t="str">
        <f t="shared" si="26"/>
        <v/>
      </c>
      <c r="BL54" s="43" t="str">
        <f t="shared" si="45"/>
        <v>PC</v>
      </c>
      <c r="BN54" s="44"/>
      <c r="BO54" s="44" t="s">
        <v>925</v>
      </c>
      <c r="BP54" s="43" t="str">
        <f>IF(OR(IFERROR(INDEX(Consulta!$A:$DN,MATCH('ZM01'!$C54,Consulta!$D:$D,0),'ZM01'!BP$2),"")=0,IFERROR(INDEX(Consulta!$A:$DN,MATCH('ZM01'!$C54,Consulta!$D:$D,0),'ZM01'!BP$2),"")=AR54),"",IFERROR(INDEX(Consulta!$A:$DN,MATCH('ZM01'!$C54,Consulta!$D:$D,0),'ZM01'!BP$2),""))</f>
        <v/>
      </c>
      <c r="BQ54" s="45">
        <v>99</v>
      </c>
      <c r="BR54" s="46" t="str">
        <f t="shared" ca="1" si="46"/>
        <v>17.05.2022</v>
      </c>
      <c r="BS54" s="49" t="str">
        <f t="shared" si="47"/>
        <v/>
      </c>
      <c r="BT54" s="50">
        <v>1</v>
      </c>
      <c r="BU54" s="50" t="s">
        <v>194</v>
      </c>
      <c r="BV54" s="90" t="str">
        <f t="shared" si="14"/>
        <v>01</v>
      </c>
      <c r="BW54" s="50" t="s">
        <v>755</v>
      </c>
      <c r="BX54" s="44">
        <v>1</v>
      </c>
      <c r="BY54" s="44" t="s">
        <v>372</v>
      </c>
      <c r="BZ54" s="50" t="s">
        <v>197</v>
      </c>
      <c r="CA54" s="50" t="s">
        <v>197</v>
      </c>
      <c r="CB54" s="43" t="str">
        <f>IF(IFERROR(INDEX(Consulta!$A:$DN,MATCH('ZM01'!$C54,Consulta!$D:$D,0),'ZM01'!CB$2),"")=0,"",IFERROR(INDEX(Consulta!$A:$DN,MATCH('ZM01'!$C54,Consulta!$D:$D,0),'ZM01'!CB$2),""))</f>
        <v/>
      </c>
      <c r="CC54" s="44" t="s">
        <v>392</v>
      </c>
      <c r="CD54" s="50">
        <v>0</v>
      </c>
      <c r="CE54" s="45" t="s">
        <v>403</v>
      </c>
      <c r="CF54" s="45" t="s">
        <v>84</v>
      </c>
      <c r="CG54" s="43" t="str">
        <f t="shared" si="15"/>
        <v/>
      </c>
      <c r="CH54" s="45" t="s">
        <v>430</v>
      </c>
      <c r="CI54" s="44">
        <v>0</v>
      </c>
      <c r="CJ54" s="43" t="str">
        <f t="shared" si="27"/>
        <v>E</v>
      </c>
      <c r="CK54" s="43" t="str">
        <f t="shared" si="28"/>
        <v/>
      </c>
      <c r="CL54" s="44">
        <v>2</v>
      </c>
      <c r="CM54" s="49" t="str">
        <f t="shared" si="48"/>
        <v/>
      </c>
      <c r="CN54" s="49" t="str">
        <f t="shared" si="49"/>
        <v/>
      </c>
      <c r="CO54" s="43" t="str">
        <f t="shared" si="29"/>
        <v/>
      </c>
      <c r="CP54" s="44">
        <v>1</v>
      </c>
      <c r="CQ54" s="50" t="s">
        <v>515</v>
      </c>
      <c r="CR54" s="44" t="s">
        <v>372</v>
      </c>
      <c r="CS54" s="44">
        <v>2</v>
      </c>
      <c r="CT54" s="44">
        <v>42</v>
      </c>
      <c r="CU54" s="44">
        <v>10</v>
      </c>
      <c r="CV54" s="43" t="str">
        <f t="shared" si="30"/>
        <v>K00_AO_</v>
      </c>
      <c r="CW54" s="43" t="str">
        <f t="shared" si="31"/>
        <v/>
      </c>
      <c r="CX54" s="43" t="str">
        <f t="shared" si="32"/>
        <v/>
      </c>
      <c r="CY54" s="44">
        <v>1</v>
      </c>
      <c r="CZ54" s="43" t="str">
        <f t="shared" si="33"/>
        <v/>
      </c>
      <c r="DA54" s="43" t="str">
        <f>IF(IFERROR(INDEX(Consulta!$A:$DN,MATCH('ZM01'!$C54,Consulta!$D:$D,0),'ZM01'!DA$2),"")=0,"",IFERROR(INDEX(Consulta!$A:$DN,MATCH('ZM01'!$C54,Consulta!$D:$D,0),'ZM01'!DA$2),""))</f>
        <v/>
      </c>
      <c r="DB54" s="43" t="str">
        <f>IF(IFERROR(INDEX(Consulta!$A:$DN,MATCH('ZM01'!$C54,Consulta!$D:$D,0),'ZM01'!DB$2),"")=0,"",IFERROR(INDEX(Consulta!$A:$DN,MATCH('ZM01'!$C54,Consulta!$D:$D,0),'ZM01'!DB$2),""))</f>
        <v/>
      </c>
      <c r="DC54" s="45">
        <v>0</v>
      </c>
      <c r="DD54" s="45">
        <v>0</v>
      </c>
      <c r="DE54" s="43" t="str">
        <f>IF(IFERROR(INDEX(Consulta!$A:$DN,MATCH('ZM01'!$C54,Consulta!$D:$D,0),'ZM01'!DE$2),"")=0,"",IFERROR(TEXT(VALUE(INDEX(Consulta!$A:$DN,MATCH('ZM01'!$C54,Consulta!$D:$D,0),'ZM01'!DE$2))/100,"0,00"),""))</f>
        <v/>
      </c>
      <c r="DG54" s="43">
        <f t="shared" si="50"/>
        <v>1</v>
      </c>
      <c r="DH54" s="43" t="str">
        <f>IF(IFERROR(INDEX(Consulta!$A:$DN,MATCH('ZM01'!$C54,Consulta!$D:$D,0),'ZM01'!DH$2),"")=0,"",IFERROR(VLOOKUP(INDEX(Consulta!$A:$DN,MATCH('ZM01'!$C54,Consulta!$D:$D,0),'ZM01'!DH$2),'Listas de Dados'!BU:BW,3,0),""))</f>
        <v/>
      </c>
      <c r="DI54" s="43" t="str">
        <f t="shared" ca="1" si="51"/>
        <v>17.05.2022</v>
      </c>
      <c r="DJ54" s="43" t="str">
        <f t="shared" si="52"/>
        <v>31.12.9999</v>
      </c>
      <c r="DL54" s="44">
        <v>1</v>
      </c>
      <c r="DM54" s="44" t="s">
        <v>1039</v>
      </c>
      <c r="DN54" s="44">
        <v>1</v>
      </c>
      <c r="DO54" s="43">
        <f t="shared" si="34"/>
        <v>1</v>
      </c>
      <c r="DP54" s="43" t="str">
        <f t="shared" si="35"/>
        <v>PC</v>
      </c>
      <c r="DQ54" s="43" t="str">
        <f t="shared" si="36"/>
        <v/>
      </c>
      <c r="DR54" s="44">
        <v>100</v>
      </c>
      <c r="DS54" s="71">
        <f t="shared" si="21"/>
        <v>1</v>
      </c>
      <c r="DT54" s="43">
        <f t="shared" si="53"/>
        <v>100</v>
      </c>
      <c r="DU54" s="44">
        <v>1</v>
      </c>
      <c r="DV54" s="44">
        <v>0</v>
      </c>
      <c r="DW54" s="44" t="s">
        <v>826</v>
      </c>
      <c r="DX54" s="45">
        <v>0</v>
      </c>
      <c r="DY54" s="44">
        <v>100</v>
      </c>
      <c r="DZ54" s="61"/>
    </row>
    <row r="55" spans="1:130" x14ac:dyDescent="0.2">
      <c r="A55" s="7" t="str">
        <f t="shared" si="2"/>
        <v>Execução 51</v>
      </c>
      <c r="B55" s="79"/>
      <c r="C55" s="85"/>
      <c r="D55" s="71" t="str">
        <f t="shared" si="37"/>
        <v/>
      </c>
      <c r="E55" s="71" t="str">
        <f t="shared" si="38"/>
        <v/>
      </c>
      <c r="F55" s="43" t="str">
        <f>IF(IFERROR(INDEX(Consulta!$A:$DN,MATCH('ZM01'!$C55,Consulta!$D:$D,0),'ZM01'!F$2),"")=0,"",IFERROR(INDEX(Consulta!$A:$DN,MATCH('ZM01'!$C55,Consulta!$D:$D,0),'ZM01'!F$2),""))</f>
        <v/>
      </c>
      <c r="G55" s="43" t="str">
        <f>IF(IFERROR(INDEX(Consulta!$A:$DN,MATCH('ZM01'!$C55,Consulta!$D:$D,0),'ZM01'!G$2),"")=0,"",IFERROR(INDEX(Consulta!$A:$DN,MATCH('ZM01'!$C55,Consulta!$D:$D,0),'ZM01'!G$2),""))</f>
        <v/>
      </c>
      <c r="H55" s="43" t="str">
        <f t="shared" si="23"/>
        <v/>
      </c>
      <c r="I55" s="44" t="s">
        <v>100</v>
      </c>
      <c r="J55" s="43" t="str">
        <f>IF(IFERROR(INDEX(Consulta!$A:$DN,MATCH('ZM01'!$C55,Consulta!$D:$D,0),'ZM01'!J$2),"")=0,"",IFERROR(INDEX(Consulta!$A:$DN,MATCH('ZM01'!$C55,Consulta!$D:$D,0),'ZM01'!J$2),""))</f>
        <v/>
      </c>
      <c r="K55" s="43" t="str">
        <f>IF(IFERROR(INDEX(Consulta!$A:$DN,MATCH('ZM01'!$C55,Consulta!$D:$D,0),'ZM01'!K$2),"")=0,"",IFERROR(INDEX(Consulta!$A:$DN,MATCH('ZM01'!$C55,Consulta!$D:$D,0),'ZM01'!K$2),""))</f>
        <v/>
      </c>
      <c r="L55" s="43" t="str">
        <f t="shared" si="39"/>
        <v/>
      </c>
      <c r="M55" s="43" t="str">
        <f>IF(IFERROR(INDEX(Consulta!$A:$DN,MATCH('ZM01'!$C55,Consulta!$D:$D,0),'ZM01'!M$2),"")=0,"",IFERROR(INDEX(Consulta!$A:$DN,MATCH('ZM01'!$C55,Consulta!$D:$D,0),'ZM01'!M$2),""))</f>
        <v/>
      </c>
      <c r="N55" s="43" t="str">
        <f t="shared" si="40"/>
        <v/>
      </c>
      <c r="P55" s="45" t="s">
        <v>101</v>
      </c>
      <c r="Q55" s="45" t="s">
        <v>102</v>
      </c>
      <c r="R55" s="45" t="s">
        <v>103</v>
      </c>
      <c r="S55" s="45" t="s">
        <v>104</v>
      </c>
      <c r="T55" s="45" t="s">
        <v>105</v>
      </c>
      <c r="U55" s="45" t="s">
        <v>106</v>
      </c>
      <c r="V55" s="45" t="s">
        <v>107</v>
      </c>
      <c r="W55" s="45" t="s">
        <v>109</v>
      </c>
      <c r="X55" s="45" t="s">
        <v>110</v>
      </c>
      <c r="Y55" s="45"/>
      <c r="Z55" s="45"/>
      <c r="AA55" s="45" t="s">
        <v>112</v>
      </c>
      <c r="AB55" s="45" t="s">
        <v>113</v>
      </c>
      <c r="AC55" s="45" t="s">
        <v>114</v>
      </c>
      <c r="AD55" s="45" t="s">
        <v>115</v>
      </c>
      <c r="AE55" s="45" t="s">
        <v>117</v>
      </c>
      <c r="AF55" s="45" t="s">
        <v>118</v>
      </c>
      <c r="AG55" s="45" t="s">
        <v>119</v>
      </c>
      <c r="AH55" s="45" t="s">
        <v>120</v>
      </c>
      <c r="AI55" s="45" t="s">
        <v>121</v>
      </c>
      <c r="AJ55" s="45" t="s">
        <v>122</v>
      </c>
      <c r="AK55" s="45" t="s">
        <v>123</v>
      </c>
      <c r="AL55" s="45" t="s">
        <v>124</v>
      </c>
      <c r="AM55" s="45" t="s">
        <v>125</v>
      </c>
      <c r="AN55" s="45" t="s">
        <v>126</v>
      </c>
      <c r="AO55" s="45"/>
      <c r="AP55" s="45"/>
      <c r="AR55" s="44" t="s">
        <v>822</v>
      </c>
      <c r="AS55" s="43" t="str">
        <f>IF(IFERROR(INDEX(Consulta!$A:$DN,MATCH('ZM01'!$C55,Consulta!$D:$D,0),'ZM01'!AS$2),"")=0,"",IFERROR(INDEX(Consulta!$A:$DN,MATCH('ZM01'!$C55,Consulta!$D:$D,0),'ZM01'!AS$2),""))</f>
        <v/>
      </c>
      <c r="AT55" s="45"/>
      <c r="AU55" s="43" t="str">
        <f>IF(IFERROR(INDEX(Consulta!$A:$DN,MATCH('ZM01'!$C55,Consulta!$D:$D,0),'ZM01'!AU$2),"")=0,"",IFERROR(INDEX(Consulta!$A:$DN,MATCH('ZM01'!$C55,Consulta!$D:$D,0),'ZM01'!AU$2),""))</f>
        <v/>
      </c>
      <c r="AV55" s="43" t="str">
        <f>IF(IFERROR(INDEX(Consulta!$A:$DN,MATCH('ZM01'!$C55,Consulta!$D:$D,0),'ZM01'!AV$2),"")=0,"",IFERROR(INDEX(Consulta!$A:$DN,MATCH('ZM01'!$C55,Consulta!$D:$D,0),'ZM01'!AV$2),""))</f>
        <v/>
      </c>
      <c r="AW55" s="45"/>
      <c r="AX55" s="46" t="str">
        <f t="shared" ca="1" si="41"/>
        <v/>
      </c>
      <c r="AY55" s="47" t="s">
        <v>755</v>
      </c>
      <c r="AZ55" s="43" t="str">
        <f>IF(IFERROR(ROUND(INDEX(Consulta!$A:$DN,MATCH('ZM01'!$C55,Consulta!$D:$D,0),'ZM01'!AZ$2),3),"")=0,"",IFERROR(ROUND(INDEX(Consulta!$A:$DN,MATCH('ZM01'!$C55,Consulta!$D:$D,0),'ZM01'!AZ$2),3),""))</f>
        <v/>
      </c>
      <c r="BA55" s="43" t="str">
        <f t="shared" si="42"/>
        <v/>
      </c>
      <c r="BB55" s="48" t="s">
        <v>299</v>
      </c>
      <c r="BC55" s="48"/>
      <c r="BD55" s="43" t="str">
        <f>IF(IFERROR(INDEX(Consulta!$A:$DN,MATCH('ZM01'!$C55,Consulta!$D:$D,0),'ZM01'!BD$2),"")=0,"",IFERROR(INDEX(Consulta!$A:$DN,MATCH('ZM01'!$C55,Consulta!$D:$D,0),'ZM01'!BD$2),""))</f>
        <v/>
      </c>
      <c r="BE55" s="43" t="str">
        <f t="shared" si="0"/>
        <v/>
      </c>
      <c r="BF55" s="43" t="str">
        <f t="shared" si="43"/>
        <v/>
      </c>
      <c r="BG55" s="43" t="str">
        <f t="shared" si="1"/>
        <v/>
      </c>
      <c r="BH55" s="43" t="str">
        <f t="shared" si="44"/>
        <v>PC</v>
      </c>
      <c r="BI55" s="43" t="str">
        <f t="shared" si="24"/>
        <v/>
      </c>
      <c r="BJ55" s="43" t="str">
        <f t="shared" si="25"/>
        <v/>
      </c>
      <c r="BK55" s="43" t="str">
        <f t="shared" si="26"/>
        <v/>
      </c>
      <c r="BL55" s="43" t="str">
        <f t="shared" si="45"/>
        <v>PC</v>
      </c>
      <c r="BN55" s="44"/>
      <c r="BO55" s="44" t="s">
        <v>925</v>
      </c>
      <c r="BP55" s="43" t="str">
        <f>IF(OR(IFERROR(INDEX(Consulta!$A:$DN,MATCH('ZM01'!$C55,Consulta!$D:$D,0),'ZM01'!BP$2),"")=0,IFERROR(INDEX(Consulta!$A:$DN,MATCH('ZM01'!$C55,Consulta!$D:$D,0),'ZM01'!BP$2),"")=AR55),"",IFERROR(INDEX(Consulta!$A:$DN,MATCH('ZM01'!$C55,Consulta!$D:$D,0),'ZM01'!BP$2),""))</f>
        <v/>
      </c>
      <c r="BQ55" s="45">
        <v>99</v>
      </c>
      <c r="BR55" s="46" t="str">
        <f t="shared" ca="1" si="46"/>
        <v>17.05.2022</v>
      </c>
      <c r="BS55" s="49" t="str">
        <f t="shared" si="47"/>
        <v/>
      </c>
      <c r="BT55" s="50">
        <v>1</v>
      </c>
      <c r="BU55" s="50" t="s">
        <v>194</v>
      </c>
      <c r="BV55" s="90" t="str">
        <f t="shared" si="14"/>
        <v>01</v>
      </c>
      <c r="BW55" s="50" t="s">
        <v>755</v>
      </c>
      <c r="BX55" s="44">
        <v>1</v>
      </c>
      <c r="BY55" s="44" t="s">
        <v>372</v>
      </c>
      <c r="BZ55" s="50" t="s">
        <v>197</v>
      </c>
      <c r="CA55" s="50" t="s">
        <v>197</v>
      </c>
      <c r="CB55" s="43" t="str">
        <f>IF(IFERROR(INDEX(Consulta!$A:$DN,MATCH('ZM01'!$C55,Consulta!$D:$D,0),'ZM01'!CB$2),"")=0,"",IFERROR(INDEX(Consulta!$A:$DN,MATCH('ZM01'!$C55,Consulta!$D:$D,0),'ZM01'!CB$2),""))</f>
        <v/>
      </c>
      <c r="CC55" s="44" t="s">
        <v>392</v>
      </c>
      <c r="CD55" s="50">
        <v>0</v>
      </c>
      <c r="CE55" s="45" t="s">
        <v>403</v>
      </c>
      <c r="CF55" s="45" t="s">
        <v>84</v>
      </c>
      <c r="CG55" s="43" t="str">
        <f t="shared" si="15"/>
        <v/>
      </c>
      <c r="CH55" s="45" t="s">
        <v>430</v>
      </c>
      <c r="CI55" s="44">
        <v>0</v>
      </c>
      <c r="CJ55" s="43" t="str">
        <f t="shared" si="27"/>
        <v>E</v>
      </c>
      <c r="CK55" s="43" t="str">
        <f t="shared" si="28"/>
        <v/>
      </c>
      <c r="CL55" s="44">
        <v>2</v>
      </c>
      <c r="CM55" s="49" t="str">
        <f t="shared" si="48"/>
        <v/>
      </c>
      <c r="CN55" s="49" t="str">
        <f t="shared" si="49"/>
        <v/>
      </c>
      <c r="CO55" s="43" t="str">
        <f t="shared" si="29"/>
        <v/>
      </c>
      <c r="CP55" s="44">
        <v>1</v>
      </c>
      <c r="CQ55" s="50" t="s">
        <v>515</v>
      </c>
      <c r="CR55" s="44" t="s">
        <v>372</v>
      </c>
      <c r="CS55" s="44">
        <v>2</v>
      </c>
      <c r="CT55" s="44">
        <v>42</v>
      </c>
      <c r="CU55" s="44">
        <v>10</v>
      </c>
      <c r="CV55" s="43" t="str">
        <f t="shared" si="30"/>
        <v>K00_AO_</v>
      </c>
      <c r="CW55" s="43" t="str">
        <f t="shared" si="31"/>
        <v/>
      </c>
      <c r="CX55" s="43" t="str">
        <f t="shared" si="32"/>
        <v/>
      </c>
      <c r="CY55" s="44">
        <v>1</v>
      </c>
      <c r="CZ55" s="43" t="str">
        <f t="shared" si="33"/>
        <v/>
      </c>
      <c r="DA55" s="43" t="str">
        <f>IF(IFERROR(INDEX(Consulta!$A:$DN,MATCH('ZM01'!$C55,Consulta!$D:$D,0),'ZM01'!DA$2),"")=0,"",IFERROR(INDEX(Consulta!$A:$DN,MATCH('ZM01'!$C55,Consulta!$D:$D,0),'ZM01'!DA$2),""))</f>
        <v/>
      </c>
      <c r="DB55" s="43" t="str">
        <f>IF(IFERROR(INDEX(Consulta!$A:$DN,MATCH('ZM01'!$C55,Consulta!$D:$D,0),'ZM01'!DB$2),"")=0,"",IFERROR(INDEX(Consulta!$A:$DN,MATCH('ZM01'!$C55,Consulta!$D:$D,0),'ZM01'!DB$2),""))</f>
        <v/>
      </c>
      <c r="DC55" s="45">
        <v>0</v>
      </c>
      <c r="DD55" s="45">
        <v>0</v>
      </c>
      <c r="DE55" s="43" t="str">
        <f>IF(IFERROR(INDEX(Consulta!$A:$DN,MATCH('ZM01'!$C55,Consulta!$D:$D,0),'ZM01'!DE$2),"")=0,"",IFERROR(TEXT(VALUE(INDEX(Consulta!$A:$DN,MATCH('ZM01'!$C55,Consulta!$D:$D,0),'ZM01'!DE$2))/100,"0,00"),""))</f>
        <v/>
      </c>
      <c r="DG55" s="43">
        <f t="shared" si="50"/>
        <v>1</v>
      </c>
      <c r="DH55" s="43" t="str">
        <f>IF(IFERROR(INDEX(Consulta!$A:$DN,MATCH('ZM01'!$C55,Consulta!$D:$D,0),'ZM01'!DH$2),"")=0,"",IFERROR(VLOOKUP(INDEX(Consulta!$A:$DN,MATCH('ZM01'!$C55,Consulta!$D:$D,0),'ZM01'!DH$2),'Listas de Dados'!BU:BW,3,0),""))</f>
        <v/>
      </c>
      <c r="DI55" s="43" t="str">
        <f t="shared" ca="1" si="51"/>
        <v>17.05.2022</v>
      </c>
      <c r="DJ55" s="43" t="str">
        <f t="shared" si="52"/>
        <v>31.12.9999</v>
      </c>
      <c r="DL55" s="44">
        <v>1</v>
      </c>
      <c r="DM55" s="44" t="s">
        <v>1039</v>
      </c>
      <c r="DN55" s="44">
        <v>1</v>
      </c>
      <c r="DO55" s="43">
        <f t="shared" si="34"/>
        <v>1</v>
      </c>
      <c r="DP55" s="43" t="str">
        <f t="shared" si="35"/>
        <v>PC</v>
      </c>
      <c r="DQ55" s="43" t="str">
        <f t="shared" si="36"/>
        <v/>
      </c>
      <c r="DR55" s="44">
        <v>100</v>
      </c>
      <c r="DS55" s="71">
        <f t="shared" si="21"/>
        <v>1</v>
      </c>
      <c r="DT55" s="43">
        <f t="shared" si="53"/>
        <v>100</v>
      </c>
      <c r="DU55" s="44">
        <v>1</v>
      </c>
      <c r="DV55" s="44">
        <v>0</v>
      </c>
      <c r="DW55" s="44" t="s">
        <v>826</v>
      </c>
      <c r="DX55" s="45">
        <v>0</v>
      </c>
      <c r="DY55" s="44">
        <v>100</v>
      </c>
      <c r="DZ55" s="60"/>
    </row>
    <row r="56" spans="1:130" x14ac:dyDescent="0.2">
      <c r="A56" s="7" t="str">
        <f t="shared" si="2"/>
        <v>Execução 52</v>
      </c>
      <c r="B56" s="75"/>
      <c r="C56" s="85"/>
      <c r="D56" s="71" t="str">
        <f t="shared" si="37"/>
        <v/>
      </c>
      <c r="E56" s="71" t="str">
        <f t="shared" si="38"/>
        <v/>
      </c>
      <c r="F56" s="43" t="str">
        <f>IF(IFERROR(INDEX(Consulta!$A:$DN,MATCH('ZM01'!$C56,Consulta!$D:$D,0),'ZM01'!F$2),"")=0,"",IFERROR(INDEX(Consulta!$A:$DN,MATCH('ZM01'!$C56,Consulta!$D:$D,0),'ZM01'!F$2),""))</f>
        <v/>
      </c>
      <c r="G56" s="43" t="str">
        <f>IF(IFERROR(INDEX(Consulta!$A:$DN,MATCH('ZM01'!$C56,Consulta!$D:$D,0),'ZM01'!G$2),"")=0,"",IFERROR(INDEX(Consulta!$A:$DN,MATCH('ZM01'!$C56,Consulta!$D:$D,0),'ZM01'!G$2),""))</f>
        <v/>
      </c>
      <c r="H56" s="43" t="str">
        <f t="shared" si="23"/>
        <v/>
      </c>
      <c r="I56" s="44" t="s">
        <v>100</v>
      </c>
      <c r="J56" s="43" t="str">
        <f>IF(IFERROR(INDEX(Consulta!$A:$DN,MATCH('ZM01'!$C56,Consulta!$D:$D,0),'ZM01'!J$2),"")=0,"",IFERROR(INDEX(Consulta!$A:$DN,MATCH('ZM01'!$C56,Consulta!$D:$D,0),'ZM01'!J$2),""))</f>
        <v/>
      </c>
      <c r="K56" s="43" t="str">
        <f>IF(IFERROR(INDEX(Consulta!$A:$DN,MATCH('ZM01'!$C56,Consulta!$D:$D,0),'ZM01'!K$2),"")=0,"",IFERROR(INDEX(Consulta!$A:$DN,MATCH('ZM01'!$C56,Consulta!$D:$D,0),'ZM01'!K$2),""))</f>
        <v/>
      </c>
      <c r="L56" s="43" t="str">
        <f t="shared" si="39"/>
        <v/>
      </c>
      <c r="M56" s="43" t="str">
        <f>IF(IFERROR(INDEX(Consulta!$A:$DN,MATCH('ZM01'!$C56,Consulta!$D:$D,0),'ZM01'!M$2),"")=0,"",IFERROR(INDEX(Consulta!$A:$DN,MATCH('ZM01'!$C56,Consulta!$D:$D,0),'ZM01'!M$2),""))</f>
        <v/>
      </c>
      <c r="N56" s="43" t="str">
        <f t="shared" si="40"/>
        <v/>
      </c>
      <c r="P56" s="45" t="s">
        <v>101</v>
      </c>
      <c r="Q56" s="45" t="s">
        <v>102</v>
      </c>
      <c r="R56" s="45" t="s">
        <v>103</v>
      </c>
      <c r="S56" s="45" t="s">
        <v>104</v>
      </c>
      <c r="T56" s="45" t="s">
        <v>105</v>
      </c>
      <c r="U56" s="45" t="s">
        <v>106</v>
      </c>
      <c r="V56" s="45" t="s">
        <v>107</v>
      </c>
      <c r="W56" s="45" t="s">
        <v>109</v>
      </c>
      <c r="X56" s="45" t="s">
        <v>110</v>
      </c>
      <c r="Y56" s="45"/>
      <c r="Z56" s="45"/>
      <c r="AA56" s="45" t="s">
        <v>112</v>
      </c>
      <c r="AB56" s="45" t="s">
        <v>113</v>
      </c>
      <c r="AC56" s="45" t="s">
        <v>114</v>
      </c>
      <c r="AD56" s="45" t="s">
        <v>115</v>
      </c>
      <c r="AE56" s="45" t="s">
        <v>117</v>
      </c>
      <c r="AF56" s="45" t="s">
        <v>118</v>
      </c>
      <c r="AG56" s="45" t="s">
        <v>119</v>
      </c>
      <c r="AH56" s="45" t="s">
        <v>120</v>
      </c>
      <c r="AI56" s="45" t="s">
        <v>121</v>
      </c>
      <c r="AJ56" s="45" t="s">
        <v>122</v>
      </c>
      <c r="AK56" s="45" t="s">
        <v>123</v>
      </c>
      <c r="AL56" s="45" t="s">
        <v>124</v>
      </c>
      <c r="AM56" s="45" t="s">
        <v>125</v>
      </c>
      <c r="AN56" s="45" t="s">
        <v>126</v>
      </c>
      <c r="AO56" s="45"/>
      <c r="AP56" s="45"/>
      <c r="AR56" s="44" t="s">
        <v>822</v>
      </c>
      <c r="AS56" s="43" t="str">
        <f>IF(IFERROR(INDEX(Consulta!$A:$DN,MATCH('ZM01'!$C56,Consulta!$D:$D,0),'ZM01'!AS$2),"")=0,"",IFERROR(INDEX(Consulta!$A:$DN,MATCH('ZM01'!$C56,Consulta!$D:$D,0),'ZM01'!AS$2),""))</f>
        <v/>
      </c>
      <c r="AT56" s="45"/>
      <c r="AU56" s="43" t="str">
        <f>IF(IFERROR(INDEX(Consulta!$A:$DN,MATCH('ZM01'!$C56,Consulta!$D:$D,0),'ZM01'!AU$2),"")=0,"",IFERROR(INDEX(Consulta!$A:$DN,MATCH('ZM01'!$C56,Consulta!$D:$D,0),'ZM01'!AU$2),""))</f>
        <v/>
      </c>
      <c r="AV56" s="43" t="str">
        <f>IF(IFERROR(INDEX(Consulta!$A:$DN,MATCH('ZM01'!$C56,Consulta!$D:$D,0),'ZM01'!AV$2),"")=0,"",IFERROR(INDEX(Consulta!$A:$DN,MATCH('ZM01'!$C56,Consulta!$D:$D,0),'ZM01'!AV$2),""))</f>
        <v/>
      </c>
      <c r="AW56" s="45"/>
      <c r="AX56" s="46" t="str">
        <f t="shared" ca="1" si="41"/>
        <v/>
      </c>
      <c r="AY56" s="47" t="s">
        <v>755</v>
      </c>
      <c r="AZ56" s="43" t="str">
        <f>IF(IFERROR(ROUND(INDEX(Consulta!$A:$DN,MATCH('ZM01'!$C56,Consulta!$D:$D,0),'ZM01'!AZ$2),3),"")=0,"",IFERROR(ROUND(INDEX(Consulta!$A:$DN,MATCH('ZM01'!$C56,Consulta!$D:$D,0),'ZM01'!AZ$2),3),""))</f>
        <v/>
      </c>
      <c r="BA56" s="43" t="str">
        <f t="shared" si="42"/>
        <v/>
      </c>
      <c r="BB56" s="48" t="s">
        <v>299</v>
      </c>
      <c r="BC56" s="48"/>
      <c r="BD56" s="43" t="str">
        <f>IF(IFERROR(INDEX(Consulta!$A:$DN,MATCH('ZM01'!$C56,Consulta!$D:$D,0),'ZM01'!BD$2),"")=0,"",IFERROR(INDEX(Consulta!$A:$DN,MATCH('ZM01'!$C56,Consulta!$D:$D,0),'ZM01'!BD$2),""))</f>
        <v/>
      </c>
      <c r="BE56" s="43" t="str">
        <f t="shared" si="0"/>
        <v/>
      </c>
      <c r="BF56" s="43" t="str">
        <f t="shared" si="43"/>
        <v/>
      </c>
      <c r="BG56" s="43" t="str">
        <f t="shared" si="1"/>
        <v/>
      </c>
      <c r="BH56" s="43" t="str">
        <f t="shared" si="44"/>
        <v>PC</v>
      </c>
      <c r="BI56" s="43" t="str">
        <f t="shared" si="24"/>
        <v/>
      </c>
      <c r="BJ56" s="43" t="str">
        <f t="shared" si="25"/>
        <v/>
      </c>
      <c r="BK56" s="43" t="str">
        <f t="shared" si="26"/>
        <v/>
      </c>
      <c r="BL56" s="43" t="str">
        <f t="shared" si="45"/>
        <v>PC</v>
      </c>
      <c r="BN56" s="44"/>
      <c r="BO56" s="44" t="s">
        <v>925</v>
      </c>
      <c r="BP56" s="43" t="str">
        <f>IF(OR(IFERROR(INDEX(Consulta!$A:$DN,MATCH('ZM01'!$C56,Consulta!$D:$D,0),'ZM01'!BP$2),"")=0,IFERROR(INDEX(Consulta!$A:$DN,MATCH('ZM01'!$C56,Consulta!$D:$D,0),'ZM01'!BP$2),"")=AR56),"",IFERROR(INDEX(Consulta!$A:$DN,MATCH('ZM01'!$C56,Consulta!$D:$D,0),'ZM01'!BP$2),""))</f>
        <v/>
      </c>
      <c r="BQ56" s="45">
        <v>99</v>
      </c>
      <c r="BR56" s="46" t="str">
        <f t="shared" ca="1" si="46"/>
        <v>17.05.2022</v>
      </c>
      <c r="BS56" s="49" t="str">
        <f t="shared" si="47"/>
        <v/>
      </c>
      <c r="BT56" s="50">
        <v>1</v>
      </c>
      <c r="BU56" s="50" t="s">
        <v>194</v>
      </c>
      <c r="BV56" s="90" t="str">
        <f t="shared" si="14"/>
        <v>01</v>
      </c>
      <c r="BW56" s="50" t="s">
        <v>755</v>
      </c>
      <c r="BX56" s="44">
        <v>1</v>
      </c>
      <c r="BY56" s="44" t="s">
        <v>372</v>
      </c>
      <c r="BZ56" s="50" t="s">
        <v>197</v>
      </c>
      <c r="CA56" s="50" t="s">
        <v>197</v>
      </c>
      <c r="CB56" s="43" t="str">
        <f>IF(IFERROR(INDEX(Consulta!$A:$DN,MATCH('ZM01'!$C56,Consulta!$D:$D,0),'ZM01'!CB$2),"")=0,"",IFERROR(INDEX(Consulta!$A:$DN,MATCH('ZM01'!$C56,Consulta!$D:$D,0),'ZM01'!CB$2),""))</f>
        <v/>
      </c>
      <c r="CC56" s="44" t="s">
        <v>392</v>
      </c>
      <c r="CD56" s="50">
        <v>0</v>
      </c>
      <c r="CE56" s="45" t="s">
        <v>403</v>
      </c>
      <c r="CF56" s="45" t="s">
        <v>84</v>
      </c>
      <c r="CG56" s="43" t="str">
        <f t="shared" si="15"/>
        <v/>
      </c>
      <c r="CH56" s="45" t="s">
        <v>430</v>
      </c>
      <c r="CI56" s="44">
        <v>0</v>
      </c>
      <c r="CJ56" s="43" t="str">
        <f t="shared" si="27"/>
        <v>E</v>
      </c>
      <c r="CK56" s="43" t="str">
        <f t="shared" si="28"/>
        <v/>
      </c>
      <c r="CL56" s="44">
        <v>2</v>
      </c>
      <c r="CM56" s="49" t="str">
        <f t="shared" si="48"/>
        <v/>
      </c>
      <c r="CN56" s="49" t="str">
        <f t="shared" si="49"/>
        <v/>
      </c>
      <c r="CO56" s="43" t="str">
        <f t="shared" si="29"/>
        <v/>
      </c>
      <c r="CP56" s="44">
        <v>1</v>
      </c>
      <c r="CQ56" s="50" t="s">
        <v>515</v>
      </c>
      <c r="CR56" s="44" t="s">
        <v>372</v>
      </c>
      <c r="CS56" s="44">
        <v>2</v>
      </c>
      <c r="CT56" s="44">
        <v>42</v>
      </c>
      <c r="CU56" s="44">
        <v>10</v>
      </c>
      <c r="CV56" s="43" t="str">
        <f t="shared" si="30"/>
        <v>K00_AO_</v>
      </c>
      <c r="CW56" s="43" t="str">
        <f t="shared" si="31"/>
        <v/>
      </c>
      <c r="CX56" s="43" t="str">
        <f t="shared" si="32"/>
        <v/>
      </c>
      <c r="CY56" s="44">
        <v>1</v>
      </c>
      <c r="CZ56" s="43" t="str">
        <f t="shared" si="33"/>
        <v/>
      </c>
      <c r="DA56" s="43" t="str">
        <f>IF(IFERROR(INDEX(Consulta!$A:$DN,MATCH('ZM01'!$C56,Consulta!$D:$D,0),'ZM01'!DA$2),"")=0,"",IFERROR(INDEX(Consulta!$A:$DN,MATCH('ZM01'!$C56,Consulta!$D:$D,0),'ZM01'!DA$2),""))</f>
        <v/>
      </c>
      <c r="DB56" s="43" t="str">
        <f>IF(IFERROR(INDEX(Consulta!$A:$DN,MATCH('ZM01'!$C56,Consulta!$D:$D,0),'ZM01'!DB$2),"")=0,"",IFERROR(INDEX(Consulta!$A:$DN,MATCH('ZM01'!$C56,Consulta!$D:$D,0),'ZM01'!DB$2),""))</f>
        <v/>
      </c>
      <c r="DC56" s="45">
        <v>0</v>
      </c>
      <c r="DD56" s="45">
        <v>0</v>
      </c>
      <c r="DE56" s="43" t="str">
        <f>IF(IFERROR(INDEX(Consulta!$A:$DN,MATCH('ZM01'!$C56,Consulta!$D:$D,0),'ZM01'!DE$2),"")=0,"",IFERROR(TEXT(VALUE(INDEX(Consulta!$A:$DN,MATCH('ZM01'!$C56,Consulta!$D:$D,0),'ZM01'!DE$2))/100,"0,00"),""))</f>
        <v/>
      </c>
      <c r="DG56" s="43">
        <f t="shared" si="50"/>
        <v>1</v>
      </c>
      <c r="DH56" s="43" t="str">
        <f>IF(IFERROR(INDEX(Consulta!$A:$DN,MATCH('ZM01'!$C56,Consulta!$D:$D,0),'ZM01'!DH$2),"")=0,"",IFERROR(VLOOKUP(INDEX(Consulta!$A:$DN,MATCH('ZM01'!$C56,Consulta!$D:$D,0),'ZM01'!DH$2),'Listas de Dados'!BU:BW,3,0),""))</f>
        <v/>
      </c>
      <c r="DI56" s="43" t="str">
        <f t="shared" ca="1" si="51"/>
        <v>17.05.2022</v>
      </c>
      <c r="DJ56" s="43" t="str">
        <f t="shared" si="52"/>
        <v>31.12.9999</v>
      </c>
      <c r="DL56" s="44">
        <v>1</v>
      </c>
      <c r="DM56" s="44" t="s">
        <v>1039</v>
      </c>
      <c r="DN56" s="44">
        <v>1</v>
      </c>
      <c r="DO56" s="43">
        <f t="shared" si="34"/>
        <v>1</v>
      </c>
      <c r="DP56" s="43" t="str">
        <f t="shared" si="35"/>
        <v>PC</v>
      </c>
      <c r="DQ56" s="43" t="str">
        <f t="shared" si="36"/>
        <v/>
      </c>
      <c r="DR56" s="44">
        <v>100</v>
      </c>
      <c r="DS56" s="71">
        <f t="shared" si="21"/>
        <v>1</v>
      </c>
      <c r="DT56" s="43">
        <f t="shared" si="53"/>
        <v>100</v>
      </c>
      <c r="DU56" s="44">
        <v>1</v>
      </c>
      <c r="DV56" s="44">
        <v>0</v>
      </c>
      <c r="DW56" s="44" t="s">
        <v>826</v>
      </c>
      <c r="DX56" s="45">
        <v>0</v>
      </c>
      <c r="DY56" s="44">
        <v>100</v>
      </c>
      <c r="DZ56" s="61"/>
    </row>
    <row r="57" spans="1:130" x14ac:dyDescent="0.2">
      <c r="A57" s="7" t="str">
        <f t="shared" si="2"/>
        <v>Execução 53</v>
      </c>
      <c r="B57" s="79"/>
      <c r="C57" s="85"/>
      <c r="D57" s="71" t="str">
        <f t="shared" si="37"/>
        <v/>
      </c>
      <c r="E57" s="71" t="str">
        <f t="shared" si="38"/>
        <v/>
      </c>
      <c r="F57" s="43" t="str">
        <f>IF(IFERROR(INDEX(Consulta!$A:$DN,MATCH('ZM01'!$C57,Consulta!$D:$D,0),'ZM01'!F$2),"")=0,"",IFERROR(INDEX(Consulta!$A:$DN,MATCH('ZM01'!$C57,Consulta!$D:$D,0),'ZM01'!F$2),""))</f>
        <v/>
      </c>
      <c r="G57" s="43" t="str">
        <f>IF(IFERROR(INDEX(Consulta!$A:$DN,MATCH('ZM01'!$C57,Consulta!$D:$D,0),'ZM01'!G$2),"")=0,"",IFERROR(INDEX(Consulta!$A:$DN,MATCH('ZM01'!$C57,Consulta!$D:$D,0),'ZM01'!G$2),""))</f>
        <v/>
      </c>
      <c r="H57" s="43" t="str">
        <f t="shared" si="23"/>
        <v/>
      </c>
      <c r="I57" s="44" t="s">
        <v>100</v>
      </c>
      <c r="J57" s="43" t="str">
        <f>IF(IFERROR(INDEX(Consulta!$A:$DN,MATCH('ZM01'!$C57,Consulta!$D:$D,0),'ZM01'!J$2),"")=0,"",IFERROR(INDEX(Consulta!$A:$DN,MATCH('ZM01'!$C57,Consulta!$D:$D,0),'ZM01'!J$2),""))</f>
        <v/>
      </c>
      <c r="K57" s="43" t="str">
        <f>IF(IFERROR(INDEX(Consulta!$A:$DN,MATCH('ZM01'!$C57,Consulta!$D:$D,0),'ZM01'!K$2),"")=0,"",IFERROR(INDEX(Consulta!$A:$DN,MATCH('ZM01'!$C57,Consulta!$D:$D,0),'ZM01'!K$2),""))</f>
        <v/>
      </c>
      <c r="L57" s="43" t="str">
        <f t="shared" si="39"/>
        <v/>
      </c>
      <c r="M57" s="43" t="str">
        <f>IF(IFERROR(INDEX(Consulta!$A:$DN,MATCH('ZM01'!$C57,Consulta!$D:$D,0),'ZM01'!M$2),"")=0,"",IFERROR(INDEX(Consulta!$A:$DN,MATCH('ZM01'!$C57,Consulta!$D:$D,0),'ZM01'!M$2),""))</f>
        <v/>
      </c>
      <c r="N57" s="43" t="str">
        <f t="shared" si="40"/>
        <v/>
      </c>
      <c r="P57" s="45" t="s">
        <v>101</v>
      </c>
      <c r="Q57" s="45" t="s">
        <v>102</v>
      </c>
      <c r="R57" s="45" t="s">
        <v>103</v>
      </c>
      <c r="S57" s="45" t="s">
        <v>104</v>
      </c>
      <c r="T57" s="45" t="s">
        <v>105</v>
      </c>
      <c r="U57" s="45" t="s">
        <v>106</v>
      </c>
      <c r="V57" s="45" t="s">
        <v>107</v>
      </c>
      <c r="W57" s="45" t="s">
        <v>109</v>
      </c>
      <c r="X57" s="45" t="s">
        <v>110</v>
      </c>
      <c r="Y57" s="45"/>
      <c r="Z57" s="45"/>
      <c r="AA57" s="45" t="s">
        <v>112</v>
      </c>
      <c r="AB57" s="45" t="s">
        <v>113</v>
      </c>
      <c r="AC57" s="45" t="s">
        <v>114</v>
      </c>
      <c r="AD57" s="45" t="s">
        <v>115</v>
      </c>
      <c r="AE57" s="45" t="s">
        <v>117</v>
      </c>
      <c r="AF57" s="45" t="s">
        <v>118</v>
      </c>
      <c r="AG57" s="45" t="s">
        <v>119</v>
      </c>
      <c r="AH57" s="45" t="s">
        <v>120</v>
      </c>
      <c r="AI57" s="45" t="s">
        <v>121</v>
      </c>
      <c r="AJ57" s="45" t="s">
        <v>122</v>
      </c>
      <c r="AK57" s="45" t="s">
        <v>123</v>
      </c>
      <c r="AL57" s="45" t="s">
        <v>124</v>
      </c>
      <c r="AM57" s="45" t="s">
        <v>125</v>
      </c>
      <c r="AN57" s="45" t="s">
        <v>126</v>
      </c>
      <c r="AO57" s="45"/>
      <c r="AP57" s="45"/>
      <c r="AR57" s="44" t="s">
        <v>822</v>
      </c>
      <c r="AS57" s="43" t="str">
        <f>IF(IFERROR(INDEX(Consulta!$A:$DN,MATCH('ZM01'!$C57,Consulta!$D:$D,0),'ZM01'!AS$2),"")=0,"",IFERROR(INDEX(Consulta!$A:$DN,MATCH('ZM01'!$C57,Consulta!$D:$D,0),'ZM01'!AS$2),""))</f>
        <v/>
      </c>
      <c r="AT57" s="45"/>
      <c r="AU57" s="43" t="str">
        <f>IF(IFERROR(INDEX(Consulta!$A:$DN,MATCH('ZM01'!$C57,Consulta!$D:$D,0),'ZM01'!AU$2),"")=0,"",IFERROR(INDEX(Consulta!$A:$DN,MATCH('ZM01'!$C57,Consulta!$D:$D,0),'ZM01'!AU$2),""))</f>
        <v/>
      </c>
      <c r="AV57" s="43" t="str">
        <f>IF(IFERROR(INDEX(Consulta!$A:$DN,MATCH('ZM01'!$C57,Consulta!$D:$D,0),'ZM01'!AV$2),"")=0,"",IFERROR(INDEX(Consulta!$A:$DN,MATCH('ZM01'!$C57,Consulta!$D:$D,0),'ZM01'!AV$2),""))</f>
        <v/>
      </c>
      <c r="AW57" s="45"/>
      <c r="AX57" s="46" t="str">
        <f t="shared" ca="1" si="41"/>
        <v/>
      </c>
      <c r="AY57" s="47" t="s">
        <v>755</v>
      </c>
      <c r="AZ57" s="43" t="str">
        <f>IF(IFERROR(ROUND(INDEX(Consulta!$A:$DN,MATCH('ZM01'!$C57,Consulta!$D:$D,0),'ZM01'!AZ$2),3),"")=0,"",IFERROR(ROUND(INDEX(Consulta!$A:$DN,MATCH('ZM01'!$C57,Consulta!$D:$D,0),'ZM01'!AZ$2),3),""))</f>
        <v/>
      </c>
      <c r="BA57" s="43" t="str">
        <f t="shared" si="42"/>
        <v/>
      </c>
      <c r="BB57" s="48" t="s">
        <v>299</v>
      </c>
      <c r="BC57" s="48"/>
      <c r="BD57" s="43" t="str">
        <f>IF(IFERROR(INDEX(Consulta!$A:$DN,MATCH('ZM01'!$C57,Consulta!$D:$D,0),'ZM01'!BD$2),"")=0,"",IFERROR(INDEX(Consulta!$A:$DN,MATCH('ZM01'!$C57,Consulta!$D:$D,0),'ZM01'!BD$2),""))</f>
        <v/>
      </c>
      <c r="BE57" s="43" t="str">
        <f t="shared" si="0"/>
        <v/>
      </c>
      <c r="BF57" s="43" t="str">
        <f t="shared" si="43"/>
        <v/>
      </c>
      <c r="BG57" s="43" t="str">
        <f t="shared" si="1"/>
        <v/>
      </c>
      <c r="BH57" s="43" t="str">
        <f t="shared" si="44"/>
        <v>PC</v>
      </c>
      <c r="BI57" s="43" t="str">
        <f t="shared" si="24"/>
        <v/>
      </c>
      <c r="BJ57" s="43" t="str">
        <f t="shared" si="25"/>
        <v/>
      </c>
      <c r="BK57" s="43" t="str">
        <f t="shared" si="26"/>
        <v/>
      </c>
      <c r="BL57" s="43" t="str">
        <f t="shared" si="45"/>
        <v>PC</v>
      </c>
      <c r="BN57" s="44"/>
      <c r="BO57" s="44" t="s">
        <v>925</v>
      </c>
      <c r="BP57" s="43" t="str">
        <f>IF(OR(IFERROR(INDEX(Consulta!$A:$DN,MATCH('ZM01'!$C57,Consulta!$D:$D,0),'ZM01'!BP$2),"")=0,IFERROR(INDEX(Consulta!$A:$DN,MATCH('ZM01'!$C57,Consulta!$D:$D,0),'ZM01'!BP$2),"")=AR57),"",IFERROR(INDEX(Consulta!$A:$DN,MATCH('ZM01'!$C57,Consulta!$D:$D,0),'ZM01'!BP$2),""))</f>
        <v/>
      </c>
      <c r="BQ57" s="45">
        <v>99</v>
      </c>
      <c r="BR57" s="46" t="str">
        <f t="shared" ca="1" si="46"/>
        <v>17.05.2022</v>
      </c>
      <c r="BS57" s="49" t="str">
        <f t="shared" si="47"/>
        <v/>
      </c>
      <c r="BT57" s="50">
        <v>1</v>
      </c>
      <c r="BU57" s="50" t="s">
        <v>194</v>
      </c>
      <c r="BV57" s="90" t="str">
        <f t="shared" si="14"/>
        <v>01</v>
      </c>
      <c r="BW57" s="50" t="s">
        <v>755</v>
      </c>
      <c r="BX57" s="44">
        <v>1</v>
      </c>
      <c r="BY57" s="44" t="s">
        <v>372</v>
      </c>
      <c r="BZ57" s="50" t="s">
        <v>197</v>
      </c>
      <c r="CA57" s="50" t="s">
        <v>197</v>
      </c>
      <c r="CB57" s="43" t="str">
        <f>IF(IFERROR(INDEX(Consulta!$A:$DN,MATCH('ZM01'!$C57,Consulta!$D:$D,0),'ZM01'!CB$2),"")=0,"",IFERROR(INDEX(Consulta!$A:$DN,MATCH('ZM01'!$C57,Consulta!$D:$D,0),'ZM01'!CB$2),""))</f>
        <v/>
      </c>
      <c r="CC57" s="44" t="s">
        <v>392</v>
      </c>
      <c r="CD57" s="50">
        <v>0</v>
      </c>
      <c r="CE57" s="45" t="s">
        <v>403</v>
      </c>
      <c r="CF57" s="45" t="s">
        <v>84</v>
      </c>
      <c r="CG57" s="43" t="str">
        <f t="shared" si="15"/>
        <v/>
      </c>
      <c r="CH57" s="45" t="s">
        <v>430</v>
      </c>
      <c r="CI57" s="44">
        <v>0</v>
      </c>
      <c r="CJ57" s="43" t="str">
        <f t="shared" si="27"/>
        <v>E</v>
      </c>
      <c r="CK57" s="43" t="str">
        <f t="shared" si="28"/>
        <v/>
      </c>
      <c r="CL57" s="44">
        <v>2</v>
      </c>
      <c r="CM57" s="49" t="str">
        <f t="shared" si="48"/>
        <v/>
      </c>
      <c r="CN57" s="49" t="str">
        <f t="shared" si="49"/>
        <v/>
      </c>
      <c r="CO57" s="43" t="str">
        <f t="shared" si="29"/>
        <v/>
      </c>
      <c r="CP57" s="44">
        <v>1</v>
      </c>
      <c r="CQ57" s="50" t="s">
        <v>515</v>
      </c>
      <c r="CR57" s="44" t="s">
        <v>372</v>
      </c>
      <c r="CS57" s="44">
        <v>2</v>
      </c>
      <c r="CT57" s="44">
        <v>42</v>
      </c>
      <c r="CU57" s="44">
        <v>10</v>
      </c>
      <c r="CV57" s="43" t="str">
        <f t="shared" si="30"/>
        <v>K00_AO_</v>
      </c>
      <c r="CW57" s="43" t="str">
        <f t="shared" si="31"/>
        <v/>
      </c>
      <c r="CX57" s="43" t="str">
        <f t="shared" si="32"/>
        <v/>
      </c>
      <c r="CY57" s="44">
        <v>1</v>
      </c>
      <c r="CZ57" s="43" t="str">
        <f t="shared" si="33"/>
        <v/>
      </c>
      <c r="DA57" s="43" t="str">
        <f>IF(IFERROR(INDEX(Consulta!$A:$DN,MATCH('ZM01'!$C57,Consulta!$D:$D,0),'ZM01'!DA$2),"")=0,"",IFERROR(INDEX(Consulta!$A:$DN,MATCH('ZM01'!$C57,Consulta!$D:$D,0),'ZM01'!DA$2),""))</f>
        <v/>
      </c>
      <c r="DB57" s="43" t="str">
        <f>IF(IFERROR(INDEX(Consulta!$A:$DN,MATCH('ZM01'!$C57,Consulta!$D:$D,0),'ZM01'!DB$2),"")=0,"",IFERROR(INDEX(Consulta!$A:$DN,MATCH('ZM01'!$C57,Consulta!$D:$D,0),'ZM01'!DB$2),""))</f>
        <v/>
      </c>
      <c r="DC57" s="45">
        <v>0</v>
      </c>
      <c r="DD57" s="45">
        <v>0</v>
      </c>
      <c r="DE57" s="43" t="str">
        <f>IF(IFERROR(INDEX(Consulta!$A:$DN,MATCH('ZM01'!$C57,Consulta!$D:$D,0),'ZM01'!DE$2),"")=0,"",IFERROR(TEXT(VALUE(INDEX(Consulta!$A:$DN,MATCH('ZM01'!$C57,Consulta!$D:$D,0),'ZM01'!DE$2))/100,"0,00"),""))</f>
        <v/>
      </c>
      <c r="DG57" s="43">
        <f t="shared" si="50"/>
        <v>1</v>
      </c>
      <c r="DH57" s="43" t="str">
        <f>IF(IFERROR(INDEX(Consulta!$A:$DN,MATCH('ZM01'!$C57,Consulta!$D:$D,0),'ZM01'!DH$2),"")=0,"",IFERROR(VLOOKUP(INDEX(Consulta!$A:$DN,MATCH('ZM01'!$C57,Consulta!$D:$D,0),'ZM01'!DH$2),'Listas de Dados'!BU:BW,3,0),""))</f>
        <v/>
      </c>
      <c r="DI57" s="43" t="str">
        <f t="shared" ca="1" si="51"/>
        <v>17.05.2022</v>
      </c>
      <c r="DJ57" s="43" t="str">
        <f t="shared" si="52"/>
        <v>31.12.9999</v>
      </c>
      <c r="DL57" s="44">
        <v>1</v>
      </c>
      <c r="DM57" s="44" t="s">
        <v>1039</v>
      </c>
      <c r="DN57" s="44">
        <v>1</v>
      </c>
      <c r="DO57" s="43">
        <f t="shared" si="34"/>
        <v>1</v>
      </c>
      <c r="DP57" s="43" t="str">
        <f t="shared" si="35"/>
        <v>PC</v>
      </c>
      <c r="DQ57" s="43" t="str">
        <f t="shared" si="36"/>
        <v/>
      </c>
      <c r="DR57" s="44">
        <v>100</v>
      </c>
      <c r="DS57" s="71">
        <f t="shared" si="21"/>
        <v>1</v>
      </c>
      <c r="DT57" s="43">
        <f t="shared" si="53"/>
        <v>100</v>
      </c>
      <c r="DU57" s="44">
        <v>1</v>
      </c>
      <c r="DV57" s="44">
        <v>0</v>
      </c>
      <c r="DW57" s="44" t="s">
        <v>826</v>
      </c>
      <c r="DX57" s="45">
        <v>0</v>
      </c>
      <c r="DY57" s="44">
        <v>100</v>
      </c>
      <c r="DZ57" s="60"/>
    </row>
    <row r="58" spans="1:130" x14ac:dyDescent="0.2">
      <c r="A58" s="7" t="str">
        <f t="shared" si="2"/>
        <v>Execução 54</v>
      </c>
      <c r="B58" s="75"/>
      <c r="C58" s="85"/>
      <c r="D58" s="71" t="str">
        <f t="shared" si="37"/>
        <v/>
      </c>
      <c r="E58" s="71" t="str">
        <f t="shared" si="38"/>
        <v/>
      </c>
      <c r="F58" s="43" t="str">
        <f>IF(IFERROR(INDEX(Consulta!$A:$DN,MATCH('ZM01'!$C58,Consulta!$D:$D,0),'ZM01'!F$2),"")=0,"",IFERROR(INDEX(Consulta!$A:$DN,MATCH('ZM01'!$C58,Consulta!$D:$D,0),'ZM01'!F$2),""))</f>
        <v/>
      </c>
      <c r="G58" s="43" t="str">
        <f>IF(IFERROR(INDEX(Consulta!$A:$DN,MATCH('ZM01'!$C58,Consulta!$D:$D,0),'ZM01'!G$2),"")=0,"",IFERROR(INDEX(Consulta!$A:$DN,MATCH('ZM01'!$C58,Consulta!$D:$D,0),'ZM01'!G$2),""))</f>
        <v/>
      </c>
      <c r="H58" s="43" t="str">
        <f t="shared" si="23"/>
        <v/>
      </c>
      <c r="I58" s="44" t="s">
        <v>100</v>
      </c>
      <c r="J58" s="43" t="str">
        <f>IF(IFERROR(INDEX(Consulta!$A:$DN,MATCH('ZM01'!$C58,Consulta!$D:$D,0),'ZM01'!J$2),"")=0,"",IFERROR(INDEX(Consulta!$A:$DN,MATCH('ZM01'!$C58,Consulta!$D:$D,0),'ZM01'!J$2),""))</f>
        <v/>
      </c>
      <c r="K58" s="43" t="str">
        <f>IF(IFERROR(INDEX(Consulta!$A:$DN,MATCH('ZM01'!$C58,Consulta!$D:$D,0),'ZM01'!K$2),"")=0,"",IFERROR(INDEX(Consulta!$A:$DN,MATCH('ZM01'!$C58,Consulta!$D:$D,0),'ZM01'!K$2),""))</f>
        <v/>
      </c>
      <c r="L58" s="43" t="str">
        <f t="shared" si="39"/>
        <v/>
      </c>
      <c r="M58" s="43" t="str">
        <f>IF(IFERROR(INDEX(Consulta!$A:$DN,MATCH('ZM01'!$C58,Consulta!$D:$D,0),'ZM01'!M$2),"")=0,"",IFERROR(INDEX(Consulta!$A:$DN,MATCH('ZM01'!$C58,Consulta!$D:$D,0),'ZM01'!M$2),""))</f>
        <v/>
      </c>
      <c r="N58" s="43" t="str">
        <f t="shared" si="40"/>
        <v/>
      </c>
      <c r="P58" s="45" t="s">
        <v>101</v>
      </c>
      <c r="Q58" s="45" t="s">
        <v>102</v>
      </c>
      <c r="R58" s="45" t="s">
        <v>103</v>
      </c>
      <c r="S58" s="45" t="s">
        <v>104</v>
      </c>
      <c r="T58" s="45" t="s">
        <v>105</v>
      </c>
      <c r="U58" s="45" t="s">
        <v>106</v>
      </c>
      <c r="V58" s="45" t="s">
        <v>107</v>
      </c>
      <c r="W58" s="45" t="s">
        <v>109</v>
      </c>
      <c r="X58" s="45" t="s">
        <v>110</v>
      </c>
      <c r="Y58" s="45"/>
      <c r="Z58" s="45"/>
      <c r="AA58" s="45" t="s">
        <v>112</v>
      </c>
      <c r="AB58" s="45" t="s">
        <v>113</v>
      </c>
      <c r="AC58" s="45" t="s">
        <v>114</v>
      </c>
      <c r="AD58" s="45" t="s">
        <v>115</v>
      </c>
      <c r="AE58" s="45" t="s">
        <v>117</v>
      </c>
      <c r="AF58" s="45" t="s">
        <v>118</v>
      </c>
      <c r="AG58" s="45" t="s">
        <v>119</v>
      </c>
      <c r="AH58" s="45" t="s">
        <v>120</v>
      </c>
      <c r="AI58" s="45" t="s">
        <v>121</v>
      </c>
      <c r="AJ58" s="45" t="s">
        <v>122</v>
      </c>
      <c r="AK58" s="45" t="s">
        <v>123</v>
      </c>
      <c r="AL58" s="45" t="s">
        <v>124</v>
      </c>
      <c r="AM58" s="45" t="s">
        <v>125</v>
      </c>
      <c r="AN58" s="45" t="s">
        <v>126</v>
      </c>
      <c r="AO58" s="45"/>
      <c r="AP58" s="45"/>
      <c r="AR58" s="44" t="s">
        <v>822</v>
      </c>
      <c r="AS58" s="43" t="str">
        <f>IF(IFERROR(INDEX(Consulta!$A:$DN,MATCH('ZM01'!$C58,Consulta!$D:$D,0),'ZM01'!AS$2),"")=0,"",IFERROR(INDEX(Consulta!$A:$DN,MATCH('ZM01'!$C58,Consulta!$D:$D,0),'ZM01'!AS$2),""))</f>
        <v/>
      </c>
      <c r="AT58" s="45"/>
      <c r="AU58" s="43" t="str">
        <f>IF(IFERROR(INDEX(Consulta!$A:$DN,MATCH('ZM01'!$C58,Consulta!$D:$D,0),'ZM01'!AU$2),"")=0,"",IFERROR(INDEX(Consulta!$A:$DN,MATCH('ZM01'!$C58,Consulta!$D:$D,0),'ZM01'!AU$2),""))</f>
        <v/>
      </c>
      <c r="AV58" s="43" t="str">
        <f>IF(IFERROR(INDEX(Consulta!$A:$DN,MATCH('ZM01'!$C58,Consulta!$D:$D,0),'ZM01'!AV$2),"")=0,"",IFERROR(INDEX(Consulta!$A:$DN,MATCH('ZM01'!$C58,Consulta!$D:$D,0),'ZM01'!AV$2),""))</f>
        <v/>
      </c>
      <c r="AW58" s="45"/>
      <c r="AX58" s="46" t="str">
        <f t="shared" ca="1" si="41"/>
        <v/>
      </c>
      <c r="AY58" s="47" t="s">
        <v>755</v>
      </c>
      <c r="AZ58" s="43" t="str">
        <f>IF(IFERROR(ROUND(INDEX(Consulta!$A:$DN,MATCH('ZM01'!$C58,Consulta!$D:$D,0),'ZM01'!AZ$2),3),"")=0,"",IFERROR(ROUND(INDEX(Consulta!$A:$DN,MATCH('ZM01'!$C58,Consulta!$D:$D,0),'ZM01'!AZ$2),3),""))</f>
        <v/>
      </c>
      <c r="BA58" s="43" t="str">
        <f t="shared" si="42"/>
        <v/>
      </c>
      <c r="BB58" s="48" t="s">
        <v>299</v>
      </c>
      <c r="BC58" s="48"/>
      <c r="BD58" s="43" t="str">
        <f>IF(IFERROR(INDEX(Consulta!$A:$DN,MATCH('ZM01'!$C58,Consulta!$D:$D,0),'ZM01'!BD$2),"")=0,"",IFERROR(INDEX(Consulta!$A:$DN,MATCH('ZM01'!$C58,Consulta!$D:$D,0),'ZM01'!BD$2),""))</f>
        <v/>
      </c>
      <c r="BE58" s="43" t="str">
        <f t="shared" si="0"/>
        <v/>
      </c>
      <c r="BF58" s="43" t="str">
        <f t="shared" si="43"/>
        <v/>
      </c>
      <c r="BG58" s="43" t="str">
        <f t="shared" si="1"/>
        <v/>
      </c>
      <c r="BH58" s="43" t="str">
        <f t="shared" si="44"/>
        <v>PC</v>
      </c>
      <c r="BI58" s="43" t="str">
        <f t="shared" si="24"/>
        <v/>
      </c>
      <c r="BJ58" s="43" t="str">
        <f t="shared" si="25"/>
        <v/>
      </c>
      <c r="BK58" s="43" t="str">
        <f t="shared" si="26"/>
        <v/>
      </c>
      <c r="BL58" s="43" t="str">
        <f t="shared" si="45"/>
        <v>PC</v>
      </c>
      <c r="BN58" s="44"/>
      <c r="BO58" s="44" t="s">
        <v>925</v>
      </c>
      <c r="BP58" s="43" t="str">
        <f>IF(OR(IFERROR(INDEX(Consulta!$A:$DN,MATCH('ZM01'!$C58,Consulta!$D:$D,0),'ZM01'!BP$2),"")=0,IFERROR(INDEX(Consulta!$A:$DN,MATCH('ZM01'!$C58,Consulta!$D:$D,0),'ZM01'!BP$2),"")=AR58),"",IFERROR(INDEX(Consulta!$A:$DN,MATCH('ZM01'!$C58,Consulta!$D:$D,0),'ZM01'!BP$2),""))</f>
        <v/>
      </c>
      <c r="BQ58" s="45">
        <v>99</v>
      </c>
      <c r="BR58" s="46" t="str">
        <f t="shared" ca="1" si="46"/>
        <v>17.05.2022</v>
      </c>
      <c r="BS58" s="49" t="str">
        <f t="shared" si="47"/>
        <v/>
      </c>
      <c r="BT58" s="50">
        <v>1</v>
      </c>
      <c r="BU58" s="50" t="s">
        <v>194</v>
      </c>
      <c r="BV58" s="90" t="str">
        <f t="shared" si="14"/>
        <v>01</v>
      </c>
      <c r="BW58" s="50" t="s">
        <v>755</v>
      </c>
      <c r="BX58" s="44">
        <v>1</v>
      </c>
      <c r="BY58" s="44" t="s">
        <v>372</v>
      </c>
      <c r="BZ58" s="50" t="s">
        <v>197</v>
      </c>
      <c r="CA58" s="50" t="s">
        <v>197</v>
      </c>
      <c r="CB58" s="43" t="str">
        <f>IF(IFERROR(INDEX(Consulta!$A:$DN,MATCH('ZM01'!$C58,Consulta!$D:$D,0),'ZM01'!CB$2),"")=0,"",IFERROR(INDEX(Consulta!$A:$DN,MATCH('ZM01'!$C58,Consulta!$D:$D,0),'ZM01'!CB$2),""))</f>
        <v/>
      </c>
      <c r="CC58" s="44" t="s">
        <v>392</v>
      </c>
      <c r="CD58" s="50">
        <v>0</v>
      </c>
      <c r="CE58" s="45" t="s">
        <v>403</v>
      </c>
      <c r="CF58" s="45" t="s">
        <v>84</v>
      </c>
      <c r="CG58" s="43" t="str">
        <f t="shared" si="15"/>
        <v/>
      </c>
      <c r="CH58" s="45" t="s">
        <v>430</v>
      </c>
      <c r="CI58" s="44">
        <v>0</v>
      </c>
      <c r="CJ58" s="43" t="str">
        <f t="shared" si="27"/>
        <v>E</v>
      </c>
      <c r="CK58" s="43" t="str">
        <f t="shared" si="28"/>
        <v/>
      </c>
      <c r="CL58" s="44">
        <v>2</v>
      </c>
      <c r="CM58" s="49" t="str">
        <f t="shared" si="48"/>
        <v/>
      </c>
      <c r="CN58" s="49" t="str">
        <f t="shared" si="49"/>
        <v/>
      </c>
      <c r="CO58" s="43" t="str">
        <f t="shared" si="29"/>
        <v/>
      </c>
      <c r="CP58" s="44">
        <v>1</v>
      </c>
      <c r="CQ58" s="50" t="s">
        <v>515</v>
      </c>
      <c r="CR58" s="44" t="s">
        <v>372</v>
      </c>
      <c r="CS58" s="44">
        <v>2</v>
      </c>
      <c r="CT58" s="44">
        <v>42</v>
      </c>
      <c r="CU58" s="44">
        <v>10</v>
      </c>
      <c r="CV58" s="43" t="str">
        <f t="shared" si="30"/>
        <v>K00_AO_</v>
      </c>
      <c r="CW58" s="43" t="str">
        <f t="shared" si="31"/>
        <v/>
      </c>
      <c r="CX58" s="43" t="str">
        <f t="shared" si="32"/>
        <v/>
      </c>
      <c r="CY58" s="44">
        <v>1</v>
      </c>
      <c r="CZ58" s="43" t="str">
        <f t="shared" si="33"/>
        <v/>
      </c>
      <c r="DA58" s="43" t="str">
        <f>IF(IFERROR(INDEX(Consulta!$A:$DN,MATCH('ZM01'!$C58,Consulta!$D:$D,0),'ZM01'!DA$2),"")=0,"",IFERROR(INDEX(Consulta!$A:$DN,MATCH('ZM01'!$C58,Consulta!$D:$D,0),'ZM01'!DA$2),""))</f>
        <v/>
      </c>
      <c r="DB58" s="43" t="str">
        <f>IF(IFERROR(INDEX(Consulta!$A:$DN,MATCH('ZM01'!$C58,Consulta!$D:$D,0),'ZM01'!DB$2),"")=0,"",IFERROR(INDEX(Consulta!$A:$DN,MATCH('ZM01'!$C58,Consulta!$D:$D,0),'ZM01'!DB$2),""))</f>
        <v/>
      </c>
      <c r="DC58" s="45">
        <v>0</v>
      </c>
      <c r="DD58" s="45">
        <v>0</v>
      </c>
      <c r="DE58" s="43" t="str">
        <f>IF(IFERROR(INDEX(Consulta!$A:$DN,MATCH('ZM01'!$C58,Consulta!$D:$D,0),'ZM01'!DE$2),"")=0,"",IFERROR(TEXT(VALUE(INDEX(Consulta!$A:$DN,MATCH('ZM01'!$C58,Consulta!$D:$D,0),'ZM01'!DE$2))/100,"0,00"),""))</f>
        <v/>
      </c>
      <c r="DG58" s="43">
        <f t="shared" si="50"/>
        <v>1</v>
      </c>
      <c r="DH58" s="43" t="str">
        <f>IF(IFERROR(INDEX(Consulta!$A:$DN,MATCH('ZM01'!$C58,Consulta!$D:$D,0),'ZM01'!DH$2),"")=0,"",IFERROR(VLOOKUP(INDEX(Consulta!$A:$DN,MATCH('ZM01'!$C58,Consulta!$D:$D,0),'ZM01'!DH$2),'Listas de Dados'!BU:BW,3,0),""))</f>
        <v/>
      </c>
      <c r="DI58" s="43" t="str">
        <f t="shared" ca="1" si="51"/>
        <v>17.05.2022</v>
      </c>
      <c r="DJ58" s="43" t="str">
        <f t="shared" si="52"/>
        <v>31.12.9999</v>
      </c>
      <c r="DL58" s="44">
        <v>1</v>
      </c>
      <c r="DM58" s="44" t="s">
        <v>1039</v>
      </c>
      <c r="DN58" s="44">
        <v>1</v>
      </c>
      <c r="DO58" s="43">
        <f t="shared" si="34"/>
        <v>1</v>
      </c>
      <c r="DP58" s="43" t="str">
        <f t="shared" si="35"/>
        <v>PC</v>
      </c>
      <c r="DQ58" s="43" t="str">
        <f t="shared" si="36"/>
        <v/>
      </c>
      <c r="DR58" s="44">
        <v>100</v>
      </c>
      <c r="DS58" s="71">
        <f t="shared" si="21"/>
        <v>1</v>
      </c>
      <c r="DT58" s="43">
        <f t="shared" si="53"/>
        <v>100</v>
      </c>
      <c r="DU58" s="44">
        <v>1</v>
      </c>
      <c r="DV58" s="44">
        <v>0</v>
      </c>
      <c r="DW58" s="44" t="s">
        <v>826</v>
      </c>
      <c r="DX58" s="45">
        <v>0</v>
      </c>
      <c r="DY58" s="44">
        <v>100</v>
      </c>
      <c r="DZ58" s="61"/>
    </row>
    <row r="59" spans="1:130" x14ac:dyDescent="0.2">
      <c r="A59" s="7" t="str">
        <f t="shared" si="2"/>
        <v>Execução 55</v>
      </c>
      <c r="B59" s="79"/>
      <c r="C59" s="85"/>
      <c r="D59" s="71" t="str">
        <f t="shared" si="37"/>
        <v/>
      </c>
      <c r="E59" s="71" t="str">
        <f t="shared" si="38"/>
        <v/>
      </c>
      <c r="F59" s="43" t="str">
        <f>IF(IFERROR(INDEX(Consulta!$A:$DN,MATCH('ZM01'!$C59,Consulta!$D:$D,0),'ZM01'!F$2),"")=0,"",IFERROR(INDEX(Consulta!$A:$DN,MATCH('ZM01'!$C59,Consulta!$D:$D,0),'ZM01'!F$2),""))</f>
        <v/>
      </c>
      <c r="G59" s="43" t="str">
        <f>IF(IFERROR(INDEX(Consulta!$A:$DN,MATCH('ZM01'!$C59,Consulta!$D:$D,0),'ZM01'!G$2),"")=0,"",IFERROR(INDEX(Consulta!$A:$DN,MATCH('ZM01'!$C59,Consulta!$D:$D,0),'ZM01'!G$2),""))</f>
        <v/>
      </c>
      <c r="H59" s="43" t="str">
        <f t="shared" si="23"/>
        <v/>
      </c>
      <c r="I59" s="44" t="s">
        <v>100</v>
      </c>
      <c r="J59" s="43" t="str">
        <f>IF(IFERROR(INDEX(Consulta!$A:$DN,MATCH('ZM01'!$C59,Consulta!$D:$D,0),'ZM01'!J$2),"")=0,"",IFERROR(INDEX(Consulta!$A:$DN,MATCH('ZM01'!$C59,Consulta!$D:$D,0),'ZM01'!J$2),""))</f>
        <v/>
      </c>
      <c r="K59" s="43" t="str">
        <f>IF(IFERROR(INDEX(Consulta!$A:$DN,MATCH('ZM01'!$C59,Consulta!$D:$D,0),'ZM01'!K$2),"")=0,"",IFERROR(INDEX(Consulta!$A:$DN,MATCH('ZM01'!$C59,Consulta!$D:$D,0),'ZM01'!K$2),""))</f>
        <v/>
      </c>
      <c r="L59" s="43" t="str">
        <f t="shared" si="39"/>
        <v/>
      </c>
      <c r="M59" s="43" t="str">
        <f>IF(IFERROR(INDEX(Consulta!$A:$DN,MATCH('ZM01'!$C59,Consulta!$D:$D,0),'ZM01'!M$2),"")=0,"",IFERROR(INDEX(Consulta!$A:$DN,MATCH('ZM01'!$C59,Consulta!$D:$D,0),'ZM01'!M$2),""))</f>
        <v/>
      </c>
      <c r="N59" s="43" t="str">
        <f t="shared" si="40"/>
        <v/>
      </c>
      <c r="P59" s="45" t="s">
        <v>101</v>
      </c>
      <c r="Q59" s="45" t="s">
        <v>102</v>
      </c>
      <c r="R59" s="45" t="s">
        <v>103</v>
      </c>
      <c r="S59" s="45" t="s">
        <v>104</v>
      </c>
      <c r="T59" s="45" t="s">
        <v>105</v>
      </c>
      <c r="U59" s="45" t="s">
        <v>106</v>
      </c>
      <c r="V59" s="45" t="s">
        <v>107</v>
      </c>
      <c r="W59" s="45" t="s">
        <v>109</v>
      </c>
      <c r="X59" s="45" t="s">
        <v>110</v>
      </c>
      <c r="Y59" s="45"/>
      <c r="Z59" s="45"/>
      <c r="AA59" s="45" t="s">
        <v>112</v>
      </c>
      <c r="AB59" s="45" t="s">
        <v>113</v>
      </c>
      <c r="AC59" s="45" t="s">
        <v>114</v>
      </c>
      <c r="AD59" s="45" t="s">
        <v>115</v>
      </c>
      <c r="AE59" s="45" t="s">
        <v>117</v>
      </c>
      <c r="AF59" s="45" t="s">
        <v>118</v>
      </c>
      <c r="AG59" s="45" t="s">
        <v>119</v>
      </c>
      <c r="AH59" s="45" t="s">
        <v>120</v>
      </c>
      <c r="AI59" s="45" t="s">
        <v>121</v>
      </c>
      <c r="AJ59" s="45" t="s">
        <v>122</v>
      </c>
      <c r="AK59" s="45" t="s">
        <v>123</v>
      </c>
      <c r="AL59" s="45" t="s">
        <v>124</v>
      </c>
      <c r="AM59" s="45" t="s">
        <v>125</v>
      </c>
      <c r="AN59" s="45" t="s">
        <v>126</v>
      </c>
      <c r="AO59" s="45"/>
      <c r="AP59" s="45"/>
      <c r="AR59" s="44" t="s">
        <v>822</v>
      </c>
      <c r="AS59" s="43" t="str">
        <f>IF(IFERROR(INDEX(Consulta!$A:$DN,MATCH('ZM01'!$C59,Consulta!$D:$D,0),'ZM01'!AS$2),"")=0,"",IFERROR(INDEX(Consulta!$A:$DN,MATCH('ZM01'!$C59,Consulta!$D:$D,0),'ZM01'!AS$2),""))</f>
        <v/>
      </c>
      <c r="AT59" s="45"/>
      <c r="AU59" s="43" t="str">
        <f>IF(IFERROR(INDEX(Consulta!$A:$DN,MATCH('ZM01'!$C59,Consulta!$D:$D,0),'ZM01'!AU$2),"")=0,"",IFERROR(INDEX(Consulta!$A:$DN,MATCH('ZM01'!$C59,Consulta!$D:$D,0),'ZM01'!AU$2),""))</f>
        <v/>
      </c>
      <c r="AV59" s="43" t="str">
        <f>IF(IFERROR(INDEX(Consulta!$A:$DN,MATCH('ZM01'!$C59,Consulta!$D:$D,0),'ZM01'!AV$2),"")=0,"",IFERROR(INDEX(Consulta!$A:$DN,MATCH('ZM01'!$C59,Consulta!$D:$D,0),'ZM01'!AV$2),""))</f>
        <v/>
      </c>
      <c r="AW59" s="45"/>
      <c r="AX59" s="46" t="str">
        <f t="shared" ca="1" si="41"/>
        <v/>
      </c>
      <c r="AY59" s="47" t="s">
        <v>755</v>
      </c>
      <c r="AZ59" s="43" t="str">
        <f>IF(IFERROR(ROUND(INDEX(Consulta!$A:$DN,MATCH('ZM01'!$C59,Consulta!$D:$D,0),'ZM01'!AZ$2),3),"")=0,"",IFERROR(ROUND(INDEX(Consulta!$A:$DN,MATCH('ZM01'!$C59,Consulta!$D:$D,0),'ZM01'!AZ$2),3),""))</f>
        <v/>
      </c>
      <c r="BA59" s="43" t="str">
        <f t="shared" si="42"/>
        <v/>
      </c>
      <c r="BB59" s="48" t="s">
        <v>299</v>
      </c>
      <c r="BC59" s="48"/>
      <c r="BD59" s="43" t="str">
        <f>IF(IFERROR(INDEX(Consulta!$A:$DN,MATCH('ZM01'!$C59,Consulta!$D:$D,0),'ZM01'!BD$2),"")=0,"",IFERROR(INDEX(Consulta!$A:$DN,MATCH('ZM01'!$C59,Consulta!$D:$D,0),'ZM01'!BD$2),""))</f>
        <v/>
      </c>
      <c r="BE59" s="43" t="str">
        <f t="shared" si="0"/>
        <v/>
      </c>
      <c r="BF59" s="43" t="str">
        <f t="shared" si="43"/>
        <v/>
      </c>
      <c r="BG59" s="43" t="str">
        <f t="shared" si="1"/>
        <v/>
      </c>
      <c r="BH59" s="43" t="str">
        <f t="shared" si="44"/>
        <v>PC</v>
      </c>
      <c r="BI59" s="43" t="str">
        <f t="shared" si="24"/>
        <v/>
      </c>
      <c r="BJ59" s="43" t="str">
        <f t="shared" si="25"/>
        <v/>
      </c>
      <c r="BK59" s="43" t="str">
        <f t="shared" si="26"/>
        <v/>
      </c>
      <c r="BL59" s="43" t="str">
        <f t="shared" si="45"/>
        <v>PC</v>
      </c>
      <c r="BN59" s="44"/>
      <c r="BO59" s="44" t="s">
        <v>925</v>
      </c>
      <c r="BP59" s="43" t="str">
        <f>IF(OR(IFERROR(INDEX(Consulta!$A:$DN,MATCH('ZM01'!$C59,Consulta!$D:$D,0),'ZM01'!BP$2),"")=0,IFERROR(INDEX(Consulta!$A:$DN,MATCH('ZM01'!$C59,Consulta!$D:$D,0),'ZM01'!BP$2),"")=AR59),"",IFERROR(INDEX(Consulta!$A:$DN,MATCH('ZM01'!$C59,Consulta!$D:$D,0),'ZM01'!BP$2),""))</f>
        <v/>
      </c>
      <c r="BQ59" s="45">
        <v>99</v>
      </c>
      <c r="BR59" s="46" t="str">
        <f t="shared" ca="1" si="46"/>
        <v>17.05.2022</v>
      </c>
      <c r="BS59" s="49" t="str">
        <f t="shared" si="47"/>
        <v/>
      </c>
      <c r="BT59" s="50">
        <v>1</v>
      </c>
      <c r="BU59" s="50" t="s">
        <v>194</v>
      </c>
      <c r="BV59" s="90" t="str">
        <f t="shared" si="14"/>
        <v>01</v>
      </c>
      <c r="BW59" s="50" t="s">
        <v>755</v>
      </c>
      <c r="BX59" s="44">
        <v>1</v>
      </c>
      <c r="BY59" s="44" t="s">
        <v>372</v>
      </c>
      <c r="BZ59" s="50" t="s">
        <v>197</v>
      </c>
      <c r="CA59" s="50" t="s">
        <v>197</v>
      </c>
      <c r="CB59" s="43" t="str">
        <f>IF(IFERROR(INDEX(Consulta!$A:$DN,MATCH('ZM01'!$C59,Consulta!$D:$D,0),'ZM01'!CB$2),"")=0,"",IFERROR(INDEX(Consulta!$A:$DN,MATCH('ZM01'!$C59,Consulta!$D:$D,0),'ZM01'!CB$2),""))</f>
        <v/>
      </c>
      <c r="CC59" s="44" t="s">
        <v>392</v>
      </c>
      <c r="CD59" s="50">
        <v>0</v>
      </c>
      <c r="CE59" s="45" t="s">
        <v>403</v>
      </c>
      <c r="CF59" s="45" t="s">
        <v>84</v>
      </c>
      <c r="CG59" s="43" t="str">
        <f t="shared" si="15"/>
        <v/>
      </c>
      <c r="CH59" s="45" t="s">
        <v>430</v>
      </c>
      <c r="CI59" s="44">
        <v>0</v>
      </c>
      <c r="CJ59" s="43" t="str">
        <f t="shared" si="27"/>
        <v>E</v>
      </c>
      <c r="CK59" s="43" t="str">
        <f t="shared" si="28"/>
        <v/>
      </c>
      <c r="CL59" s="44">
        <v>2</v>
      </c>
      <c r="CM59" s="49" t="str">
        <f t="shared" si="48"/>
        <v/>
      </c>
      <c r="CN59" s="49" t="str">
        <f t="shared" si="49"/>
        <v/>
      </c>
      <c r="CO59" s="43" t="str">
        <f t="shared" si="29"/>
        <v/>
      </c>
      <c r="CP59" s="44">
        <v>1</v>
      </c>
      <c r="CQ59" s="50" t="s">
        <v>515</v>
      </c>
      <c r="CR59" s="44" t="s">
        <v>372</v>
      </c>
      <c r="CS59" s="44">
        <v>2</v>
      </c>
      <c r="CT59" s="44">
        <v>42</v>
      </c>
      <c r="CU59" s="44">
        <v>10</v>
      </c>
      <c r="CV59" s="43" t="str">
        <f t="shared" si="30"/>
        <v>K00_AO_</v>
      </c>
      <c r="CW59" s="43" t="str">
        <f t="shared" si="31"/>
        <v/>
      </c>
      <c r="CX59" s="43" t="str">
        <f t="shared" si="32"/>
        <v/>
      </c>
      <c r="CY59" s="44">
        <v>1</v>
      </c>
      <c r="CZ59" s="43" t="str">
        <f t="shared" si="33"/>
        <v/>
      </c>
      <c r="DA59" s="43" t="str">
        <f>IF(IFERROR(INDEX(Consulta!$A:$DN,MATCH('ZM01'!$C59,Consulta!$D:$D,0),'ZM01'!DA$2),"")=0,"",IFERROR(INDEX(Consulta!$A:$DN,MATCH('ZM01'!$C59,Consulta!$D:$D,0),'ZM01'!DA$2),""))</f>
        <v/>
      </c>
      <c r="DB59" s="43" t="str">
        <f>IF(IFERROR(INDEX(Consulta!$A:$DN,MATCH('ZM01'!$C59,Consulta!$D:$D,0),'ZM01'!DB$2),"")=0,"",IFERROR(INDEX(Consulta!$A:$DN,MATCH('ZM01'!$C59,Consulta!$D:$D,0),'ZM01'!DB$2),""))</f>
        <v/>
      </c>
      <c r="DC59" s="45">
        <v>0</v>
      </c>
      <c r="DD59" s="45">
        <v>0</v>
      </c>
      <c r="DE59" s="43" t="str">
        <f>IF(IFERROR(INDEX(Consulta!$A:$DN,MATCH('ZM01'!$C59,Consulta!$D:$D,0),'ZM01'!DE$2),"")=0,"",IFERROR(TEXT(VALUE(INDEX(Consulta!$A:$DN,MATCH('ZM01'!$C59,Consulta!$D:$D,0),'ZM01'!DE$2))/100,"0,00"),""))</f>
        <v/>
      </c>
      <c r="DG59" s="43">
        <f t="shared" si="50"/>
        <v>1</v>
      </c>
      <c r="DH59" s="43" t="str">
        <f>IF(IFERROR(INDEX(Consulta!$A:$DN,MATCH('ZM01'!$C59,Consulta!$D:$D,0),'ZM01'!DH$2),"")=0,"",IFERROR(VLOOKUP(INDEX(Consulta!$A:$DN,MATCH('ZM01'!$C59,Consulta!$D:$D,0),'ZM01'!DH$2),'Listas de Dados'!BU:BW,3,0),""))</f>
        <v/>
      </c>
      <c r="DI59" s="43" t="str">
        <f t="shared" ca="1" si="51"/>
        <v>17.05.2022</v>
      </c>
      <c r="DJ59" s="43" t="str">
        <f t="shared" si="52"/>
        <v>31.12.9999</v>
      </c>
      <c r="DL59" s="44">
        <v>1</v>
      </c>
      <c r="DM59" s="44" t="s">
        <v>1039</v>
      </c>
      <c r="DN59" s="44">
        <v>1</v>
      </c>
      <c r="DO59" s="43">
        <f t="shared" si="34"/>
        <v>1</v>
      </c>
      <c r="DP59" s="43" t="str">
        <f t="shared" si="35"/>
        <v>PC</v>
      </c>
      <c r="DQ59" s="43" t="str">
        <f t="shared" si="36"/>
        <v/>
      </c>
      <c r="DR59" s="44">
        <v>100</v>
      </c>
      <c r="DS59" s="71">
        <f t="shared" si="21"/>
        <v>1</v>
      </c>
      <c r="DT59" s="43">
        <f t="shared" si="53"/>
        <v>100</v>
      </c>
      <c r="DU59" s="44">
        <v>1</v>
      </c>
      <c r="DV59" s="44">
        <v>0</v>
      </c>
      <c r="DW59" s="44" t="s">
        <v>826</v>
      </c>
      <c r="DX59" s="45">
        <v>0</v>
      </c>
      <c r="DY59" s="44">
        <v>100</v>
      </c>
      <c r="DZ59" s="60"/>
    </row>
    <row r="60" spans="1:130" x14ac:dyDescent="0.2">
      <c r="A60" s="7" t="str">
        <f t="shared" si="2"/>
        <v>Execução 56</v>
      </c>
      <c r="B60" s="75"/>
      <c r="C60" s="85"/>
      <c r="D60" s="71" t="str">
        <f t="shared" si="37"/>
        <v/>
      </c>
      <c r="E60" s="71" t="str">
        <f t="shared" si="38"/>
        <v/>
      </c>
      <c r="F60" s="43" t="str">
        <f>IF(IFERROR(INDEX(Consulta!$A:$DN,MATCH('ZM01'!$C60,Consulta!$D:$D,0),'ZM01'!F$2),"")=0,"",IFERROR(INDEX(Consulta!$A:$DN,MATCH('ZM01'!$C60,Consulta!$D:$D,0),'ZM01'!F$2),""))</f>
        <v/>
      </c>
      <c r="G60" s="43" t="str">
        <f>IF(IFERROR(INDEX(Consulta!$A:$DN,MATCH('ZM01'!$C60,Consulta!$D:$D,0),'ZM01'!G$2),"")=0,"",IFERROR(INDEX(Consulta!$A:$DN,MATCH('ZM01'!$C60,Consulta!$D:$D,0),'ZM01'!G$2),""))</f>
        <v/>
      </c>
      <c r="H60" s="43" t="str">
        <f t="shared" si="23"/>
        <v/>
      </c>
      <c r="I60" s="44" t="s">
        <v>100</v>
      </c>
      <c r="J60" s="43" t="str">
        <f>IF(IFERROR(INDEX(Consulta!$A:$DN,MATCH('ZM01'!$C60,Consulta!$D:$D,0),'ZM01'!J$2),"")=0,"",IFERROR(INDEX(Consulta!$A:$DN,MATCH('ZM01'!$C60,Consulta!$D:$D,0),'ZM01'!J$2),""))</f>
        <v/>
      </c>
      <c r="K60" s="43" t="str">
        <f>IF(IFERROR(INDEX(Consulta!$A:$DN,MATCH('ZM01'!$C60,Consulta!$D:$D,0),'ZM01'!K$2),"")=0,"",IFERROR(INDEX(Consulta!$A:$DN,MATCH('ZM01'!$C60,Consulta!$D:$D,0),'ZM01'!K$2),""))</f>
        <v/>
      </c>
      <c r="L60" s="43" t="str">
        <f t="shared" si="39"/>
        <v/>
      </c>
      <c r="M60" s="43" t="str">
        <f>IF(IFERROR(INDEX(Consulta!$A:$DN,MATCH('ZM01'!$C60,Consulta!$D:$D,0),'ZM01'!M$2),"")=0,"",IFERROR(INDEX(Consulta!$A:$DN,MATCH('ZM01'!$C60,Consulta!$D:$D,0),'ZM01'!M$2),""))</f>
        <v/>
      </c>
      <c r="N60" s="43" t="str">
        <f t="shared" si="40"/>
        <v/>
      </c>
      <c r="P60" s="45" t="s">
        <v>101</v>
      </c>
      <c r="Q60" s="45" t="s">
        <v>102</v>
      </c>
      <c r="R60" s="45" t="s">
        <v>103</v>
      </c>
      <c r="S60" s="45" t="s">
        <v>104</v>
      </c>
      <c r="T60" s="45" t="s">
        <v>105</v>
      </c>
      <c r="U60" s="45" t="s">
        <v>106</v>
      </c>
      <c r="V60" s="45" t="s">
        <v>107</v>
      </c>
      <c r="W60" s="45" t="s">
        <v>109</v>
      </c>
      <c r="X60" s="45" t="s">
        <v>110</v>
      </c>
      <c r="Y60" s="45"/>
      <c r="Z60" s="45"/>
      <c r="AA60" s="45" t="s">
        <v>112</v>
      </c>
      <c r="AB60" s="45" t="s">
        <v>113</v>
      </c>
      <c r="AC60" s="45" t="s">
        <v>114</v>
      </c>
      <c r="AD60" s="45" t="s">
        <v>115</v>
      </c>
      <c r="AE60" s="45" t="s">
        <v>117</v>
      </c>
      <c r="AF60" s="45" t="s">
        <v>118</v>
      </c>
      <c r="AG60" s="45" t="s">
        <v>119</v>
      </c>
      <c r="AH60" s="45" t="s">
        <v>120</v>
      </c>
      <c r="AI60" s="45" t="s">
        <v>121</v>
      </c>
      <c r="AJ60" s="45" t="s">
        <v>122</v>
      </c>
      <c r="AK60" s="45" t="s">
        <v>123</v>
      </c>
      <c r="AL60" s="45" t="s">
        <v>124</v>
      </c>
      <c r="AM60" s="45" t="s">
        <v>125</v>
      </c>
      <c r="AN60" s="45" t="s">
        <v>126</v>
      </c>
      <c r="AO60" s="45"/>
      <c r="AP60" s="45"/>
      <c r="AR60" s="44" t="s">
        <v>822</v>
      </c>
      <c r="AS60" s="43" t="str">
        <f>IF(IFERROR(INDEX(Consulta!$A:$DN,MATCH('ZM01'!$C60,Consulta!$D:$D,0),'ZM01'!AS$2),"")=0,"",IFERROR(INDEX(Consulta!$A:$DN,MATCH('ZM01'!$C60,Consulta!$D:$D,0),'ZM01'!AS$2),""))</f>
        <v/>
      </c>
      <c r="AT60" s="45"/>
      <c r="AU60" s="43" t="str">
        <f>IF(IFERROR(INDEX(Consulta!$A:$DN,MATCH('ZM01'!$C60,Consulta!$D:$D,0),'ZM01'!AU$2),"")=0,"",IFERROR(INDEX(Consulta!$A:$DN,MATCH('ZM01'!$C60,Consulta!$D:$D,0),'ZM01'!AU$2),""))</f>
        <v/>
      </c>
      <c r="AV60" s="43" t="str">
        <f>IF(IFERROR(INDEX(Consulta!$A:$DN,MATCH('ZM01'!$C60,Consulta!$D:$D,0),'ZM01'!AV$2),"")=0,"",IFERROR(INDEX(Consulta!$A:$DN,MATCH('ZM01'!$C60,Consulta!$D:$D,0),'ZM01'!AV$2),""))</f>
        <v/>
      </c>
      <c r="AW60" s="45"/>
      <c r="AX60" s="46" t="str">
        <f t="shared" ca="1" si="41"/>
        <v/>
      </c>
      <c r="AY60" s="47" t="s">
        <v>755</v>
      </c>
      <c r="AZ60" s="43" t="str">
        <f>IF(IFERROR(ROUND(INDEX(Consulta!$A:$DN,MATCH('ZM01'!$C60,Consulta!$D:$D,0),'ZM01'!AZ$2),3),"")=0,"",IFERROR(ROUND(INDEX(Consulta!$A:$DN,MATCH('ZM01'!$C60,Consulta!$D:$D,0),'ZM01'!AZ$2),3),""))</f>
        <v/>
      </c>
      <c r="BA60" s="43" t="str">
        <f t="shared" si="42"/>
        <v/>
      </c>
      <c r="BB60" s="48" t="s">
        <v>299</v>
      </c>
      <c r="BC60" s="48"/>
      <c r="BD60" s="43" t="str">
        <f>IF(IFERROR(INDEX(Consulta!$A:$DN,MATCH('ZM01'!$C60,Consulta!$D:$D,0),'ZM01'!BD$2),"")=0,"",IFERROR(INDEX(Consulta!$A:$DN,MATCH('ZM01'!$C60,Consulta!$D:$D,0),'ZM01'!BD$2),""))</f>
        <v/>
      </c>
      <c r="BE60" s="43" t="str">
        <f t="shared" si="0"/>
        <v/>
      </c>
      <c r="BF60" s="43" t="str">
        <f t="shared" si="43"/>
        <v/>
      </c>
      <c r="BG60" s="43" t="str">
        <f t="shared" si="1"/>
        <v/>
      </c>
      <c r="BH60" s="43" t="str">
        <f t="shared" si="44"/>
        <v>PC</v>
      </c>
      <c r="BI60" s="43" t="str">
        <f t="shared" si="24"/>
        <v/>
      </c>
      <c r="BJ60" s="43" t="str">
        <f t="shared" si="25"/>
        <v/>
      </c>
      <c r="BK60" s="43" t="str">
        <f t="shared" si="26"/>
        <v/>
      </c>
      <c r="BL60" s="43" t="str">
        <f t="shared" si="45"/>
        <v>PC</v>
      </c>
      <c r="BN60" s="44"/>
      <c r="BO60" s="44" t="s">
        <v>925</v>
      </c>
      <c r="BP60" s="43" t="str">
        <f>IF(OR(IFERROR(INDEX(Consulta!$A:$DN,MATCH('ZM01'!$C60,Consulta!$D:$D,0),'ZM01'!BP$2),"")=0,IFERROR(INDEX(Consulta!$A:$DN,MATCH('ZM01'!$C60,Consulta!$D:$D,0),'ZM01'!BP$2),"")=AR60),"",IFERROR(INDEX(Consulta!$A:$DN,MATCH('ZM01'!$C60,Consulta!$D:$D,0),'ZM01'!BP$2),""))</f>
        <v/>
      </c>
      <c r="BQ60" s="45">
        <v>99</v>
      </c>
      <c r="BR60" s="46" t="str">
        <f t="shared" ca="1" si="46"/>
        <v>17.05.2022</v>
      </c>
      <c r="BS60" s="49" t="str">
        <f t="shared" si="47"/>
        <v/>
      </c>
      <c r="BT60" s="50">
        <v>1</v>
      </c>
      <c r="BU60" s="50" t="s">
        <v>194</v>
      </c>
      <c r="BV60" s="90" t="str">
        <f t="shared" si="14"/>
        <v>01</v>
      </c>
      <c r="BW60" s="50" t="s">
        <v>755</v>
      </c>
      <c r="BX60" s="44">
        <v>1</v>
      </c>
      <c r="BY60" s="44" t="s">
        <v>372</v>
      </c>
      <c r="BZ60" s="50" t="s">
        <v>197</v>
      </c>
      <c r="CA60" s="50" t="s">
        <v>197</v>
      </c>
      <c r="CB60" s="43" t="str">
        <f>IF(IFERROR(INDEX(Consulta!$A:$DN,MATCH('ZM01'!$C60,Consulta!$D:$D,0),'ZM01'!CB$2),"")=0,"",IFERROR(INDEX(Consulta!$A:$DN,MATCH('ZM01'!$C60,Consulta!$D:$D,0),'ZM01'!CB$2),""))</f>
        <v/>
      </c>
      <c r="CC60" s="44" t="s">
        <v>392</v>
      </c>
      <c r="CD60" s="50">
        <v>0</v>
      </c>
      <c r="CE60" s="45" t="s">
        <v>403</v>
      </c>
      <c r="CF60" s="45" t="s">
        <v>84</v>
      </c>
      <c r="CG60" s="43" t="str">
        <f t="shared" si="15"/>
        <v/>
      </c>
      <c r="CH60" s="45" t="s">
        <v>430</v>
      </c>
      <c r="CI60" s="44">
        <v>0</v>
      </c>
      <c r="CJ60" s="43" t="str">
        <f t="shared" si="27"/>
        <v>E</v>
      </c>
      <c r="CK60" s="43" t="str">
        <f t="shared" si="28"/>
        <v/>
      </c>
      <c r="CL60" s="44">
        <v>2</v>
      </c>
      <c r="CM60" s="49" t="str">
        <f t="shared" si="48"/>
        <v/>
      </c>
      <c r="CN60" s="49" t="str">
        <f t="shared" si="49"/>
        <v/>
      </c>
      <c r="CO60" s="43" t="str">
        <f t="shared" si="29"/>
        <v/>
      </c>
      <c r="CP60" s="44">
        <v>1</v>
      </c>
      <c r="CQ60" s="50" t="s">
        <v>515</v>
      </c>
      <c r="CR60" s="44" t="s">
        <v>372</v>
      </c>
      <c r="CS60" s="44">
        <v>2</v>
      </c>
      <c r="CT60" s="44">
        <v>42</v>
      </c>
      <c r="CU60" s="44">
        <v>10</v>
      </c>
      <c r="CV60" s="43" t="str">
        <f t="shared" si="30"/>
        <v>K00_AO_</v>
      </c>
      <c r="CW60" s="43" t="str">
        <f t="shared" si="31"/>
        <v/>
      </c>
      <c r="CX60" s="43" t="str">
        <f t="shared" si="32"/>
        <v/>
      </c>
      <c r="CY60" s="44">
        <v>1</v>
      </c>
      <c r="CZ60" s="43" t="str">
        <f t="shared" si="33"/>
        <v/>
      </c>
      <c r="DA60" s="43" t="str">
        <f>IF(IFERROR(INDEX(Consulta!$A:$DN,MATCH('ZM01'!$C60,Consulta!$D:$D,0),'ZM01'!DA$2),"")=0,"",IFERROR(INDEX(Consulta!$A:$DN,MATCH('ZM01'!$C60,Consulta!$D:$D,0),'ZM01'!DA$2),""))</f>
        <v/>
      </c>
      <c r="DB60" s="43" t="str">
        <f>IF(IFERROR(INDEX(Consulta!$A:$DN,MATCH('ZM01'!$C60,Consulta!$D:$D,0),'ZM01'!DB$2),"")=0,"",IFERROR(INDEX(Consulta!$A:$DN,MATCH('ZM01'!$C60,Consulta!$D:$D,0),'ZM01'!DB$2),""))</f>
        <v/>
      </c>
      <c r="DC60" s="45">
        <v>0</v>
      </c>
      <c r="DD60" s="45">
        <v>0</v>
      </c>
      <c r="DE60" s="43" t="str">
        <f>IF(IFERROR(INDEX(Consulta!$A:$DN,MATCH('ZM01'!$C60,Consulta!$D:$D,0),'ZM01'!DE$2),"")=0,"",IFERROR(TEXT(VALUE(INDEX(Consulta!$A:$DN,MATCH('ZM01'!$C60,Consulta!$D:$D,0),'ZM01'!DE$2))/100,"0,00"),""))</f>
        <v/>
      </c>
      <c r="DG60" s="43">
        <f t="shared" si="50"/>
        <v>1</v>
      </c>
      <c r="DH60" s="43" t="str">
        <f>IF(IFERROR(INDEX(Consulta!$A:$DN,MATCH('ZM01'!$C60,Consulta!$D:$D,0),'ZM01'!DH$2),"")=0,"",IFERROR(VLOOKUP(INDEX(Consulta!$A:$DN,MATCH('ZM01'!$C60,Consulta!$D:$D,0),'ZM01'!DH$2),'Listas de Dados'!BU:BW,3,0),""))</f>
        <v/>
      </c>
      <c r="DI60" s="43" t="str">
        <f t="shared" ca="1" si="51"/>
        <v>17.05.2022</v>
      </c>
      <c r="DJ60" s="43" t="str">
        <f t="shared" si="52"/>
        <v>31.12.9999</v>
      </c>
      <c r="DL60" s="44">
        <v>1</v>
      </c>
      <c r="DM60" s="44" t="s">
        <v>1039</v>
      </c>
      <c r="DN60" s="44">
        <v>1</v>
      </c>
      <c r="DO60" s="43">
        <f t="shared" si="34"/>
        <v>1</v>
      </c>
      <c r="DP60" s="43" t="str">
        <f t="shared" si="35"/>
        <v>PC</v>
      </c>
      <c r="DQ60" s="43" t="str">
        <f t="shared" si="36"/>
        <v/>
      </c>
      <c r="DR60" s="44">
        <v>100</v>
      </c>
      <c r="DS60" s="71">
        <f t="shared" si="21"/>
        <v>1</v>
      </c>
      <c r="DT60" s="43">
        <f t="shared" si="53"/>
        <v>100</v>
      </c>
      <c r="DU60" s="44">
        <v>1</v>
      </c>
      <c r="DV60" s="44">
        <v>0</v>
      </c>
      <c r="DW60" s="44" t="s">
        <v>826</v>
      </c>
      <c r="DX60" s="45">
        <v>0</v>
      </c>
      <c r="DY60" s="44">
        <v>100</v>
      </c>
      <c r="DZ60" s="61"/>
    </row>
    <row r="61" spans="1:130" x14ac:dyDescent="0.2">
      <c r="A61" s="7" t="str">
        <f t="shared" si="2"/>
        <v>Execução 57</v>
      </c>
      <c r="B61" s="79"/>
      <c r="C61" s="85"/>
      <c r="D61" s="71" t="str">
        <f t="shared" si="37"/>
        <v/>
      </c>
      <c r="E61" s="71" t="str">
        <f t="shared" si="38"/>
        <v/>
      </c>
      <c r="F61" s="43" t="str">
        <f>IF(IFERROR(INDEX(Consulta!$A:$DN,MATCH('ZM01'!$C61,Consulta!$D:$D,0),'ZM01'!F$2),"")=0,"",IFERROR(INDEX(Consulta!$A:$DN,MATCH('ZM01'!$C61,Consulta!$D:$D,0),'ZM01'!F$2),""))</f>
        <v/>
      </c>
      <c r="G61" s="43" t="str">
        <f>IF(IFERROR(INDEX(Consulta!$A:$DN,MATCH('ZM01'!$C61,Consulta!$D:$D,0),'ZM01'!G$2),"")=0,"",IFERROR(INDEX(Consulta!$A:$DN,MATCH('ZM01'!$C61,Consulta!$D:$D,0),'ZM01'!G$2),""))</f>
        <v/>
      </c>
      <c r="H61" s="43" t="str">
        <f t="shared" si="23"/>
        <v/>
      </c>
      <c r="I61" s="44" t="s">
        <v>100</v>
      </c>
      <c r="J61" s="43" t="str">
        <f>IF(IFERROR(INDEX(Consulta!$A:$DN,MATCH('ZM01'!$C61,Consulta!$D:$D,0),'ZM01'!J$2),"")=0,"",IFERROR(INDEX(Consulta!$A:$DN,MATCH('ZM01'!$C61,Consulta!$D:$D,0),'ZM01'!J$2),""))</f>
        <v/>
      </c>
      <c r="K61" s="43" t="str">
        <f>IF(IFERROR(INDEX(Consulta!$A:$DN,MATCH('ZM01'!$C61,Consulta!$D:$D,0),'ZM01'!K$2),"")=0,"",IFERROR(INDEX(Consulta!$A:$DN,MATCH('ZM01'!$C61,Consulta!$D:$D,0),'ZM01'!K$2),""))</f>
        <v/>
      </c>
      <c r="L61" s="43" t="str">
        <f t="shared" si="39"/>
        <v/>
      </c>
      <c r="M61" s="43" t="str">
        <f>IF(IFERROR(INDEX(Consulta!$A:$DN,MATCH('ZM01'!$C61,Consulta!$D:$D,0),'ZM01'!M$2),"")=0,"",IFERROR(INDEX(Consulta!$A:$DN,MATCH('ZM01'!$C61,Consulta!$D:$D,0),'ZM01'!M$2),""))</f>
        <v/>
      </c>
      <c r="N61" s="43" t="str">
        <f t="shared" si="40"/>
        <v/>
      </c>
      <c r="P61" s="45" t="s">
        <v>101</v>
      </c>
      <c r="Q61" s="45" t="s">
        <v>102</v>
      </c>
      <c r="R61" s="45" t="s">
        <v>103</v>
      </c>
      <c r="S61" s="45" t="s">
        <v>104</v>
      </c>
      <c r="T61" s="45" t="s">
        <v>105</v>
      </c>
      <c r="U61" s="45" t="s">
        <v>106</v>
      </c>
      <c r="V61" s="45" t="s">
        <v>107</v>
      </c>
      <c r="W61" s="45" t="s">
        <v>109</v>
      </c>
      <c r="X61" s="45" t="s">
        <v>110</v>
      </c>
      <c r="Y61" s="45"/>
      <c r="Z61" s="45"/>
      <c r="AA61" s="45" t="s">
        <v>112</v>
      </c>
      <c r="AB61" s="45" t="s">
        <v>113</v>
      </c>
      <c r="AC61" s="45" t="s">
        <v>114</v>
      </c>
      <c r="AD61" s="45" t="s">
        <v>115</v>
      </c>
      <c r="AE61" s="45" t="s">
        <v>117</v>
      </c>
      <c r="AF61" s="45" t="s">
        <v>118</v>
      </c>
      <c r="AG61" s="45" t="s">
        <v>119</v>
      </c>
      <c r="AH61" s="45" t="s">
        <v>120</v>
      </c>
      <c r="AI61" s="45" t="s">
        <v>121</v>
      </c>
      <c r="AJ61" s="45" t="s">
        <v>122</v>
      </c>
      <c r="AK61" s="45" t="s">
        <v>123</v>
      </c>
      <c r="AL61" s="45" t="s">
        <v>124</v>
      </c>
      <c r="AM61" s="45" t="s">
        <v>125</v>
      </c>
      <c r="AN61" s="45" t="s">
        <v>126</v>
      </c>
      <c r="AO61" s="45"/>
      <c r="AP61" s="45"/>
      <c r="AR61" s="44" t="s">
        <v>822</v>
      </c>
      <c r="AS61" s="43" t="str">
        <f>IF(IFERROR(INDEX(Consulta!$A:$DN,MATCH('ZM01'!$C61,Consulta!$D:$D,0),'ZM01'!AS$2),"")=0,"",IFERROR(INDEX(Consulta!$A:$DN,MATCH('ZM01'!$C61,Consulta!$D:$D,0),'ZM01'!AS$2),""))</f>
        <v/>
      </c>
      <c r="AT61" s="45"/>
      <c r="AU61" s="43" t="str">
        <f>IF(IFERROR(INDEX(Consulta!$A:$DN,MATCH('ZM01'!$C61,Consulta!$D:$D,0),'ZM01'!AU$2),"")=0,"",IFERROR(INDEX(Consulta!$A:$DN,MATCH('ZM01'!$C61,Consulta!$D:$D,0),'ZM01'!AU$2),""))</f>
        <v/>
      </c>
      <c r="AV61" s="43" t="str">
        <f>IF(IFERROR(INDEX(Consulta!$A:$DN,MATCH('ZM01'!$C61,Consulta!$D:$D,0),'ZM01'!AV$2),"")=0,"",IFERROR(INDEX(Consulta!$A:$DN,MATCH('ZM01'!$C61,Consulta!$D:$D,0),'ZM01'!AV$2),""))</f>
        <v/>
      </c>
      <c r="AW61" s="45"/>
      <c r="AX61" s="46" t="str">
        <f t="shared" ca="1" si="41"/>
        <v/>
      </c>
      <c r="AY61" s="47" t="s">
        <v>755</v>
      </c>
      <c r="AZ61" s="43" t="str">
        <f>IF(IFERROR(ROUND(INDEX(Consulta!$A:$DN,MATCH('ZM01'!$C61,Consulta!$D:$D,0),'ZM01'!AZ$2),3),"")=0,"",IFERROR(ROUND(INDEX(Consulta!$A:$DN,MATCH('ZM01'!$C61,Consulta!$D:$D,0),'ZM01'!AZ$2),3),""))</f>
        <v/>
      </c>
      <c r="BA61" s="43" t="str">
        <f t="shared" si="42"/>
        <v/>
      </c>
      <c r="BB61" s="48" t="s">
        <v>299</v>
      </c>
      <c r="BC61" s="48"/>
      <c r="BD61" s="43" t="str">
        <f>IF(IFERROR(INDEX(Consulta!$A:$DN,MATCH('ZM01'!$C61,Consulta!$D:$D,0),'ZM01'!BD$2),"")=0,"",IFERROR(INDEX(Consulta!$A:$DN,MATCH('ZM01'!$C61,Consulta!$D:$D,0),'ZM01'!BD$2),""))</f>
        <v/>
      </c>
      <c r="BE61" s="43" t="str">
        <f t="shared" si="0"/>
        <v/>
      </c>
      <c r="BF61" s="43" t="str">
        <f t="shared" si="43"/>
        <v/>
      </c>
      <c r="BG61" s="43" t="str">
        <f t="shared" si="1"/>
        <v/>
      </c>
      <c r="BH61" s="43" t="str">
        <f t="shared" si="44"/>
        <v>PC</v>
      </c>
      <c r="BI61" s="43" t="str">
        <f t="shared" si="24"/>
        <v/>
      </c>
      <c r="BJ61" s="43" t="str">
        <f t="shared" si="25"/>
        <v/>
      </c>
      <c r="BK61" s="43" t="str">
        <f t="shared" si="26"/>
        <v/>
      </c>
      <c r="BL61" s="43" t="str">
        <f t="shared" si="45"/>
        <v>PC</v>
      </c>
      <c r="BN61" s="44"/>
      <c r="BO61" s="44" t="s">
        <v>925</v>
      </c>
      <c r="BP61" s="43" t="str">
        <f>IF(OR(IFERROR(INDEX(Consulta!$A:$DN,MATCH('ZM01'!$C61,Consulta!$D:$D,0),'ZM01'!BP$2),"")=0,IFERROR(INDEX(Consulta!$A:$DN,MATCH('ZM01'!$C61,Consulta!$D:$D,0),'ZM01'!BP$2),"")=AR61),"",IFERROR(INDEX(Consulta!$A:$DN,MATCH('ZM01'!$C61,Consulta!$D:$D,0),'ZM01'!BP$2),""))</f>
        <v/>
      </c>
      <c r="BQ61" s="45">
        <v>99</v>
      </c>
      <c r="BR61" s="46" t="str">
        <f t="shared" ca="1" si="46"/>
        <v>17.05.2022</v>
      </c>
      <c r="BS61" s="49" t="str">
        <f t="shared" si="47"/>
        <v/>
      </c>
      <c r="BT61" s="50">
        <v>1</v>
      </c>
      <c r="BU61" s="50" t="s">
        <v>194</v>
      </c>
      <c r="BV61" s="90" t="str">
        <f t="shared" si="14"/>
        <v>01</v>
      </c>
      <c r="BW61" s="50" t="s">
        <v>755</v>
      </c>
      <c r="BX61" s="44">
        <v>1</v>
      </c>
      <c r="BY61" s="44" t="s">
        <v>372</v>
      </c>
      <c r="BZ61" s="50" t="s">
        <v>197</v>
      </c>
      <c r="CA61" s="50" t="s">
        <v>197</v>
      </c>
      <c r="CB61" s="43" t="str">
        <f>IF(IFERROR(INDEX(Consulta!$A:$DN,MATCH('ZM01'!$C61,Consulta!$D:$D,0),'ZM01'!CB$2),"")=0,"",IFERROR(INDEX(Consulta!$A:$DN,MATCH('ZM01'!$C61,Consulta!$D:$D,0),'ZM01'!CB$2),""))</f>
        <v/>
      </c>
      <c r="CC61" s="44" t="s">
        <v>392</v>
      </c>
      <c r="CD61" s="50">
        <v>0</v>
      </c>
      <c r="CE61" s="45" t="s">
        <v>403</v>
      </c>
      <c r="CF61" s="45" t="s">
        <v>84</v>
      </c>
      <c r="CG61" s="43" t="str">
        <f t="shared" si="15"/>
        <v/>
      </c>
      <c r="CH61" s="45" t="s">
        <v>430</v>
      </c>
      <c r="CI61" s="44">
        <v>0</v>
      </c>
      <c r="CJ61" s="43" t="str">
        <f t="shared" si="27"/>
        <v>E</v>
      </c>
      <c r="CK61" s="43" t="str">
        <f t="shared" si="28"/>
        <v/>
      </c>
      <c r="CL61" s="44">
        <v>2</v>
      </c>
      <c r="CM61" s="49" t="str">
        <f t="shared" si="48"/>
        <v/>
      </c>
      <c r="CN61" s="49" t="str">
        <f t="shared" si="49"/>
        <v/>
      </c>
      <c r="CO61" s="43" t="str">
        <f t="shared" si="29"/>
        <v/>
      </c>
      <c r="CP61" s="44">
        <v>1</v>
      </c>
      <c r="CQ61" s="50" t="s">
        <v>515</v>
      </c>
      <c r="CR61" s="44" t="s">
        <v>372</v>
      </c>
      <c r="CS61" s="44">
        <v>2</v>
      </c>
      <c r="CT61" s="44">
        <v>42</v>
      </c>
      <c r="CU61" s="44">
        <v>10</v>
      </c>
      <c r="CV61" s="43" t="str">
        <f t="shared" si="30"/>
        <v>K00_AO_</v>
      </c>
      <c r="CW61" s="43" t="str">
        <f t="shared" si="31"/>
        <v/>
      </c>
      <c r="CX61" s="43" t="str">
        <f t="shared" si="32"/>
        <v/>
      </c>
      <c r="CY61" s="44">
        <v>1</v>
      </c>
      <c r="CZ61" s="43" t="str">
        <f t="shared" si="33"/>
        <v/>
      </c>
      <c r="DA61" s="43" t="str">
        <f>IF(IFERROR(INDEX(Consulta!$A:$DN,MATCH('ZM01'!$C61,Consulta!$D:$D,0),'ZM01'!DA$2),"")=0,"",IFERROR(INDEX(Consulta!$A:$DN,MATCH('ZM01'!$C61,Consulta!$D:$D,0),'ZM01'!DA$2),""))</f>
        <v/>
      </c>
      <c r="DB61" s="43" t="str">
        <f>IF(IFERROR(INDEX(Consulta!$A:$DN,MATCH('ZM01'!$C61,Consulta!$D:$D,0),'ZM01'!DB$2),"")=0,"",IFERROR(INDEX(Consulta!$A:$DN,MATCH('ZM01'!$C61,Consulta!$D:$D,0),'ZM01'!DB$2),""))</f>
        <v/>
      </c>
      <c r="DC61" s="45">
        <v>0</v>
      </c>
      <c r="DD61" s="45">
        <v>0</v>
      </c>
      <c r="DE61" s="43" t="str">
        <f>IF(IFERROR(INDEX(Consulta!$A:$DN,MATCH('ZM01'!$C61,Consulta!$D:$D,0),'ZM01'!DE$2),"")=0,"",IFERROR(TEXT(VALUE(INDEX(Consulta!$A:$DN,MATCH('ZM01'!$C61,Consulta!$D:$D,0),'ZM01'!DE$2))/100,"0,00"),""))</f>
        <v/>
      </c>
      <c r="DG61" s="43">
        <f t="shared" si="50"/>
        <v>1</v>
      </c>
      <c r="DH61" s="43" t="str">
        <f>IF(IFERROR(INDEX(Consulta!$A:$DN,MATCH('ZM01'!$C61,Consulta!$D:$D,0),'ZM01'!DH$2),"")=0,"",IFERROR(VLOOKUP(INDEX(Consulta!$A:$DN,MATCH('ZM01'!$C61,Consulta!$D:$D,0),'ZM01'!DH$2),'Listas de Dados'!BU:BW,3,0),""))</f>
        <v/>
      </c>
      <c r="DI61" s="43" t="str">
        <f t="shared" ca="1" si="51"/>
        <v>17.05.2022</v>
      </c>
      <c r="DJ61" s="43" t="str">
        <f t="shared" si="52"/>
        <v>31.12.9999</v>
      </c>
      <c r="DL61" s="44">
        <v>1</v>
      </c>
      <c r="DM61" s="44" t="s">
        <v>1039</v>
      </c>
      <c r="DN61" s="44">
        <v>1</v>
      </c>
      <c r="DO61" s="43">
        <f t="shared" si="34"/>
        <v>1</v>
      </c>
      <c r="DP61" s="43" t="str">
        <f t="shared" si="35"/>
        <v>PC</v>
      </c>
      <c r="DQ61" s="43" t="str">
        <f t="shared" si="36"/>
        <v/>
      </c>
      <c r="DR61" s="44">
        <v>100</v>
      </c>
      <c r="DS61" s="71">
        <f t="shared" si="21"/>
        <v>1</v>
      </c>
      <c r="DT61" s="43">
        <f t="shared" si="53"/>
        <v>100</v>
      </c>
      <c r="DU61" s="44">
        <v>1</v>
      </c>
      <c r="DV61" s="44">
        <v>0</v>
      </c>
      <c r="DW61" s="44" t="s">
        <v>826</v>
      </c>
      <c r="DX61" s="45">
        <v>0</v>
      </c>
      <c r="DY61" s="44">
        <v>100</v>
      </c>
      <c r="DZ61" s="60"/>
    </row>
    <row r="62" spans="1:130" x14ac:dyDescent="0.2">
      <c r="A62" s="7" t="str">
        <f t="shared" si="2"/>
        <v>Execução 58</v>
      </c>
      <c r="B62" s="75"/>
      <c r="C62" s="85"/>
      <c r="D62" s="71" t="str">
        <f t="shared" si="37"/>
        <v/>
      </c>
      <c r="E62" s="71" t="str">
        <f t="shared" si="38"/>
        <v/>
      </c>
      <c r="F62" s="43" t="str">
        <f>IF(IFERROR(INDEX(Consulta!$A:$DN,MATCH('ZM01'!$C62,Consulta!$D:$D,0),'ZM01'!F$2),"")=0,"",IFERROR(INDEX(Consulta!$A:$DN,MATCH('ZM01'!$C62,Consulta!$D:$D,0),'ZM01'!F$2),""))</f>
        <v/>
      </c>
      <c r="G62" s="43" t="str">
        <f>IF(IFERROR(INDEX(Consulta!$A:$DN,MATCH('ZM01'!$C62,Consulta!$D:$D,0),'ZM01'!G$2),"")=0,"",IFERROR(INDEX(Consulta!$A:$DN,MATCH('ZM01'!$C62,Consulta!$D:$D,0),'ZM01'!G$2),""))</f>
        <v/>
      </c>
      <c r="H62" s="43" t="str">
        <f t="shared" si="23"/>
        <v/>
      </c>
      <c r="I62" s="44" t="s">
        <v>100</v>
      </c>
      <c r="J62" s="43" t="str">
        <f>IF(IFERROR(INDEX(Consulta!$A:$DN,MATCH('ZM01'!$C62,Consulta!$D:$D,0),'ZM01'!J$2),"")=0,"",IFERROR(INDEX(Consulta!$A:$DN,MATCH('ZM01'!$C62,Consulta!$D:$D,0),'ZM01'!J$2),""))</f>
        <v/>
      </c>
      <c r="K62" s="43" t="str">
        <f>IF(IFERROR(INDEX(Consulta!$A:$DN,MATCH('ZM01'!$C62,Consulta!$D:$D,0),'ZM01'!K$2),"")=0,"",IFERROR(INDEX(Consulta!$A:$DN,MATCH('ZM01'!$C62,Consulta!$D:$D,0),'ZM01'!K$2),""))</f>
        <v/>
      </c>
      <c r="L62" s="43" t="str">
        <f t="shared" si="39"/>
        <v/>
      </c>
      <c r="M62" s="43" t="str">
        <f>IF(IFERROR(INDEX(Consulta!$A:$DN,MATCH('ZM01'!$C62,Consulta!$D:$D,0),'ZM01'!M$2),"")=0,"",IFERROR(INDEX(Consulta!$A:$DN,MATCH('ZM01'!$C62,Consulta!$D:$D,0),'ZM01'!M$2),""))</f>
        <v/>
      </c>
      <c r="N62" s="43" t="str">
        <f t="shared" si="40"/>
        <v/>
      </c>
      <c r="P62" s="45" t="s">
        <v>101</v>
      </c>
      <c r="Q62" s="45" t="s">
        <v>102</v>
      </c>
      <c r="R62" s="45" t="s">
        <v>103</v>
      </c>
      <c r="S62" s="45" t="s">
        <v>104</v>
      </c>
      <c r="T62" s="45" t="s">
        <v>105</v>
      </c>
      <c r="U62" s="45" t="s">
        <v>106</v>
      </c>
      <c r="V62" s="45" t="s">
        <v>107</v>
      </c>
      <c r="W62" s="45" t="s">
        <v>109</v>
      </c>
      <c r="X62" s="45" t="s">
        <v>110</v>
      </c>
      <c r="Y62" s="45"/>
      <c r="Z62" s="45"/>
      <c r="AA62" s="45" t="s">
        <v>112</v>
      </c>
      <c r="AB62" s="45" t="s">
        <v>113</v>
      </c>
      <c r="AC62" s="45" t="s">
        <v>114</v>
      </c>
      <c r="AD62" s="45" t="s">
        <v>115</v>
      </c>
      <c r="AE62" s="45" t="s">
        <v>117</v>
      </c>
      <c r="AF62" s="45" t="s">
        <v>118</v>
      </c>
      <c r="AG62" s="45" t="s">
        <v>119</v>
      </c>
      <c r="AH62" s="45" t="s">
        <v>120</v>
      </c>
      <c r="AI62" s="45" t="s">
        <v>121</v>
      </c>
      <c r="AJ62" s="45" t="s">
        <v>122</v>
      </c>
      <c r="AK62" s="45" t="s">
        <v>123</v>
      </c>
      <c r="AL62" s="45" t="s">
        <v>124</v>
      </c>
      <c r="AM62" s="45" t="s">
        <v>125</v>
      </c>
      <c r="AN62" s="45" t="s">
        <v>126</v>
      </c>
      <c r="AO62" s="45"/>
      <c r="AP62" s="45"/>
      <c r="AR62" s="44" t="s">
        <v>822</v>
      </c>
      <c r="AS62" s="43" t="str">
        <f>IF(IFERROR(INDEX(Consulta!$A:$DN,MATCH('ZM01'!$C62,Consulta!$D:$D,0),'ZM01'!AS$2),"")=0,"",IFERROR(INDEX(Consulta!$A:$DN,MATCH('ZM01'!$C62,Consulta!$D:$D,0),'ZM01'!AS$2),""))</f>
        <v/>
      </c>
      <c r="AT62" s="45"/>
      <c r="AU62" s="43" t="str">
        <f>IF(IFERROR(INDEX(Consulta!$A:$DN,MATCH('ZM01'!$C62,Consulta!$D:$D,0),'ZM01'!AU$2),"")=0,"",IFERROR(INDEX(Consulta!$A:$DN,MATCH('ZM01'!$C62,Consulta!$D:$D,0),'ZM01'!AU$2),""))</f>
        <v/>
      </c>
      <c r="AV62" s="43" t="str">
        <f>IF(IFERROR(INDEX(Consulta!$A:$DN,MATCH('ZM01'!$C62,Consulta!$D:$D,0),'ZM01'!AV$2),"")=0,"",IFERROR(INDEX(Consulta!$A:$DN,MATCH('ZM01'!$C62,Consulta!$D:$D,0),'ZM01'!AV$2),""))</f>
        <v/>
      </c>
      <c r="AW62" s="45"/>
      <c r="AX62" s="46" t="str">
        <f t="shared" ca="1" si="41"/>
        <v/>
      </c>
      <c r="AY62" s="47" t="s">
        <v>755</v>
      </c>
      <c r="AZ62" s="43" t="str">
        <f>IF(IFERROR(ROUND(INDEX(Consulta!$A:$DN,MATCH('ZM01'!$C62,Consulta!$D:$D,0),'ZM01'!AZ$2),3),"")=0,"",IFERROR(ROUND(INDEX(Consulta!$A:$DN,MATCH('ZM01'!$C62,Consulta!$D:$D,0),'ZM01'!AZ$2),3),""))</f>
        <v/>
      </c>
      <c r="BA62" s="43" t="str">
        <f t="shared" si="42"/>
        <v/>
      </c>
      <c r="BB62" s="48" t="s">
        <v>299</v>
      </c>
      <c r="BC62" s="48"/>
      <c r="BD62" s="43" t="str">
        <f>IF(IFERROR(INDEX(Consulta!$A:$DN,MATCH('ZM01'!$C62,Consulta!$D:$D,0),'ZM01'!BD$2),"")=0,"",IFERROR(INDEX(Consulta!$A:$DN,MATCH('ZM01'!$C62,Consulta!$D:$D,0),'ZM01'!BD$2),""))</f>
        <v/>
      </c>
      <c r="BE62" s="43" t="str">
        <f t="shared" si="0"/>
        <v/>
      </c>
      <c r="BF62" s="43" t="str">
        <f t="shared" si="43"/>
        <v/>
      </c>
      <c r="BG62" s="43" t="str">
        <f t="shared" si="1"/>
        <v/>
      </c>
      <c r="BH62" s="43" t="str">
        <f t="shared" si="44"/>
        <v>PC</v>
      </c>
      <c r="BI62" s="43" t="str">
        <f t="shared" si="24"/>
        <v/>
      </c>
      <c r="BJ62" s="43" t="str">
        <f t="shared" si="25"/>
        <v/>
      </c>
      <c r="BK62" s="43" t="str">
        <f t="shared" si="26"/>
        <v/>
      </c>
      <c r="BL62" s="43" t="str">
        <f t="shared" si="45"/>
        <v>PC</v>
      </c>
      <c r="BN62" s="44"/>
      <c r="BO62" s="44" t="s">
        <v>925</v>
      </c>
      <c r="BP62" s="43" t="str">
        <f>IF(OR(IFERROR(INDEX(Consulta!$A:$DN,MATCH('ZM01'!$C62,Consulta!$D:$D,0),'ZM01'!BP$2),"")=0,IFERROR(INDEX(Consulta!$A:$DN,MATCH('ZM01'!$C62,Consulta!$D:$D,0),'ZM01'!BP$2),"")=AR62),"",IFERROR(INDEX(Consulta!$A:$DN,MATCH('ZM01'!$C62,Consulta!$D:$D,0),'ZM01'!BP$2),""))</f>
        <v/>
      </c>
      <c r="BQ62" s="45">
        <v>99</v>
      </c>
      <c r="BR62" s="46" t="str">
        <f t="shared" ca="1" si="46"/>
        <v>17.05.2022</v>
      </c>
      <c r="BS62" s="49" t="str">
        <f t="shared" si="47"/>
        <v/>
      </c>
      <c r="BT62" s="50">
        <v>1</v>
      </c>
      <c r="BU62" s="50" t="s">
        <v>194</v>
      </c>
      <c r="BV62" s="90" t="str">
        <f t="shared" si="14"/>
        <v>01</v>
      </c>
      <c r="BW62" s="50" t="s">
        <v>755</v>
      </c>
      <c r="BX62" s="44">
        <v>1</v>
      </c>
      <c r="BY62" s="44" t="s">
        <v>372</v>
      </c>
      <c r="BZ62" s="50" t="s">
        <v>197</v>
      </c>
      <c r="CA62" s="50" t="s">
        <v>197</v>
      </c>
      <c r="CB62" s="43" t="str">
        <f>IF(IFERROR(INDEX(Consulta!$A:$DN,MATCH('ZM01'!$C62,Consulta!$D:$D,0),'ZM01'!CB$2),"")=0,"",IFERROR(INDEX(Consulta!$A:$DN,MATCH('ZM01'!$C62,Consulta!$D:$D,0),'ZM01'!CB$2),""))</f>
        <v/>
      </c>
      <c r="CC62" s="44" t="s">
        <v>392</v>
      </c>
      <c r="CD62" s="50">
        <v>0</v>
      </c>
      <c r="CE62" s="45" t="s">
        <v>403</v>
      </c>
      <c r="CF62" s="45" t="s">
        <v>84</v>
      </c>
      <c r="CG62" s="43" t="str">
        <f t="shared" si="15"/>
        <v/>
      </c>
      <c r="CH62" s="45" t="s">
        <v>430</v>
      </c>
      <c r="CI62" s="44">
        <v>0</v>
      </c>
      <c r="CJ62" s="43" t="str">
        <f t="shared" si="27"/>
        <v>E</v>
      </c>
      <c r="CK62" s="43" t="str">
        <f t="shared" si="28"/>
        <v/>
      </c>
      <c r="CL62" s="44">
        <v>2</v>
      </c>
      <c r="CM62" s="49" t="str">
        <f t="shared" si="48"/>
        <v/>
      </c>
      <c r="CN62" s="49" t="str">
        <f t="shared" si="49"/>
        <v/>
      </c>
      <c r="CO62" s="43" t="str">
        <f t="shared" si="29"/>
        <v/>
      </c>
      <c r="CP62" s="44">
        <v>1</v>
      </c>
      <c r="CQ62" s="50" t="s">
        <v>515</v>
      </c>
      <c r="CR62" s="44" t="s">
        <v>372</v>
      </c>
      <c r="CS62" s="44">
        <v>2</v>
      </c>
      <c r="CT62" s="44">
        <v>42</v>
      </c>
      <c r="CU62" s="44">
        <v>10</v>
      </c>
      <c r="CV62" s="43" t="str">
        <f t="shared" si="30"/>
        <v>K00_AO_</v>
      </c>
      <c r="CW62" s="43" t="str">
        <f t="shared" si="31"/>
        <v/>
      </c>
      <c r="CX62" s="43" t="str">
        <f t="shared" si="32"/>
        <v/>
      </c>
      <c r="CY62" s="44">
        <v>1</v>
      </c>
      <c r="CZ62" s="43" t="str">
        <f t="shared" si="33"/>
        <v/>
      </c>
      <c r="DA62" s="43" t="str">
        <f>IF(IFERROR(INDEX(Consulta!$A:$DN,MATCH('ZM01'!$C62,Consulta!$D:$D,0),'ZM01'!DA$2),"")=0,"",IFERROR(INDEX(Consulta!$A:$DN,MATCH('ZM01'!$C62,Consulta!$D:$D,0),'ZM01'!DA$2),""))</f>
        <v/>
      </c>
      <c r="DB62" s="43" t="str">
        <f>IF(IFERROR(INDEX(Consulta!$A:$DN,MATCH('ZM01'!$C62,Consulta!$D:$D,0),'ZM01'!DB$2),"")=0,"",IFERROR(INDEX(Consulta!$A:$DN,MATCH('ZM01'!$C62,Consulta!$D:$D,0),'ZM01'!DB$2),""))</f>
        <v/>
      </c>
      <c r="DC62" s="45">
        <v>0</v>
      </c>
      <c r="DD62" s="45">
        <v>0</v>
      </c>
      <c r="DE62" s="43" t="str">
        <f>IF(IFERROR(INDEX(Consulta!$A:$DN,MATCH('ZM01'!$C62,Consulta!$D:$D,0),'ZM01'!DE$2),"")=0,"",IFERROR(TEXT(VALUE(INDEX(Consulta!$A:$DN,MATCH('ZM01'!$C62,Consulta!$D:$D,0),'ZM01'!DE$2))/100,"0,00"),""))</f>
        <v/>
      </c>
      <c r="DG62" s="43">
        <f t="shared" si="50"/>
        <v>1</v>
      </c>
      <c r="DH62" s="43" t="str">
        <f>IF(IFERROR(INDEX(Consulta!$A:$DN,MATCH('ZM01'!$C62,Consulta!$D:$D,0),'ZM01'!DH$2),"")=0,"",IFERROR(VLOOKUP(INDEX(Consulta!$A:$DN,MATCH('ZM01'!$C62,Consulta!$D:$D,0),'ZM01'!DH$2),'Listas de Dados'!BU:BW,3,0),""))</f>
        <v/>
      </c>
      <c r="DI62" s="43" t="str">
        <f t="shared" ca="1" si="51"/>
        <v>17.05.2022</v>
      </c>
      <c r="DJ62" s="43" t="str">
        <f t="shared" si="52"/>
        <v>31.12.9999</v>
      </c>
      <c r="DL62" s="44">
        <v>1</v>
      </c>
      <c r="DM62" s="44" t="s">
        <v>1039</v>
      </c>
      <c r="DN62" s="44">
        <v>1</v>
      </c>
      <c r="DO62" s="43">
        <f t="shared" si="34"/>
        <v>1</v>
      </c>
      <c r="DP62" s="43" t="str">
        <f t="shared" si="35"/>
        <v>PC</v>
      </c>
      <c r="DQ62" s="43" t="str">
        <f t="shared" si="36"/>
        <v/>
      </c>
      <c r="DR62" s="44">
        <v>100</v>
      </c>
      <c r="DS62" s="71">
        <f t="shared" si="21"/>
        <v>1</v>
      </c>
      <c r="DT62" s="43">
        <f t="shared" si="53"/>
        <v>100</v>
      </c>
      <c r="DU62" s="44">
        <v>1</v>
      </c>
      <c r="DV62" s="44">
        <v>0</v>
      </c>
      <c r="DW62" s="44" t="s">
        <v>826</v>
      </c>
      <c r="DX62" s="45">
        <v>0</v>
      </c>
      <c r="DY62" s="44">
        <v>100</v>
      </c>
      <c r="DZ62" s="61"/>
    </row>
    <row r="63" spans="1:130" x14ac:dyDescent="0.2">
      <c r="A63" s="7" t="str">
        <f t="shared" si="2"/>
        <v>Execução 59</v>
      </c>
      <c r="B63" s="79"/>
      <c r="C63" s="85"/>
      <c r="D63" s="71" t="str">
        <f t="shared" si="37"/>
        <v/>
      </c>
      <c r="E63" s="71" t="str">
        <f t="shared" si="38"/>
        <v/>
      </c>
      <c r="F63" s="43" t="str">
        <f>IF(IFERROR(INDEX(Consulta!$A:$DN,MATCH('ZM01'!$C63,Consulta!$D:$D,0),'ZM01'!F$2),"")=0,"",IFERROR(INDEX(Consulta!$A:$DN,MATCH('ZM01'!$C63,Consulta!$D:$D,0),'ZM01'!F$2),""))</f>
        <v/>
      </c>
      <c r="G63" s="43" t="str">
        <f>IF(IFERROR(INDEX(Consulta!$A:$DN,MATCH('ZM01'!$C63,Consulta!$D:$D,0),'ZM01'!G$2),"")=0,"",IFERROR(INDEX(Consulta!$A:$DN,MATCH('ZM01'!$C63,Consulta!$D:$D,0),'ZM01'!G$2),""))</f>
        <v/>
      </c>
      <c r="H63" s="43" t="str">
        <f t="shared" si="23"/>
        <v/>
      </c>
      <c r="I63" s="44" t="s">
        <v>100</v>
      </c>
      <c r="J63" s="43" t="str">
        <f>IF(IFERROR(INDEX(Consulta!$A:$DN,MATCH('ZM01'!$C63,Consulta!$D:$D,0),'ZM01'!J$2),"")=0,"",IFERROR(INDEX(Consulta!$A:$DN,MATCH('ZM01'!$C63,Consulta!$D:$D,0),'ZM01'!J$2),""))</f>
        <v/>
      </c>
      <c r="K63" s="43" t="str">
        <f>IF(IFERROR(INDEX(Consulta!$A:$DN,MATCH('ZM01'!$C63,Consulta!$D:$D,0),'ZM01'!K$2),"")=0,"",IFERROR(INDEX(Consulta!$A:$DN,MATCH('ZM01'!$C63,Consulta!$D:$D,0),'ZM01'!K$2),""))</f>
        <v/>
      </c>
      <c r="L63" s="43" t="str">
        <f t="shared" si="39"/>
        <v/>
      </c>
      <c r="M63" s="43" t="str">
        <f>IF(IFERROR(INDEX(Consulta!$A:$DN,MATCH('ZM01'!$C63,Consulta!$D:$D,0),'ZM01'!M$2),"")=0,"",IFERROR(INDEX(Consulta!$A:$DN,MATCH('ZM01'!$C63,Consulta!$D:$D,0),'ZM01'!M$2),""))</f>
        <v/>
      </c>
      <c r="N63" s="43" t="str">
        <f t="shared" si="40"/>
        <v/>
      </c>
      <c r="P63" s="45" t="s">
        <v>101</v>
      </c>
      <c r="Q63" s="45" t="s">
        <v>102</v>
      </c>
      <c r="R63" s="45" t="s">
        <v>103</v>
      </c>
      <c r="S63" s="45" t="s">
        <v>104</v>
      </c>
      <c r="T63" s="45" t="s">
        <v>105</v>
      </c>
      <c r="U63" s="45" t="s">
        <v>106</v>
      </c>
      <c r="V63" s="45" t="s">
        <v>107</v>
      </c>
      <c r="W63" s="45" t="s">
        <v>109</v>
      </c>
      <c r="X63" s="45" t="s">
        <v>110</v>
      </c>
      <c r="Y63" s="45"/>
      <c r="Z63" s="45"/>
      <c r="AA63" s="45" t="s">
        <v>112</v>
      </c>
      <c r="AB63" s="45" t="s">
        <v>113</v>
      </c>
      <c r="AC63" s="45" t="s">
        <v>114</v>
      </c>
      <c r="AD63" s="45" t="s">
        <v>115</v>
      </c>
      <c r="AE63" s="45" t="s">
        <v>117</v>
      </c>
      <c r="AF63" s="45" t="s">
        <v>118</v>
      </c>
      <c r="AG63" s="45" t="s">
        <v>119</v>
      </c>
      <c r="AH63" s="45" t="s">
        <v>120</v>
      </c>
      <c r="AI63" s="45" t="s">
        <v>121</v>
      </c>
      <c r="AJ63" s="45" t="s">
        <v>122</v>
      </c>
      <c r="AK63" s="45" t="s">
        <v>123</v>
      </c>
      <c r="AL63" s="45" t="s">
        <v>124</v>
      </c>
      <c r="AM63" s="45" t="s">
        <v>125</v>
      </c>
      <c r="AN63" s="45" t="s">
        <v>126</v>
      </c>
      <c r="AO63" s="45"/>
      <c r="AP63" s="45"/>
      <c r="AR63" s="44" t="s">
        <v>822</v>
      </c>
      <c r="AS63" s="43" t="str">
        <f>IF(IFERROR(INDEX(Consulta!$A:$DN,MATCH('ZM01'!$C63,Consulta!$D:$D,0),'ZM01'!AS$2),"")=0,"",IFERROR(INDEX(Consulta!$A:$DN,MATCH('ZM01'!$C63,Consulta!$D:$D,0),'ZM01'!AS$2),""))</f>
        <v/>
      </c>
      <c r="AT63" s="45"/>
      <c r="AU63" s="43" t="str">
        <f>IF(IFERROR(INDEX(Consulta!$A:$DN,MATCH('ZM01'!$C63,Consulta!$D:$D,0),'ZM01'!AU$2),"")=0,"",IFERROR(INDEX(Consulta!$A:$DN,MATCH('ZM01'!$C63,Consulta!$D:$D,0),'ZM01'!AU$2),""))</f>
        <v/>
      </c>
      <c r="AV63" s="43" t="str">
        <f>IF(IFERROR(INDEX(Consulta!$A:$DN,MATCH('ZM01'!$C63,Consulta!$D:$D,0),'ZM01'!AV$2),"")=0,"",IFERROR(INDEX(Consulta!$A:$DN,MATCH('ZM01'!$C63,Consulta!$D:$D,0),'ZM01'!AV$2),""))</f>
        <v/>
      </c>
      <c r="AW63" s="45"/>
      <c r="AX63" s="46" t="str">
        <f t="shared" ca="1" si="41"/>
        <v/>
      </c>
      <c r="AY63" s="47" t="s">
        <v>755</v>
      </c>
      <c r="AZ63" s="43" t="str">
        <f>IF(IFERROR(ROUND(INDEX(Consulta!$A:$DN,MATCH('ZM01'!$C63,Consulta!$D:$D,0),'ZM01'!AZ$2),3),"")=0,"",IFERROR(ROUND(INDEX(Consulta!$A:$DN,MATCH('ZM01'!$C63,Consulta!$D:$D,0),'ZM01'!AZ$2),3),""))</f>
        <v/>
      </c>
      <c r="BA63" s="43" t="str">
        <f t="shared" si="42"/>
        <v/>
      </c>
      <c r="BB63" s="48" t="s">
        <v>299</v>
      </c>
      <c r="BC63" s="48"/>
      <c r="BD63" s="43" t="str">
        <f>IF(IFERROR(INDEX(Consulta!$A:$DN,MATCH('ZM01'!$C63,Consulta!$D:$D,0),'ZM01'!BD$2),"")=0,"",IFERROR(INDEX(Consulta!$A:$DN,MATCH('ZM01'!$C63,Consulta!$D:$D,0),'ZM01'!BD$2),""))</f>
        <v/>
      </c>
      <c r="BE63" s="43" t="str">
        <f t="shared" si="0"/>
        <v/>
      </c>
      <c r="BF63" s="43" t="str">
        <f t="shared" si="43"/>
        <v/>
      </c>
      <c r="BG63" s="43" t="str">
        <f t="shared" si="1"/>
        <v/>
      </c>
      <c r="BH63" s="43" t="str">
        <f t="shared" si="44"/>
        <v>PC</v>
      </c>
      <c r="BI63" s="43" t="str">
        <f t="shared" si="24"/>
        <v/>
      </c>
      <c r="BJ63" s="43" t="str">
        <f t="shared" si="25"/>
        <v/>
      </c>
      <c r="BK63" s="43" t="str">
        <f t="shared" si="26"/>
        <v/>
      </c>
      <c r="BL63" s="43" t="str">
        <f t="shared" si="45"/>
        <v>PC</v>
      </c>
      <c r="BN63" s="44"/>
      <c r="BO63" s="44" t="s">
        <v>925</v>
      </c>
      <c r="BP63" s="43" t="str">
        <f>IF(OR(IFERROR(INDEX(Consulta!$A:$DN,MATCH('ZM01'!$C63,Consulta!$D:$D,0),'ZM01'!BP$2),"")=0,IFERROR(INDEX(Consulta!$A:$DN,MATCH('ZM01'!$C63,Consulta!$D:$D,0),'ZM01'!BP$2),"")=AR63),"",IFERROR(INDEX(Consulta!$A:$DN,MATCH('ZM01'!$C63,Consulta!$D:$D,0),'ZM01'!BP$2),""))</f>
        <v/>
      </c>
      <c r="BQ63" s="45">
        <v>99</v>
      </c>
      <c r="BR63" s="46" t="str">
        <f t="shared" ca="1" si="46"/>
        <v>17.05.2022</v>
      </c>
      <c r="BS63" s="49" t="str">
        <f t="shared" si="47"/>
        <v/>
      </c>
      <c r="BT63" s="50">
        <v>1</v>
      </c>
      <c r="BU63" s="50" t="s">
        <v>194</v>
      </c>
      <c r="BV63" s="90" t="str">
        <f t="shared" si="14"/>
        <v>01</v>
      </c>
      <c r="BW63" s="50" t="s">
        <v>755</v>
      </c>
      <c r="BX63" s="44">
        <v>1</v>
      </c>
      <c r="BY63" s="44" t="s">
        <v>372</v>
      </c>
      <c r="BZ63" s="50" t="s">
        <v>197</v>
      </c>
      <c r="CA63" s="50" t="s">
        <v>197</v>
      </c>
      <c r="CB63" s="43" t="str">
        <f>IF(IFERROR(INDEX(Consulta!$A:$DN,MATCH('ZM01'!$C63,Consulta!$D:$D,0),'ZM01'!CB$2),"")=0,"",IFERROR(INDEX(Consulta!$A:$DN,MATCH('ZM01'!$C63,Consulta!$D:$D,0),'ZM01'!CB$2),""))</f>
        <v/>
      </c>
      <c r="CC63" s="44" t="s">
        <v>392</v>
      </c>
      <c r="CD63" s="50">
        <v>0</v>
      </c>
      <c r="CE63" s="45" t="s">
        <v>403</v>
      </c>
      <c r="CF63" s="45" t="s">
        <v>84</v>
      </c>
      <c r="CG63" s="43" t="str">
        <f t="shared" si="15"/>
        <v/>
      </c>
      <c r="CH63" s="45" t="s">
        <v>430</v>
      </c>
      <c r="CI63" s="44">
        <v>0</v>
      </c>
      <c r="CJ63" s="43" t="str">
        <f t="shared" si="27"/>
        <v>E</v>
      </c>
      <c r="CK63" s="43" t="str">
        <f t="shared" si="28"/>
        <v/>
      </c>
      <c r="CL63" s="44">
        <v>2</v>
      </c>
      <c r="CM63" s="49" t="str">
        <f t="shared" si="48"/>
        <v/>
      </c>
      <c r="CN63" s="49" t="str">
        <f t="shared" si="49"/>
        <v/>
      </c>
      <c r="CO63" s="43" t="str">
        <f t="shared" si="29"/>
        <v/>
      </c>
      <c r="CP63" s="44">
        <v>1</v>
      </c>
      <c r="CQ63" s="50" t="s">
        <v>515</v>
      </c>
      <c r="CR63" s="44" t="s">
        <v>372</v>
      </c>
      <c r="CS63" s="44">
        <v>2</v>
      </c>
      <c r="CT63" s="44">
        <v>42</v>
      </c>
      <c r="CU63" s="44">
        <v>10</v>
      </c>
      <c r="CV63" s="43" t="str">
        <f t="shared" si="30"/>
        <v>K00_AO_</v>
      </c>
      <c r="CW63" s="43" t="str">
        <f t="shared" si="31"/>
        <v/>
      </c>
      <c r="CX63" s="43" t="str">
        <f t="shared" si="32"/>
        <v/>
      </c>
      <c r="CY63" s="44">
        <v>1</v>
      </c>
      <c r="CZ63" s="43" t="str">
        <f t="shared" si="33"/>
        <v/>
      </c>
      <c r="DA63" s="43" t="str">
        <f>IF(IFERROR(INDEX(Consulta!$A:$DN,MATCH('ZM01'!$C63,Consulta!$D:$D,0),'ZM01'!DA$2),"")=0,"",IFERROR(INDEX(Consulta!$A:$DN,MATCH('ZM01'!$C63,Consulta!$D:$D,0),'ZM01'!DA$2),""))</f>
        <v/>
      </c>
      <c r="DB63" s="43" t="str">
        <f>IF(IFERROR(INDEX(Consulta!$A:$DN,MATCH('ZM01'!$C63,Consulta!$D:$D,0),'ZM01'!DB$2),"")=0,"",IFERROR(INDEX(Consulta!$A:$DN,MATCH('ZM01'!$C63,Consulta!$D:$D,0),'ZM01'!DB$2),""))</f>
        <v/>
      </c>
      <c r="DC63" s="45">
        <v>0</v>
      </c>
      <c r="DD63" s="45">
        <v>0</v>
      </c>
      <c r="DE63" s="43" t="str">
        <f>IF(IFERROR(INDEX(Consulta!$A:$DN,MATCH('ZM01'!$C63,Consulta!$D:$D,0),'ZM01'!DE$2),"")=0,"",IFERROR(TEXT(VALUE(INDEX(Consulta!$A:$DN,MATCH('ZM01'!$C63,Consulta!$D:$D,0),'ZM01'!DE$2))/100,"0,00"),""))</f>
        <v/>
      </c>
      <c r="DG63" s="43">
        <f t="shared" si="50"/>
        <v>1</v>
      </c>
      <c r="DH63" s="43" t="str">
        <f>IF(IFERROR(INDEX(Consulta!$A:$DN,MATCH('ZM01'!$C63,Consulta!$D:$D,0),'ZM01'!DH$2),"")=0,"",IFERROR(VLOOKUP(INDEX(Consulta!$A:$DN,MATCH('ZM01'!$C63,Consulta!$D:$D,0),'ZM01'!DH$2),'Listas de Dados'!BU:BW,3,0),""))</f>
        <v/>
      </c>
      <c r="DI63" s="43" t="str">
        <f t="shared" ca="1" si="51"/>
        <v>17.05.2022</v>
      </c>
      <c r="DJ63" s="43" t="str">
        <f t="shared" si="52"/>
        <v>31.12.9999</v>
      </c>
      <c r="DL63" s="44">
        <v>1</v>
      </c>
      <c r="DM63" s="44" t="s">
        <v>1039</v>
      </c>
      <c r="DN63" s="44">
        <v>1</v>
      </c>
      <c r="DO63" s="43">
        <f t="shared" si="34"/>
        <v>1</v>
      </c>
      <c r="DP63" s="43" t="str">
        <f t="shared" si="35"/>
        <v>PC</v>
      </c>
      <c r="DQ63" s="43" t="str">
        <f t="shared" si="36"/>
        <v/>
      </c>
      <c r="DR63" s="44">
        <v>100</v>
      </c>
      <c r="DS63" s="71">
        <f t="shared" si="21"/>
        <v>1</v>
      </c>
      <c r="DT63" s="43">
        <f t="shared" si="53"/>
        <v>100</v>
      </c>
      <c r="DU63" s="44">
        <v>1</v>
      </c>
      <c r="DV63" s="44">
        <v>0</v>
      </c>
      <c r="DW63" s="44" t="s">
        <v>826</v>
      </c>
      <c r="DX63" s="45">
        <v>0</v>
      </c>
      <c r="DY63" s="44">
        <v>100</v>
      </c>
      <c r="DZ63" s="60"/>
    </row>
    <row r="64" spans="1:130" x14ac:dyDescent="0.2">
      <c r="A64" s="7" t="str">
        <f t="shared" si="2"/>
        <v>Execução 60</v>
      </c>
      <c r="B64" s="75"/>
      <c r="C64" s="85"/>
      <c r="D64" s="71" t="str">
        <f t="shared" si="37"/>
        <v/>
      </c>
      <c r="E64" s="71" t="str">
        <f t="shared" si="38"/>
        <v/>
      </c>
      <c r="F64" s="43" t="str">
        <f>IF(IFERROR(INDEX(Consulta!$A:$DN,MATCH('ZM01'!$C64,Consulta!$D:$D,0),'ZM01'!F$2),"")=0,"",IFERROR(INDEX(Consulta!$A:$DN,MATCH('ZM01'!$C64,Consulta!$D:$D,0),'ZM01'!F$2),""))</f>
        <v/>
      </c>
      <c r="G64" s="43" t="str">
        <f>IF(IFERROR(INDEX(Consulta!$A:$DN,MATCH('ZM01'!$C64,Consulta!$D:$D,0),'ZM01'!G$2),"")=0,"",IFERROR(INDEX(Consulta!$A:$DN,MATCH('ZM01'!$C64,Consulta!$D:$D,0),'ZM01'!G$2),""))</f>
        <v/>
      </c>
      <c r="H64" s="43" t="str">
        <f t="shared" si="23"/>
        <v/>
      </c>
      <c r="I64" s="44" t="s">
        <v>100</v>
      </c>
      <c r="J64" s="43" t="str">
        <f>IF(IFERROR(INDEX(Consulta!$A:$DN,MATCH('ZM01'!$C64,Consulta!$D:$D,0),'ZM01'!J$2),"")=0,"",IFERROR(INDEX(Consulta!$A:$DN,MATCH('ZM01'!$C64,Consulta!$D:$D,0),'ZM01'!J$2),""))</f>
        <v/>
      </c>
      <c r="K64" s="43" t="str">
        <f>IF(IFERROR(INDEX(Consulta!$A:$DN,MATCH('ZM01'!$C64,Consulta!$D:$D,0),'ZM01'!K$2),"")=0,"",IFERROR(INDEX(Consulta!$A:$DN,MATCH('ZM01'!$C64,Consulta!$D:$D,0),'ZM01'!K$2),""))</f>
        <v/>
      </c>
      <c r="L64" s="43" t="str">
        <f t="shared" si="39"/>
        <v/>
      </c>
      <c r="M64" s="43" t="str">
        <f>IF(IFERROR(INDEX(Consulta!$A:$DN,MATCH('ZM01'!$C64,Consulta!$D:$D,0),'ZM01'!M$2),"")=0,"",IFERROR(INDEX(Consulta!$A:$DN,MATCH('ZM01'!$C64,Consulta!$D:$D,0),'ZM01'!M$2),""))</f>
        <v/>
      </c>
      <c r="N64" s="43" t="str">
        <f t="shared" si="40"/>
        <v/>
      </c>
      <c r="P64" s="45" t="s">
        <v>101</v>
      </c>
      <c r="Q64" s="45" t="s">
        <v>102</v>
      </c>
      <c r="R64" s="45" t="s">
        <v>103</v>
      </c>
      <c r="S64" s="45" t="s">
        <v>104</v>
      </c>
      <c r="T64" s="45" t="s">
        <v>105</v>
      </c>
      <c r="U64" s="45" t="s">
        <v>106</v>
      </c>
      <c r="V64" s="45" t="s">
        <v>107</v>
      </c>
      <c r="W64" s="45" t="s">
        <v>109</v>
      </c>
      <c r="X64" s="45" t="s">
        <v>110</v>
      </c>
      <c r="Y64" s="45"/>
      <c r="Z64" s="45"/>
      <c r="AA64" s="45" t="s">
        <v>112</v>
      </c>
      <c r="AB64" s="45" t="s">
        <v>113</v>
      </c>
      <c r="AC64" s="45" t="s">
        <v>114</v>
      </c>
      <c r="AD64" s="45" t="s">
        <v>115</v>
      </c>
      <c r="AE64" s="45" t="s">
        <v>117</v>
      </c>
      <c r="AF64" s="45" t="s">
        <v>118</v>
      </c>
      <c r="AG64" s="45" t="s">
        <v>119</v>
      </c>
      <c r="AH64" s="45" t="s">
        <v>120</v>
      </c>
      <c r="AI64" s="45" t="s">
        <v>121</v>
      </c>
      <c r="AJ64" s="45" t="s">
        <v>122</v>
      </c>
      <c r="AK64" s="45" t="s">
        <v>123</v>
      </c>
      <c r="AL64" s="45" t="s">
        <v>124</v>
      </c>
      <c r="AM64" s="45" t="s">
        <v>125</v>
      </c>
      <c r="AN64" s="45" t="s">
        <v>126</v>
      </c>
      <c r="AO64" s="45"/>
      <c r="AP64" s="45"/>
      <c r="AR64" s="44" t="s">
        <v>822</v>
      </c>
      <c r="AS64" s="43" t="str">
        <f>IF(IFERROR(INDEX(Consulta!$A:$DN,MATCH('ZM01'!$C64,Consulta!$D:$D,0),'ZM01'!AS$2),"")=0,"",IFERROR(INDEX(Consulta!$A:$DN,MATCH('ZM01'!$C64,Consulta!$D:$D,0),'ZM01'!AS$2),""))</f>
        <v/>
      </c>
      <c r="AT64" s="45"/>
      <c r="AU64" s="43" t="str">
        <f>IF(IFERROR(INDEX(Consulta!$A:$DN,MATCH('ZM01'!$C64,Consulta!$D:$D,0),'ZM01'!AU$2),"")=0,"",IFERROR(INDEX(Consulta!$A:$DN,MATCH('ZM01'!$C64,Consulta!$D:$D,0),'ZM01'!AU$2),""))</f>
        <v/>
      </c>
      <c r="AV64" s="43" t="str">
        <f>IF(IFERROR(INDEX(Consulta!$A:$DN,MATCH('ZM01'!$C64,Consulta!$D:$D,0),'ZM01'!AV$2),"")=0,"",IFERROR(INDEX(Consulta!$A:$DN,MATCH('ZM01'!$C64,Consulta!$D:$D,0),'ZM01'!AV$2),""))</f>
        <v/>
      </c>
      <c r="AW64" s="45"/>
      <c r="AX64" s="46" t="str">
        <f t="shared" ca="1" si="41"/>
        <v/>
      </c>
      <c r="AY64" s="47" t="s">
        <v>755</v>
      </c>
      <c r="AZ64" s="43" t="str">
        <f>IF(IFERROR(ROUND(INDEX(Consulta!$A:$DN,MATCH('ZM01'!$C64,Consulta!$D:$D,0),'ZM01'!AZ$2),3),"")=0,"",IFERROR(ROUND(INDEX(Consulta!$A:$DN,MATCH('ZM01'!$C64,Consulta!$D:$D,0),'ZM01'!AZ$2),3),""))</f>
        <v/>
      </c>
      <c r="BA64" s="43" t="str">
        <f t="shared" si="42"/>
        <v/>
      </c>
      <c r="BB64" s="48" t="s">
        <v>299</v>
      </c>
      <c r="BC64" s="48"/>
      <c r="BD64" s="43" t="str">
        <f>IF(IFERROR(INDEX(Consulta!$A:$DN,MATCH('ZM01'!$C64,Consulta!$D:$D,0),'ZM01'!BD$2),"")=0,"",IFERROR(INDEX(Consulta!$A:$DN,MATCH('ZM01'!$C64,Consulta!$D:$D,0),'ZM01'!BD$2),""))</f>
        <v/>
      </c>
      <c r="BE64" s="43" t="str">
        <f t="shared" si="0"/>
        <v/>
      </c>
      <c r="BF64" s="43" t="str">
        <f t="shared" si="43"/>
        <v/>
      </c>
      <c r="BG64" s="43" t="str">
        <f t="shared" si="1"/>
        <v/>
      </c>
      <c r="BH64" s="43" t="str">
        <f t="shared" si="44"/>
        <v>PC</v>
      </c>
      <c r="BI64" s="43" t="str">
        <f t="shared" si="24"/>
        <v/>
      </c>
      <c r="BJ64" s="43" t="str">
        <f t="shared" si="25"/>
        <v/>
      </c>
      <c r="BK64" s="43" t="str">
        <f t="shared" si="26"/>
        <v/>
      </c>
      <c r="BL64" s="43" t="str">
        <f t="shared" si="45"/>
        <v>PC</v>
      </c>
      <c r="BN64" s="44"/>
      <c r="BO64" s="44" t="s">
        <v>925</v>
      </c>
      <c r="BP64" s="43" t="str">
        <f>IF(OR(IFERROR(INDEX(Consulta!$A:$DN,MATCH('ZM01'!$C64,Consulta!$D:$D,0),'ZM01'!BP$2),"")=0,IFERROR(INDEX(Consulta!$A:$DN,MATCH('ZM01'!$C64,Consulta!$D:$D,0),'ZM01'!BP$2),"")=AR64),"",IFERROR(INDEX(Consulta!$A:$DN,MATCH('ZM01'!$C64,Consulta!$D:$D,0),'ZM01'!BP$2),""))</f>
        <v/>
      </c>
      <c r="BQ64" s="45">
        <v>99</v>
      </c>
      <c r="BR64" s="46" t="str">
        <f t="shared" ca="1" si="46"/>
        <v>17.05.2022</v>
      </c>
      <c r="BS64" s="49" t="str">
        <f t="shared" si="47"/>
        <v/>
      </c>
      <c r="BT64" s="50">
        <v>1</v>
      </c>
      <c r="BU64" s="50" t="s">
        <v>194</v>
      </c>
      <c r="BV64" s="90" t="str">
        <f t="shared" si="14"/>
        <v>01</v>
      </c>
      <c r="BW64" s="50" t="s">
        <v>755</v>
      </c>
      <c r="BX64" s="44">
        <v>1</v>
      </c>
      <c r="BY64" s="44" t="s">
        <v>372</v>
      </c>
      <c r="BZ64" s="50" t="s">
        <v>197</v>
      </c>
      <c r="CA64" s="50" t="s">
        <v>197</v>
      </c>
      <c r="CB64" s="43" t="str">
        <f>IF(IFERROR(INDEX(Consulta!$A:$DN,MATCH('ZM01'!$C64,Consulta!$D:$D,0),'ZM01'!CB$2),"")=0,"",IFERROR(INDEX(Consulta!$A:$DN,MATCH('ZM01'!$C64,Consulta!$D:$D,0),'ZM01'!CB$2),""))</f>
        <v/>
      </c>
      <c r="CC64" s="44" t="s">
        <v>392</v>
      </c>
      <c r="CD64" s="50">
        <v>0</v>
      </c>
      <c r="CE64" s="45" t="s">
        <v>403</v>
      </c>
      <c r="CF64" s="45" t="s">
        <v>84</v>
      </c>
      <c r="CG64" s="43" t="str">
        <f t="shared" si="15"/>
        <v/>
      </c>
      <c r="CH64" s="45" t="s">
        <v>430</v>
      </c>
      <c r="CI64" s="44">
        <v>0</v>
      </c>
      <c r="CJ64" s="43" t="str">
        <f t="shared" si="27"/>
        <v>E</v>
      </c>
      <c r="CK64" s="43" t="str">
        <f t="shared" si="28"/>
        <v/>
      </c>
      <c r="CL64" s="44">
        <v>2</v>
      </c>
      <c r="CM64" s="49" t="str">
        <f t="shared" si="48"/>
        <v/>
      </c>
      <c r="CN64" s="49" t="str">
        <f t="shared" si="49"/>
        <v/>
      </c>
      <c r="CO64" s="43" t="str">
        <f t="shared" si="29"/>
        <v/>
      </c>
      <c r="CP64" s="44">
        <v>1</v>
      </c>
      <c r="CQ64" s="50" t="s">
        <v>515</v>
      </c>
      <c r="CR64" s="44" t="s">
        <v>372</v>
      </c>
      <c r="CS64" s="44">
        <v>2</v>
      </c>
      <c r="CT64" s="44">
        <v>42</v>
      </c>
      <c r="CU64" s="44">
        <v>10</v>
      </c>
      <c r="CV64" s="43" t="str">
        <f t="shared" si="30"/>
        <v>K00_AO_</v>
      </c>
      <c r="CW64" s="43" t="str">
        <f t="shared" si="31"/>
        <v/>
      </c>
      <c r="CX64" s="43" t="str">
        <f t="shared" si="32"/>
        <v/>
      </c>
      <c r="CY64" s="44">
        <v>1</v>
      </c>
      <c r="CZ64" s="43" t="str">
        <f t="shared" si="33"/>
        <v/>
      </c>
      <c r="DA64" s="43" t="str">
        <f>IF(IFERROR(INDEX(Consulta!$A:$DN,MATCH('ZM01'!$C64,Consulta!$D:$D,0),'ZM01'!DA$2),"")=0,"",IFERROR(INDEX(Consulta!$A:$DN,MATCH('ZM01'!$C64,Consulta!$D:$D,0),'ZM01'!DA$2),""))</f>
        <v/>
      </c>
      <c r="DB64" s="43" t="str">
        <f>IF(IFERROR(INDEX(Consulta!$A:$DN,MATCH('ZM01'!$C64,Consulta!$D:$D,0),'ZM01'!DB$2),"")=0,"",IFERROR(INDEX(Consulta!$A:$DN,MATCH('ZM01'!$C64,Consulta!$D:$D,0),'ZM01'!DB$2),""))</f>
        <v/>
      </c>
      <c r="DC64" s="45">
        <v>0</v>
      </c>
      <c r="DD64" s="45">
        <v>0</v>
      </c>
      <c r="DE64" s="43" t="str">
        <f>IF(IFERROR(INDEX(Consulta!$A:$DN,MATCH('ZM01'!$C64,Consulta!$D:$D,0),'ZM01'!DE$2),"")=0,"",IFERROR(TEXT(VALUE(INDEX(Consulta!$A:$DN,MATCH('ZM01'!$C64,Consulta!$D:$D,0),'ZM01'!DE$2))/100,"0,00"),""))</f>
        <v/>
      </c>
      <c r="DG64" s="43">
        <f t="shared" si="50"/>
        <v>1</v>
      </c>
      <c r="DH64" s="43" t="str">
        <f>IF(IFERROR(INDEX(Consulta!$A:$DN,MATCH('ZM01'!$C64,Consulta!$D:$D,0),'ZM01'!DH$2),"")=0,"",IFERROR(VLOOKUP(INDEX(Consulta!$A:$DN,MATCH('ZM01'!$C64,Consulta!$D:$D,0),'ZM01'!DH$2),'Listas de Dados'!BU:BW,3,0),""))</f>
        <v/>
      </c>
      <c r="DI64" s="43" t="str">
        <f t="shared" ca="1" si="51"/>
        <v>17.05.2022</v>
      </c>
      <c r="DJ64" s="43" t="str">
        <f t="shared" si="52"/>
        <v>31.12.9999</v>
      </c>
      <c r="DL64" s="44">
        <v>1</v>
      </c>
      <c r="DM64" s="44" t="s">
        <v>1039</v>
      </c>
      <c r="DN64" s="44">
        <v>1</v>
      </c>
      <c r="DO64" s="43">
        <f t="shared" si="34"/>
        <v>1</v>
      </c>
      <c r="DP64" s="43" t="str">
        <f t="shared" si="35"/>
        <v>PC</v>
      </c>
      <c r="DQ64" s="43" t="str">
        <f t="shared" si="36"/>
        <v/>
      </c>
      <c r="DR64" s="44">
        <v>100</v>
      </c>
      <c r="DS64" s="71">
        <f t="shared" si="21"/>
        <v>1</v>
      </c>
      <c r="DT64" s="43">
        <f t="shared" si="53"/>
        <v>100</v>
      </c>
      <c r="DU64" s="44">
        <v>1</v>
      </c>
      <c r="DV64" s="44">
        <v>0</v>
      </c>
      <c r="DW64" s="44" t="s">
        <v>826</v>
      </c>
      <c r="DX64" s="45">
        <v>0</v>
      </c>
      <c r="DY64" s="44">
        <v>100</v>
      </c>
      <c r="DZ64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04" priority="237" operator="beginsWith" text="L">
      <formula>LEFT(B5,LEN("L"))="L"</formula>
    </cfRule>
  </conditionalFormatting>
  <conditionalFormatting sqref="D6">
    <cfRule type="beginsWith" dxfId="203" priority="205" operator="beginsWith" text="L">
      <formula>LEFT(D6,LEN("L"))="L"</formula>
    </cfRule>
  </conditionalFormatting>
  <conditionalFormatting sqref="B6:C6">
    <cfRule type="beginsWith" dxfId="202" priority="175" operator="beginsWith" text="L">
      <formula>LEFT(B6,LEN("L"))="L"</formula>
    </cfRule>
  </conditionalFormatting>
  <conditionalFormatting sqref="F5:F6">
    <cfRule type="beginsWith" dxfId="201" priority="153" operator="beginsWith" text="L">
      <formula>LEFT(F5,LEN("L"))="L"</formula>
    </cfRule>
  </conditionalFormatting>
  <conditionalFormatting sqref="DZ1:DZ6 DZ65:DZ1048576">
    <cfRule type="containsText" dxfId="200" priority="154" operator="containsText" text="criadas">
      <formula>NOT(ISERROR(SEARCH("criadas",DZ1)))</formula>
    </cfRule>
    <cfRule type="containsText" dxfId="199" priority="156" operator="containsText" text="é gravado">
      <formula>NOT(ISERROR(SEARCH("é gravado",DZ1)))</formula>
    </cfRule>
    <cfRule type="containsText" dxfId="198" priority="157" operator="containsText" text="é modificado">
      <formula>NOT(ISERROR(SEARCH("é modificado",DZ1)))</formula>
    </cfRule>
    <cfRule type="containsText" dxfId="197" priority="158" operator="containsText" text="Error">
      <formula>NOT(ISERROR(SEARCH("Error",DZ1)))</formula>
    </cfRule>
    <cfRule type="containsText" dxfId="196" priority="159" operator="containsText" text="é criado">
      <formula>NOT(ISERROR(SEARCH("é criado",DZ1)))</formula>
    </cfRule>
  </conditionalFormatting>
  <conditionalFormatting sqref="G5:G6">
    <cfRule type="beginsWith" dxfId="195" priority="152" operator="beginsWith" text="L">
      <formula>LEFT(G5,LEN("L"))="L"</formula>
    </cfRule>
  </conditionalFormatting>
  <conditionalFormatting sqref="AS5:AS6">
    <cfRule type="beginsWith" dxfId="194" priority="151" operator="beginsWith" text="L">
      <formula>LEFT(AS5,LEN("L"))="L"</formula>
    </cfRule>
  </conditionalFormatting>
  <conditionalFormatting sqref="AV5:AV6">
    <cfRule type="beginsWith" dxfId="193" priority="150" operator="beginsWith" text="L">
      <formula>LEFT(AV5,LEN("L"))="L"</formula>
    </cfRule>
  </conditionalFormatting>
  <conditionalFormatting sqref="AZ5:AZ6">
    <cfRule type="beginsWith" dxfId="192" priority="149" operator="beginsWith" text="L">
      <formula>LEFT(AZ5,LEN("L"))="L"</formula>
    </cfRule>
  </conditionalFormatting>
  <conditionalFormatting sqref="BD5:BD6">
    <cfRule type="beginsWith" dxfId="191" priority="148" operator="beginsWith" text="L">
      <formula>LEFT(BD5,LEN("L"))="L"</formula>
    </cfRule>
  </conditionalFormatting>
  <conditionalFormatting sqref="BP5:BP6">
    <cfRule type="beginsWith" dxfId="190" priority="147" operator="beginsWith" text="L">
      <formula>LEFT(BP5,LEN("L"))="L"</formula>
    </cfRule>
  </conditionalFormatting>
  <conditionalFormatting sqref="CB5:CB6">
    <cfRule type="beginsWith" dxfId="189" priority="146" operator="beginsWith" text="L">
      <formula>LEFT(CB5,LEN("L"))="L"</formula>
    </cfRule>
  </conditionalFormatting>
  <conditionalFormatting sqref="M5:M6">
    <cfRule type="beginsWith" dxfId="188" priority="139" operator="beginsWith" text="L">
      <formula>LEFT(M5,LEN("L"))="L"</formula>
    </cfRule>
  </conditionalFormatting>
  <conditionalFormatting sqref="DE5:DE6">
    <cfRule type="beginsWith" dxfId="187" priority="144" operator="beginsWith" text="L">
      <formula>LEFT(DE5,LEN("L"))="L"</formula>
    </cfRule>
  </conditionalFormatting>
  <conditionalFormatting sqref="N5:N6">
    <cfRule type="beginsWith" dxfId="186" priority="137" operator="beginsWith" text="L">
      <formula>LEFT(N5,LEN("L"))="L"</formula>
    </cfRule>
  </conditionalFormatting>
  <conditionalFormatting sqref="C5">
    <cfRule type="beginsWith" dxfId="185" priority="136" operator="beginsWith" text="L">
      <formula>LEFT(C5,LEN("L"))="L"</formula>
    </cfRule>
  </conditionalFormatting>
  <conditionalFormatting sqref="J5:J6">
    <cfRule type="beginsWith" dxfId="184" priority="141" operator="beginsWith" text="L">
      <formula>LEFT(J5,LEN("L"))="L"</formula>
    </cfRule>
  </conditionalFormatting>
  <conditionalFormatting sqref="K5:K6">
    <cfRule type="beginsWith" dxfId="183" priority="140" operator="beginsWith" text="L">
      <formula>LEFT(K5,LEN("L"))="L"</formula>
    </cfRule>
  </conditionalFormatting>
  <conditionalFormatting sqref="L5:L6">
    <cfRule type="beginsWith" dxfId="182" priority="138" operator="beginsWith" text="L">
      <formula>LEFT(L5,LEN("L"))="L"</formula>
    </cfRule>
  </conditionalFormatting>
  <conditionalFormatting sqref="AU5">
    <cfRule type="beginsWith" dxfId="181" priority="135" operator="beginsWith" text="L">
      <formula>LEFT(AU5,LEN("L"))="L"</formula>
    </cfRule>
  </conditionalFormatting>
  <conditionalFormatting sqref="AU6">
    <cfRule type="beginsWith" dxfId="180" priority="134" operator="beginsWith" text="L">
      <formula>LEFT(AU6,LEN("L"))="L"</formula>
    </cfRule>
  </conditionalFormatting>
  <conditionalFormatting sqref="CK5:CK6">
    <cfRule type="expression" dxfId="179" priority="133">
      <formula>(CJ5="F")</formula>
    </cfRule>
  </conditionalFormatting>
  <conditionalFormatting sqref="DB5">
    <cfRule type="beginsWith" dxfId="178" priority="128" operator="beginsWith" text="L">
      <formula>LEFT(DB5,LEN("L"))="L"</formula>
    </cfRule>
  </conditionalFormatting>
  <conditionalFormatting sqref="DH5:DH6">
    <cfRule type="beginsWith" dxfId="177" priority="126" operator="beginsWith" text="L">
      <formula>LEFT(DH5,LEN("L"))="L"</formula>
    </cfRule>
  </conditionalFormatting>
  <conditionalFormatting sqref="DA5">
    <cfRule type="beginsWith" dxfId="176" priority="130" operator="beginsWith" text="L">
      <formula>LEFT(DA5,LEN("L"))="L"</formula>
    </cfRule>
  </conditionalFormatting>
  <conditionalFormatting sqref="DA6">
    <cfRule type="beginsWith" dxfId="175" priority="129" operator="beginsWith" text="L">
      <formula>LEFT(DA6,LEN("L"))="L"</formula>
    </cfRule>
  </conditionalFormatting>
  <conditionalFormatting sqref="DB6">
    <cfRule type="beginsWith" dxfId="174" priority="127" operator="beginsWith" text="L">
      <formula>LEFT(DB6,LEN("L"))="L"</formula>
    </cfRule>
  </conditionalFormatting>
  <conditionalFormatting sqref="B7 B9 B11 B13 B15 B41 B43 E8 E10 E12 E14 E16 E42 E44 D7:E7 D9:E9 D11:E11 D13:E13 D15:E15 D41:E41 D43:E43">
    <cfRule type="beginsWith" dxfId="173" priority="124" operator="beginsWith" text="L">
      <formula>LEFT(B7,LEN("L"))="L"</formula>
    </cfRule>
  </conditionalFormatting>
  <conditionalFormatting sqref="D8 D10 D12 D14 D16 D42 D44">
    <cfRule type="beginsWith" dxfId="172" priority="123" operator="beginsWith" text="L">
      <formula>LEFT(D8,LEN("L"))="L"</formula>
    </cfRule>
  </conditionalFormatting>
  <conditionalFormatting sqref="B8:C8 B10:C10 B12:C12 B14:C14 B16:C16 B42:C42 B44:C44">
    <cfRule type="beginsWith" dxfId="171" priority="122" operator="beginsWith" text="L">
      <formula>LEFT(B8,LEN("L"))="L"</formula>
    </cfRule>
  </conditionalFormatting>
  <conditionalFormatting sqref="F7:F16 F41:F44">
    <cfRule type="beginsWith" dxfId="170" priority="116" operator="beginsWith" text="L">
      <formula>LEFT(F7,LEN("L"))="L"</formula>
    </cfRule>
  </conditionalFormatting>
  <conditionalFormatting sqref="DZ7:DZ16 DZ41:DZ44">
    <cfRule type="containsText" dxfId="169" priority="117" operator="containsText" text="criadas">
      <formula>NOT(ISERROR(SEARCH("criadas",DZ7)))</formula>
    </cfRule>
    <cfRule type="containsText" dxfId="168" priority="118" operator="containsText" text="é gravado">
      <formula>NOT(ISERROR(SEARCH("é gravado",DZ7)))</formula>
    </cfRule>
    <cfRule type="containsText" dxfId="167" priority="119" operator="containsText" text="é modificado">
      <formula>NOT(ISERROR(SEARCH("é modificado",DZ7)))</formula>
    </cfRule>
    <cfRule type="containsText" dxfId="166" priority="120" operator="containsText" text="Error">
      <formula>NOT(ISERROR(SEARCH("Error",DZ7)))</formula>
    </cfRule>
    <cfRule type="containsText" dxfId="165" priority="121" operator="containsText" text="é criado">
      <formula>NOT(ISERROR(SEARCH("é criado",DZ7)))</formula>
    </cfRule>
  </conditionalFormatting>
  <conditionalFormatting sqref="G7:G16 G41:G44">
    <cfRule type="beginsWith" dxfId="164" priority="115" operator="beginsWith" text="L">
      <formula>LEFT(G7,LEN("L"))="L"</formula>
    </cfRule>
  </conditionalFormatting>
  <conditionalFormatting sqref="AS7:AS16 AS41:AS44">
    <cfRule type="beginsWith" dxfId="163" priority="114" operator="beginsWith" text="L">
      <formula>LEFT(AS7,LEN("L"))="L"</formula>
    </cfRule>
  </conditionalFormatting>
  <conditionalFormatting sqref="AV7:AV16 AV41:AV44">
    <cfRule type="beginsWith" dxfId="162" priority="113" operator="beginsWith" text="L">
      <formula>LEFT(AV7,LEN("L"))="L"</formula>
    </cfRule>
  </conditionalFormatting>
  <conditionalFormatting sqref="AZ7:AZ16 AZ41:AZ44">
    <cfRule type="beginsWith" dxfId="161" priority="112" operator="beginsWith" text="L">
      <formula>LEFT(AZ7,LEN("L"))="L"</formula>
    </cfRule>
  </conditionalFormatting>
  <conditionalFormatting sqref="BD7:BD16 BD41:BD44">
    <cfRule type="beginsWith" dxfId="160" priority="111" operator="beginsWith" text="L">
      <formula>LEFT(BD7,LEN("L"))="L"</formula>
    </cfRule>
  </conditionalFormatting>
  <conditionalFormatting sqref="BP7:BP16 BP41:BP44">
    <cfRule type="beginsWith" dxfId="159" priority="110" operator="beginsWith" text="L">
      <formula>LEFT(BP7,LEN("L"))="L"</formula>
    </cfRule>
  </conditionalFormatting>
  <conditionalFormatting sqref="CB7:CB16 CB41:CB44">
    <cfRule type="beginsWith" dxfId="158" priority="109" operator="beginsWith" text="L">
      <formula>LEFT(CB7,LEN("L"))="L"</formula>
    </cfRule>
  </conditionalFormatting>
  <conditionalFormatting sqref="M7:M16 M41:M44">
    <cfRule type="beginsWith" dxfId="157" priority="105" operator="beginsWith" text="L">
      <formula>LEFT(M7,LEN("L"))="L"</formula>
    </cfRule>
  </conditionalFormatting>
  <conditionalFormatting sqref="DE7:DE16 DE41:DE44">
    <cfRule type="beginsWith" dxfId="156" priority="108" operator="beginsWith" text="L">
      <formula>LEFT(DE7,LEN("L"))="L"</formula>
    </cfRule>
  </conditionalFormatting>
  <conditionalFormatting sqref="N7:N16 N41:N44">
    <cfRule type="beginsWith" dxfId="155" priority="103" operator="beginsWith" text="L">
      <formula>LEFT(N7,LEN("L"))="L"</formula>
    </cfRule>
  </conditionalFormatting>
  <conditionalFormatting sqref="C7 C9 C11 C13 C15 C41 C43">
    <cfRule type="beginsWith" dxfId="154" priority="102" operator="beginsWith" text="L">
      <formula>LEFT(C7,LEN("L"))="L"</formula>
    </cfRule>
  </conditionalFormatting>
  <conditionalFormatting sqref="J7:J16 J41:J44">
    <cfRule type="beginsWith" dxfId="153" priority="107" operator="beginsWith" text="L">
      <formula>LEFT(J7,LEN("L"))="L"</formula>
    </cfRule>
  </conditionalFormatting>
  <conditionalFormatting sqref="K7:K16 K41:K44">
    <cfRule type="beginsWith" dxfId="152" priority="106" operator="beginsWith" text="L">
      <formula>LEFT(K7,LEN("L"))="L"</formula>
    </cfRule>
  </conditionalFormatting>
  <conditionalFormatting sqref="L7:L16 L41:L44">
    <cfRule type="beginsWith" dxfId="151" priority="104" operator="beginsWith" text="L">
      <formula>LEFT(L7,LEN("L"))="L"</formula>
    </cfRule>
  </conditionalFormatting>
  <conditionalFormatting sqref="AU7 AU9 AU11 AU13 AU15 AU41 AU43">
    <cfRule type="beginsWith" dxfId="150" priority="101" operator="beginsWith" text="L">
      <formula>LEFT(AU7,LEN("L"))="L"</formula>
    </cfRule>
  </conditionalFormatting>
  <conditionalFormatting sqref="AU8 AU10 AU12 AU14 AU16 AU42 AU44">
    <cfRule type="beginsWith" dxfId="149" priority="100" operator="beginsWith" text="L">
      <formula>LEFT(AU8,LEN("L"))="L"</formula>
    </cfRule>
  </conditionalFormatting>
  <conditionalFormatting sqref="CK7:CK16 CK41:CK44">
    <cfRule type="expression" dxfId="148" priority="99">
      <formula>(CJ7="F")</formula>
    </cfRule>
  </conditionalFormatting>
  <conditionalFormatting sqref="DB7 DB9 DB11 DB13 DB15 DB41 DB43">
    <cfRule type="beginsWith" dxfId="147" priority="96" operator="beginsWith" text="L">
      <formula>LEFT(DB7,LEN("L"))="L"</formula>
    </cfRule>
  </conditionalFormatting>
  <conditionalFormatting sqref="DH7:DH16 DH41:DH44">
    <cfRule type="beginsWith" dxfId="146" priority="94" operator="beginsWith" text="L">
      <formula>LEFT(DH7,LEN("L"))="L"</formula>
    </cfRule>
  </conditionalFormatting>
  <conditionalFormatting sqref="DA7 DA9 DA11 DA13 DA15 DA41 DA43">
    <cfRule type="beginsWith" dxfId="145" priority="98" operator="beginsWith" text="L">
      <formula>LEFT(DA7,LEN("L"))="L"</formula>
    </cfRule>
  </conditionalFormatting>
  <conditionalFormatting sqref="DA8 DA10 DA12 DA14 DA16 DA42 DA44">
    <cfRule type="beginsWith" dxfId="144" priority="97" operator="beginsWith" text="L">
      <formula>LEFT(DA8,LEN("L"))="L"</formula>
    </cfRule>
  </conditionalFormatting>
  <conditionalFormatting sqref="DB8 DB10 DB12 DB14 DB16 DB42 DB44">
    <cfRule type="beginsWith" dxfId="143" priority="95" operator="beginsWith" text="L">
      <formula>LEFT(DB8,LEN("L"))="L"</formula>
    </cfRule>
  </conditionalFormatting>
  <conditionalFormatting sqref="B45 B47 B49 B51 B53 B55 B57 B59 B61 B63 E46 E48 E50 E52 E54 E56 E58 E60 E62 E64 D45:E45 D47:E47 D49:E49 D51:E51 D53:E53 D55:E55 D57:E57 D59:E59 D61:E61 D63:E63">
    <cfRule type="beginsWith" dxfId="142" priority="93" operator="beginsWith" text="L">
      <formula>LEFT(B45,LEN("L"))="L"</formula>
    </cfRule>
  </conditionalFormatting>
  <conditionalFormatting sqref="D46 D48 D50 D52 D54 D56 D58 D60 D62 D64">
    <cfRule type="beginsWith" dxfId="141" priority="92" operator="beginsWith" text="L">
      <formula>LEFT(D46,LEN("L"))="L"</formula>
    </cfRule>
  </conditionalFormatting>
  <conditionalFormatting sqref="B46:C46 B48:C48 B50:C50 B52:C52 B54:C54 B56:C56 B58:C58 B60:C60 B62:C62 B64:C64">
    <cfRule type="beginsWith" dxfId="140" priority="91" operator="beginsWith" text="L">
      <formula>LEFT(B46,LEN("L"))="L"</formula>
    </cfRule>
  </conditionalFormatting>
  <conditionalFormatting sqref="F45:F64">
    <cfRule type="beginsWith" dxfId="139" priority="85" operator="beginsWith" text="L">
      <formula>LEFT(F45,LEN("L"))="L"</formula>
    </cfRule>
  </conditionalFormatting>
  <conditionalFormatting sqref="DZ45:DZ64">
    <cfRule type="containsText" dxfId="138" priority="86" operator="containsText" text="criadas">
      <formula>NOT(ISERROR(SEARCH("criadas",DZ45)))</formula>
    </cfRule>
    <cfRule type="containsText" dxfId="137" priority="87" operator="containsText" text="é gravado">
      <formula>NOT(ISERROR(SEARCH("é gravado",DZ45)))</formula>
    </cfRule>
    <cfRule type="containsText" dxfId="136" priority="88" operator="containsText" text="é modificado">
      <formula>NOT(ISERROR(SEARCH("é modificado",DZ45)))</formula>
    </cfRule>
    <cfRule type="containsText" dxfId="135" priority="89" operator="containsText" text="Error">
      <formula>NOT(ISERROR(SEARCH("Error",DZ45)))</formula>
    </cfRule>
    <cfRule type="containsText" dxfId="134" priority="90" operator="containsText" text="é criado">
      <formula>NOT(ISERROR(SEARCH("é criado",DZ45)))</formula>
    </cfRule>
  </conditionalFormatting>
  <conditionalFormatting sqref="G45:G64">
    <cfRule type="beginsWith" dxfId="133" priority="84" operator="beginsWith" text="L">
      <formula>LEFT(G45,LEN("L"))="L"</formula>
    </cfRule>
  </conditionalFormatting>
  <conditionalFormatting sqref="AS45:AS64">
    <cfRule type="beginsWith" dxfId="132" priority="83" operator="beginsWith" text="L">
      <formula>LEFT(AS45,LEN("L"))="L"</formula>
    </cfRule>
  </conditionalFormatting>
  <conditionalFormatting sqref="AV45:AV64">
    <cfRule type="beginsWith" dxfId="131" priority="82" operator="beginsWith" text="L">
      <formula>LEFT(AV45,LEN("L"))="L"</formula>
    </cfRule>
  </conditionalFormatting>
  <conditionalFormatting sqref="AZ45:AZ64">
    <cfRule type="beginsWith" dxfId="130" priority="81" operator="beginsWith" text="L">
      <formula>LEFT(AZ45,LEN("L"))="L"</formula>
    </cfRule>
  </conditionalFormatting>
  <conditionalFormatting sqref="BD45:BD64">
    <cfRule type="beginsWith" dxfId="129" priority="80" operator="beginsWith" text="L">
      <formula>LEFT(BD45,LEN("L"))="L"</formula>
    </cfRule>
  </conditionalFormatting>
  <conditionalFormatting sqref="BP45:BP64">
    <cfRule type="beginsWith" dxfId="128" priority="79" operator="beginsWith" text="L">
      <formula>LEFT(BP45,LEN("L"))="L"</formula>
    </cfRule>
  </conditionalFormatting>
  <conditionalFormatting sqref="CB45:CB64">
    <cfRule type="beginsWith" dxfId="127" priority="78" operator="beginsWith" text="L">
      <formula>LEFT(CB45,LEN("L"))="L"</formula>
    </cfRule>
  </conditionalFormatting>
  <conditionalFormatting sqref="M45:M64">
    <cfRule type="beginsWith" dxfId="126" priority="74" operator="beginsWith" text="L">
      <formula>LEFT(M45,LEN("L"))="L"</formula>
    </cfRule>
  </conditionalFormatting>
  <conditionalFormatting sqref="DE45:DE64">
    <cfRule type="beginsWith" dxfId="125" priority="77" operator="beginsWith" text="L">
      <formula>LEFT(DE45,LEN("L"))="L"</formula>
    </cfRule>
  </conditionalFormatting>
  <conditionalFormatting sqref="N45:N64">
    <cfRule type="beginsWith" dxfId="124" priority="72" operator="beginsWith" text="L">
      <formula>LEFT(N45,LEN("L"))="L"</formula>
    </cfRule>
  </conditionalFormatting>
  <conditionalFormatting sqref="C45 C47 C49 C51 C53 C55 C57 C59 C61 C63">
    <cfRule type="beginsWith" dxfId="123" priority="71" operator="beginsWith" text="L">
      <formula>LEFT(C45,LEN("L"))="L"</formula>
    </cfRule>
  </conditionalFormatting>
  <conditionalFormatting sqref="J45:J64">
    <cfRule type="beginsWith" dxfId="122" priority="76" operator="beginsWith" text="L">
      <formula>LEFT(J45,LEN("L"))="L"</formula>
    </cfRule>
  </conditionalFormatting>
  <conditionalFormatting sqref="K45:K64">
    <cfRule type="beginsWith" dxfId="121" priority="75" operator="beginsWith" text="L">
      <formula>LEFT(K45,LEN("L"))="L"</formula>
    </cfRule>
  </conditionalFormatting>
  <conditionalFormatting sqref="L45:L64">
    <cfRule type="beginsWith" dxfId="120" priority="73" operator="beginsWith" text="L">
      <formula>LEFT(L45,LEN("L"))="L"</formula>
    </cfRule>
  </conditionalFormatting>
  <conditionalFormatting sqref="AU45 AU47 AU49 AU51 AU53 AU55 AU57 AU59 AU61 AU63">
    <cfRule type="beginsWith" dxfId="119" priority="70" operator="beginsWith" text="L">
      <formula>LEFT(AU45,LEN("L"))="L"</formula>
    </cfRule>
  </conditionalFormatting>
  <conditionalFormatting sqref="AU46 AU48 AU50 AU52 AU54 AU56 AU58 AU60 AU62 AU64">
    <cfRule type="beginsWith" dxfId="118" priority="69" operator="beginsWith" text="L">
      <formula>LEFT(AU46,LEN("L"))="L"</formula>
    </cfRule>
  </conditionalFormatting>
  <conditionalFormatting sqref="CK45:CK64">
    <cfRule type="expression" dxfId="117" priority="68">
      <formula>(CJ45="F")</formula>
    </cfRule>
  </conditionalFormatting>
  <conditionalFormatting sqref="DB45 DB47 DB49 DB51 DB53 DB55 DB57 DB59 DB61 DB63">
    <cfRule type="beginsWith" dxfId="116" priority="65" operator="beginsWith" text="L">
      <formula>LEFT(DB45,LEN("L"))="L"</formula>
    </cfRule>
  </conditionalFormatting>
  <conditionalFormatting sqref="DH45:DH64">
    <cfRule type="beginsWith" dxfId="115" priority="63" operator="beginsWith" text="L">
      <formula>LEFT(DH45,LEN("L"))="L"</formula>
    </cfRule>
  </conditionalFormatting>
  <conditionalFormatting sqref="DA45 DA47 DA49 DA51 DA53 DA55 DA57 DA59 DA61 DA63">
    <cfRule type="beginsWith" dxfId="114" priority="67" operator="beginsWith" text="L">
      <formula>LEFT(DA45,LEN("L"))="L"</formula>
    </cfRule>
  </conditionalFormatting>
  <conditionalFormatting sqref="DA46 DA48 DA50 DA52 DA54 DA56 DA58 DA60 DA62 DA64">
    <cfRule type="beginsWith" dxfId="113" priority="66" operator="beginsWith" text="L">
      <formula>LEFT(DA46,LEN("L"))="L"</formula>
    </cfRule>
  </conditionalFormatting>
  <conditionalFormatting sqref="DB46 DB48 DB50 DB52 DB54 DB56 DB58 DB60 DB62 DB64">
    <cfRule type="beginsWith" dxfId="112" priority="64" operator="beginsWith" text="L">
      <formula>LEFT(DB46,LEN("L"))="L"</formula>
    </cfRule>
  </conditionalFormatting>
  <conditionalFormatting sqref="B17 B19 E18 E20 D17:E17 D19:E19">
    <cfRule type="beginsWith" dxfId="111" priority="62" operator="beginsWith" text="L">
      <formula>LEFT(B17,LEN("L"))="L"</formula>
    </cfRule>
  </conditionalFormatting>
  <conditionalFormatting sqref="D18 D20">
    <cfRule type="beginsWith" dxfId="110" priority="61" operator="beginsWith" text="L">
      <formula>LEFT(D18,LEN("L"))="L"</formula>
    </cfRule>
  </conditionalFormatting>
  <conditionalFormatting sqref="B18:C18 B20:C20">
    <cfRule type="beginsWith" dxfId="109" priority="60" operator="beginsWith" text="L">
      <formula>LEFT(B18,LEN("L"))="L"</formula>
    </cfRule>
  </conditionalFormatting>
  <conditionalFormatting sqref="F17:F20">
    <cfRule type="beginsWith" dxfId="108" priority="54" operator="beginsWith" text="L">
      <formula>LEFT(F17,LEN("L"))="L"</formula>
    </cfRule>
  </conditionalFormatting>
  <conditionalFormatting sqref="DZ17:DZ20">
    <cfRule type="containsText" dxfId="107" priority="55" operator="containsText" text="criadas">
      <formula>NOT(ISERROR(SEARCH("criadas",DZ17)))</formula>
    </cfRule>
    <cfRule type="containsText" dxfId="106" priority="56" operator="containsText" text="é gravado">
      <formula>NOT(ISERROR(SEARCH("é gravado",DZ17)))</formula>
    </cfRule>
    <cfRule type="containsText" dxfId="105" priority="57" operator="containsText" text="é modificado">
      <formula>NOT(ISERROR(SEARCH("é modificado",DZ17)))</formula>
    </cfRule>
    <cfRule type="containsText" dxfId="104" priority="58" operator="containsText" text="Error">
      <formula>NOT(ISERROR(SEARCH("Error",DZ17)))</formula>
    </cfRule>
    <cfRule type="containsText" dxfId="103" priority="59" operator="containsText" text="é criado">
      <formula>NOT(ISERROR(SEARCH("é criado",DZ17)))</formula>
    </cfRule>
  </conditionalFormatting>
  <conditionalFormatting sqref="G17:G20">
    <cfRule type="beginsWith" dxfId="102" priority="53" operator="beginsWith" text="L">
      <formula>LEFT(G17,LEN("L"))="L"</formula>
    </cfRule>
  </conditionalFormatting>
  <conditionalFormatting sqref="AS17:AS20">
    <cfRule type="beginsWith" dxfId="101" priority="52" operator="beginsWith" text="L">
      <formula>LEFT(AS17,LEN("L"))="L"</formula>
    </cfRule>
  </conditionalFormatting>
  <conditionalFormatting sqref="AV17:AV20">
    <cfRule type="beginsWith" dxfId="100" priority="51" operator="beginsWith" text="L">
      <formula>LEFT(AV17,LEN("L"))="L"</formula>
    </cfRule>
  </conditionalFormatting>
  <conditionalFormatting sqref="AZ17:AZ20">
    <cfRule type="beginsWith" dxfId="99" priority="50" operator="beginsWith" text="L">
      <formula>LEFT(AZ17,LEN("L"))="L"</formula>
    </cfRule>
  </conditionalFormatting>
  <conditionalFormatting sqref="BD17:BD20">
    <cfRule type="beginsWith" dxfId="98" priority="49" operator="beginsWith" text="L">
      <formula>LEFT(BD17,LEN("L"))="L"</formula>
    </cfRule>
  </conditionalFormatting>
  <conditionalFormatting sqref="BP17:BP20">
    <cfRule type="beginsWith" dxfId="97" priority="48" operator="beginsWith" text="L">
      <formula>LEFT(BP17,LEN("L"))="L"</formula>
    </cfRule>
  </conditionalFormatting>
  <conditionalFormatting sqref="CB17:CB20">
    <cfRule type="beginsWith" dxfId="96" priority="47" operator="beginsWith" text="L">
      <formula>LEFT(CB17,LEN("L"))="L"</formula>
    </cfRule>
  </conditionalFormatting>
  <conditionalFormatting sqref="M17:M20">
    <cfRule type="beginsWith" dxfId="95" priority="43" operator="beginsWith" text="L">
      <formula>LEFT(M17,LEN("L"))="L"</formula>
    </cfRule>
  </conditionalFormatting>
  <conditionalFormatting sqref="DE17:DE20">
    <cfRule type="beginsWith" dxfId="94" priority="46" operator="beginsWith" text="L">
      <formula>LEFT(DE17,LEN("L"))="L"</formula>
    </cfRule>
  </conditionalFormatting>
  <conditionalFormatting sqref="N17:N20">
    <cfRule type="beginsWith" dxfId="93" priority="41" operator="beginsWith" text="L">
      <formula>LEFT(N17,LEN("L"))="L"</formula>
    </cfRule>
  </conditionalFormatting>
  <conditionalFormatting sqref="C17 C19">
    <cfRule type="beginsWith" dxfId="92" priority="40" operator="beginsWith" text="L">
      <formula>LEFT(C17,LEN("L"))="L"</formula>
    </cfRule>
  </conditionalFormatting>
  <conditionalFormatting sqref="J17:J20">
    <cfRule type="beginsWith" dxfId="91" priority="45" operator="beginsWith" text="L">
      <formula>LEFT(J17,LEN("L"))="L"</formula>
    </cfRule>
  </conditionalFormatting>
  <conditionalFormatting sqref="K17:K20">
    <cfRule type="beginsWith" dxfId="90" priority="44" operator="beginsWith" text="L">
      <formula>LEFT(K17,LEN("L"))="L"</formula>
    </cfRule>
  </conditionalFormatting>
  <conditionalFormatting sqref="L17:L20">
    <cfRule type="beginsWith" dxfId="89" priority="42" operator="beginsWith" text="L">
      <formula>LEFT(L17,LEN("L"))="L"</formula>
    </cfRule>
  </conditionalFormatting>
  <conditionalFormatting sqref="AU17 AU19">
    <cfRule type="beginsWith" dxfId="88" priority="39" operator="beginsWith" text="L">
      <formula>LEFT(AU17,LEN("L"))="L"</formula>
    </cfRule>
  </conditionalFormatting>
  <conditionalFormatting sqref="AU18 AU20">
    <cfRule type="beginsWith" dxfId="87" priority="38" operator="beginsWith" text="L">
      <formula>LEFT(AU18,LEN("L"))="L"</formula>
    </cfRule>
  </conditionalFormatting>
  <conditionalFormatting sqref="CK17:CK20">
    <cfRule type="expression" dxfId="86" priority="37">
      <formula>(CJ17="F")</formula>
    </cfRule>
  </conditionalFormatting>
  <conditionalFormatting sqref="DB17 DB19">
    <cfRule type="beginsWith" dxfId="85" priority="34" operator="beginsWith" text="L">
      <formula>LEFT(DB17,LEN("L"))="L"</formula>
    </cfRule>
  </conditionalFormatting>
  <conditionalFormatting sqref="DH17:DH20">
    <cfRule type="beginsWith" dxfId="84" priority="32" operator="beginsWith" text="L">
      <formula>LEFT(DH17,LEN("L"))="L"</formula>
    </cfRule>
  </conditionalFormatting>
  <conditionalFormatting sqref="DA17 DA19">
    <cfRule type="beginsWith" dxfId="83" priority="36" operator="beginsWith" text="L">
      <formula>LEFT(DA17,LEN("L"))="L"</formula>
    </cfRule>
  </conditionalFormatting>
  <conditionalFormatting sqref="DA18 DA20">
    <cfRule type="beginsWith" dxfId="82" priority="35" operator="beginsWith" text="L">
      <formula>LEFT(DA18,LEN("L"))="L"</formula>
    </cfRule>
  </conditionalFormatting>
  <conditionalFormatting sqref="DB18 DB20">
    <cfRule type="beginsWith" dxfId="81" priority="33" operator="beginsWith" text="L">
      <formula>LEFT(DB18,LEN("L"))="L"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80" priority="31" operator="beginsWith" text="L">
      <formula>LEFT(B21,LEN("L"))="L"</formula>
    </cfRule>
  </conditionalFormatting>
  <conditionalFormatting sqref="D22 D24 D26 D28 D30 D32 D34 D36 D38 D40">
    <cfRule type="beginsWith" dxfId="7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8" priority="29" operator="beginsWith" text="L">
      <formula>LEFT(B22,LEN("L"))="L"</formula>
    </cfRule>
  </conditionalFormatting>
  <conditionalFormatting sqref="F21:F40">
    <cfRule type="beginsWith" dxfId="77" priority="23" operator="beginsWith" text="L">
      <formula>LEFT(F21,LEN("L"))="L"</formula>
    </cfRule>
  </conditionalFormatting>
  <conditionalFormatting sqref="DZ21:DZ40">
    <cfRule type="containsText" dxfId="76" priority="24" operator="containsText" text="criadas">
      <formula>NOT(ISERROR(SEARCH("criadas",DZ21)))</formula>
    </cfRule>
    <cfRule type="containsText" dxfId="75" priority="25" operator="containsText" text="é gravado">
      <formula>NOT(ISERROR(SEARCH("é gravado",DZ21)))</formula>
    </cfRule>
    <cfRule type="containsText" dxfId="74" priority="26" operator="containsText" text="é modificado">
      <formula>NOT(ISERROR(SEARCH("é modificado",DZ21)))</formula>
    </cfRule>
    <cfRule type="containsText" dxfId="73" priority="27" operator="containsText" text="Error">
      <formula>NOT(ISERROR(SEARCH("Error",DZ21)))</formula>
    </cfRule>
    <cfRule type="containsText" dxfId="72" priority="28" operator="containsText" text="é criado">
      <formula>NOT(ISERROR(SEARCH("é criado",DZ21)))</formula>
    </cfRule>
  </conditionalFormatting>
  <conditionalFormatting sqref="G21:G40">
    <cfRule type="beginsWith" dxfId="71" priority="22" operator="beginsWith" text="L">
      <formula>LEFT(G21,LEN("L"))="L"</formula>
    </cfRule>
  </conditionalFormatting>
  <conditionalFormatting sqref="AS21:AS40">
    <cfRule type="beginsWith" dxfId="70" priority="21" operator="beginsWith" text="L">
      <formula>LEFT(AS21,LEN("L"))="L"</formula>
    </cfRule>
  </conditionalFormatting>
  <conditionalFormatting sqref="AV21:AV40">
    <cfRule type="beginsWith" dxfId="69" priority="20" operator="beginsWith" text="L">
      <formula>LEFT(AV21,LEN("L"))="L"</formula>
    </cfRule>
  </conditionalFormatting>
  <conditionalFormatting sqref="AZ21:AZ40">
    <cfRule type="beginsWith" dxfId="68" priority="19" operator="beginsWith" text="L">
      <formula>LEFT(AZ21,LEN("L"))="L"</formula>
    </cfRule>
  </conditionalFormatting>
  <conditionalFormatting sqref="BD21:BD40">
    <cfRule type="beginsWith" dxfId="67" priority="18" operator="beginsWith" text="L">
      <formula>LEFT(BD21,LEN("L"))="L"</formula>
    </cfRule>
  </conditionalFormatting>
  <conditionalFormatting sqref="BP21:BP40">
    <cfRule type="beginsWith" dxfId="66" priority="17" operator="beginsWith" text="L">
      <formula>LEFT(BP21,LEN("L"))="L"</formula>
    </cfRule>
  </conditionalFormatting>
  <conditionalFormatting sqref="CB21:CB40">
    <cfRule type="beginsWith" dxfId="65" priority="16" operator="beginsWith" text="L">
      <formula>LEFT(CB21,LEN("L"))="L"</formula>
    </cfRule>
  </conditionalFormatting>
  <conditionalFormatting sqref="M21:M40">
    <cfRule type="beginsWith" dxfId="64" priority="12" operator="beginsWith" text="L">
      <formula>LEFT(M21,LEN("L"))="L"</formula>
    </cfRule>
  </conditionalFormatting>
  <conditionalFormatting sqref="DE21:DE40">
    <cfRule type="beginsWith" dxfId="63" priority="15" operator="beginsWith" text="L">
      <formula>LEFT(DE21,LEN("L"))="L"</formula>
    </cfRule>
  </conditionalFormatting>
  <conditionalFormatting sqref="N21:N40">
    <cfRule type="beginsWith" dxfId="62" priority="10" operator="beginsWith" text="L">
      <formula>LEFT(N21,LEN("L"))="L"</formula>
    </cfRule>
  </conditionalFormatting>
  <conditionalFormatting sqref="C21 C23 C25 C27 C29 C31 C33 C35 C37 C39">
    <cfRule type="beginsWith" dxfId="61" priority="9" operator="beginsWith" text="L">
      <formula>LEFT(C21,LEN("L"))="L"</formula>
    </cfRule>
  </conditionalFormatting>
  <conditionalFormatting sqref="J21:J40">
    <cfRule type="beginsWith" dxfId="60" priority="14" operator="beginsWith" text="L">
      <formula>LEFT(J21,LEN("L"))="L"</formula>
    </cfRule>
  </conditionalFormatting>
  <conditionalFormatting sqref="K21:K40">
    <cfRule type="beginsWith" dxfId="59" priority="13" operator="beginsWith" text="L">
      <formula>LEFT(K21,LEN("L"))="L"</formula>
    </cfRule>
  </conditionalFormatting>
  <conditionalFormatting sqref="L21:L40">
    <cfRule type="beginsWith" dxfId="58" priority="11" operator="beginsWith" text="L">
      <formula>LEFT(L21,LEN("L"))="L"</formula>
    </cfRule>
  </conditionalFormatting>
  <conditionalFormatting sqref="AU21 AU23 AU25 AU27 AU29 AU31 AU33 AU35 AU37 AU39">
    <cfRule type="beginsWith" dxfId="57" priority="8" operator="beginsWith" text="L">
      <formula>LEFT(AU21,LEN("L"))="L"</formula>
    </cfRule>
  </conditionalFormatting>
  <conditionalFormatting sqref="AU22 AU24 AU26 AU28 AU30 AU32 AU34 AU36 AU38 AU40">
    <cfRule type="beginsWith" dxfId="56" priority="7" operator="beginsWith" text="L">
      <formula>LEFT(AU22,LEN("L"))="L"</formula>
    </cfRule>
  </conditionalFormatting>
  <conditionalFormatting sqref="CK21:CK40">
    <cfRule type="expression" dxfId="55" priority="6">
      <formula>(CJ21="F")</formula>
    </cfRule>
  </conditionalFormatting>
  <conditionalFormatting sqref="DB21 DB23 DB25 DB27 DB29 DB31 DB33 DB35 DB37 DB39">
    <cfRule type="beginsWith" dxfId="54" priority="3" operator="beginsWith" text="L">
      <formula>LEFT(DB21,LEN("L"))="L"</formula>
    </cfRule>
  </conditionalFormatting>
  <conditionalFormatting sqref="DH21:DH40">
    <cfRule type="beginsWith" dxfId="53" priority="1" operator="beginsWith" text="L">
      <formula>LEFT(DH21,LEN("L"))="L"</formula>
    </cfRule>
  </conditionalFormatting>
  <conditionalFormatting sqref="DA21 DA23 DA25 DA27 DA29 DA31 DA33 DA35 DA37 DA39">
    <cfRule type="beginsWith" dxfId="52" priority="5" operator="beginsWith" text="L">
      <formula>LEFT(DA21,LEN("L"))="L"</formula>
    </cfRule>
  </conditionalFormatting>
  <conditionalFormatting sqref="DA22 DA24 DA26 DA28 DA30 DA32 DA34 DA36 DA38 DA40">
    <cfRule type="beginsWith" dxfId="51" priority="4" operator="beginsWith" text="L">
      <formula>LEFT(DA22,LEN("L"))="L"</formula>
    </cfRule>
  </conditionalFormatting>
  <conditionalFormatting sqref="DB22 DB24 DB26 DB28 DB30 DB32 DB34 DB36 DB38 DB40">
    <cfRule type="beginsWith" dxfId="50" priority="2" operator="beginsWith" text="L">
      <formula>LEFT(DB22,LEN("L"))="L"</formula>
    </cfRule>
  </conditionalFormatting>
  <dataValidations disablePrompts="1" count="2">
    <dataValidation type="list" allowBlank="1" showInputMessage="1" showErrorMessage="1" sqref="BX5:BX64 CI5:CI64">
      <formula1>"0,1"</formula1>
    </dataValidation>
    <dataValidation type="list" allowBlank="1" showInputMessage="1" showErrorMessage="1" sqref="DX5:DX64 DL5:DL64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P5:AP64</xm:sqref>
        </x14:dataValidation>
        <x14:dataValidation type="list" allowBlank="1" showInputMessage="1" showErrorMessage="1">
          <x14:formula1>
            <xm:f>'Listas de Dados'!$AA$4:$AA$5</xm:f>
          </x14:formula1>
          <xm:sqref>AW5:AW64 BQ5:BQ64</xm:sqref>
        </x14:dataValidation>
        <x14:dataValidation type="list" allowBlank="1" showInputMessage="1" showErrorMessage="1">
          <x14:formula1>
            <xm:f>'Listas de Dados'!$AI$4:$AI$11</xm:f>
          </x14:formula1>
          <xm:sqref>BY5:BY64</xm:sqref>
        </x14:dataValidation>
        <x14:dataValidation type="list" allowBlank="1" showInputMessage="1" showErrorMessage="1">
          <x14:formula1>
            <xm:f>'Listas de Dados'!$AL$4:$AL$10</xm:f>
          </x14:formula1>
          <xm:sqref>CE5:CE64</xm:sqref>
        </x14:dataValidation>
        <x14:dataValidation type="list" allowBlank="1" showInputMessage="1" showErrorMessage="1">
          <x14:formula1>
            <xm:f>'Listas de Dados'!$AO$4:$AO$32</xm:f>
          </x14:formula1>
          <xm:sqref>CF5:CF64</xm:sqref>
        </x14:dataValidation>
        <x14:dataValidation type="list" allowBlank="1" showInputMessage="1" showErrorMessage="1">
          <x14:formula1>
            <xm:f>'Listas de Dados'!$AU$4:$AU$35</xm:f>
          </x14:formula1>
          <xm:sqref>CH5:CH64</xm:sqref>
        </x14:dataValidation>
        <x14:dataValidation type="list" allowBlank="1" showInputMessage="1" showErrorMessage="1">
          <x14:formula1>
            <xm:f>'Listas de Dados'!$AR$4:$AR$11</xm:f>
          </x14:formula1>
          <xm:sqref>CG5:CG64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9" priority="68" operator="beginsWith" text="L">
      <formula>LEFT(B5,LEN("L"))="L"</formula>
    </cfRule>
  </conditionalFormatting>
  <conditionalFormatting sqref="B6:B14">
    <cfRule type="beginsWith" dxfId="48" priority="52" operator="beginsWith" text="L">
      <formula>LEFT(B6,LEN("L"))="L"</formula>
    </cfRule>
  </conditionalFormatting>
  <conditionalFormatting sqref="B15:B54">
    <cfRule type="beginsWith" dxfId="47" priority="38" operator="beginsWith" text="L">
      <formula>LEFT(B15,LEN("L"))="L"</formula>
    </cfRule>
  </conditionalFormatting>
  <conditionalFormatting sqref="L1:L1048576">
    <cfRule type="containsText" dxfId="46" priority="13" operator="containsText" text="criadas">
      <formula>NOT(ISERROR(SEARCH("criadas",L1)))</formula>
    </cfRule>
    <cfRule type="containsText" dxfId="45" priority="14" operator="containsText" text="é gravado">
      <formula>NOT(ISERROR(SEARCH("é gravado",L1)))</formula>
    </cfRule>
    <cfRule type="containsText" dxfId="44" priority="15" operator="containsText" text="é modificado">
      <formula>NOT(ISERROR(SEARCH("é modificado",L1)))</formula>
    </cfRule>
    <cfRule type="containsText" dxfId="43" priority="16" operator="containsText" text="Error">
      <formula>NOT(ISERROR(SEARCH("Error",L1)))</formula>
    </cfRule>
    <cfRule type="containsText" dxfId="42" priority="17" operator="containsText" text="é criado">
      <formula>NOT(ISERROR(SEARCH("é criado",L1)))</formula>
    </cfRule>
  </conditionalFormatting>
  <conditionalFormatting sqref="G5:G54">
    <cfRule type="beginsWith" dxfId="41" priority="12" operator="beginsWith" text="L">
      <formula>LEFT(G5,LEN("L"))="L"</formula>
    </cfRule>
  </conditionalFormatting>
  <conditionalFormatting sqref="H5:H54">
    <cfRule type="beginsWith" dxfId="40" priority="11" operator="beginsWith" text="L">
      <formula>LEFT(H5,LEN("L"))="L"</formula>
    </cfRule>
  </conditionalFormatting>
  <conditionalFormatting sqref="K5:K54">
    <cfRule type="beginsWith" dxfId="39" priority="9" operator="beginsWith" text="L">
      <formula>LEFT(K5,LEN("L"))="L"</formula>
    </cfRule>
  </conditionalFormatting>
  <conditionalFormatting sqref="I5:I54">
    <cfRule type="beginsWith" dxfId="38" priority="6" operator="beginsWith" text="L">
      <formula>LEFT(I5,LEN("L"))="L"</formula>
    </cfRule>
  </conditionalFormatting>
  <conditionalFormatting sqref="J5:J54">
    <cfRule type="beginsWith" dxfId="37" priority="2" operator="beginsWith" text="L">
      <formula>LEFT(J5,LEN("L"))="L"</formula>
    </cfRule>
  </conditionalFormatting>
  <conditionalFormatting sqref="M5:M54">
    <cfRule type="beginsWith" dxfId="36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5" priority="20" operator="beginsWith" text="L">
      <formula>LEFT(B5,LEN("L"))="L"</formula>
    </cfRule>
  </conditionalFormatting>
  <conditionalFormatting sqref="B6:B14">
    <cfRule type="beginsWith" dxfId="34" priority="19" operator="beginsWith" text="L">
      <formula>LEFT(B6,LEN("L"))="L"</formula>
    </cfRule>
  </conditionalFormatting>
  <conditionalFormatting sqref="B15:B54">
    <cfRule type="beginsWith" dxfId="33" priority="18" operator="beginsWith" text="L">
      <formula>LEFT(B15,LEN("L"))="L"</formula>
    </cfRule>
  </conditionalFormatting>
  <conditionalFormatting sqref="L1:L1048576">
    <cfRule type="containsText" dxfId="32" priority="13" operator="containsText" text="criada">
      <formula>NOT(ISERROR(SEARCH("criada",L1)))</formula>
    </cfRule>
    <cfRule type="containsText" dxfId="31" priority="14" operator="containsText" text="é gravado">
      <formula>NOT(ISERROR(SEARCH("é gravado",L1)))</formula>
    </cfRule>
    <cfRule type="containsText" dxfId="30" priority="15" operator="containsText" text="é modificado">
      <formula>NOT(ISERROR(SEARCH("é modificado",L1)))</formula>
    </cfRule>
    <cfRule type="containsText" dxfId="29" priority="16" operator="containsText" text="Error">
      <formula>NOT(ISERROR(SEARCH("Error",L1)))</formula>
    </cfRule>
    <cfRule type="containsText" dxfId="28" priority="17" operator="containsText" text="é criado">
      <formula>NOT(ISERROR(SEARCH("é criado",L1)))</formula>
    </cfRule>
  </conditionalFormatting>
  <conditionalFormatting sqref="E5:E54">
    <cfRule type="beginsWith" dxfId="27" priority="10" operator="beginsWith" text="L">
      <formula>LEFT(E5,LEN("L"))="L"</formula>
    </cfRule>
  </conditionalFormatting>
  <conditionalFormatting sqref="G5:G54">
    <cfRule type="beginsWith" dxfId="26" priority="6" operator="beginsWith" text="L">
      <formula>LEFT(G5,LEN("L"))="L"</formula>
    </cfRule>
  </conditionalFormatting>
  <conditionalFormatting sqref="I5:I54">
    <cfRule type="beginsWith" dxfId="25" priority="2" operator="beginsWith" text="L">
      <formula>LEFT(I5,LEN("L"))="L"</formula>
    </cfRule>
  </conditionalFormatting>
  <conditionalFormatting sqref="K5:K54">
    <cfRule type="beginsWith" dxfId="24" priority="4" operator="beginsWith" text="L">
      <formula>LEFT(K5,LEN("L"))="L"</formula>
    </cfRule>
  </conditionalFormatting>
  <conditionalFormatting sqref="J5:J54">
    <cfRule type="beginsWith" dxfId="23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22" priority="33" operator="beginsWith" text="L">
      <formula>LEFT(B5,LEN("L"))="L"</formula>
    </cfRule>
  </conditionalFormatting>
  <conditionalFormatting sqref="B6:B14">
    <cfRule type="beginsWith" dxfId="21" priority="30" operator="beginsWith" text="L">
      <formula>LEFT(B6,LEN("L"))="L"</formula>
    </cfRule>
  </conditionalFormatting>
  <conditionalFormatting sqref="B15:B54">
    <cfRule type="beginsWith" dxfId="20" priority="29" operator="beginsWith" text="L">
      <formula>LEFT(B15,LEN("L"))="L"</formula>
    </cfRule>
  </conditionalFormatting>
  <conditionalFormatting sqref="D1:D1048576">
    <cfRule type="containsText" dxfId="19" priority="1" operator="containsText" text="será criado">
      <formula>NOT(ISERROR(SEARCH("será criado",D1)))</formula>
    </cfRule>
    <cfRule type="containsText" dxfId="18" priority="2" operator="containsText" text="criadas">
      <formula>NOT(ISERROR(SEARCH("criadas",D1)))</formula>
    </cfRule>
    <cfRule type="containsText" dxfId="17" priority="3" operator="containsText" text="é gravado">
      <formula>NOT(ISERROR(SEARCH("é gravado",D1)))</formula>
    </cfRule>
    <cfRule type="containsText" dxfId="16" priority="4" operator="containsText" text="é modificado">
      <formula>NOT(ISERROR(SEARCH("é modificado",D1)))</formula>
    </cfRule>
    <cfRule type="containsText" dxfId="15" priority="5" operator="containsText" text="Error">
      <formula>NOT(ISERROR(SEARCH("Error",D1)))</formula>
    </cfRule>
    <cfRule type="containsText" dxfId="1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17.05.2022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17.05.2022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17.05.2022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17.05.2022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17.05.2022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17.05.2022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17.05.2022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17.05.2022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17.05.2022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17.05.2022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17.05.2022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17.05.2022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17.05.2022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17.05.2022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17.05.2022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17.05.2022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17.05.2022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17.05.2022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17.05.2022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17.05.2022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17.05.2022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17.05.2022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17.05.2022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17.05.2022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17.05.2022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17.05.2022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17.05.2022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17.05.2022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17.05.2022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17.05.2022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17.05.2022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17.05.2022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17.05.2022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17.05.2022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17.05.2022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17.05.2022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17.05.2022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17.05.2022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17.05.2022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17.05.2022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17.05.2022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17.05.2022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17.05.2022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17.05.2022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17.05.2022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17.05.2022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17.05.2022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17.05.2022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17.05.2022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17.05.2022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3" priority="8" operator="beginsWith" text="L">
      <formula>LEFT(B5,LEN("L"))="L"</formula>
    </cfRule>
  </conditionalFormatting>
  <conditionalFormatting sqref="B6:B14">
    <cfRule type="beginsWith" dxfId="12" priority="7" operator="beginsWith" text="L">
      <formula>LEFT(B6,LEN("L"))="L"</formula>
    </cfRule>
  </conditionalFormatting>
  <conditionalFormatting sqref="B15:B54">
    <cfRule type="beginsWith" dxfId="11" priority="6" operator="beginsWith" text="L">
      <formula>LEFT(B15,LEN("L"))="L"</formula>
    </cfRule>
  </conditionalFormatting>
  <conditionalFormatting sqref="J1:J1048576">
    <cfRule type="containsText" dxfId="10" priority="1" operator="containsText" text="criadas">
      <formula>NOT(ISERROR(SEARCH("criadas",J1)))</formula>
    </cfRule>
    <cfRule type="containsText" dxfId="9" priority="2" operator="containsText" text="é gravado">
      <formula>NOT(ISERROR(SEARCH("é gravado",J1)))</formula>
    </cfRule>
    <cfRule type="containsText" dxfId="8" priority="3" operator="containsText" text="é modificado">
      <formula>NOT(ISERROR(SEARCH("é modificado",J1)))</formula>
    </cfRule>
    <cfRule type="containsText" dxfId="7" priority="4" operator="containsText" text="Error">
      <formula>NOT(ISERROR(SEARCH("Error",J1)))</formula>
    </cfRule>
    <cfRule type="containsText" dxfId="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90"/>
  <sheetViews>
    <sheetView showGridLines="0" showRowColHeaders="0" topLeftCell="BJ1" workbookViewId="0">
      <selection activeCell="BW27" sqref="BW2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1090</v>
      </c>
      <c r="BG24" s="17" t="s">
        <v>1088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1090</v>
      </c>
      <c r="BV24" s="17" t="s">
        <v>1093</v>
      </c>
      <c r="BW24" s="17" t="s">
        <v>1093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1091</v>
      </c>
      <c r="BG25" s="17" t="s">
        <v>1089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1091</v>
      </c>
      <c r="BV25" s="17" t="s">
        <v>1094</v>
      </c>
      <c r="BW25" s="17" t="s">
        <v>1094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698</v>
      </c>
      <c r="BG26" s="17" t="s">
        <v>699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698</v>
      </c>
      <c r="BV26" s="17" t="s">
        <v>966</v>
      </c>
      <c r="BW26" s="17" t="s">
        <v>966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700</v>
      </c>
      <c r="BG27" s="17" t="s">
        <v>701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704</v>
      </c>
      <c r="BV27" s="17" t="s">
        <v>967</v>
      </c>
      <c r="BW27" s="17" t="s">
        <v>967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702</v>
      </c>
      <c r="BG28" s="17" t="s">
        <v>703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706</v>
      </c>
      <c r="BV28" s="17" t="s">
        <v>968</v>
      </c>
      <c r="BW28" s="17" t="s">
        <v>968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704</v>
      </c>
      <c r="BG29" s="17" t="s">
        <v>705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708</v>
      </c>
      <c r="BV29" s="17" t="s">
        <v>969</v>
      </c>
      <c r="BW29" s="17" t="s">
        <v>969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706</v>
      </c>
      <c r="BG30" s="17" t="s">
        <v>707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710</v>
      </c>
      <c r="BV30" s="17" t="s">
        <v>970</v>
      </c>
      <c r="BW30" s="17" t="s">
        <v>970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708</v>
      </c>
      <c r="BG31" s="17" t="s">
        <v>709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712</v>
      </c>
      <c r="BV31" s="17" t="s">
        <v>971</v>
      </c>
      <c r="BW31" s="17" t="s">
        <v>971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710</v>
      </c>
      <c r="BG32" s="17" t="s">
        <v>711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1086</v>
      </c>
      <c r="BV32" s="17" t="s">
        <v>1092</v>
      </c>
      <c r="BW32" s="17" t="s">
        <v>1092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712</v>
      </c>
      <c r="BG33" s="17" t="s">
        <v>713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972</v>
      </c>
      <c r="BV33" s="17" t="s">
        <v>973</v>
      </c>
      <c r="BW33" s="17" t="s">
        <v>973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1086</v>
      </c>
      <c r="BG34" s="17" t="s">
        <v>1087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700</v>
      </c>
      <c r="BV34" s="17" t="s">
        <v>974</v>
      </c>
      <c r="BW34" s="17" t="s">
        <v>974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714</v>
      </c>
      <c r="BG35" s="17" t="s">
        <v>715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718</v>
      </c>
      <c r="BV35" s="17" t="s">
        <v>975</v>
      </c>
      <c r="BW35" s="17" t="s">
        <v>718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716</v>
      </c>
      <c r="BG36" s="17" t="s">
        <v>717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714</v>
      </c>
      <c r="BV36" s="17" t="s">
        <v>976</v>
      </c>
      <c r="BW36" s="17" t="s">
        <v>714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718</v>
      </c>
      <c r="BG37" s="17" t="s">
        <v>719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720</v>
      </c>
      <c r="BV37" s="17" t="s">
        <v>977</v>
      </c>
      <c r="BW37" s="17" t="s">
        <v>720</v>
      </c>
    </row>
    <row r="38" spans="1:75" x14ac:dyDescent="0.2">
      <c r="BA38" s="17"/>
      <c r="BB38" s="17" t="s">
        <v>593</v>
      </c>
      <c r="BC38" s="23"/>
      <c r="BD38" s="23"/>
      <c r="BF38" s="17" t="s">
        <v>720</v>
      </c>
      <c r="BG38" s="17" t="s">
        <v>721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722</v>
      </c>
      <c r="BV38" s="17" t="s">
        <v>978</v>
      </c>
      <c r="BW38" s="17" t="s">
        <v>722</v>
      </c>
    </row>
    <row r="39" spans="1:75" x14ac:dyDescent="0.2">
      <c r="BA39" s="17"/>
      <c r="BB39" s="17" t="s">
        <v>594</v>
      </c>
      <c r="BC39" s="23"/>
      <c r="BD39" s="23"/>
      <c r="BF39" s="17" t="s">
        <v>722</v>
      </c>
      <c r="BG39" s="17" t="s">
        <v>723</v>
      </c>
      <c r="BH39" s="17" t="s">
        <v>9</v>
      </c>
      <c r="BJ39"/>
      <c r="BK39"/>
      <c r="BM39"/>
      <c r="BO39"/>
      <c r="BP39"/>
      <c r="BR39"/>
      <c r="BT39" s="17" t="s">
        <v>9</v>
      </c>
      <c r="BU39" s="17" t="s">
        <v>724</v>
      </c>
      <c r="BV39" s="17" t="s">
        <v>979</v>
      </c>
      <c r="BW39" s="17" t="s">
        <v>724</v>
      </c>
    </row>
    <row r="40" spans="1:75" x14ac:dyDescent="0.2">
      <c r="A40" s="56"/>
      <c r="BA40" s="17"/>
      <c r="BB40" s="17" t="s">
        <v>595</v>
      </c>
      <c r="BC40" s="23"/>
      <c r="BD40" s="23"/>
      <c r="BF40" s="17" t="s">
        <v>724</v>
      </c>
      <c r="BG40" s="17" t="s">
        <v>725</v>
      </c>
      <c r="BH40" s="17" t="s">
        <v>9</v>
      </c>
      <c r="BJ40"/>
      <c r="BK40"/>
      <c r="BM40"/>
      <c r="BO40"/>
      <c r="BP40"/>
      <c r="BR40"/>
      <c r="BT40" s="17" t="s">
        <v>9</v>
      </c>
      <c r="BU40" s="17" t="s">
        <v>726</v>
      </c>
      <c r="BV40" s="17" t="s">
        <v>980</v>
      </c>
      <c r="BW40" s="17" t="s">
        <v>726</v>
      </c>
    </row>
    <row r="41" spans="1:75" x14ac:dyDescent="0.2">
      <c r="BA41" s="17"/>
      <c r="BB41" s="17" t="s">
        <v>596</v>
      </c>
      <c r="BC41" s="23"/>
      <c r="BD41" s="23"/>
      <c r="BF41" s="17" t="s">
        <v>726</v>
      </c>
      <c r="BG41" s="17" t="s">
        <v>727</v>
      </c>
      <c r="BH41" s="17" t="s">
        <v>9</v>
      </c>
      <c r="BJ41"/>
      <c r="BK41"/>
      <c r="BM41"/>
      <c r="BO41"/>
      <c r="BP41"/>
      <c r="BR41"/>
      <c r="BT41" s="17" t="s">
        <v>9</v>
      </c>
      <c r="BU41" s="17" t="s">
        <v>685</v>
      </c>
      <c r="BV41" s="17" t="s">
        <v>686</v>
      </c>
      <c r="BW41" s="17" t="s">
        <v>686</v>
      </c>
    </row>
    <row r="42" spans="1:75" x14ac:dyDescent="0.2">
      <c r="BA42" s="17"/>
      <c r="BB42" s="17" t="s">
        <v>597</v>
      </c>
      <c r="BC42" s="23"/>
      <c r="BD42" s="23"/>
      <c r="BF42" s="17" t="s">
        <v>685</v>
      </c>
      <c r="BG42" s="17" t="s">
        <v>686</v>
      </c>
      <c r="BH42" s="17" t="s">
        <v>9</v>
      </c>
      <c r="BJ42"/>
      <c r="BK42"/>
      <c r="BM42"/>
      <c r="BO42"/>
      <c r="BP42"/>
      <c r="BR42"/>
      <c r="BT42" s="17"/>
      <c r="BU42" s="17"/>
      <c r="BV42" s="17"/>
      <c r="BW42" s="17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  <row r="88" spans="53:70" x14ac:dyDescent="0.2">
      <c r="BF88" s="17"/>
      <c r="BG88" s="17"/>
      <c r="BH88" s="17"/>
    </row>
    <row r="89" spans="53:70" x14ac:dyDescent="0.2">
      <c r="BF89" s="17"/>
      <c r="BG89" s="17"/>
      <c r="BH89" s="17"/>
    </row>
    <row r="90" spans="53:70" x14ac:dyDescent="0.2">
      <c r="BF90" s="17"/>
      <c r="BG90" s="17"/>
      <c r="BH90" s="1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42">
    <cfRule type="containsErrors" dxfId="4" priority="2">
      <formula>ISERROR(BT4)</formula>
    </cfRule>
  </conditionalFormatting>
  <conditionalFormatting sqref="BT4:BW42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2022-05-17T12:11:36Z</dcterms:modified>
</cp:coreProperties>
</file>