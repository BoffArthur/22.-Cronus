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10.xml" ContentType="application/vnd.openxmlformats-officedocument.drawing+xml"/>
  <Override PartName="/xl/ctrlProps/ctrlProp18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1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13020" yWindow="69600" windowWidth="28800" windowHeight="14130"/>
  </bookViews>
  <sheets>
    <sheet name="ZM01" sheetId="6" r:id="rId1"/>
    <sheet name="CU41" sheetId="14" r:id="rId2"/>
    <sheet name="COB1" sheetId="15" r:id="rId3"/>
    <sheet name="CA01" sheetId="8" r:id="rId4"/>
    <sheet name="CS01" sheetId="12" r:id="rId5"/>
    <sheet name="MM02" sheetId="11" r:id="rId6"/>
    <sheet name="C223" sheetId="13" r:id="rId7"/>
    <sheet name="ZTMM_PURLINS" sheetId="16" r:id="rId8"/>
    <sheet name="MM01" sheetId="19" r:id="rId9"/>
    <sheet name="Consulta" sheetId="7" r:id="rId10"/>
    <sheet name="Listas de Dados" sheetId="2" r:id="rId11"/>
  </sheets>
  <functionGroups builtInGroupCount="18"/>
  <definedNames>
    <definedName name="DadosExternos_1" localSheetId="9" hidden="1">Consulta!$A$1:$S$68</definedName>
  </definedNames>
  <calcPr calcId="162913"/>
</workbook>
</file>

<file path=xl/calcChain.xml><?xml version="1.0" encoding="utf-8"?>
<calcChain xmlns="http://schemas.openxmlformats.org/spreadsheetml/2006/main">
  <c r="BV6" i="6" l="1"/>
  <c r="BV7" i="6"/>
  <c r="BV8" i="6"/>
  <c r="BV9" i="6"/>
  <c r="BV10" i="6"/>
  <c r="BV11" i="6"/>
  <c r="BV12" i="6"/>
  <c r="BV13" i="6"/>
  <c r="BV14" i="6"/>
  <c r="BV15" i="6"/>
  <c r="BV16" i="6"/>
  <c r="BV17" i="6"/>
  <c r="BV18" i="6"/>
  <c r="BV19" i="6"/>
  <c r="BV20" i="6"/>
  <c r="BV21" i="6"/>
  <c r="BV22" i="6"/>
  <c r="BV23" i="6"/>
  <c r="BV24" i="6"/>
  <c r="BV25" i="6"/>
  <c r="BV26" i="6"/>
  <c r="BV27" i="6"/>
  <c r="BV28" i="6"/>
  <c r="BV29" i="6"/>
  <c r="BV30" i="6"/>
  <c r="BV5" i="6"/>
  <c r="C5" i="16" l="1"/>
  <c r="C6" i="16"/>
  <c r="C7" i="16"/>
  <c r="C8" i="16"/>
  <c r="C9" i="16"/>
  <c r="C10" i="16"/>
  <c r="S69" i="7"/>
  <c r="D6" i="19" l="1"/>
  <c r="E6" i="19"/>
  <c r="F6" i="19"/>
  <c r="G6" i="19"/>
  <c r="H6" i="19"/>
  <c r="D7" i="19"/>
  <c r="E7" i="19"/>
  <c r="F7" i="19"/>
  <c r="G7" i="19"/>
  <c r="H7" i="19"/>
  <c r="D8" i="19"/>
  <c r="E8" i="19"/>
  <c r="F8" i="19"/>
  <c r="G8" i="19"/>
  <c r="H8" i="19"/>
  <c r="D9" i="19"/>
  <c r="E9" i="19"/>
  <c r="F9" i="19"/>
  <c r="G9" i="19"/>
  <c r="H9" i="19"/>
  <c r="D10" i="19"/>
  <c r="E10" i="19"/>
  <c r="F10" i="19"/>
  <c r="G10" i="19"/>
  <c r="H10" i="19"/>
  <c r="D11" i="19"/>
  <c r="E11" i="19"/>
  <c r="F11" i="19"/>
  <c r="G11" i="19"/>
  <c r="H11" i="19"/>
  <c r="D12" i="19"/>
  <c r="E12" i="19"/>
  <c r="F12" i="19"/>
  <c r="G12" i="19"/>
  <c r="H12" i="19"/>
  <c r="D13" i="19"/>
  <c r="E13" i="19"/>
  <c r="F13" i="19"/>
  <c r="G13" i="19"/>
  <c r="H13" i="19"/>
  <c r="D14" i="19"/>
  <c r="E14" i="19"/>
  <c r="F14" i="19"/>
  <c r="G14" i="19"/>
  <c r="H14" i="19"/>
  <c r="D15" i="19"/>
  <c r="E15" i="19"/>
  <c r="F15" i="19"/>
  <c r="G15" i="19"/>
  <c r="H15" i="19"/>
  <c r="D16" i="19"/>
  <c r="E16" i="19"/>
  <c r="F16" i="19"/>
  <c r="G16" i="19"/>
  <c r="H16" i="19"/>
  <c r="D17" i="19"/>
  <c r="E17" i="19"/>
  <c r="F17" i="19"/>
  <c r="G17" i="19"/>
  <c r="H17" i="19"/>
  <c r="D18" i="19"/>
  <c r="E18" i="19"/>
  <c r="F18" i="19"/>
  <c r="G18" i="19"/>
  <c r="H18" i="19"/>
  <c r="D19" i="19"/>
  <c r="E19" i="19"/>
  <c r="F19" i="19"/>
  <c r="G19" i="19"/>
  <c r="H19" i="19"/>
  <c r="D20" i="19"/>
  <c r="E20" i="19"/>
  <c r="F20" i="19"/>
  <c r="G20" i="19"/>
  <c r="H20" i="19"/>
  <c r="D21" i="19"/>
  <c r="E21" i="19"/>
  <c r="F21" i="19"/>
  <c r="G21" i="19"/>
  <c r="H21" i="19"/>
  <c r="D22" i="19"/>
  <c r="E22" i="19"/>
  <c r="F22" i="19"/>
  <c r="G22" i="19"/>
  <c r="H22" i="19"/>
  <c r="D23" i="19"/>
  <c r="E23" i="19"/>
  <c r="F23" i="19"/>
  <c r="G23" i="19"/>
  <c r="H23" i="19"/>
  <c r="D24" i="19"/>
  <c r="E24" i="19"/>
  <c r="F24" i="19"/>
  <c r="G24" i="19"/>
  <c r="H24" i="19"/>
  <c r="D25" i="19"/>
  <c r="E25" i="19"/>
  <c r="F25" i="19"/>
  <c r="G25" i="19"/>
  <c r="H25" i="19"/>
  <c r="D26" i="19"/>
  <c r="E26" i="19"/>
  <c r="F26" i="19"/>
  <c r="G26" i="19"/>
  <c r="H26" i="19"/>
  <c r="D27" i="19"/>
  <c r="E27" i="19"/>
  <c r="F27" i="19"/>
  <c r="G27" i="19"/>
  <c r="H27" i="19"/>
  <c r="D28" i="19"/>
  <c r="E28" i="19"/>
  <c r="F28" i="19"/>
  <c r="G28" i="19"/>
  <c r="H28" i="19"/>
  <c r="D29" i="19"/>
  <c r="E29" i="19"/>
  <c r="F29" i="19"/>
  <c r="G29" i="19"/>
  <c r="H29" i="19"/>
  <c r="D30" i="19"/>
  <c r="E30" i="19"/>
  <c r="F30" i="19"/>
  <c r="G30" i="19"/>
  <c r="H30" i="19"/>
  <c r="E5" i="19"/>
  <c r="F5" i="19"/>
  <c r="G5" i="19"/>
  <c r="H5" i="19"/>
  <c r="D5" i="19"/>
  <c r="C6" i="19"/>
  <c r="AN6" i="19" s="1"/>
  <c r="AM6" i="19" s="1"/>
  <c r="C7" i="19"/>
  <c r="AN7" i="19" s="1"/>
  <c r="AM7" i="19" s="1"/>
  <c r="C8" i="19"/>
  <c r="AN8" i="19" s="1"/>
  <c r="AM8" i="19" s="1"/>
  <c r="C9" i="19"/>
  <c r="AN9" i="19" s="1"/>
  <c r="AM9" i="19" s="1"/>
  <c r="C10" i="19"/>
  <c r="AN10" i="19" s="1"/>
  <c r="AM10" i="19" s="1"/>
  <c r="C11" i="19"/>
  <c r="AN11" i="19" s="1"/>
  <c r="AM11" i="19" s="1"/>
  <c r="C12" i="19"/>
  <c r="AN12" i="19" s="1"/>
  <c r="AM12" i="19" s="1"/>
  <c r="C13" i="19"/>
  <c r="AN13" i="19" s="1"/>
  <c r="AM13" i="19" s="1"/>
  <c r="C14" i="19"/>
  <c r="AN14" i="19" s="1"/>
  <c r="AM14" i="19" s="1"/>
  <c r="C15" i="19"/>
  <c r="AN15" i="19" s="1"/>
  <c r="AM15" i="19" s="1"/>
  <c r="C16" i="19"/>
  <c r="AN16" i="19" s="1"/>
  <c r="AM16" i="19" s="1"/>
  <c r="C17" i="19"/>
  <c r="AN17" i="19" s="1"/>
  <c r="AM17" i="19" s="1"/>
  <c r="C18" i="19"/>
  <c r="AN18" i="19" s="1"/>
  <c r="AM18" i="19" s="1"/>
  <c r="C19" i="19"/>
  <c r="AN19" i="19" s="1"/>
  <c r="AM19" i="19" s="1"/>
  <c r="C20" i="19"/>
  <c r="AN20" i="19" s="1"/>
  <c r="AM20" i="19" s="1"/>
  <c r="C21" i="19"/>
  <c r="AN21" i="19" s="1"/>
  <c r="AM21" i="19" s="1"/>
  <c r="C22" i="19"/>
  <c r="AN22" i="19" s="1"/>
  <c r="AM22" i="19" s="1"/>
  <c r="C23" i="19"/>
  <c r="AN23" i="19" s="1"/>
  <c r="AM23" i="19" s="1"/>
  <c r="C24" i="19"/>
  <c r="AN24" i="19" s="1"/>
  <c r="AM24" i="19" s="1"/>
  <c r="C25" i="19"/>
  <c r="AN25" i="19" s="1"/>
  <c r="AM25" i="19" s="1"/>
  <c r="C26" i="19"/>
  <c r="AN26" i="19" s="1"/>
  <c r="AM26" i="19" s="1"/>
  <c r="C27" i="19"/>
  <c r="AN27" i="19" s="1"/>
  <c r="AM27" i="19" s="1"/>
  <c r="C28" i="19"/>
  <c r="AN28" i="19" s="1"/>
  <c r="AM28" i="19" s="1"/>
  <c r="C29" i="19"/>
  <c r="AN29" i="19" s="1"/>
  <c r="AM29" i="19" s="1"/>
  <c r="C30" i="19"/>
  <c r="AN30" i="19" s="1"/>
  <c r="AM30" i="19" s="1"/>
  <c r="C5" i="19"/>
  <c r="AN5" i="19" s="1"/>
  <c r="AM5" i="19" s="1"/>
  <c r="AL30" i="19" l="1"/>
  <c r="A30" i="19"/>
  <c r="AL29" i="19"/>
  <c r="A29" i="19"/>
  <c r="AL28" i="19"/>
  <c r="A28" i="19"/>
  <c r="AL27" i="19"/>
  <c r="A27" i="19"/>
  <c r="AL26" i="19"/>
  <c r="A26" i="19"/>
  <c r="AL25" i="19"/>
  <c r="A25" i="19"/>
  <c r="AL24" i="19"/>
  <c r="A24" i="19"/>
  <c r="AL23" i="19"/>
  <c r="A23" i="19"/>
  <c r="AL22" i="19"/>
  <c r="A22" i="19"/>
  <c r="AL21" i="19"/>
  <c r="A21" i="19"/>
  <c r="AL20" i="19"/>
  <c r="A20" i="19"/>
  <c r="AL19" i="19"/>
  <c r="A19" i="19"/>
  <c r="AL18" i="19"/>
  <c r="A18" i="19"/>
  <c r="AL17" i="19"/>
  <c r="A17" i="19"/>
  <c r="AL16" i="19"/>
  <c r="A16" i="19"/>
  <c r="AL15" i="19"/>
  <c r="A15" i="19"/>
  <c r="AL14" i="19"/>
  <c r="A14" i="19"/>
  <c r="AL13" i="19"/>
  <c r="A13" i="19"/>
  <c r="AL12" i="19"/>
  <c r="A12" i="19"/>
  <c r="AL11" i="19"/>
  <c r="A11" i="19"/>
  <c r="AL10" i="19"/>
  <c r="A10" i="19"/>
  <c r="AL9" i="19"/>
  <c r="A9" i="19"/>
  <c r="AL8" i="19"/>
  <c r="A8" i="19"/>
  <c r="AL7" i="19"/>
  <c r="A7" i="19"/>
  <c r="AL6" i="19"/>
  <c r="A6" i="19"/>
  <c r="AL5" i="19"/>
  <c r="A5" i="19"/>
  <c r="D6" i="13" l="1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" i="13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" i="12"/>
  <c r="CY6" i="6"/>
  <c r="CY7" i="6"/>
  <c r="CY8" i="6"/>
  <c r="CY9" i="6"/>
  <c r="CY10" i="6"/>
  <c r="CY11" i="6"/>
  <c r="CY12" i="6"/>
  <c r="CY13" i="6"/>
  <c r="CY14" i="6"/>
  <c r="CY15" i="6"/>
  <c r="CY16" i="6"/>
  <c r="CY17" i="6"/>
  <c r="CY18" i="6"/>
  <c r="CY19" i="6"/>
  <c r="CY20" i="6"/>
  <c r="CY21" i="6"/>
  <c r="CY22" i="6"/>
  <c r="CY23" i="6"/>
  <c r="CY24" i="6"/>
  <c r="CY25" i="6"/>
  <c r="CY26" i="6"/>
  <c r="CY27" i="6"/>
  <c r="CY28" i="6"/>
  <c r="CY29" i="6"/>
  <c r="CY30" i="6"/>
  <c r="CY5" i="6"/>
  <c r="F5" i="6" l="1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A30" i="16" l="1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DR6" i="6" l="1"/>
  <c r="DR7" i="6"/>
  <c r="DR8" i="6"/>
  <c r="DR9" i="6"/>
  <c r="DR10" i="6"/>
  <c r="DR11" i="6"/>
  <c r="DR12" i="6"/>
  <c r="DR13" i="6"/>
  <c r="DR14" i="6"/>
  <c r="DR15" i="6"/>
  <c r="DR16" i="6"/>
  <c r="DR17" i="6"/>
  <c r="DR18" i="6"/>
  <c r="DR19" i="6"/>
  <c r="DR20" i="6"/>
  <c r="DR21" i="6"/>
  <c r="DR22" i="6"/>
  <c r="DR23" i="6"/>
  <c r="DR24" i="6"/>
  <c r="DR25" i="6"/>
  <c r="DR26" i="6"/>
  <c r="DR27" i="6"/>
  <c r="DR28" i="6"/>
  <c r="DR29" i="6"/>
  <c r="DR30" i="6"/>
  <c r="DR5" i="6"/>
  <c r="BK6" i="6"/>
  <c r="BK7" i="6"/>
  <c r="BK8" i="6"/>
  <c r="BK9" i="6"/>
  <c r="BK10" i="6"/>
  <c r="BK11" i="6"/>
  <c r="BK12" i="6"/>
  <c r="BK13" i="6"/>
  <c r="BK14" i="6"/>
  <c r="BK15" i="6"/>
  <c r="BK16" i="6"/>
  <c r="BK17" i="6"/>
  <c r="BK18" i="6"/>
  <c r="BK19" i="6"/>
  <c r="BK20" i="6"/>
  <c r="BK21" i="6"/>
  <c r="BK22" i="6"/>
  <c r="BK23" i="6"/>
  <c r="BK24" i="6"/>
  <c r="BK25" i="6"/>
  <c r="BK26" i="6"/>
  <c r="BK27" i="6"/>
  <c r="BK28" i="6"/>
  <c r="BK29" i="6"/>
  <c r="BK30" i="6"/>
  <c r="BO5" i="6"/>
  <c r="BO7" i="6" s="1"/>
  <c r="BO9" i="6" s="1"/>
  <c r="BO11" i="6" s="1"/>
  <c r="BO13" i="6" s="1"/>
  <c r="BO15" i="6" s="1"/>
  <c r="BO17" i="6" s="1"/>
  <c r="BO19" i="6" s="1"/>
  <c r="BO21" i="6" s="1"/>
  <c r="BO23" i="6" s="1"/>
  <c r="BO25" i="6" s="1"/>
  <c r="BO27" i="6" s="1"/>
  <c r="BO29" i="6" s="1"/>
  <c r="BN5" i="6"/>
  <c r="BN7" i="6" s="1"/>
  <c r="BN9" i="6" s="1"/>
  <c r="BN11" i="6" s="1"/>
  <c r="BN13" i="6" s="1"/>
  <c r="BN15" i="6" s="1"/>
  <c r="BN17" i="6" s="1"/>
  <c r="BN19" i="6" s="1"/>
  <c r="BN21" i="6" s="1"/>
  <c r="BN23" i="6" s="1"/>
  <c r="BN25" i="6" s="1"/>
  <c r="BN27" i="6" s="1"/>
  <c r="BN29" i="6" s="1"/>
  <c r="BM5" i="6"/>
  <c r="BM7" i="6" s="1"/>
  <c r="BM9" i="6" s="1"/>
  <c r="BM11" i="6" s="1"/>
  <c r="BM13" i="6" s="1"/>
  <c r="BM15" i="6" s="1"/>
  <c r="BM17" i="6" s="1"/>
  <c r="BM19" i="6" s="1"/>
  <c r="BM21" i="6" s="1"/>
  <c r="BM23" i="6" s="1"/>
  <c r="BM25" i="6" s="1"/>
  <c r="BM27" i="6" s="1"/>
  <c r="BM29" i="6" s="1"/>
  <c r="BL5" i="6"/>
  <c r="BL7" i="6" s="1"/>
  <c r="BL9" i="6" s="1"/>
  <c r="BL11" i="6" s="1"/>
  <c r="BL13" i="6" s="1"/>
  <c r="BL15" i="6" s="1"/>
  <c r="BL17" i="6" s="1"/>
  <c r="BL19" i="6" s="1"/>
  <c r="BL21" i="6" s="1"/>
  <c r="BL23" i="6" s="1"/>
  <c r="BL25" i="6" s="1"/>
  <c r="BL27" i="6" s="1"/>
  <c r="BL29" i="6" s="1"/>
  <c r="BK5" i="6"/>
  <c r="BC6" i="6"/>
  <c r="BC7" i="6"/>
  <c r="BC8" i="6"/>
  <c r="BC9" i="6"/>
  <c r="BC10" i="6"/>
  <c r="BC11" i="6"/>
  <c r="BC12" i="6"/>
  <c r="BC13" i="6"/>
  <c r="BC14" i="6"/>
  <c r="BC15" i="6"/>
  <c r="BC16" i="6"/>
  <c r="BC17" i="6"/>
  <c r="BC18" i="6"/>
  <c r="BC19" i="6"/>
  <c r="BC20" i="6"/>
  <c r="BC21" i="6"/>
  <c r="BC22" i="6"/>
  <c r="BC23" i="6"/>
  <c r="BC24" i="6"/>
  <c r="BC25" i="6"/>
  <c r="BC26" i="6"/>
  <c r="BC27" i="6"/>
  <c r="BC28" i="6"/>
  <c r="BC29" i="6"/>
  <c r="BC30" i="6"/>
  <c r="BC5" i="6"/>
  <c r="DL30" i="6"/>
  <c r="DA30" i="6"/>
  <c r="CP30" i="6"/>
  <c r="CO30" i="6"/>
  <c r="BS30" i="6"/>
  <c r="BR30" i="6"/>
  <c r="AY30" i="6"/>
  <c r="BD30" i="6" s="1"/>
  <c r="BE30" i="6" s="1"/>
  <c r="AW30" i="6"/>
  <c r="AU30" i="6"/>
  <c r="AR30" i="6"/>
  <c r="M30" i="6"/>
  <c r="K30" i="6"/>
  <c r="G30" i="6"/>
  <c r="F30" i="6"/>
  <c r="CJ30" i="6" s="1"/>
  <c r="D30" i="6"/>
  <c r="A30" i="6"/>
  <c r="DL29" i="6"/>
  <c r="DA29" i="6"/>
  <c r="CP29" i="6"/>
  <c r="CO29" i="6"/>
  <c r="BS29" i="6"/>
  <c r="BR29" i="6"/>
  <c r="AY29" i="6"/>
  <c r="BF29" i="6" s="1"/>
  <c r="AW29" i="6"/>
  <c r="AU29" i="6"/>
  <c r="AR29" i="6"/>
  <c r="M29" i="6"/>
  <c r="K29" i="6"/>
  <c r="G29" i="6"/>
  <c r="F29" i="6"/>
  <c r="CJ29" i="6" s="1"/>
  <c r="D29" i="6"/>
  <c r="A29" i="6"/>
  <c r="DL28" i="6"/>
  <c r="DA28" i="6"/>
  <c r="CP28" i="6"/>
  <c r="CO28" i="6"/>
  <c r="BS28" i="6"/>
  <c r="BR28" i="6"/>
  <c r="AY28" i="6"/>
  <c r="BD28" i="6" s="1"/>
  <c r="BE28" i="6" s="1"/>
  <c r="AW28" i="6"/>
  <c r="AU28" i="6"/>
  <c r="AR28" i="6"/>
  <c r="M28" i="6"/>
  <c r="K28" i="6"/>
  <c r="G28" i="6"/>
  <c r="F28" i="6"/>
  <c r="CJ28" i="6" s="1"/>
  <c r="D28" i="6"/>
  <c r="A28" i="6"/>
  <c r="DL27" i="6"/>
  <c r="DA27" i="6"/>
  <c r="CP27" i="6"/>
  <c r="CO27" i="6"/>
  <c r="BS27" i="6"/>
  <c r="BR27" i="6"/>
  <c r="AY27" i="6"/>
  <c r="BF27" i="6" s="1"/>
  <c r="AW27" i="6"/>
  <c r="AU27" i="6"/>
  <c r="AR27" i="6"/>
  <c r="M27" i="6"/>
  <c r="K27" i="6"/>
  <c r="G27" i="6"/>
  <c r="F27" i="6"/>
  <c r="CJ27" i="6" s="1"/>
  <c r="D27" i="6"/>
  <c r="A27" i="6"/>
  <c r="DL26" i="6"/>
  <c r="DA26" i="6"/>
  <c r="CP26" i="6"/>
  <c r="CO26" i="6"/>
  <c r="BS26" i="6"/>
  <c r="BR26" i="6"/>
  <c r="AY26" i="6"/>
  <c r="BF26" i="6" s="1"/>
  <c r="AW26" i="6"/>
  <c r="AU26" i="6"/>
  <c r="AR26" i="6"/>
  <c r="M26" i="6"/>
  <c r="K26" i="6"/>
  <c r="G26" i="6"/>
  <c r="F26" i="6"/>
  <c r="CJ26" i="6" s="1"/>
  <c r="D26" i="6"/>
  <c r="A26" i="6"/>
  <c r="DL25" i="6"/>
  <c r="DA25" i="6"/>
  <c r="CP25" i="6"/>
  <c r="CO25" i="6"/>
  <c r="BS25" i="6"/>
  <c r="BR25" i="6"/>
  <c r="AY25" i="6"/>
  <c r="BF25" i="6" s="1"/>
  <c r="AW25" i="6"/>
  <c r="AU25" i="6"/>
  <c r="AR25" i="6"/>
  <c r="M25" i="6"/>
  <c r="K25" i="6"/>
  <c r="G25" i="6"/>
  <c r="F25" i="6"/>
  <c r="CJ25" i="6" s="1"/>
  <c r="D25" i="6"/>
  <c r="A25" i="6"/>
  <c r="DL24" i="6"/>
  <c r="DA24" i="6"/>
  <c r="CP24" i="6"/>
  <c r="CO24" i="6"/>
  <c r="BS24" i="6"/>
  <c r="BR24" i="6"/>
  <c r="AY24" i="6"/>
  <c r="BF24" i="6" s="1"/>
  <c r="AW24" i="6"/>
  <c r="AU24" i="6"/>
  <c r="AR24" i="6"/>
  <c r="M24" i="6"/>
  <c r="K24" i="6"/>
  <c r="G24" i="6"/>
  <c r="F24" i="6"/>
  <c r="CJ24" i="6" s="1"/>
  <c r="D24" i="6"/>
  <c r="A24" i="6"/>
  <c r="DL23" i="6"/>
  <c r="DA23" i="6"/>
  <c r="CP23" i="6"/>
  <c r="CO23" i="6"/>
  <c r="BS23" i="6"/>
  <c r="BR23" i="6"/>
  <c r="AY23" i="6"/>
  <c r="BF23" i="6" s="1"/>
  <c r="AW23" i="6"/>
  <c r="AU23" i="6"/>
  <c r="AR23" i="6"/>
  <c r="M23" i="6"/>
  <c r="K23" i="6"/>
  <c r="G23" i="6"/>
  <c r="F23" i="6"/>
  <c r="CJ23" i="6" s="1"/>
  <c r="D23" i="6"/>
  <c r="A23" i="6"/>
  <c r="DL22" i="6"/>
  <c r="DA22" i="6"/>
  <c r="CP22" i="6"/>
  <c r="CO22" i="6"/>
  <c r="BS22" i="6"/>
  <c r="BR22" i="6"/>
  <c r="AY22" i="6"/>
  <c r="BF22" i="6" s="1"/>
  <c r="AW22" i="6"/>
  <c r="AU22" i="6"/>
  <c r="AR22" i="6"/>
  <c r="M22" i="6"/>
  <c r="K22" i="6"/>
  <c r="G22" i="6"/>
  <c r="F22" i="6"/>
  <c r="CJ22" i="6" s="1"/>
  <c r="D22" i="6"/>
  <c r="A22" i="6"/>
  <c r="DL21" i="6"/>
  <c r="DA21" i="6"/>
  <c r="CP21" i="6"/>
  <c r="CO21" i="6"/>
  <c r="BS21" i="6"/>
  <c r="BR21" i="6"/>
  <c r="AY21" i="6"/>
  <c r="BF21" i="6" s="1"/>
  <c r="AW21" i="6"/>
  <c r="AU21" i="6"/>
  <c r="AR21" i="6"/>
  <c r="M21" i="6"/>
  <c r="K21" i="6"/>
  <c r="G21" i="6"/>
  <c r="F21" i="6"/>
  <c r="CJ21" i="6" s="1"/>
  <c r="D21" i="6"/>
  <c r="A21" i="6"/>
  <c r="DL20" i="6"/>
  <c r="DA20" i="6"/>
  <c r="CP20" i="6"/>
  <c r="CO20" i="6"/>
  <c r="BS20" i="6"/>
  <c r="BR20" i="6"/>
  <c r="AY20" i="6"/>
  <c r="BF20" i="6" s="1"/>
  <c r="AW20" i="6"/>
  <c r="AU20" i="6"/>
  <c r="AR20" i="6"/>
  <c r="M20" i="6"/>
  <c r="K20" i="6"/>
  <c r="G20" i="6"/>
  <c r="F20" i="6"/>
  <c r="CJ20" i="6" s="1"/>
  <c r="D20" i="6"/>
  <c r="A20" i="6"/>
  <c r="DL19" i="6"/>
  <c r="CP19" i="6"/>
  <c r="CO19" i="6"/>
  <c r="BS19" i="6"/>
  <c r="BR19" i="6"/>
  <c r="AY19" i="6"/>
  <c r="BF19" i="6" s="1"/>
  <c r="AW19" i="6"/>
  <c r="AU19" i="6"/>
  <c r="AR19" i="6"/>
  <c r="M19" i="6"/>
  <c r="K19" i="6"/>
  <c r="G19" i="6"/>
  <c r="F19" i="6"/>
  <c r="CJ19" i="6" s="1"/>
  <c r="D19" i="6"/>
  <c r="A19" i="6"/>
  <c r="DL18" i="6"/>
  <c r="DA18" i="6"/>
  <c r="CP18" i="6"/>
  <c r="CO18" i="6"/>
  <c r="BS18" i="6"/>
  <c r="BR18" i="6"/>
  <c r="AY18" i="6"/>
  <c r="BF18" i="6" s="1"/>
  <c r="AW18" i="6"/>
  <c r="AU18" i="6"/>
  <c r="AR18" i="6"/>
  <c r="M18" i="6"/>
  <c r="K18" i="6"/>
  <c r="G18" i="6"/>
  <c r="F18" i="6"/>
  <c r="CJ18" i="6" s="1"/>
  <c r="CK18" i="6" s="1"/>
  <c r="D18" i="6"/>
  <c r="A18" i="6"/>
  <c r="DL17" i="6"/>
  <c r="CP17" i="6"/>
  <c r="CO17" i="6"/>
  <c r="BS17" i="6"/>
  <c r="BR17" i="6"/>
  <c r="AY17" i="6"/>
  <c r="BF17" i="6" s="1"/>
  <c r="AW17" i="6"/>
  <c r="AU17" i="6"/>
  <c r="AR17" i="6"/>
  <c r="M17" i="6"/>
  <c r="K17" i="6"/>
  <c r="G17" i="6"/>
  <c r="F17" i="6"/>
  <c r="CJ17" i="6" s="1"/>
  <c r="D17" i="6"/>
  <c r="A17" i="6"/>
  <c r="DL16" i="6"/>
  <c r="DA16" i="6"/>
  <c r="CP16" i="6"/>
  <c r="CO16" i="6"/>
  <c r="BS16" i="6"/>
  <c r="BR16" i="6"/>
  <c r="AY16" i="6"/>
  <c r="BF16" i="6" s="1"/>
  <c r="AW16" i="6"/>
  <c r="AU16" i="6"/>
  <c r="AR16" i="6"/>
  <c r="M16" i="6"/>
  <c r="K16" i="6"/>
  <c r="G16" i="6"/>
  <c r="F16" i="6"/>
  <c r="CJ16" i="6" s="1"/>
  <c r="CK16" i="6" s="1"/>
  <c r="D16" i="6"/>
  <c r="A16" i="6"/>
  <c r="DL15" i="6"/>
  <c r="CP15" i="6"/>
  <c r="CO15" i="6"/>
  <c r="BS15" i="6"/>
  <c r="BR15" i="6"/>
  <c r="AY15" i="6"/>
  <c r="BF15" i="6" s="1"/>
  <c r="AW15" i="6"/>
  <c r="AU15" i="6"/>
  <c r="AR15" i="6"/>
  <c r="M15" i="6"/>
  <c r="K15" i="6"/>
  <c r="G15" i="6"/>
  <c r="F15" i="6"/>
  <c r="CJ15" i="6" s="1"/>
  <c r="D15" i="6"/>
  <c r="A15" i="6"/>
  <c r="DL14" i="6"/>
  <c r="DA14" i="6"/>
  <c r="CP14" i="6"/>
  <c r="CO14" i="6"/>
  <c r="BS14" i="6"/>
  <c r="BR14" i="6"/>
  <c r="AY14" i="6"/>
  <c r="AZ14" i="6" s="1"/>
  <c r="AW14" i="6"/>
  <c r="AU14" i="6"/>
  <c r="AR14" i="6"/>
  <c r="M14" i="6"/>
  <c r="K14" i="6"/>
  <c r="G14" i="6"/>
  <c r="F14" i="6"/>
  <c r="E14" i="6" s="1"/>
  <c r="D14" i="6"/>
  <c r="A14" i="6"/>
  <c r="DL13" i="6"/>
  <c r="CP13" i="6"/>
  <c r="CO13" i="6"/>
  <c r="BS13" i="6"/>
  <c r="BR13" i="6"/>
  <c r="AY13" i="6"/>
  <c r="BF13" i="6" s="1"/>
  <c r="AW13" i="6"/>
  <c r="AU13" i="6"/>
  <c r="AR13" i="6"/>
  <c r="M13" i="6"/>
  <c r="K13" i="6"/>
  <c r="G13" i="6"/>
  <c r="F13" i="6"/>
  <c r="CJ13" i="6" s="1"/>
  <c r="D13" i="6"/>
  <c r="A13" i="6"/>
  <c r="DL12" i="6"/>
  <c r="DA12" i="6"/>
  <c r="CP12" i="6"/>
  <c r="CO12" i="6"/>
  <c r="BS12" i="6"/>
  <c r="BR12" i="6"/>
  <c r="AY12" i="6"/>
  <c r="BD12" i="6" s="1"/>
  <c r="BE12" i="6" s="1"/>
  <c r="AW12" i="6"/>
  <c r="AU12" i="6"/>
  <c r="AR12" i="6"/>
  <c r="M12" i="6"/>
  <c r="K12" i="6"/>
  <c r="G12" i="6"/>
  <c r="F12" i="6"/>
  <c r="E12" i="6" s="1"/>
  <c r="D12" i="6"/>
  <c r="A12" i="6"/>
  <c r="DL11" i="6"/>
  <c r="CP11" i="6"/>
  <c r="CO11" i="6"/>
  <c r="BS11" i="6"/>
  <c r="BR11" i="6"/>
  <c r="AY11" i="6"/>
  <c r="BF11" i="6" s="1"/>
  <c r="AW11" i="6"/>
  <c r="AU11" i="6"/>
  <c r="AR11" i="6"/>
  <c r="M11" i="6"/>
  <c r="K11" i="6"/>
  <c r="G11" i="6"/>
  <c r="F11" i="6"/>
  <c r="CJ11" i="6" s="1"/>
  <c r="D11" i="6"/>
  <c r="A11" i="6"/>
  <c r="DL10" i="6"/>
  <c r="DA10" i="6"/>
  <c r="CP10" i="6"/>
  <c r="CO10" i="6"/>
  <c r="BS10" i="6"/>
  <c r="BR10" i="6"/>
  <c r="AY10" i="6"/>
  <c r="BF10" i="6" s="1"/>
  <c r="AW10" i="6"/>
  <c r="AU10" i="6"/>
  <c r="AR10" i="6"/>
  <c r="M10" i="6"/>
  <c r="K10" i="6"/>
  <c r="G10" i="6"/>
  <c r="F10" i="6"/>
  <c r="E10" i="6" s="1"/>
  <c r="D10" i="6"/>
  <c r="A10" i="6"/>
  <c r="DL9" i="6"/>
  <c r="CP9" i="6"/>
  <c r="CO9" i="6"/>
  <c r="BS9" i="6"/>
  <c r="BR9" i="6"/>
  <c r="AY9" i="6"/>
  <c r="BF9" i="6" s="1"/>
  <c r="AW9" i="6"/>
  <c r="AU9" i="6"/>
  <c r="AR9" i="6"/>
  <c r="M9" i="6"/>
  <c r="K9" i="6"/>
  <c r="G9" i="6"/>
  <c r="F9" i="6"/>
  <c r="CJ9" i="6" s="1"/>
  <c r="D9" i="6"/>
  <c r="A9" i="6"/>
  <c r="DL8" i="6"/>
  <c r="CP8" i="6"/>
  <c r="CO8" i="6"/>
  <c r="BS8" i="6"/>
  <c r="BR8" i="6"/>
  <c r="AY8" i="6"/>
  <c r="AZ8" i="6" s="1"/>
  <c r="AW8" i="6"/>
  <c r="AU8" i="6"/>
  <c r="AR8" i="6"/>
  <c r="M8" i="6"/>
  <c r="K8" i="6"/>
  <c r="G8" i="6"/>
  <c r="F8" i="6"/>
  <c r="CJ8" i="6" s="1"/>
  <c r="CK8" i="6" s="1"/>
  <c r="D8" i="6"/>
  <c r="A8" i="6"/>
  <c r="DL7" i="6"/>
  <c r="CP7" i="6"/>
  <c r="CO7" i="6"/>
  <c r="BS7" i="6"/>
  <c r="BR7" i="6"/>
  <c r="AY7" i="6"/>
  <c r="BF7" i="6" s="1"/>
  <c r="AW7" i="6"/>
  <c r="AU7" i="6"/>
  <c r="AR7" i="6"/>
  <c r="M7" i="6"/>
  <c r="K7" i="6"/>
  <c r="G7" i="6"/>
  <c r="F7" i="6"/>
  <c r="CJ7" i="6" s="1"/>
  <c r="CK7" i="6" s="1"/>
  <c r="D7" i="6"/>
  <c r="A7" i="6"/>
  <c r="DS6" i="6"/>
  <c r="DL6" i="6"/>
  <c r="CP6" i="6"/>
  <c r="CO6" i="6"/>
  <c r="BS6" i="6"/>
  <c r="BR6" i="6"/>
  <c r="BO6" i="6"/>
  <c r="BO8" i="6" s="1"/>
  <c r="BO10" i="6" s="1"/>
  <c r="BO12" i="6" s="1"/>
  <c r="BO14" i="6" s="1"/>
  <c r="BO16" i="6" s="1"/>
  <c r="BO18" i="6" s="1"/>
  <c r="BO20" i="6" s="1"/>
  <c r="BO22" i="6" s="1"/>
  <c r="BO24" i="6" s="1"/>
  <c r="BO26" i="6" s="1"/>
  <c r="BO28" i="6" s="1"/>
  <c r="BO30" i="6" s="1"/>
  <c r="BN6" i="6"/>
  <c r="BN8" i="6" s="1"/>
  <c r="BN10" i="6" s="1"/>
  <c r="BN12" i="6" s="1"/>
  <c r="BN14" i="6" s="1"/>
  <c r="BN16" i="6" s="1"/>
  <c r="BN18" i="6" s="1"/>
  <c r="BN20" i="6" s="1"/>
  <c r="BN22" i="6" s="1"/>
  <c r="BN24" i="6" s="1"/>
  <c r="BN26" i="6" s="1"/>
  <c r="BN28" i="6" s="1"/>
  <c r="BN30" i="6" s="1"/>
  <c r="BM6" i="6"/>
  <c r="BM8" i="6" s="1"/>
  <c r="BM10" i="6" s="1"/>
  <c r="BM12" i="6" s="1"/>
  <c r="BM14" i="6" s="1"/>
  <c r="BM16" i="6" s="1"/>
  <c r="BM18" i="6" s="1"/>
  <c r="BM20" i="6" s="1"/>
  <c r="BM22" i="6" s="1"/>
  <c r="BM24" i="6" s="1"/>
  <c r="BM26" i="6" s="1"/>
  <c r="BM28" i="6" s="1"/>
  <c r="BM30" i="6" s="1"/>
  <c r="BL6" i="6"/>
  <c r="BL8" i="6" s="1"/>
  <c r="BL10" i="6" s="1"/>
  <c r="BL12" i="6" s="1"/>
  <c r="BL14" i="6" s="1"/>
  <c r="BL16" i="6" s="1"/>
  <c r="BL18" i="6" s="1"/>
  <c r="BL20" i="6" s="1"/>
  <c r="BL22" i="6" s="1"/>
  <c r="BL24" i="6" s="1"/>
  <c r="BL26" i="6" s="1"/>
  <c r="BL28" i="6" s="1"/>
  <c r="BL30" i="6" s="1"/>
  <c r="AY6" i="6"/>
  <c r="BF6" i="6" s="1"/>
  <c r="AW6" i="6"/>
  <c r="AU6" i="6"/>
  <c r="AR6" i="6"/>
  <c r="M6" i="6"/>
  <c r="K6" i="6"/>
  <c r="G6" i="6"/>
  <c r="F6" i="6"/>
  <c r="CJ6" i="6" s="1"/>
  <c r="D6" i="6"/>
  <c r="A6" i="6"/>
  <c r="AY5" i="6"/>
  <c r="AU5" i="6"/>
  <c r="AR5" i="6"/>
  <c r="AL30" i="11"/>
  <c r="AK30" i="11"/>
  <c r="G30" i="11"/>
  <c r="F30" i="11"/>
  <c r="E30" i="11"/>
  <c r="D30" i="11"/>
  <c r="C30" i="11"/>
  <c r="A30" i="11"/>
  <c r="AL29" i="11"/>
  <c r="AK29" i="11"/>
  <c r="G29" i="11"/>
  <c r="F29" i="11"/>
  <c r="E29" i="11"/>
  <c r="D29" i="11"/>
  <c r="C29" i="11"/>
  <c r="A29" i="11"/>
  <c r="AL28" i="11"/>
  <c r="AK28" i="11"/>
  <c r="G28" i="11"/>
  <c r="F28" i="11"/>
  <c r="E28" i="11"/>
  <c r="D28" i="11"/>
  <c r="C28" i="11"/>
  <c r="A28" i="11"/>
  <c r="AL27" i="11"/>
  <c r="AK27" i="11"/>
  <c r="G27" i="11"/>
  <c r="F27" i="11"/>
  <c r="E27" i="11"/>
  <c r="D27" i="11"/>
  <c r="C27" i="11"/>
  <c r="A27" i="11"/>
  <c r="AL26" i="11"/>
  <c r="AK26" i="11"/>
  <c r="G26" i="11"/>
  <c r="F26" i="11"/>
  <c r="E26" i="11"/>
  <c r="D26" i="11"/>
  <c r="C26" i="11"/>
  <c r="A26" i="11"/>
  <c r="AL25" i="11"/>
  <c r="AK25" i="11"/>
  <c r="G25" i="11"/>
  <c r="F25" i="11"/>
  <c r="E25" i="11"/>
  <c r="D25" i="11"/>
  <c r="C25" i="11"/>
  <c r="A25" i="11"/>
  <c r="AL24" i="11"/>
  <c r="AK24" i="11"/>
  <c r="G24" i="11"/>
  <c r="F24" i="11"/>
  <c r="E24" i="11"/>
  <c r="D24" i="11"/>
  <c r="C24" i="11"/>
  <c r="A24" i="11"/>
  <c r="AL23" i="11"/>
  <c r="AK23" i="11"/>
  <c r="G23" i="11"/>
  <c r="F23" i="11"/>
  <c r="E23" i="11"/>
  <c r="D23" i="11"/>
  <c r="C23" i="11"/>
  <c r="A23" i="11"/>
  <c r="AL22" i="11"/>
  <c r="AK22" i="11"/>
  <c r="G22" i="11"/>
  <c r="F22" i="11"/>
  <c r="E22" i="11"/>
  <c r="D22" i="11"/>
  <c r="C22" i="11"/>
  <c r="A22" i="11"/>
  <c r="AL21" i="11"/>
  <c r="AK21" i="11"/>
  <c r="G21" i="11"/>
  <c r="F21" i="11"/>
  <c r="E21" i="11"/>
  <c r="D21" i="11"/>
  <c r="C21" i="11"/>
  <c r="A21" i="11"/>
  <c r="AL20" i="11"/>
  <c r="AK20" i="11"/>
  <c r="G20" i="11"/>
  <c r="F20" i="11"/>
  <c r="E20" i="11"/>
  <c r="D20" i="11"/>
  <c r="C20" i="11"/>
  <c r="A20" i="11"/>
  <c r="AL19" i="11"/>
  <c r="AK19" i="11"/>
  <c r="G19" i="11"/>
  <c r="F19" i="11"/>
  <c r="E19" i="11"/>
  <c r="D19" i="11"/>
  <c r="C19" i="11"/>
  <c r="A19" i="11"/>
  <c r="AL18" i="11"/>
  <c r="AK18" i="11"/>
  <c r="G18" i="11"/>
  <c r="F18" i="11"/>
  <c r="E18" i="11"/>
  <c r="D18" i="11"/>
  <c r="C18" i="11"/>
  <c r="A18" i="11"/>
  <c r="AL17" i="11"/>
  <c r="AK17" i="11"/>
  <c r="G17" i="11"/>
  <c r="F17" i="11"/>
  <c r="E17" i="11"/>
  <c r="D17" i="11"/>
  <c r="C17" i="11"/>
  <c r="A17" i="11"/>
  <c r="AL16" i="11"/>
  <c r="AK16" i="11"/>
  <c r="G16" i="11"/>
  <c r="F16" i="11"/>
  <c r="E16" i="11"/>
  <c r="D16" i="11"/>
  <c r="C16" i="11"/>
  <c r="A16" i="11"/>
  <c r="AL15" i="11"/>
  <c r="AK15" i="11"/>
  <c r="G15" i="11"/>
  <c r="F15" i="11"/>
  <c r="E15" i="11"/>
  <c r="D15" i="11"/>
  <c r="C15" i="11"/>
  <c r="A15" i="11"/>
  <c r="AL14" i="11"/>
  <c r="AK14" i="11"/>
  <c r="G14" i="11"/>
  <c r="F14" i="11"/>
  <c r="E14" i="11"/>
  <c r="D14" i="11"/>
  <c r="C14" i="11"/>
  <c r="A14" i="11"/>
  <c r="AL13" i="11"/>
  <c r="AK13" i="11"/>
  <c r="G13" i="11"/>
  <c r="F13" i="11"/>
  <c r="E13" i="11"/>
  <c r="D13" i="11"/>
  <c r="C13" i="11"/>
  <c r="A13" i="11"/>
  <c r="AL12" i="11"/>
  <c r="AK12" i="11"/>
  <c r="G12" i="11"/>
  <c r="F12" i="11"/>
  <c r="E12" i="11"/>
  <c r="D12" i="11"/>
  <c r="C12" i="11"/>
  <c r="A12" i="11"/>
  <c r="AL11" i="11"/>
  <c r="AK11" i="11"/>
  <c r="G11" i="11"/>
  <c r="F11" i="11"/>
  <c r="E11" i="11"/>
  <c r="D11" i="11"/>
  <c r="C11" i="11"/>
  <c r="A11" i="11"/>
  <c r="AL10" i="11"/>
  <c r="AK10" i="11"/>
  <c r="G10" i="11"/>
  <c r="F10" i="11"/>
  <c r="E10" i="11"/>
  <c r="D10" i="11"/>
  <c r="C10" i="11"/>
  <c r="A10" i="11"/>
  <c r="AL9" i="11"/>
  <c r="AK9" i="11"/>
  <c r="G9" i="11"/>
  <c r="F9" i="11"/>
  <c r="E9" i="11"/>
  <c r="D9" i="11"/>
  <c r="C9" i="11"/>
  <c r="A9" i="11"/>
  <c r="AL8" i="11"/>
  <c r="AK8" i="11"/>
  <c r="G8" i="11"/>
  <c r="F8" i="11"/>
  <c r="E8" i="11"/>
  <c r="D8" i="11"/>
  <c r="C8" i="11"/>
  <c r="A8" i="11"/>
  <c r="AL7" i="11"/>
  <c r="AK7" i="11"/>
  <c r="G7" i="11"/>
  <c r="F7" i="11"/>
  <c r="E7" i="11"/>
  <c r="D7" i="11"/>
  <c r="C7" i="11"/>
  <c r="A7" i="11"/>
  <c r="AL6" i="11"/>
  <c r="AK6" i="11"/>
  <c r="G6" i="11"/>
  <c r="F6" i="11"/>
  <c r="E6" i="11"/>
  <c r="D6" i="11"/>
  <c r="C6" i="11"/>
  <c r="A6" i="11"/>
  <c r="F30" i="15"/>
  <c r="C30" i="15"/>
  <c r="A30" i="15"/>
  <c r="F29" i="15"/>
  <c r="C29" i="15"/>
  <c r="A29" i="15"/>
  <c r="F28" i="15"/>
  <c r="C28" i="15"/>
  <c r="A28" i="15"/>
  <c r="F27" i="15"/>
  <c r="C27" i="15"/>
  <c r="A27" i="15"/>
  <c r="F26" i="15"/>
  <c r="C26" i="15"/>
  <c r="A26" i="15"/>
  <c r="F25" i="15"/>
  <c r="C25" i="15"/>
  <c r="A25" i="15"/>
  <c r="F24" i="15"/>
  <c r="C24" i="15"/>
  <c r="A24" i="15"/>
  <c r="F23" i="15"/>
  <c r="C23" i="15"/>
  <c r="A23" i="15"/>
  <c r="F22" i="15"/>
  <c r="C22" i="15"/>
  <c r="A22" i="15"/>
  <c r="F21" i="15"/>
  <c r="C21" i="15"/>
  <c r="A21" i="15"/>
  <c r="F20" i="15"/>
  <c r="C20" i="15"/>
  <c r="A20" i="15"/>
  <c r="F19" i="15"/>
  <c r="C19" i="15"/>
  <c r="A19" i="15"/>
  <c r="F18" i="15"/>
  <c r="C18" i="15"/>
  <c r="A18" i="15"/>
  <c r="F17" i="15"/>
  <c r="C17" i="15"/>
  <c r="A17" i="15"/>
  <c r="F16" i="15"/>
  <c r="C16" i="15"/>
  <c r="A16" i="15"/>
  <c r="F15" i="15"/>
  <c r="C15" i="15"/>
  <c r="A15" i="15"/>
  <c r="F14" i="15"/>
  <c r="C14" i="15"/>
  <c r="A14" i="15"/>
  <c r="F13" i="15"/>
  <c r="C13" i="15"/>
  <c r="A13" i="15"/>
  <c r="F12" i="15"/>
  <c r="C12" i="15"/>
  <c r="A12" i="15"/>
  <c r="F11" i="15"/>
  <c r="C11" i="15"/>
  <c r="A11" i="15"/>
  <c r="F10" i="15"/>
  <c r="C10" i="15"/>
  <c r="A10" i="15"/>
  <c r="F9" i="15"/>
  <c r="C9" i="15"/>
  <c r="A9" i="15"/>
  <c r="F8" i="15"/>
  <c r="C8" i="15"/>
  <c r="A8" i="15"/>
  <c r="F7" i="15"/>
  <c r="C7" i="15"/>
  <c r="A7" i="15"/>
  <c r="F6" i="15"/>
  <c r="C6" i="15"/>
  <c r="A6" i="15"/>
  <c r="I30" i="14"/>
  <c r="E30" i="14"/>
  <c r="C30" i="14"/>
  <c r="A30" i="14"/>
  <c r="I29" i="14"/>
  <c r="E29" i="14"/>
  <c r="C29" i="14"/>
  <c r="A29" i="14"/>
  <c r="I28" i="14"/>
  <c r="E28" i="14"/>
  <c r="C28" i="14"/>
  <c r="A28" i="14"/>
  <c r="I27" i="14"/>
  <c r="E27" i="14"/>
  <c r="C27" i="14"/>
  <c r="A27" i="14"/>
  <c r="I26" i="14"/>
  <c r="E26" i="14"/>
  <c r="C26" i="14"/>
  <c r="A26" i="14"/>
  <c r="I25" i="14"/>
  <c r="E25" i="14"/>
  <c r="C25" i="14"/>
  <c r="A25" i="14"/>
  <c r="I24" i="14"/>
  <c r="E24" i="14"/>
  <c r="C24" i="14"/>
  <c r="A24" i="14"/>
  <c r="I23" i="14"/>
  <c r="E23" i="14"/>
  <c r="C23" i="14"/>
  <c r="A23" i="14"/>
  <c r="I22" i="14"/>
  <c r="E22" i="14"/>
  <c r="C22" i="14"/>
  <c r="A22" i="14"/>
  <c r="I21" i="14"/>
  <c r="E21" i="14"/>
  <c r="C21" i="14"/>
  <c r="A21" i="14"/>
  <c r="I20" i="14"/>
  <c r="E20" i="14"/>
  <c r="C20" i="14"/>
  <c r="A20" i="14"/>
  <c r="I19" i="14"/>
  <c r="E19" i="14"/>
  <c r="C19" i="14"/>
  <c r="A19" i="14"/>
  <c r="I18" i="14"/>
  <c r="E18" i="14"/>
  <c r="C18" i="14"/>
  <c r="A18" i="14"/>
  <c r="I17" i="14"/>
  <c r="E17" i="14"/>
  <c r="C17" i="14"/>
  <c r="A17" i="14"/>
  <c r="I16" i="14"/>
  <c r="E16" i="14"/>
  <c r="C16" i="14"/>
  <c r="A16" i="14"/>
  <c r="I15" i="14"/>
  <c r="E15" i="14"/>
  <c r="C15" i="14"/>
  <c r="A15" i="14"/>
  <c r="I14" i="14"/>
  <c r="E14" i="14"/>
  <c r="C14" i="14"/>
  <c r="A14" i="14"/>
  <c r="I13" i="14"/>
  <c r="E13" i="14"/>
  <c r="C13" i="14"/>
  <c r="A13" i="14"/>
  <c r="I12" i="14"/>
  <c r="E12" i="14"/>
  <c r="C12" i="14"/>
  <c r="A12" i="14"/>
  <c r="I11" i="14"/>
  <c r="E11" i="14"/>
  <c r="C11" i="14"/>
  <c r="A11" i="14"/>
  <c r="I10" i="14"/>
  <c r="E10" i="14"/>
  <c r="C10" i="14"/>
  <c r="A10" i="14"/>
  <c r="I9" i="14"/>
  <c r="E9" i="14"/>
  <c r="C9" i="14"/>
  <c r="A9" i="14"/>
  <c r="I8" i="14"/>
  <c r="E8" i="14"/>
  <c r="C8" i="14"/>
  <c r="A8" i="14"/>
  <c r="I7" i="14"/>
  <c r="E7" i="14"/>
  <c r="C7" i="14"/>
  <c r="A7" i="14"/>
  <c r="I6" i="14"/>
  <c r="E6" i="14"/>
  <c r="C6" i="14"/>
  <c r="A6" i="14"/>
  <c r="DK11" i="6" l="1"/>
  <c r="CK11" i="6"/>
  <c r="CQ11" i="6" s="1"/>
  <c r="DK27" i="6"/>
  <c r="CK27" i="6"/>
  <c r="CG27" i="6" s="1"/>
  <c r="DK15" i="6"/>
  <c r="CK15" i="6"/>
  <c r="CQ15" i="6" s="1"/>
  <c r="CK6" i="6"/>
  <c r="CG6" i="6" s="1"/>
  <c r="DK22" i="6"/>
  <c r="CK22" i="6"/>
  <c r="CQ22" i="6" s="1"/>
  <c r="DK25" i="6"/>
  <c r="CK25" i="6"/>
  <c r="CQ25" i="6" s="1"/>
  <c r="DK28" i="6"/>
  <c r="CK28" i="6"/>
  <c r="CG28" i="6" s="1"/>
  <c r="DK30" i="6"/>
  <c r="CK30" i="6"/>
  <c r="CQ30" i="6" s="1"/>
  <c r="DK19" i="6"/>
  <c r="CK19" i="6"/>
  <c r="CQ19" i="6" s="1"/>
  <c r="DK24" i="6"/>
  <c r="CK24" i="6"/>
  <c r="CG24" i="6" s="1"/>
  <c r="CK9" i="6"/>
  <c r="CQ9" i="6" s="1"/>
  <c r="DK21" i="6"/>
  <c r="CK21" i="6"/>
  <c r="CG21" i="6" s="1"/>
  <c r="DK26" i="6"/>
  <c r="CK26" i="6"/>
  <c r="CQ26" i="6" s="1"/>
  <c r="DK29" i="6"/>
  <c r="CK29" i="6"/>
  <c r="CQ29" i="6" s="1"/>
  <c r="DK13" i="6"/>
  <c r="CK13" i="6"/>
  <c r="CQ13" i="6" s="1"/>
  <c r="DK20" i="6"/>
  <c r="CK20" i="6"/>
  <c r="CG20" i="6" s="1"/>
  <c r="DK23" i="6"/>
  <c r="CK23" i="6"/>
  <c r="CG23" i="6" s="1"/>
  <c r="DK17" i="6"/>
  <c r="CK17" i="6"/>
  <c r="CQ17" i="6" s="1"/>
  <c r="AZ25" i="6"/>
  <c r="E22" i="6"/>
  <c r="E18" i="6"/>
  <c r="BD18" i="6"/>
  <c r="BE18" i="6" s="1"/>
  <c r="AQ17" i="6"/>
  <c r="DG17" i="6" s="1"/>
  <c r="AZ26" i="6"/>
  <c r="AZ19" i="6"/>
  <c r="E24" i="6"/>
  <c r="BD25" i="6"/>
  <c r="BE25" i="6" s="1"/>
  <c r="AZ18" i="6"/>
  <c r="AZ28" i="6"/>
  <c r="CQ7" i="6"/>
  <c r="DK7" i="6"/>
  <c r="CQ18" i="6"/>
  <c r="DK18" i="6"/>
  <c r="BD21" i="6"/>
  <c r="BE21" i="6" s="1"/>
  <c r="BD23" i="6"/>
  <c r="BE23" i="6" s="1"/>
  <c r="BD14" i="6"/>
  <c r="BE14" i="6" s="1"/>
  <c r="CQ16" i="6"/>
  <c r="DK16" i="6"/>
  <c r="E23" i="6"/>
  <c r="AQ7" i="6"/>
  <c r="DG7" i="6" s="1"/>
  <c r="BF30" i="6"/>
  <c r="CQ8" i="6"/>
  <c r="DK8" i="6"/>
  <c r="AZ24" i="6"/>
  <c r="BD26" i="6"/>
  <c r="BE26" i="6" s="1"/>
  <c r="BF28" i="6"/>
  <c r="AQ21" i="6"/>
  <c r="DG21" i="6" s="1"/>
  <c r="AQ23" i="6"/>
  <c r="DG23" i="6" s="1"/>
  <c r="E30" i="6"/>
  <c r="AQ27" i="6"/>
  <c r="DG27" i="6" s="1"/>
  <c r="BF14" i="6"/>
  <c r="AZ15" i="6"/>
  <c r="AQ13" i="6"/>
  <c r="DG13" i="6" s="1"/>
  <c r="BF12" i="6"/>
  <c r="AZ10" i="6"/>
  <c r="BD10" i="6"/>
  <c r="BE10" i="6" s="1"/>
  <c r="AQ9" i="6"/>
  <c r="DG9" i="6" s="1"/>
  <c r="BD8" i="6"/>
  <c r="BE8" i="6" s="1"/>
  <c r="BF8" i="6"/>
  <c r="E8" i="6"/>
  <c r="E7" i="6"/>
  <c r="DS7" i="6"/>
  <c r="BD7" i="6"/>
  <c r="BE7" i="6" s="1"/>
  <c r="AZ9" i="6"/>
  <c r="AZ13" i="6"/>
  <c r="CJ14" i="6"/>
  <c r="CK14" i="6" s="1"/>
  <c r="AQ15" i="6"/>
  <c r="BP15" i="6" s="1"/>
  <c r="AZ17" i="6"/>
  <c r="AQ19" i="6"/>
  <c r="BG19" i="6" s="1"/>
  <c r="E21" i="6"/>
  <c r="BD24" i="6"/>
  <c r="BE24" i="6" s="1"/>
  <c r="E28" i="6"/>
  <c r="BD9" i="6"/>
  <c r="BE9" i="6" s="1"/>
  <c r="CJ10" i="6"/>
  <c r="CK10" i="6" s="1"/>
  <c r="AQ11" i="6"/>
  <c r="BP11" i="6" s="1"/>
  <c r="AZ12" i="6"/>
  <c r="BD13" i="6"/>
  <c r="BE13" i="6" s="1"/>
  <c r="AZ16" i="6"/>
  <c r="BD17" i="6"/>
  <c r="BE17" i="6" s="1"/>
  <c r="AZ20" i="6"/>
  <c r="AZ27" i="6"/>
  <c r="AQ29" i="6"/>
  <c r="BG29" i="6" s="1"/>
  <c r="E9" i="6"/>
  <c r="E13" i="6"/>
  <c r="BD16" i="6"/>
  <c r="BE16" i="6" s="1"/>
  <c r="E17" i="6"/>
  <c r="BD20" i="6"/>
  <c r="BE20" i="6" s="1"/>
  <c r="BD27" i="6"/>
  <c r="BE27" i="6" s="1"/>
  <c r="AZ30" i="6"/>
  <c r="AZ23" i="6"/>
  <c r="AQ25" i="6"/>
  <c r="BG25" i="6" s="1"/>
  <c r="E27" i="6"/>
  <c r="AZ6" i="6"/>
  <c r="E16" i="6"/>
  <c r="E20" i="6"/>
  <c r="BD6" i="6"/>
  <c r="BE6" i="6" s="1"/>
  <c r="AZ11" i="6"/>
  <c r="BD15" i="6"/>
  <c r="BE15" i="6" s="1"/>
  <c r="CG16" i="6"/>
  <c r="BD19" i="6"/>
  <c r="BE19" i="6" s="1"/>
  <c r="AZ22" i="6"/>
  <c r="AZ29" i="6"/>
  <c r="BD11" i="6"/>
  <c r="BE11" i="6" s="1"/>
  <c r="CJ12" i="6"/>
  <c r="CK12" i="6" s="1"/>
  <c r="E15" i="6"/>
  <c r="E19" i="6"/>
  <c r="BD22" i="6"/>
  <c r="BE22" i="6" s="1"/>
  <c r="E26" i="6"/>
  <c r="BD29" i="6"/>
  <c r="BE29" i="6" s="1"/>
  <c r="E11" i="6"/>
  <c r="E29" i="6"/>
  <c r="AZ7" i="6"/>
  <c r="AZ21" i="6"/>
  <c r="E25" i="6"/>
  <c r="DA6" i="6"/>
  <c r="CZ6" i="6"/>
  <c r="CX6" i="6"/>
  <c r="DI6" i="6"/>
  <c r="AQ6" i="6"/>
  <c r="DA19" i="6"/>
  <c r="CZ19" i="6"/>
  <c r="CX19" i="6"/>
  <c r="CG7" i="6"/>
  <c r="DI8" i="6"/>
  <c r="AQ8" i="6"/>
  <c r="DA17" i="6"/>
  <c r="CZ17" i="6"/>
  <c r="CX17" i="6"/>
  <c r="DI10" i="6"/>
  <c r="AQ10" i="6"/>
  <c r="DI12" i="6"/>
  <c r="AQ12" i="6"/>
  <c r="DI14" i="6"/>
  <c r="AQ14" i="6"/>
  <c r="DA7" i="6"/>
  <c r="CX7" i="6"/>
  <c r="CZ7" i="6"/>
  <c r="CG8" i="6"/>
  <c r="DA15" i="6"/>
  <c r="CZ15" i="6"/>
  <c r="CX15" i="6"/>
  <c r="DA11" i="6"/>
  <c r="CX11" i="6"/>
  <c r="DA13" i="6"/>
  <c r="CX13" i="6"/>
  <c r="DA9" i="6"/>
  <c r="CX9" i="6"/>
  <c r="E6" i="6"/>
  <c r="DA8" i="6"/>
  <c r="CZ8" i="6"/>
  <c r="CX8" i="6"/>
  <c r="CZ9" i="6"/>
  <c r="CZ11" i="6"/>
  <c r="CZ13" i="6"/>
  <c r="CG18" i="6"/>
  <c r="DI7" i="6"/>
  <c r="DI9" i="6"/>
  <c r="CX10" i="6"/>
  <c r="DI11" i="6"/>
  <c r="CX12" i="6"/>
  <c r="DI13" i="6"/>
  <c r="CX14" i="6"/>
  <c r="DI15" i="6"/>
  <c r="AQ16" i="6"/>
  <c r="CX16" i="6"/>
  <c r="DI17" i="6"/>
  <c r="AQ18" i="6"/>
  <c r="CX18" i="6"/>
  <c r="DI19" i="6"/>
  <c r="AQ20" i="6"/>
  <c r="CX20" i="6"/>
  <c r="DI21" i="6"/>
  <c r="AQ22" i="6"/>
  <c r="CX22" i="6"/>
  <c r="DI23" i="6"/>
  <c r="AQ24" i="6"/>
  <c r="CX24" i="6"/>
  <c r="DI25" i="6"/>
  <c r="AQ26" i="6"/>
  <c r="CX26" i="6"/>
  <c r="DI27" i="6"/>
  <c r="AQ28" i="6"/>
  <c r="CX28" i="6"/>
  <c r="DI29" i="6"/>
  <c r="AQ30" i="6"/>
  <c r="CX30" i="6"/>
  <c r="CZ10" i="6"/>
  <c r="CZ14" i="6"/>
  <c r="CZ16" i="6"/>
  <c r="CZ18" i="6"/>
  <c r="CZ20" i="6"/>
  <c r="CZ22" i="6"/>
  <c r="CZ24" i="6"/>
  <c r="CZ26" i="6"/>
  <c r="CZ28" i="6"/>
  <c r="CZ30" i="6"/>
  <c r="CZ12" i="6"/>
  <c r="BG21" i="6"/>
  <c r="DI16" i="6"/>
  <c r="DI18" i="6"/>
  <c r="DI20" i="6"/>
  <c r="CX21" i="6"/>
  <c r="DI22" i="6"/>
  <c r="CX23" i="6"/>
  <c r="DI24" i="6"/>
  <c r="CX25" i="6"/>
  <c r="DI26" i="6"/>
  <c r="CX27" i="6"/>
  <c r="DI28" i="6"/>
  <c r="CX29" i="6"/>
  <c r="DI30" i="6"/>
  <c r="CZ21" i="6"/>
  <c r="CZ23" i="6"/>
  <c r="CZ25" i="6"/>
  <c r="CZ27" i="6"/>
  <c r="CZ29" i="6"/>
  <c r="BP17" i="6"/>
  <c r="CH10" i="7"/>
  <c r="CQ27" i="6" l="1"/>
  <c r="DK9" i="6"/>
  <c r="CG9" i="6"/>
  <c r="BP29" i="6"/>
  <c r="CQ20" i="6"/>
  <c r="CQ24" i="6"/>
  <c r="CG22" i="6"/>
  <c r="CQ23" i="6"/>
  <c r="BG7" i="6"/>
  <c r="DK6" i="6"/>
  <c r="CG11" i="6"/>
  <c r="CQ28" i="6"/>
  <c r="CG26" i="6"/>
  <c r="BG9" i="6"/>
  <c r="CQ6" i="6"/>
  <c r="BP27" i="6"/>
  <c r="DH17" i="6"/>
  <c r="CG30" i="6"/>
  <c r="CG29" i="6"/>
  <c r="CG15" i="6"/>
  <c r="CG17" i="6"/>
  <c r="CQ21" i="6"/>
  <c r="CG19" i="6"/>
  <c r="CG13" i="6"/>
  <c r="CG25" i="6"/>
  <c r="BP9" i="6"/>
  <c r="DH23" i="6"/>
  <c r="BP23" i="6"/>
  <c r="BG23" i="6"/>
  <c r="BG27" i="6"/>
  <c r="BP21" i="6"/>
  <c r="BG17" i="6"/>
  <c r="BP25" i="6"/>
  <c r="BP19" i="6"/>
  <c r="DH7" i="6"/>
  <c r="DH27" i="6"/>
  <c r="CQ10" i="6"/>
  <c r="DK10" i="6"/>
  <c r="BP7" i="6"/>
  <c r="DH21" i="6"/>
  <c r="CQ12" i="6"/>
  <c r="DK12" i="6"/>
  <c r="DH9" i="6"/>
  <c r="CQ14" i="6"/>
  <c r="DK14" i="6"/>
  <c r="BG11" i="6"/>
  <c r="DH13" i="6"/>
  <c r="BP13" i="6"/>
  <c r="BG13" i="6"/>
  <c r="BG15" i="6"/>
  <c r="CG12" i="6"/>
  <c r="CG10" i="6"/>
  <c r="DS9" i="6"/>
  <c r="DG29" i="6"/>
  <c r="DH29" i="6"/>
  <c r="DG19" i="6"/>
  <c r="DH19" i="6"/>
  <c r="DG25" i="6"/>
  <c r="DH25" i="6"/>
  <c r="DG15" i="6"/>
  <c r="DH15" i="6"/>
  <c r="DG11" i="6"/>
  <c r="DH11" i="6"/>
  <c r="CG14" i="6"/>
  <c r="BG28" i="6"/>
  <c r="DH28" i="6"/>
  <c r="DG28" i="6"/>
  <c r="BP28" i="6"/>
  <c r="BG20" i="6"/>
  <c r="DH20" i="6"/>
  <c r="DG20" i="6"/>
  <c r="BP20" i="6"/>
  <c r="BG12" i="6"/>
  <c r="DH12" i="6"/>
  <c r="DG12" i="6"/>
  <c r="BP12" i="6"/>
  <c r="DS8" i="6"/>
  <c r="BG6" i="6"/>
  <c r="DH6" i="6"/>
  <c r="DG6" i="6"/>
  <c r="BP6" i="6"/>
  <c r="BG30" i="6"/>
  <c r="DH30" i="6"/>
  <c r="DG30" i="6"/>
  <c r="BP30" i="6"/>
  <c r="BG22" i="6"/>
  <c r="DH22" i="6"/>
  <c r="DG22" i="6"/>
  <c r="BP22" i="6"/>
  <c r="DS11" i="6"/>
  <c r="BG26" i="6"/>
  <c r="DH26" i="6"/>
  <c r="DG26" i="6"/>
  <c r="BP26" i="6"/>
  <c r="BG18" i="6"/>
  <c r="DH18" i="6"/>
  <c r="DG18" i="6"/>
  <c r="BP18" i="6"/>
  <c r="BG10" i="6"/>
  <c r="DH10" i="6"/>
  <c r="DG10" i="6"/>
  <c r="BP10" i="6"/>
  <c r="BG24" i="6"/>
  <c r="DH24" i="6"/>
  <c r="DG24" i="6"/>
  <c r="BP24" i="6"/>
  <c r="BG16" i="6"/>
  <c r="DH16" i="6"/>
  <c r="DG16" i="6"/>
  <c r="BP16" i="6"/>
  <c r="BG14" i="6"/>
  <c r="DH14" i="6"/>
  <c r="DG14" i="6"/>
  <c r="BP14" i="6"/>
  <c r="BG8" i="6"/>
  <c r="DH8" i="6"/>
  <c r="DG8" i="6"/>
  <c r="BP8" i="6"/>
  <c r="E5" i="11"/>
  <c r="F5" i="11"/>
  <c r="G5" i="11"/>
  <c r="D5" i="11"/>
  <c r="C5" i="11"/>
  <c r="AL5" i="11"/>
  <c r="AK5" i="11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" i="8"/>
  <c r="F5" i="15"/>
  <c r="C5" i="15"/>
  <c r="A5" i="15"/>
  <c r="E5" i="14"/>
  <c r="I5" i="14"/>
  <c r="C5" i="14"/>
  <c r="A5" i="14"/>
  <c r="DS13" i="6" l="1"/>
  <c r="DS10" i="6"/>
  <c r="DS5" i="6"/>
  <c r="DS12" i="6" l="1"/>
  <c r="DS15" i="6"/>
  <c r="G5" i="6"/>
  <c r="DS14" i="6" l="1"/>
  <c r="DS17" i="6"/>
  <c r="DS16" i="6" l="1"/>
  <c r="DS19" i="6"/>
  <c r="DS18" i="6" l="1"/>
  <c r="DS21" i="6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" i="13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M38" i="8"/>
  <c r="M39" i="8"/>
  <c r="M40" i="8"/>
  <c r="M41" i="8"/>
  <c r="M42" i="8"/>
  <c r="M43" i="8"/>
  <c r="M44" i="8"/>
  <c r="M45" i="8"/>
  <c r="M46" i="8"/>
  <c r="M47" i="8"/>
  <c r="M48" i="8"/>
  <c r="M49" i="8"/>
  <c r="M50" i="8"/>
  <c r="M51" i="8"/>
  <c r="M52" i="8"/>
  <c r="M53" i="8"/>
  <c r="M54" i="8"/>
  <c r="M5" i="8"/>
  <c r="F54" i="13"/>
  <c r="A54" i="13"/>
  <c r="F53" i="13"/>
  <c r="A53" i="13"/>
  <c r="F52" i="13"/>
  <c r="A52" i="13"/>
  <c r="F51" i="13"/>
  <c r="A51" i="13"/>
  <c r="F50" i="13"/>
  <c r="A50" i="13"/>
  <c r="F49" i="13"/>
  <c r="A49" i="13"/>
  <c r="F48" i="13"/>
  <c r="A48" i="13"/>
  <c r="F47" i="13"/>
  <c r="A47" i="13"/>
  <c r="F46" i="13"/>
  <c r="A46" i="13"/>
  <c r="F45" i="13"/>
  <c r="A45" i="13"/>
  <c r="F44" i="13"/>
  <c r="A44" i="13"/>
  <c r="F43" i="13"/>
  <c r="A43" i="13"/>
  <c r="F42" i="13"/>
  <c r="A42" i="13"/>
  <c r="F41" i="13"/>
  <c r="A41" i="13"/>
  <c r="F40" i="13"/>
  <c r="A40" i="13"/>
  <c r="F39" i="13"/>
  <c r="A39" i="13"/>
  <c r="F38" i="13"/>
  <c r="A38" i="13"/>
  <c r="F37" i="13"/>
  <c r="A37" i="13"/>
  <c r="F36" i="13"/>
  <c r="A36" i="13"/>
  <c r="F35" i="13"/>
  <c r="A35" i="13"/>
  <c r="F34" i="13"/>
  <c r="A34" i="13"/>
  <c r="F33" i="13"/>
  <c r="A33" i="13"/>
  <c r="F32" i="13"/>
  <c r="A32" i="13"/>
  <c r="F31" i="13"/>
  <c r="A31" i="13"/>
  <c r="F30" i="13"/>
  <c r="A30" i="13"/>
  <c r="F29" i="13"/>
  <c r="A29" i="13"/>
  <c r="F28" i="13"/>
  <c r="A28" i="13"/>
  <c r="F27" i="13"/>
  <c r="A27" i="13"/>
  <c r="F26" i="13"/>
  <c r="A26" i="13"/>
  <c r="F25" i="13"/>
  <c r="A25" i="13"/>
  <c r="F24" i="13"/>
  <c r="A24" i="13"/>
  <c r="F23" i="13"/>
  <c r="A23" i="13"/>
  <c r="F22" i="13"/>
  <c r="A22" i="13"/>
  <c r="F21" i="13"/>
  <c r="A21" i="13"/>
  <c r="F20" i="13"/>
  <c r="A20" i="13"/>
  <c r="F19" i="13"/>
  <c r="A19" i="13"/>
  <c r="F18" i="13"/>
  <c r="A18" i="13"/>
  <c r="F17" i="13"/>
  <c r="A17" i="13"/>
  <c r="F16" i="13"/>
  <c r="A16" i="13"/>
  <c r="F15" i="13"/>
  <c r="A15" i="13"/>
  <c r="F14" i="13"/>
  <c r="A14" i="13"/>
  <c r="F13" i="13"/>
  <c r="A13" i="13"/>
  <c r="F12" i="13"/>
  <c r="A12" i="13"/>
  <c r="F11" i="13"/>
  <c r="A11" i="13"/>
  <c r="F10" i="13"/>
  <c r="A10" i="13"/>
  <c r="F9" i="13"/>
  <c r="A9" i="13"/>
  <c r="F8" i="13"/>
  <c r="A8" i="13"/>
  <c r="F7" i="13"/>
  <c r="A7" i="13"/>
  <c r="F6" i="13"/>
  <c r="A6" i="13"/>
  <c r="F5" i="13"/>
  <c r="A5" i="13"/>
  <c r="DS23" i="6" l="1"/>
  <c r="DS20" i="6"/>
  <c r="DS25" i="6" l="1"/>
  <c r="DS22" i="6"/>
  <c r="C54" i="12"/>
  <c r="G54" i="12" s="1"/>
  <c r="A54" i="12"/>
  <c r="C53" i="12"/>
  <c r="G53" i="12" s="1"/>
  <c r="A53" i="12"/>
  <c r="C52" i="12"/>
  <c r="G52" i="12" s="1"/>
  <c r="A52" i="12"/>
  <c r="C51" i="12"/>
  <c r="G51" i="12" s="1"/>
  <c r="A51" i="12"/>
  <c r="C50" i="12"/>
  <c r="G50" i="12" s="1"/>
  <c r="A50" i="12"/>
  <c r="C49" i="12"/>
  <c r="G49" i="12" s="1"/>
  <c r="A49" i="12"/>
  <c r="C48" i="12"/>
  <c r="G48" i="12" s="1"/>
  <c r="A48" i="12"/>
  <c r="C47" i="12"/>
  <c r="G47" i="12" s="1"/>
  <c r="A47" i="12"/>
  <c r="C46" i="12"/>
  <c r="G46" i="12" s="1"/>
  <c r="A46" i="12"/>
  <c r="C45" i="12"/>
  <c r="G45" i="12" s="1"/>
  <c r="A45" i="12"/>
  <c r="C44" i="12"/>
  <c r="G44" i="12" s="1"/>
  <c r="A44" i="12"/>
  <c r="C43" i="12"/>
  <c r="G43" i="12" s="1"/>
  <c r="A43" i="12"/>
  <c r="C42" i="12"/>
  <c r="G42" i="12" s="1"/>
  <c r="A42" i="12"/>
  <c r="C41" i="12"/>
  <c r="G41" i="12" s="1"/>
  <c r="A41" i="12"/>
  <c r="C40" i="12"/>
  <c r="G40" i="12" s="1"/>
  <c r="A40" i="12"/>
  <c r="C39" i="12"/>
  <c r="G39" i="12" s="1"/>
  <c r="A39" i="12"/>
  <c r="C38" i="12"/>
  <c r="G38" i="12" s="1"/>
  <c r="A38" i="12"/>
  <c r="C37" i="12"/>
  <c r="G37" i="12" s="1"/>
  <c r="A37" i="12"/>
  <c r="C36" i="12"/>
  <c r="G36" i="12" s="1"/>
  <c r="A36" i="12"/>
  <c r="C35" i="12"/>
  <c r="G35" i="12" s="1"/>
  <c r="A35" i="12"/>
  <c r="C34" i="12"/>
  <c r="G34" i="12" s="1"/>
  <c r="A34" i="12"/>
  <c r="C33" i="12"/>
  <c r="G33" i="12" s="1"/>
  <c r="A33" i="12"/>
  <c r="C32" i="12"/>
  <c r="G32" i="12" s="1"/>
  <c r="A32" i="12"/>
  <c r="C31" i="12"/>
  <c r="G31" i="12" s="1"/>
  <c r="A31" i="12"/>
  <c r="C30" i="12"/>
  <c r="G30" i="12" s="1"/>
  <c r="A30" i="12"/>
  <c r="C29" i="12"/>
  <c r="G29" i="12" s="1"/>
  <c r="A29" i="12"/>
  <c r="C28" i="12"/>
  <c r="G28" i="12" s="1"/>
  <c r="A28" i="12"/>
  <c r="C27" i="12"/>
  <c r="G27" i="12" s="1"/>
  <c r="A27" i="12"/>
  <c r="C26" i="12"/>
  <c r="G26" i="12" s="1"/>
  <c r="A26" i="12"/>
  <c r="C25" i="12"/>
  <c r="G25" i="12" s="1"/>
  <c r="A25" i="12"/>
  <c r="C24" i="12"/>
  <c r="G24" i="12" s="1"/>
  <c r="A24" i="12"/>
  <c r="C23" i="12"/>
  <c r="G23" i="12" s="1"/>
  <c r="A23" i="12"/>
  <c r="C22" i="12"/>
  <c r="G22" i="12" s="1"/>
  <c r="A22" i="12"/>
  <c r="C21" i="12"/>
  <c r="G21" i="12" s="1"/>
  <c r="A21" i="12"/>
  <c r="C20" i="12"/>
  <c r="G20" i="12" s="1"/>
  <c r="A20" i="12"/>
  <c r="C19" i="12"/>
  <c r="G19" i="12" s="1"/>
  <c r="A19" i="12"/>
  <c r="C18" i="12"/>
  <c r="G18" i="12" s="1"/>
  <c r="A18" i="12"/>
  <c r="C17" i="12"/>
  <c r="G17" i="12" s="1"/>
  <c r="A17" i="12"/>
  <c r="C16" i="12"/>
  <c r="G16" i="12" s="1"/>
  <c r="A16" i="12"/>
  <c r="C15" i="12"/>
  <c r="G15" i="12" s="1"/>
  <c r="A15" i="12"/>
  <c r="C14" i="12"/>
  <c r="G14" i="12" s="1"/>
  <c r="A14" i="12"/>
  <c r="C13" i="12"/>
  <c r="G13" i="12" s="1"/>
  <c r="A13" i="12"/>
  <c r="C12" i="12"/>
  <c r="G12" i="12" s="1"/>
  <c r="A12" i="12"/>
  <c r="C11" i="12"/>
  <c r="G11" i="12" s="1"/>
  <c r="A11" i="12"/>
  <c r="C10" i="12"/>
  <c r="G10" i="12" s="1"/>
  <c r="A10" i="12"/>
  <c r="C9" i="12"/>
  <c r="G9" i="12" s="1"/>
  <c r="A9" i="12"/>
  <c r="C8" i="12"/>
  <c r="G8" i="12" s="1"/>
  <c r="A8" i="12"/>
  <c r="C7" i="12"/>
  <c r="G7" i="12" s="1"/>
  <c r="A7" i="12"/>
  <c r="C6" i="12"/>
  <c r="G6" i="12" s="1"/>
  <c r="A6" i="12"/>
  <c r="C5" i="12"/>
  <c r="G5" i="12" s="1"/>
  <c r="A5" i="12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DS27" i="6" l="1"/>
  <c r="DS29" i="6"/>
  <c r="DS24" i="6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" i="8"/>
  <c r="DS26" i="6" l="1"/>
  <c r="AQ5" i="6"/>
  <c r="BP5" i="6" s="1"/>
  <c r="CJ5" i="6"/>
  <c r="BF5" i="6"/>
  <c r="BD5" i="6"/>
  <c r="E5" i="8"/>
  <c r="E6" i="8"/>
  <c r="M5" i="6"/>
  <c r="F5" i="8"/>
  <c r="F6" i="8"/>
  <c r="K5" i="6"/>
  <c r="CK5" i="6" l="1"/>
  <c r="DK5" i="6" s="1"/>
  <c r="DS28" i="6"/>
  <c r="DS30" i="6"/>
  <c r="D5" i="6"/>
  <c r="CQ5" i="6" l="1"/>
  <c r="CG5" i="6"/>
  <c r="A5" i="11" l="1"/>
  <c r="CZ53" i="7" l="1"/>
  <c r="AZ5" i="6"/>
  <c r="BE5" i="6" l="1"/>
  <c r="A15" i="8" l="1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14" i="8"/>
  <c r="A13" i="8"/>
  <c r="A12" i="8"/>
  <c r="A11" i="8"/>
  <c r="A10" i="8"/>
  <c r="A9" i="8"/>
  <c r="A8" i="8"/>
  <c r="A7" i="8"/>
  <c r="A6" i="8"/>
  <c r="A5" i="8"/>
  <c r="DL5" i="6" l="1"/>
  <c r="DG5" i="6"/>
  <c r="DH5" i="6"/>
  <c r="DA5" i="6"/>
  <c r="CZ5" i="6"/>
  <c r="CX5" i="6"/>
  <c r="CP5" i="6" l="1"/>
  <c r="CO5" i="6"/>
  <c r="BS5" i="6"/>
  <c r="BR5" i="6"/>
  <c r="BG5" i="6" l="1"/>
  <c r="AW5" i="6" l="1"/>
  <c r="A5" i="6" l="1"/>
  <c r="DI5" i="6" l="1"/>
  <c r="E5" i="6" l="1"/>
</calcChain>
</file>

<file path=xl/comments1.xml><?xml version="1.0" encoding="utf-8"?>
<comments xmlns="http://schemas.openxmlformats.org/spreadsheetml/2006/main">
  <authors>
    <author>Boff Arthur</author>
  </authors>
  <commentList>
    <comment ref="BH1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DESCRIÇÃO DA CODIFICAÇÃO ADOTADA:
</t>
        </r>
        <r>
          <rPr>
            <b/>
            <sz val="9"/>
            <color indexed="81"/>
            <rFont val="Segoe UI"/>
            <family val="2"/>
          </rPr>
          <t xml:space="preserve">CONV.  +  {X/Y} / {UMA/UMB} + {L1/L2}
</t>
        </r>
        <r>
          <rPr>
            <sz val="9"/>
            <color indexed="81"/>
            <rFont val="Segoe UI"/>
            <family val="2"/>
          </rPr>
          <t xml:space="preserve">CONV → DESCRIÇÃO PADRÃO
X/Y→ VALOR X OU Y DA UMA OU UMB
UMA/UMB→UNIDADE DE MEDIDA A OU UNIDADE DE MEDIDA B
L1/L2→ LINHA SAP 1 OU LINHA SAP 2
</t>
        </r>
      </text>
    </comment>
  </commentList>
</comments>
</file>

<file path=xl/comments2.xml><?xml version="1.0" encoding="utf-8"?>
<comments xmlns="http://schemas.openxmlformats.org/spreadsheetml/2006/main">
  <authors>
    <author>Boff Arthur</author>
  </authors>
  <commentList>
    <comment ref="I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SETUP GERAL DA MÁQUINA</t>
        </r>
      </text>
    </comment>
    <comment ref="K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SEMPRE EM SEGUNDOS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Estrutura P01" description="Conexão com a consulta 'Estrutura P01' na pasta de trabalho." type="5" refreshedVersion="6" saveData="1">
    <dbPr connection="Provider=Microsoft.Mashup.OleDb.1;Data Source=$Workbook$;Location=Estrutura P01;Extended Properties=&quot;&quot;" command="SELECT * FROM [Estrutura P01]"/>
  </connection>
</connections>
</file>

<file path=xl/sharedStrings.xml><?xml version="1.0" encoding="utf-8"?>
<sst xmlns="http://schemas.openxmlformats.org/spreadsheetml/2006/main" count="3566" uniqueCount="1040">
  <si>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</si>
  <si>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</si>
  <si>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</si>
  <si>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</si>
  <si>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</si>
  <si>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</si>
  <si>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</si>
  <si>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</si>
  <si>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</si>
  <si>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</si>
  <si>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</si>
  <si>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</si>
  <si>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</si>
  <si>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</si>
  <si>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</si>
  <si>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</si>
  <si>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</si>
  <si>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</si>
  <si>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</si>
  <si>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</si>
  <si>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</si>
  <si>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</si>
  <si>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</si>
  <si>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</si>
  <si>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</si>
  <si>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</si>
  <si>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</si>
  <si>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</si>
  <si>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</si>
  <si>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</si>
  <si>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</si>
  <si>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</si>
  <si>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</si>
  <si>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</si>
  <si>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</si>
  <si>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</si>
  <si>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</si>
  <si>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</si>
  <si>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</si>
  <si>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</si>
  <si>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</si>
  <si>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</si>
  <si>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</si>
  <si>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</si>
  <si>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</si>
  <si>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</si>
  <si>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</si>
  <si>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</si>
  <si>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</si>
  <si>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</si>
  <si>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</si>
  <si>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</si>
  <si>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</si>
  <si>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</si>
  <si>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</si>
  <si>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</si>
  <si>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</si>
  <si>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</si>
  <si>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</si>
  <si>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</si>
  <si>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</si>
  <si>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</si>
  <si>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</si>
  <si>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</si>
  <si>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</si>
  <si>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</si>
  <si>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</si>
  <si>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</si>
  <si>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</si>
  <si>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</si>
  <si>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</si>
  <si>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</si>
  <si>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</si>
  <si>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</si>
  <si>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</si>
  <si>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</si>
  <si>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</si>
  <si>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</si>
  <si>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</si>
  <si>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</si>
  <si>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</si>
  <si>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</si>
  <si>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</si>
  <si>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</si>
  <si>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</si>
  <si>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</si>
  <si>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</si>
  <si>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</si>
  <si>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</si>
  <si>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</si>
  <si>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</si>
  <si>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</si>
  <si>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</si>
  <si>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</si>
  <si>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</si>
  <si>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</si>
  <si>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</si>
  <si>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</si>
  <si>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cmbRMMG1-MTART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</si>
  <si>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</si>
  <si>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</si>
  <si>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</si>
  <si>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</si>
  <si>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</si>
  <si>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</si>
  <si>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</si>
  <si>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</si>
  <si>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</si>
  <si>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</si>
  <si>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</si>
  <si>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</si>
  <si>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</si>
  <si>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</si>
  <si>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</si>
  <si>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</si>
  <si>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</si>
  <si>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</si>
  <si>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</si>
  <si>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</si>
  <si>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</si>
  <si>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</si>
  <si>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</si>
  <si>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</si>
  <si>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</si>
  <si>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</si>
  <si>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</si>
  <si>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</si>
  <si>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</si>
  <si>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</si>
  <si>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</si>
  <si>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</si>
  <si>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</si>
  <si>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</si>
  <si>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</si>
  <si>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</si>
  <si>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</si>
  <si>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</si>
  <si>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</si>
  <si>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</si>
  <si>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</si>
  <si>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</si>
  <si>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</si>
  <si>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</si>
  <si>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</si>
  <si>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</si>
  <si>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</si>
  <si>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</si>
  <si>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</si>
  <si>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</si>
  <si>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</si>
  <si>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</si>
  <si>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</si>
  <si>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</si>
  <si>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</si>
  <si>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</si>
  <si>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</si>
  <si>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</si>
  <si>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</si>
  <si>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ctxtRMMG1-LGORT</t>
  </si>
  <si>
    <t>ORG. DE VENDAS</t>
  </si>
  <si>
    <t>ctxtRMMG1-VTWEG</t>
  </si>
  <si>
    <t>ctxtRMMG1-LGNUM</t>
  </si>
  <si>
    <t>N° DO DEPOSITO</t>
  </si>
  <si>
    <t>txtMAKT-MAKTX</t>
  </si>
  <si>
    <t>ctxtMARA-MEINS</t>
  </si>
  <si>
    <t>UNID. MED. BÁSICA</t>
  </si>
  <si>
    <t>ctxtMARA-MATKL</t>
  </si>
  <si>
    <t>GRP DE MERCADORIA</t>
  </si>
  <si>
    <t>txtMARA-BISMT</t>
  </si>
  <si>
    <t>CÓDIGO PRD</t>
  </si>
  <si>
    <t>NIVEIS ORG.</t>
  </si>
  <si>
    <t>ctxtMARA-SPART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</si>
  <si>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</si>
  <si>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</si>
  <si>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</si>
  <si>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</si>
  <si>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</si>
  <si>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</si>
  <si>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</si>
  <si>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</si>
  <si>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</si>
  <si>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</si>
  <si>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</si>
  <si>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</si>
  <si>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ctxtMARA-PRDHA</t>
  </si>
  <si>
    <t>HIERAR. DE PROD.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</si>
  <si>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</si>
  <si>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</si>
  <si>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</si>
  <si>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</si>
  <si>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</si>
  <si>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</si>
  <si>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</si>
  <si>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</si>
  <si>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</si>
  <si>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</si>
  <si>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</si>
  <si>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</si>
  <si>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</si>
  <si>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</si>
  <si>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</si>
  <si>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</si>
  <si>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</si>
  <si>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</si>
  <si>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</si>
  <si>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</si>
  <si>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</si>
  <si>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</si>
  <si>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</si>
  <si>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</si>
  <si>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</si>
  <si>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</si>
  <si>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</si>
  <si>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</si>
  <si>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</si>
  <si>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</si>
  <si>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</si>
  <si>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</si>
  <si>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</si>
  <si>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</si>
  <si>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</si>
  <si>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</si>
  <si>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</si>
  <si>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</si>
  <si>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</si>
  <si>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</si>
  <si>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</si>
  <si>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</si>
  <si>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</si>
  <si>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</si>
  <si>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</si>
  <si>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</si>
  <si>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</si>
  <si>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</si>
  <si>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</si>
  <si>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</si>
  <si>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</si>
  <si>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</si>
  <si>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</si>
  <si>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</si>
  <si>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</si>
  <si>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</si>
  <si>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</si>
  <si>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</si>
  <si>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</si>
  <si>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</si>
  <si>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</si>
  <si>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</si>
  <si>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</si>
  <si>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</si>
  <si>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</si>
  <si>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</si>
  <si>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</si>
  <si>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</si>
  <si>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</si>
  <si>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</si>
  <si>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</si>
  <si>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</si>
  <si>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</si>
  <si>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</si>
  <si>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</si>
  <si>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</si>
  <si>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</si>
  <si>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</si>
  <si>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</si>
  <si>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</si>
  <si>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</si>
  <si>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</si>
  <si>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</si>
  <si>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</si>
  <si>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</si>
  <si>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</si>
  <si>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</si>
  <si>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</si>
  <si>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</si>
  <si>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</si>
  <si>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</si>
  <si>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</si>
  <si>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</si>
  <si>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</si>
  <si>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</si>
  <si>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</si>
  <si>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</si>
  <si>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</si>
  <si>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</si>
  <si>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</si>
  <si>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</si>
  <si>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</si>
  <si>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ctxtMARA-MSTAE</t>
  </si>
  <si>
    <t>STATUS MATERIAL</t>
  </si>
  <si>
    <t>ctxtMARA-MSTDE</t>
  </si>
  <si>
    <t>DATA DE VALIDADE DO STATUS</t>
  </si>
  <si>
    <t>STATUS DE MATERIAL</t>
  </si>
  <si>
    <t>BLOQUEADO</t>
  </si>
  <si>
    <t>txtMARA-BRGEW</t>
  </si>
  <si>
    <t>PESO LIQUIDO</t>
  </si>
  <si>
    <t>txtMARA-NTGEW</t>
  </si>
  <si>
    <t>ctxtMARA-GEWEI</t>
  </si>
  <si>
    <t>UNIDADE DE PESO</t>
  </si>
  <si>
    <t>KG</t>
  </si>
  <si>
    <t>ctxtMARA-VOLEH</t>
  </si>
  <si>
    <t>UNIDADE DE VOLUME</t>
  </si>
  <si>
    <t>txtMARA-GROES</t>
  </si>
  <si>
    <t>TAMANHO/DIMENSÃO</t>
  </si>
  <si>
    <t>txtSMEINH-UMREN[0,1]</t>
  </si>
  <si>
    <t>ctxtSMEINH-MEINH[1,1]</t>
  </si>
  <si>
    <t>CONV. X L1</t>
  </si>
  <si>
    <t>CONV. UMA L1</t>
  </si>
  <si>
    <t>txtSMEINH-UMREZ[4,1]</t>
  </si>
  <si>
    <t>CONV. Y L1</t>
  </si>
  <si>
    <t>CONV. UMB L1</t>
  </si>
  <si>
    <t>CONVERSÃO DADOS BÁSICOS</t>
  </si>
  <si>
    <t>txtMARA-NORMT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</si>
  <si>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</si>
  <si>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</si>
  <si>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</si>
  <si>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</si>
  <si>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</si>
  <si>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</si>
  <si>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</si>
  <si>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</si>
  <si>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</si>
  <si>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</si>
  <si>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</si>
  <si>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</si>
  <si>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</si>
  <si>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</si>
  <si>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</si>
  <si>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</si>
  <si>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</si>
  <si>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</si>
  <si>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</si>
  <si>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</si>
  <si>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</si>
  <si>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</si>
  <si>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</si>
  <si>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</si>
  <si>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</si>
  <si>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</si>
  <si>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</si>
  <si>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</si>
  <si>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</si>
  <si>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</si>
  <si>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</si>
  <si>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</si>
  <si>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</si>
  <si>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</si>
  <si>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</si>
  <si>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</si>
  <si>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</si>
  <si>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</si>
  <si>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</si>
  <si>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</si>
  <si>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</si>
  <si>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</si>
  <si>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</si>
  <si>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</si>
  <si>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GRP CLASS.CONT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</si>
  <si>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</si>
  <si>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</si>
  <si>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</si>
  <si>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</si>
  <si>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</si>
  <si>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</si>
  <si>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</si>
  <si>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</si>
  <si>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</si>
  <si>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</si>
  <si>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</si>
  <si>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</si>
  <si>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</si>
  <si>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</si>
  <si>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</si>
  <si>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</si>
  <si>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</si>
  <si>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</si>
  <si>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</si>
  <si>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</si>
  <si>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</si>
  <si>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</si>
  <si>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ctxtMARC-HERKL</t>
  </si>
  <si>
    <t>PAÍS DE ORIGEM</t>
  </si>
  <si>
    <t>BR</t>
  </si>
  <si>
    <t>ctxtMARC-INDUS</t>
  </si>
  <si>
    <t>MATERIAL CFOP</t>
  </si>
  <si>
    <t>ctxtMARC-EKGRP</t>
  </si>
  <si>
    <t>GRP DE COMP.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</si>
  <si>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</si>
  <si>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</si>
  <si>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</si>
  <si>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</si>
  <si>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</si>
  <si>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</si>
  <si>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</si>
  <si>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</si>
  <si>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</si>
  <si>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</si>
  <si>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</si>
  <si>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</si>
  <si>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</si>
  <si>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</si>
  <si>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ctxtMARC-DISMM</t>
  </si>
  <si>
    <t>ctxtMARC-DISPO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</si>
  <si>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</si>
  <si>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</si>
  <si>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</si>
  <si>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</si>
  <si>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</si>
  <si>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</si>
  <si>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</si>
  <si>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</si>
  <si>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</si>
  <si>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</si>
  <si>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</si>
  <si>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</si>
  <si>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</si>
  <si>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</si>
  <si>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ctxtMARC-DISLS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</si>
  <si>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</si>
  <si>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</si>
  <si>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</si>
  <si>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</si>
  <si>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</si>
  <si>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</si>
  <si>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</si>
  <si>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</si>
  <si>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</si>
  <si>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</si>
  <si>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</si>
  <si>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</si>
  <si>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</si>
  <si>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</si>
  <si>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</si>
  <si>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</si>
  <si>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</si>
  <si>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</si>
  <si>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</si>
  <si>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</si>
  <si>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</si>
  <si>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</si>
  <si>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</si>
  <si>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</si>
  <si>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</si>
  <si>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</si>
  <si>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</si>
  <si>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</si>
  <si>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</si>
  <si>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</si>
  <si>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</si>
  <si>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</si>
  <si>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</si>
  <si>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</si>
  <si>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</si>
  <si>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</si>
  <si>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</si>
  <si>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</si>
  <si>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</si>
  <si>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</si>
  <si>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</si>
  <si>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</si>
  <si>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</si>
  <si>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</si>
  <si>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</si>
  <si>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</si>
  <si>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</si>
  <si>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</si>
  <si>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</si>
  <si>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</si>
  <si>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</si>
  <si>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</si>
  <si>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</si>
  <si>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</si>
  <si>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</si>
  <si>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</si>
  <si>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</si>
  <si>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</si>
  <si>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</si>
  <si>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</si>
  <si>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</si>
  <si>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</si>
  <si>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chkMARC-KZKUP</t>
  </si>
  <si>
    <t>COPRODUTO</t>
  </si>
  <si>
    <t>ctxtMARC-BESKZ</t>
  </si>
  <si>
    <t>TIPO DE SUPRIMENTO</t>
  </si>
  <si>
    <t>ctxtMARC-KZECH</t>
  </si>
  <si>
    <t>ENTRADA DE LOTES</t>
  </si>
  <si>
    <t>E</t>
  </si>
  <si>
    <t>Fabricação própria</t>
  </si>
  <si>
    <t>F</t>
  </si>
  <si>
    <t>Suprimento externo</t>
  </si>
  <si>
    <t>ctxtMARC-SOBSL</t>
  </si>
  <si>
    <t>SUPRIMENTO ESPECIAL</t>
  </si>
  <si>
    <t>SUBCONTRATADO</t>
  </si>
  <si>
    <t>TRANSFERENCIA</t>
  </si>
  <si>
    <t>FABRICAÇÃO INTERNA</t>
  </si>
  <si>
    <t>ctxtMARC-LGPRO</t>
  </si>
  <si>
    <t>ctxtMARC-LGFSB</t>
  </si>
  <si>
    <t>DEP. PROD. EXTER.</t>
  </si>
  <si>
    <t>DEP. DE PRODUÇÃO</t>
  </si>
  <si>
    <t>txtMARC-PLIFZ</t>
  </si>
  <si>
    <t>PRAZO DE ENTREGA</t>
  </si>
  <si>
    <t>txtMARC-WEBAZ</t>
  </si>
  <si>
    <t>TEMPO PCDMT</t>
  </si>
  <si>
    <t>ctxtMARC-FHORI</t>
  </si>
  <si>
    <t>CHAVE DE PRAZOS</t>
  </si>
  <si>
    <t>000</t>
  </si>
  <si>
    <t>ctxtMARC-STRGR</t>
  </si>
  <si>
    <t>GRP DE ESTRAT</t>
  </si>
  <si>
    <t>ctxtMARC-VRMOD</t>
  </si>
  <si>
    <t>MODO COMPENSA.</t>
  </si>
  <si>
    <t>txtMARC-VINT1</t>
  </si>
  <si>
    <t>INT.COMP.REGRESS.</t>
  </si>
  <si>
    <t>txtMARC-VINT2</t>
  </si>
  <si>
    <t>INT.COMP.PROGRESS.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</si>
  <si>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</si>
  <si>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</si>
  <si>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</si>
  <si>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</si>
  <si>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</si>
  <si>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</si>
  <si>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</si>
  <si>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</si>
  <si>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</si>
  <si>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</si>
  <si>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</si>
  <si>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</si>
  <si>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</si>
  <si>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</si>
  <si>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</si>
  <si>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</si>
  <si>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</si>
  <si>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</si>
  <si>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</si>
  <si>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</si>
  <si>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</si>
  <si>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</si>
  <si>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</si>
  <si>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</si>
  <si>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</si>
  <si>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</si>
  <si>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</si>
  <si>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</si>
  <si>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</si>
  <si>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</si>
  <si>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</si>
  <si>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</si>
  <si>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</si>
  <si>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</si>
  <si>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</si>
  <si>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</si>
  <si>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</si>
  <si>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</si>
  <si>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</si>
  <si>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</si>
  <si>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</si>
  <si>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</si>
  <si>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</si>
  <si>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</si>
  <si>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</si>
  <si>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</si>
  <si>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</si>
  <si>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</si>
  <si>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</si>
  <si>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</si>
  <si>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</si>
  <si>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</si>
  <si>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</si>
  <si>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</si>
  <si>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</si>
  <si>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</si>
  <si>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</si>
  <si>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</si>
  <si>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</si>
  <si>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</si>
  <si>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</si>
  <si>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</si>
  <si>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</si>
  <si>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</si>
  <si>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</si>
  <si>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</si>
  <si>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</si>
  <si>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</si>
  <si>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</si>
  <si>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</si>
  <si>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</si>
  <si>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</si>
  <si>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</si>
  <si>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</si>
  <si>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</si>
  <si>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</si>
  <si>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</si>
  <si>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</si>
  <si>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</si>
  <si>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</si>
  <si>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</si>
  <si>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</si>
  <si>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</si>
  <si>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</si>
  <si>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</si>
  <si>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</si>
  <si>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</si>
  <si>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</si>
  <si>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</si>
  <si>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</si>
  <si>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</si>
  <si>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</si>
  <si>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</si>
  <si>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</si>
  <si>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</si>
  <si>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</si>
  <si>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</si>
  <si>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</si>
  <si>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</si>
  <si>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</si>
  <si>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</si>
  <si>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</si>
  <si>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</si>
  <si>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</si>
  <si>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</si>
  <si>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</si>
  <si>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</si>
  <si>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</si>
  <si>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</si>
  <si>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</si>
  <si>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</si>
  <si>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</si>
  <si>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VÁLIDO DESDE</t>
  </si>
  <si>
    <t>VÁLIDO ATÉ</t>
  </si>
  <si>
    <t>ctxtMKAL-VERID[0,0]</t>
  </si>
  <si>
    <t>txtMKAL-TEXT1[1,0]</t>
  </si>
  <si>
    <t>MÁQUINA VER. 1</t>
  </si>
  <si>
    <t>VERSÃO PRODUÇÃO 1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</si>
  <si>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</si>
  <si>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</si>
  <si>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</si>
  <si>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</si>
  <si>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</si>
  <si>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</si>
  <si>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</si>
  <si>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</si>
  <si>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</si>
  <si>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</si>
  <si>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</si>
  <si>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</si>
  <si>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</si>
  <si>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</si>
  <si>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</si>
  <si>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</si>
  <si>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</si>
  <si>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</si>
  <si>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</si>
  <si>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</si>
  <si>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</si>
  <si>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</si>
  <si>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</si>
  <si>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</si>
  <si>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</si>
  <si>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</si>
  <si>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</si>
  <si>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</si>
  <si>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</si>
  <si>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</si>
  <si>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</si>
  <si>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</si>
  <si>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</si>
  <si>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</si>
  <si>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</si>
  <si>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</si>
  <si>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</si>
  <si>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</si>
  <si>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</si>
  <si>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</si>
  <si>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</si>
  <si>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</si>
  <si>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</si>
  <si>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</si>
  <si>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</si>
  <si>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</si>
  <si>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</si>
  <si>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</si>
  <si>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</si>
  <si>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</si>
  <si>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</si>
  <si>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</si>
  <si>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</si>
  <si>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</si>
  <si>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</si>
  <si>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</si>
  <si>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</si>
  <si>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</si>
  <si>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</si>
  <si>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</si>
  <si>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</si>
  <si>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</si>
  <si>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</si>
  <si>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</si>
  <si>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</si>
  <si>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</si>
  <si>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</si>
  <si>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</si>
  <si>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</si>
  <si>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</si>
  <si>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</si>
  <si>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</si>
  <si>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</si>
  <si>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</si>
  <si>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</si>
  <si>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</si>
  <si>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</si>
  <si>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</si>
  <si>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</si>
  <si>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ctxtMKAL-ADATU[2,0]</t>
  </si>
  <si>
    <t>ctxtMKAL-BDATU[3,0]</t>
  </si>
  <si>
    <t>chkMARC-UEETK</t>
  </si>
  <si>
    <t>ILIMITADO</t>
  </si>
  <si>
    <t>ctxtMARC-SFCPF</t>
  </si>
  <si>
    <t>PERFIL DE PRODUÇÃO</t>
  </si>
  <si>
    <t>txtMLGN-LHMG1</t>
  </si>
  <si>
    <t>QUANTIDADE MAC</t>
  </si>
  <si>
    <t>ctxtMLGN-LHME1</t>
  </si>
  <si>
    <t>U.M. MAC</t>
  </si>
  <si>
    <t>ctxtMBEW-BKLAS</t>
  </si>
  <si>
    <t>CLASSE CONTABIL</t>
  </si>
  <si>
    <t>txtCKMMAT_DISPLAY-PEINH_1</t>
  </si>
  <si>
    <t>UNIDADE DE PREÇO</t>
  </si>
  <si>
    <t>chkMBEW-OWNPR</t>
  </si>
  <si>
    <t>PROD. INTERNA</t>
  </si>
  <si>
    <t>txtMBEW-BWPEI</t>
  </si>
  <si>
    <t>ctxtMBEW-MTUSE</t>
  </si>
  <si>
    <t>UTILIZ. MATERIAL</t>
  </si>
  <si>
    <t>ctxtMBEW-MTORG</t>
  </si>
  <si>
    <t>ORIGEM MATERIAL</t>
  </si>
  <si>
    <t>chkMARC-NCOST</t>
  </si>
  <si>
    <t>NÃO CALCULAR CUSTOS</t>
  </si>
  <si>
    <t>txtMARC-LOSGR</t>
  </si>
  <si>
    <t>TAM.LOT.CAL.CUSTOS</t>
  </si>
  <si>
    <t>ctxtMVKE-MTPOS</t>
  </si>
  <si>
    <t>GRP.CTGR.ITEM</t>
  </si>
  <si>
    <t>NORM</t>
  </si>
  <si>
    <t>ctxtMARA-MTPOS_MARA</t>
  </si>
  <si>
    <t>GRP.CTGR.GER.ITEM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</si>
  <si>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</si>
  <si>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</si>
  <si>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</si>
  <si>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</si>
  <si>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</si>
  <si>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</si>
  <si>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</si>
  <si>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</si>
  <si>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</si>
  <si>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</si>
  <si>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</si>
  <si>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</si>
  <si>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</si>
  <si>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</si>
  <si>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Total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</si>
  <si>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</si>
  <si>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</si>
  <si>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</si>
  <si>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</si>
  <si>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</si>
  <si>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</si>
  <si>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</si>
  <si>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</si>
  <si>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</si>
  <si>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</si>
  <si>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</si>
  <si>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</si>
  <si>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</si>
  <si>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</si>
  <si>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</si>
  <si>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</si>
  <si>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</si>
  <si>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</si>
  <si>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</si>
  <si>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</si>
  <si>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</si>
  <si>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</si>
  <si>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</si>
  <si>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</si>
  <si>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</si>
  <si>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</si>
  <si>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</si>
  <si>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</si>
  <si>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</si>
  <si>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</si>
  <si>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</si>
  <si>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</si>
  <si>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</si>
  <si>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</si>
  <si>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</si>
  <si>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</si>
  <si>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</si>
  <si>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</si>
  <si>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</si>
  <si>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</si>
  <si>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</si>
  <si>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</si>
  <si>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</si>
  <si>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</si>
  <si>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</si>
  <si>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</si>
  <si>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</si>
  <si>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</si>
  <si>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</si>
  <si>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</si>
  <si>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</si>
  <si>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</si>
  <si>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</si>
  <si>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</si>
  <si>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</si>
  <si>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</si>
  <si>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</si>
  <si>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</si>
  <si>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</si>
  <si>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</si>
  <si>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</si>
  <si>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</si>
  <si>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</si>
  <si>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</si>
  <si>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</si>
  <si>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</si>
  <si>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</si>
  <si>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</si>
  <si>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</si>
  <si>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</si>
  <si>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</si>
  <si>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</si>
  <si>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</si>
  <si>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</si>
  <si>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</si>
  <si>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</si>
  <si>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</si>
  <si>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ctxtMBEW-HRKFT</t>
  </si>
  <si>
    <t>GRUPO DE ORIGEM</t>
  </si>
  <si>
    <t>D:\1. Cadastros P01\2. Relatorios Script</t>
  </si>
  <si>
    <t/>
  </si>
  <si>
    <t>ctxtRMMG1-MTART</t>
  </si>
  <si>
    <t>ctxtMARC-WERKS</t>
  </si>
  <si>
    <t>CÓDIGO NA MM01</t>
  </si>
  <si>
    <t>CENTRO NA ZM01</t>
  </si>
  <si>
    <t>TIPO DE MATERIAL NA ZM01</t>
  </si>
  <si>
    <t>Não utilizado para itens AO</t>
  </si>
  <si>
    <t>ctxtRMCLF-CLASS[0,0]</t>
  </si>
  <si>
    <t>CLASSE DE AVALIAÇÃO</t>
  </si>
  <si>
    <t>VERSÃO DE PRODUÇÃO</t>
  </si>
  <si>
    <t>WORKCENTERS P01</t>
  </si>
  <si>
    <t>Planta</t>
  </si>
  <si>
    <t>Centro Trabalho</t>
  </si>
  <si>
    <t>Descrição</t>
  </si>
  <si>
    <t>Nomenclatura para ROTEIROS</t>
  </si>
  <si>
    <t>Form. de Tubos 01</t>
  </si>
  <si>
    <t>Form. de Tubos 02</t>
  </si>
  <si>
    <t>Form. de Tubos 03</t>
  </si>
  <si>
    <t>Form. de Tubos 04</t>
  </si>
  <si>
    <t>Form. de Tubos 05</t>
  </si>
  <si>
    <t>Form. de Tubos 06</t>
  </si>
  <si>
    <t>Perfiladeira 01</t>
  </si>
  <si>
    <t>Perfiladeira 02</t>
  </si>
  <si>
    <t>Perfiladeira 03</t>
  </si>
  <si>
    <t>Corte Reto_C6</t>
  </si>
  <si>
    <t>Corte Reto_C7</t>
  </si>
  <si>
    <t>Slitter S01</t>
  </si>
  <si>
    <t>Standard (Slitter)</t>
  </si>
  <si>
    <t>Slitter S02</t>
  </si>
  <si>
    <t>Subcontratação 0581</t>
  </si>
  <si>
    <t>Acessórios Purlins_AP01</t>
  </si>
  <si>
    <t>Corte Reto_C5</t>
  </si>
  <si>
    <t>Célula Jonh Deere_CJD1</t>
  </si>
  <si>
    <t>Corte Laser_CL1</t>
  </si>
  <si>
    <t>Corte Laser_CL2</t>
  </si>
  <si>
    <t>Célula de Operações Especiais_COE1</t>
  </si>
  <si>
    <t>Calandra Tauring_CT1</t>
  </si>
  <si>
    <t>Calandra Calfran_CT2</t>
  </si>
  <si>
    <t>Dobra Tubos CNC_DT3</t>
  </si>
  <si>
    <t>Dobra Tubos CNC_DT4</t>
  </si>
  <si>
    <t>Corte Laser_L3D1</t>
  </si>
  <si>
    <t>OS_MD1</t>
  </si>
  <si>
    <t>Multidobra_MD1</t>
  </si>
  <si>
    <t>Célula de Solda_CS01</t>
  </si>
  <si>
    <t>Perfiladeira Purlins</t>
  </si>
  <si>
    <t>Formadora 07</t>
  </si>
  <si>
    <t>Formadora de Telhas OND</t>
  </si>
  <si>
    <t>Formadora de Telhas TP40</t>
  </si>
  <si>
    <t>Formadora de Telhas TP25</t>
  </si>
  <si>
    <t>Subcontratação 0582</t>
  </si>
  <si>
    <t>txtMARC-DZEIT</t>
  </si>
  <si>
    <t>TEMPO DE PROD. INTER.</t>
  </si>
  <si>
    <t>PESO BRUTO (kg/PC)</t>
  </si>
  <si>
    <t>ctxtRC27M-MATNR</t>
  </si>
  <si>
    <t>ctxtRC27M-WERKS</t>
  </si>
  <si>
    <t>ctxtPLPOD-ARBPL[2,0]</t>
  </si>
  <si>
    <t>txtPLPOD-LTXA1[6,0]</t>
  </si>
  <si>
    <t>DESCRI. CENTRO DE TR.</t>
  </si>
  <si>
    <t>CHAVE CENTRO DE TR.</t>
  </si>
  <si>
    <t>ctxtPLPOD-STEUS[4,0]</t>
  </si>
  <si>
    <t>CHAVE DE CONTROLE</t>
  </si>
  <si>
    <t>PP01</t>
  </si>
  <si>
    <t>txtPLPOD-BMSCH[14,0]</t>
  </si>
  <si>
    <t>QUANTIDADE BÁSICA</t>
  </si>
  <si>
    <t>txtPLPOD-VGW01[16,0]</t>
  </si>
  <si>
    <t>TEMPO DE PREPARAÇÃO</t>
  </si>
  <si>
    <t>ctxtPLPOD-VGE01[17,0]</t>
  </si>
  <si>
    <t>UNIDADE DE TEMPO</t>
  </si>
  <si>
    <t>S</t>
  </si>
  <si>
    <t>txtPLPOD-VGW02[19,0]</t>
  </si>
  <si>
    <t>TEMPO DE OPERAÇÃO</t>
  </si>
  <si>
    <t>ctxtRC29N-MATNR</t>
  </si>
  <si>
    <t>ctxtRC29N-WERKS</t>
  </si>
  <si>
    <t>ctxtRC29N-STLAN</t>
  </si>
  <si>
    <t>LT ALTERNATIVA</t>
  </si>
  <si>
    <t>ctxtRC29P-POSTP[1,0]</t>
  </si>
  <si>
    <t>CHAVE DE COMPONENTE</t>
  </si>
  <si>
    <t>L</t>
  </si>
  <si>
    <t>ctxtRC29P-IDNRK[2,0]</t>
  </si>
  <si>
    <t>COMPONENTE 1</t>
  </si>
  <si>
    <t>ctxtRC29P-IDNRK[2,1]</t>
  </si>
  <si>
    <t>txtRC29P-MENGE[4,0]</t>
  </si>
  <si>
    <t>QTD. COMP. 1</t>
  </si>
  <si>
    <t>txtRC29P-MENGE[4,1]</t>
  </si>
  <si>
    <t>QTD SUCATA</t>
  </si>
  <si>
    <t>S7000608</t>
  </si>
  <si>
    <t>SUCATA (AO)</t>
  </si>
  <si>
    <t>UNI. COMP. 1</t>
  </si>
  <si>
    <t>ctxtMKAL-MATNR</t>
  </si>
  <si>
    <t>ctxtMKAL-WERKS</t>
  </si>
  <si>
    <t>ctxtMKAL_EXPAND-PLNNR[18,0]</t>
  </si>
  <si>
    <t>ctxtMKAL_EXPAND-ADATU[10,0]</t>
  </si>
  <si>
    <t>ctxtMKAL_EXPAND-BDATU[11,0]</t>
  </si>
  <si>
    <t>ctxtMKAL_EXPAND-STLAL[15,0]</t>
  </si>
  <si>
    <t>ctxtMKAL_EXPAND-STLAN[16,0]</t>
  </si>
  <si>
    <t>cmbMKAL_EXPAND-PLNTY[20,0]</t>
  </si>
  <si>
    <t>GRP. PLANEJAMENTO</t>
  </si>
  <si>
    <t>DATA ATUAL DE VALIDADE</t>
  </si>
  <si>
    <t>DATA MÁXIMA DE VALIDADE</t>
  </si>
  <si>
    <t>UTIL. LT ALTERNATIVA</t>
  </si>
  <si>
    <t>TIPO DE ROTEIRO</t>
  </si>
  <si>
    <t>GRP ROTEIRO</t>
  </si>
  <si>
    <t>31.12.9999</t>
  </si>
  <si>
    <t>É criada lista técnica para material M058110000352 - em 28/07/21 07:49:14</t>
  </si>
  <si>
    <t>É criada lista técnica para material M058110000353 - em 28/07/21 07:49:17</t>
  </si>
  <si>
    <t>É criada lista técnica para material M058110000355 - em 28/07/21 07:49:20</t>
  </si>
  <si>
    <t>7308.90.10</t>
  </si>
  <si>
    <t>VOL</t>
  </si>
  <si>
    <t>NBR6355</t>
  </si>
  <si>
    <t>Z580_PURLINS</t>
  </si>
  <si>
    <t>Z00001</t>
  </si>
  <si>
    <t>ctxtRCTMS-MWERT[1,0]</t>
  </si>
  <si>
    <t>ctxtRCTMS-MWERT[1,0]-1</t>
  </si>
  <si>
    <t>ctxtRCTMS-MWERT[1,1]-1</t>
  </si>
  <si>
    <t>ctxtRCTMS-MWERT[1,2]-1</t>
  </si>
  <si>
    <t>ctxtRCTMS-MWERT[1,3]-1</t>
  </si>
  <si>
    <t>ESPESSURA</t>
  </si>
  <si>
    <t>ENRIJECIDO SUPERIOR</t>
  </si>
  <si>
    <t>ENRIJECIDO INFERIOR</t>
  </si>
  <si>
    <t>ABA SUPERIOR</t>
  </si>
  <si>
    <t>ABA INFERIOR</t>
  </si>
  <si>
    <t>ctxtMARC-RGEKZ</t>
  </si>
  <si>
    <t>BAIXA POR EXPLOSÃO</t>
  </si>
  <si>
    <t>TEMPO PROD. INT.</t>
  </si>
  <si>
    <t>txtMBEW-ZPLP1</t>
  </si>
  <si>
    <t>PREÇO PLANEJADO</t>
  </si>
  <si>
    <t>DATA PREÇO PLAN.</t>
  </si>
  <si>
    <t>ctxtMBEW-ZPLD1</t>
  </si>
  <si>
    <t>txtRCUCO-PRIO[0,0]</t>
  </si>
  <si>
    <t>txtRCUCO-PRFID[1,0]</t>
  </si>
  <si>
    <t>ctxtRCUCO-KLART[2,0]</t>
  </si>
  <si>
    <t>PRIORIDADE</t>
  </si>
  <si>
    <t>TIPO DE CLASSE</t>
  </si>
  <si>
    <t>CLASSE</t>
  </si>
  <si>
    <t>ctxtRCUCO-MATNR</t>
  </si>
  <si>
    <t>ctxtKOMGH-MATNR[0,0]</t>
  </si>
  <si>
    <t>ctxtMARA-SATNR</t>
  </si>
  <si>
    <t>ctxtMARC-STDPD</t>
  </si>
  <si>
    <t>FORMULÁRIO DE CADASTRO PARA PURLINS E ACESSÓRIOS</t>
  </si>
  <si>
    <t>GRUPO DE MERCADORIA</t>
  </si>
  <si>
    <t>TAMANHO / DIMENSÃO</t>
  </si>
  <si>
    <t>HIERARQUIA DE PRODUTO</t>
  </si>
  <si>
    <t>TIPO DE CADASTRO</t>
  </si>
  <si>
    <t>ACESSÓRIOS</t>
  </si>
  <si>
    <t>ACESSÓRIOS PURLINS</t>
  </si>
  <si>
    <t>520104000201</t>
  </si>
  <si>
    <t>x</t>
  </si>
  <si>
    <t>UM alternativa e UM base idênticas - em 12/08/21 14:56:03</t>
  </si>
  <si>
    <t>ctxtZTPP_REL_PURLIN-COD_SAP[0,0]</t>
  </si>
  <si>
    <t>ctxtZTPP_REL_PURLIN-COD_CAM[1,0]</t>
  </si>
  <si>
    <t>txtZTPP_REL_PURLIN-DIM1[2,0]</t>
  </si>
  <si>
    <t>DIM 1</t>
  </si>
  <si>
    <t>DIM 2</t>
  </si>
  <si>
    <t>DIM 3</t>
  </si>
  <si>
    <t>txtZTPP_REL_PURLIN-DIM2[3,0]</t>
  </si>
  <si>
    <t>txtZTPP_REL_PURLIN-DIM3[4,0]</t>
  </si>
  <si>
    <t>txtZTPP_REL_PURLIN-ALAVANCA_D[5,0]</t>
  </si>
  <si>
    <t>ALAVANCA DIR.</t>
  </si>
  <si>
    <t>ALAVANCA ESQ.</t>
  </si>
  <si>
    <t>txtZTPP_REL_PURLIN-ALAVANCA_E[6,0]</t>
  </si>
  <si>
    <t>DATA DA CRIAÇÃO: 12/08/2021
REVISÃO 01</t>
  </si>
  <si>
    <t>SOLICITANTE:</t>
  </si>
  <si>
    <t>CLIENTE:</t>
  </si>
  <si>
    <t>LEGENDA</t>
  </si>
  <si>
    <t>REPRESENTANTE:</t>
  </si>
  <si>
    <t>SEGMENTO:</t>
  </si>
  <si>
    <t>OBRIGATÓRIO</t>
  </si>
  <si>
    <t>DATA:</t>
  </si>
  <si>
    <t>FORNECEDOR:</t>
  </si>
  <si>
    <t>OPCIONAL</t>
  </si>
  <si>
    <t>SELECIONÁVEL</t>
  </si>
  <si>
    <t>AUTOMÁTICO</t>
  </si>
  <si>
    <t>PESO TEÓRICO
(Kg)</t>
  </si>
  <si>
    <t>EXPANSÃO CANAIS DE DISTRIBUIÇÃO</t>
  </si>
  <si>
    <t>COMPONENTE</t>
  </si>
  <si>
    <t>Por PC</t>
  </si>
  <si>
    <t>N/A</t>
  </si>
  <si>
    <t>Column4</t>
  </si>
  <si>
    <t>Column16</t>
  </si>
  <si>
    <t>OBSERVAÇÕES</t>
  </si>
  <si>
    <t>COMPRADO OU INDUSTRIALIZADO?</t>
  </si>
  <si>
    <t>1-</t>
  </si>
  <si>
    <t>ctxtRMMG1_REF-MATNR</t>
  </si>
  <si>
    <t>CÓDIGO-REF</t>
  </si>
  <si>
    <t>ctxtRMMG1_REF-VTWEG</t>
  </si>
  <si>
    <t>CANAL DE EXPANSÃO</t>
  </si>
  <si>
    <t>ctxtRMMG1_REF-WERKS</t>
  </si>
  <si>
    <t>ctxtRMMG1_REF-VKORG</t>
  </si>
  <si>
    <t>ctxtMARA-RAUBE</t>
  </si>
  <si>
    <t>CONDI. ESTOC.</t>
  </si>
  <si>
    <t>Z:\Projetos\PROJETOS ESPECIAIS\PJT 1800 (PURLINS)\Solicitação de Cadastro - Suportes Especiais\Unilogística Business Park S.A\2021-11-03_JP_Cad.2021365(REV01).xlsm</t>
  </si>
  <si>
    <t>Juliano Erthal Paim</t>
  </si>
  <si>
    <t>UNILOGÍSTICA BUSINESS PARK S.A</t>
  </si>
  <si>
    <t>Venda direta</t>
  </si>
  <si>
    <t>Material em aço ASTM A36 ou similar; Pintura líquida Ral 9006.</t>
  </si>
  <si>
    <t>Metal Basso.</t>
  </si>
  <si>
    <t>Suporte CP12021365</t>
  </si>
  <si>
    <t>Comprado</t>
  </si>
  <si>
    <t>73,12</t>
  </si>
  <si>
    <t>Suporte CP22021365</t>
  </si>
  <si>
    <t>Suporte CP32021365</t>
  </si>
  <si>
    <t>Suporte CP42021365</t>
  </si>
  <si>
    <t>Suporte SP3P2021365</t>
  </si>
  <si>
    <t>Suporte SP5P2021365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</si>
</sst>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R$&quot;\ * #,##0.00_-;\-&quot;R$&quot;\ * #,##0.00_-;_-&quot;R$&quot;\ * &quot;-&quot;??_-;_-@_-"/>
  </numFmts>
  <fonts count="13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u/>
      <sz val="10"/>
      <color theme="1"/>
      <name val="voestalpine"/>
      <family val="2"/>
    </font>
    <font>
      <sz val="10"/>
      <color theme="1"/>
      <name val="Trebuchet MS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auto="1"/>
      </top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/>
      <diagonal/>
    </border>
  </borders>
  <cellStyleXfs count="10">
    <xf numFmtId="0" fontId="0" fillId="0" borderId="0"/>
    <xf numFmtId="0" fontId="1" fillId="0" borderId="0"/>
    <xf numFmtId="44" fontId="12" fillId="0" borderId="0" applyFont="0" applyFill="0" applyBorder="0" applyAlignment="0" applyProtection="0"/>
    <xf numFmtId="0" fontId="2" fillId="3" borderId="9" applyNumberFormat="0" applyProtection="0">
      <alignment vertical="center"/>
      <protection locked="0"/>
    </xf>
    <xf numFmtId="49" fontId="2" fillId="5" borderId="9" applyNumberFormat="0">
      <alignment vertical="center"/>
    </xf>
    <xf numFmtId="0" fontId="2" fillId="9" borderId="9" applyFont="0">
      <alignment vertical="center"/>
      <protection locked="0"/>
    </xf>
    <xf numFmtId="0" fontId="2" fillId="7" borderId="9" applyNumberFormat="0" applyProtection="0">
      <alignment vertical="center"/>
      <protection locked="0"/>
    </xf>
    <xf numFmtId="0" fontId="2" fillId="6" borderId="9">
      <alignment vertical="center"/>
    </xf>
    <xf numFmtId="0" fontId="2" fillId="8" borderId="9">
      <alignment horizontal="center" vertical="center"/>
      <protection locked="0"/>
    </xf>
    <xf numFmtId="0" fontId="4" fillId="2" borderId="2">
      <alignment horizontal="center" vertical="center"/>
    </xf>
  </cellStyleXfs>
  <cellXfs count="109">
    <xf numFmtId="0" fontId="0" fillId="0" borderId="0" xfId="0"/>
    <xf numFmtId="0" fontId="2" fillId="0" borderId="0" xfId="0" applyFont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49" fontId="2" fillId="3" borderId="3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3" borderId="3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9" fontId="2" fillId="3" borderId="3" xfId="0" applyNumberFormat="1" applyFont="1" applyFill="1" applyBorder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4" fillId="2" borderId="0" xfId="0" applyFont="1" applyFill="1" applyAlignment="1">
      <alignment horizontal="left" vertical="center"/>
    </xf>
    <xf numFmtId="0" fontId="4" fillId="2" borderId="0" xfId="0" applyFont="1" applyFill="1" applyAlignment="1">
      <alignment vertical="center"/>
    </xf>
    <xf numFmtId="0" fontId="2" fillId="3" borderId="4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14" fontId="2" fillId="6" borderId="4" xfId="0" applyNumberFormat="1" applyFont="1" applyFill="1" applyBorder="1" applyAlignment="1">
      <alignment horizontal="center" vertical="center"/>
    </xf>
    <xf numFmtId="14" fontId="2" fillId="0" borderId="4" xfId="0" applyNumberFormat="1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49" fontId="2" fillId="6" borderId="4" xfId="0" applyNumberFormat="1" applyFont="1" applyFill="1" applyBorder="1" applyAlignment="1">
      <alignment horizontal="center" vertical="center"/>
    </xf>
    <xf numFmtId="49" fontId="2" fillId="0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9" fontId="4" fillId="5" borderId="6" xfId="0" applyNumberFormat="1" applyFont="1" applyFill="1" applyBorder="1" applyAlignment="1">
      <alignment horizontal="left" vertical="center"/>
    </xf>
    <xf numFmtId="49" fontId="4" fillId="5" borderId="7" xfId="0" applyNumberFormat="1" applyFont="1" applyFill="1" applyBorder="1" applyAlignment="1">
      <alignment horizontal="left" vertical="center"/>
    </xf>
    <xf numFmtId="49" fontId="4" fillId="5" borderId="8" xfId="0" applyNumberFormat="1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49" fontId="0" fillId="0" borderId="0" xfId="0" applyNumberFormat="1"/>
    <xf numFmtId="49" fontId="2" fillId="5" borderId="6" xfId="0" applyNumberFormat="1" applyFont="1" applyFill="1" applyBorder="1" applyAlignment="1">
      <alignment horizontal="left" vertical="center"/>
    </xf>
    <xf numFmtId="49" fontId="2" fillId="5" borderId="7" xfId="0" applyNumberFormat="1" applyFont="1" applyFill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11" fontId="2" fillId="0" borderId="0" xfId="0" applyNumberFormat="1" applyFont="1" applyAlignment="1">
      <alignment horizontal="center" vertical="center"/>
    </xf>
    <xf numFmtId="11" fontId="2" fillId="0" borderId="0" xfId="0" applyNumberFormat="1" applyFont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2" fillId="6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49" fontId="4" fillId="8" borderId="0" xfId="0" applyNumberFormat="1" applyFont="1" applyFill="1" applyAlignment="1">
      <alignment horizontal="center" vertical="center"/>
    </xf>
    <xf numFmtId="49" fontId="4" fillId="8" borderId="0" xfId="0" applyNumberFormat="1" applyFont="1" applyFill="1" applyAlignment="1">
      <alignment horizontal="right" vertical="center"/>
    </xf>
    <xf numFmtId="49" fontId="2" fillId="8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3" fillId="2" borderId="0" xfId="1" applyFont="1" applyFill="1" applyBorder="1" applyAlignment="1">
      <alignment horizontal="center" vertical="center" wrapText="1"/>
    </xf>
    <xf numFmtId="0" fontId="2" fillId="0" borderId="0" xfId="1" applyFont="1" applyAlignment="1">
      <alignment horizontal="center" vertical="center"/>
    </xf>
    <xf numFmtId="0" fontId="2" fillId="6" borderId="4" xfId="0" applyFont="1" applyFill="1" applyBorder="1" applyAlignment="1">
      <alignment horizontal="left" vertical="center"/>
    </xf>
    <xf numFmtId="0" fontId="2" fillId="3" borderId="4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7" borderId="4" xfId="0" applyNumberFormat="1" applyFont="1" applyFill="1" applyBorder="1" applyAlignment="1">
      <alignment horizontal="center" vertical="center"/>
    </xf>
    <xf numFmtId="0" fontId="2" fillId="0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49" fontId="2" fillId="5" borderId="4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4" fontId="2" fillId="6" borderId="4" xfId="2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right" vertical="center"/>
    </xf>
    <xf numFmtId="2" fontId="2" fillId="7" borderId="4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6" borderId="9" xfId="7" applyAlignment="1">
      <alignment horizontal="center" vertical="center"/>
    </xf>
    <xf numFmtId="0" fontId="2" fillId="5" borderId="9" xfId="4" applyNumberFormat="1" applyAlignment="1">
      <alignment horizontal="center" vertical="center"/>
    </xf>
    <xf numFmtId="0" fontId="2" fillId="6" borderId="1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1" applyFont="1" applyFill="1" applyBorder="1" applyAlignment="1">
      <alignment horizontal="center" vertical="center" wrapText="1"/>
    </xf>
  </cellXfs>
  <cellStyles count="10">
    <cellStyle name="Dados Editáveis" xfId="3"/>
    <cellStyle name="Dados Fixos" xfId="4"/>
    <cellStyle name="Dados Obrigatórios com validação DDs" xfId="5"/>
    <cellStyle name="Dados Opcionais" xfId="6"/>
    <cellStyle name="Fórmulas" xfId="7"/>
    <cellStyle name="Moeda" xfId="2" builtinId="4"/>
    <cellStyle name="Normal" xfId="0" builtinId="0" customBuiltin="1"/>
    <cellStyle name="Normal 2" xfId="1"/>
    <cellStyle name="Script" xfId="8"/>
    <cellStyle name="Títulos" xfId="9"/>
  </cellStyles>
  <dxfs count="19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0" tint="-0.14996795556505021"/>
      </font>
    </dxf>
    <dxf>
      <font>
        <color theme="0" tint="-0.14996795556505021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94"/>
      <tableStyleElement type="headerRow" dxfId="19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9525</xdr:colOff>
          <xdr:row>0</xdr:row>
          <xdr:rowOff>276225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Abrir Seleção de transferência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backgroundRefresh="0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txtMAKT-MAKTX" tableColumnId="20"/>
      <queryTableField id="2" name="Column4" tableColumnId="21"/>
      <queryTableField id="3" name="TIPO DE MATERIAL" tableColumnId="22"/>
      <queryTableField id="4" name="ctxtMARA-MATKL" tableColumnId="23"/>
      <queryTableField id="5" name="txtMARA-BRGEW" tableColumnId="24"/>
      <queryTableField id="6" name="ctxtRCTMS-MWERT[1,0]" tableColumnId="25"/>
      <queryTableField id="7" name="ctxtRCTMS-MWERT[1,0]-1" tableColumnId="26"/>
      <queryTableField id="8" name="ctxtRCTMS-MWERT[1,1]-1" tableColumnId="27"/>
      <queryTableField id="9" name="ctxtRCTMS-MWERT[1,2]-1" tableColumnId="28"/>
      <queryTableField id="10" name="ctxtRCTMS-MWERT[1,3]-1" tableColumnId="29"/>
      <queryTableField id="11" name="ctxtRMMG1-VTWEG" tableColumnId="30"/>
      <queryTableField id="12" name="txtMKAL-TEXT1[1,0]" tableColumnId="31"/>
      <queryTableField id="13" name="txtMBEW-ZPLP1" tableColumnId="32"/>
      <queryTableField id="14" name="Column16" tableColumnId="33"/>
      <queryTableField id="15" name="ctxtMVKE-VRKME" tableColumnId="34"/>
      <queryTableField id="16" name="ctxtRC29P-IDNRK[2,0]" tableColumnId="35"/>
      <queryTableField id="17" name="txtMARA-GROES" tableColumnId="36"/>
      <queryTableField id="18" name="ctxtMARA-PRDHA" tableColumnId="37"/>
      <queryTableField id="19" name="cmbRMMG1-MTART" tableColumnId="3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Estrutura_P01" displayName="Estrutura_P01" ref="A1:S69" tableType="queryTable" totalsRowCount="1">
  <autoFilter ref="A1:S68"/>
  <tableColumns count="19">
    <tableColumn id="20" uniqueName="20" name="txtMAKT-MAKTX" totalsRowLabel="Total" queryTableFieldId="1" dataDxfId="23"/>
    <tableColumn id="21" uniqueName="21" name="Column4" queryTableFieldId="2" dataDxfId="22"/>
    <tableColumn id="22" uniqueName="22" name="TIPO DE MATERIAL" queryTableFieldId="3" dataDxfId="21"/>
    <tableColumn id="23" uniqueName="23" name="ctxtMARA-MATKL" queryTableFieldId="4" dataDxfId="20"/>
    <tableColumn id="24" uniqueName="24" name="txtMARA-BRGEW" queryTableFieldId="5" dataDxfId="19"/>
    <tableColumn id="25" uniqueName="25" name="ctxtRCTMS-MWERT[1,0]" queryTableFieldId="6" dataDxfId="18"/>
    <tableColumn id="26" uniqueName="26" name="ctxtRCTMS-MWERT[1,0]-1" queryTableFieldId="7" dataDxfId="17"/>
    <tableColumn id="27" uniqueName="27" name="ctxtRCTMS-MWERT[1,1]-1" queryTableFieldId="8" dataDxfId="16"/>
    <tableColumn id="28" uniqueName="28" name="ctxtRCTMS-MWERT[1,2]-1" queryTableFieldId="9" dataDxfId="15"/>
    <tableColumn id="29" uniqueName="29" name="ctxtRCTMS-MWERT[1,3]-1" queryTableFieldId="10" dataDxfId="14"/>
    <tableColumn id="30" uniqueName="30" name="ctxtRMMG1-VTWEG" queryTableFieldId="11" dataDxfId="13"/>
    <tableColumn id="31" uniqueName="31" name="txtMKAL-TEXT1[1,0]" queryTableFieldId="12" dataDxfId="12"/>
    <tableColumn id="32" uniqueName="32" name="txtMBEW-ZPLP1" queryTableFieldId="13" dataDxfId="11"/>
    <tableColumn id="33" uniqueName="33" name="Column16" queryTableFieldId="14" dataDxfId="10"/>
    <tableColumn id="34" uniqueName="34" name="ctxtMVKE-VRKME" queryTableFieldId="15" dataDxfId="9"/>
    <tableColumn id="35" uniqueName="35" name="ctxtRC29P-IDNRK[2,0]" queryTableFieldId="16" dataDxfId="8"/>
    <tableColumn id="36" uniqueName="36" name="txtMARA-GROES" queryTableFieldId="17" dataDxfId="7"/>
    <tableColumn id="37" uniqueName="37" name="ctxtMARA-PRDHA" queryTableFieldId="18" dataDxfId="6"/>
    <tableColumn id="38" uniqueName="38" name="cmbRMMG1-MTART" totalsRowFunction="count" queryTableFieldId="19" dataDxfId="5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table" Target="../tables/table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DT30"/>
  <sheetViews>
    <sheetView showGridLines="0" showRowColHeaders="0" tabSelected="1" workbookViewId="0">
      <pane xSplit="3" ySplit="4" topLeftCell="DT5" activePane="bottomRight" state="frozen"/>
      <selection pane="topRight" activeCell="D1" sqref="D1"/>
      <selection pane="bottomLeft" activeCell="A5" sqref="A5"/>
      <selection pane="bottomRight" activeCell="BQ5" sqref="BQ5:BQ30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44" style="6" customWidth="1"/>
    <col min="4" max="4" width="19.85546875" style="6" hidden="1" customWidth="1"/>
    <col min="5" max="5" width="26.28515625" style="6" hidden="1" customWidth="1"/>
    <col min="6" max="6" width="18.42578125" style="6" customWidth="1"/>
    <col min="7" max="8" width="18.7109375" style="6" customWidth="1"/>
    <col min="9" max="10" width="18.140625" style="6" hidden="1" customWidth="1" outlineLevel="1"/>
    <col min="11" max="11" width="18.5703125" style="6" hidden="1" customWidth="1" outlineLevel="1"/>
    <col min="12" max="12" width="23.42578125" style="6" hidden="1" customWidth="1" outlineLevel="1"/>
    <col min="13" max="13" width="18.85546875" style="6" hidden="1" customWidth="1" outlineLevel="1"/>
    <col min="14" max="14" width="11.7109375" style="6" customWidth="1" collapsed="1"/>
    <col min="15" max="16" width="15" style="6" hidden="1" customWidth="1" outlineLevel="1"/>
    <col min="17" max="17" width="12.28515625" style="6" hidden="1" customWidth="1" outlineLevel="1"/>
    <col min="18" max="19" width="21.7109375" style="6" hidden="1" customWidth="1" outlineLevel="1"/>
    <col min="20" max="20" width="22.28515625" style="6" hidden="1" customWidth="1" outlineLevel="1"/>
    <col min="21" max="21" width="28.140625" style="6" hidden="1" customWidth="1" outlineLevel="1"/>
    <col min="22" max="22" width="8.7109375" style="6" hidden="1" customWidth="1" outlineLevel="1"/>
    <col min="23" max="23" width="28.140625" style="6" hidden="1" customWidth="1" outlineLevel="1"/>
    <col min="24" max="29" width="9.140625" style="6" hidden="1" customWidth="1" outlineLevel="1"/>
    <col min="30" max="30" width="26.42578125" style="6" hidden="1" customWidth="1" outlineLevel="1"/>
    <col min="31" max="32" width="26.5703125" style="6" hidden="1" customWidth="1" outlineLevel="1"/>
    <col min="33" max="34" width="9.140625" style="6" hidden="1" customWidth="1" outlineLevel="1"/>
    <col min="35" max="35" width="25.85546875" style="6" hidden="1" customWidth="1" outlineLevel="1"/>
    <col min="36" max="37" width="15" style="6" hidden="1" customWidth="1" outlineLevel="1"/>
    <col min="38" max="39" width="17.5703125" style="6" hidden="1" customWidth="1" outlineLevel="1"/>
    <col min="40" max="41" width="9.140625" style="6" hidden="1" customWidth="1" outlineLevel="1"/>
    <col min="42" max="42" width="19.140625" style="6" customWidth="1" collapsed="1"/>
    <col min="43" max="43" width="18.28515625" style="6" customWidth="1"/>
    <col min="44" max="44" width="20.140625" style="6" customWidth="1"/>
    <col min="45" max="45" width="14.85546875" style="6" customWidth="1"/>
    <col min="46" max="46" width="19.42578125" style="6" customWidth="1"/>
    <col min="47" max="47" width="18.140625" style="6" customWidth="1"/>
    <col min="48" max="48" width="17" style="6" customWidth="1"/>
    <col min="49" max="49" width="28.5703125" style="6" customWidth="1"/>
    <col min="50" max="50" width="23.28515625" style="6" customWidth="1"/>
    <col min="51" max="51" width="18.7109375" style="6" customWidth="1"/>
    <col min="52" max="52" width="16" style="6" customWidth="1"/>
    <col min="53" max="53" width="17" style="6" customWidth="1"/>
    <col min="54" max="54" width="20" style="6" customWidth="1"/>
    <col min="55" max="55" width="24.28515625" style="6" customWidth="1"/>
    <col min="56" max="56" width="22" style="6" hidden="1" customWidth="1" outlineLevel="1"/>
    <col min="57" max="57" width="22.42578125" style="6" hidden="1" customWidth="1" outlineLevel="1"/>
    <col min="58" max="58" width="21.7109375" style="6" hidden="1" customWidth="1" outlineLevel="1"/>
    <col min="59" max="59" width="14" style="6" hidden="1" customWidth="1" outlineLevel="1"/>
    <col min="60" max="60" width="28.5703125" style="6" customWidth="1" collapsed="1"/>
    <col min="61" max="67" width="23.140625" style="6" customWidth="1"/>
    <col min="68" max="68" width="16.42578125" style="6" customWidth="1"/>
    <col min="69" max="69" width="17" style="6" customWidth="1"/>
    <col min="70" max="70" width="26.28515625" style="6" customWidth="1"/>
    <col min="71" max="71" width="21.140625" style="6" customWidth="1"/>
    <col min="72" max="72" width="16" style="6" customWidth="1"/>
    <col min="73" max="73" width="17.5703125" style="6" customWidth="1"/>
    <col min="74" max="74" width="16.5703125" style="6" customWidth="1"/>
    <col min="75" max="75" width="16.42578125" style="6" customWidth="1"/>
    <col min="76" max="76" width="17.42578125" style="6" customWidth="1"/>
    <col min="77" max="78" width="16.42578125" style="6" customWidth="1"/>
    <col min="79" max="79" width="16.7109375" style="6" customWidth="1"/>
    <col min="80" max="81" width="16.28515625" style="6" customWidth="1"/>
    <col min="82" max="82" width="16.42578125" style="6" customWidth="1"/>
    <col min="83" max="83" width="16.140625" style="6" customWidth="1"/>
    <col min="84" max="84" width="16.7109375" style="6" customWidth="1"/>
    <col min="85" max="85" width="17.5703125" style="6" customWidth="1"/>
    <col min="86" max="86" width="19.85546875" style="6" customWidth="1"/>
    <col min="87" max="87" width="16.140625" style="6" customWidth="1"/>
    <col min="88" max="88" width="20.140625" style="6" customWidth="1"/>
    <col min="89" max="89" width="21.7109375" style="6" customWidth="1"/>
    <col min="90" max="90" width="21" style="6" customWidth="1"/>
    <col min="91" max="91" width="17.42578125" style="6" customWidth="1"/>
    <col min="92" max="92" width="18.28515625" style="6" customWidth="1"/>
    <col min="93" max="93" width="18.7109375" style="6" customWidth="1"/>
    <col min="94" max="94" width="17.7109375" style="6" customWidth="1"/>
    <col min="95" max="95" width="18.85546875" style="6" customWidth="1"/>
    <col min="96" max="96" width="15.85546875" style="6" customWidth="1"/>
    <col min="97" max="97" width="17.7109375" style="6" customWidth="1"/>
    <col min="98" max="98" width="16.140625" style="6" customWidth="1"/>
    <col min="99" max="99" width="18.140625" style="6" customWidth="1"/>
    <col min="100" max="100" width="19.140625" style="6" customWidth="1"/>
    <col min="101" max="101" width="20.7109375" style="6" customWidth="1"/>
    <col min="102" max="102" width="20.5703125" style="6" customWidth="1" outlineLevel="1"/>
    <col min="103" max="103" width="18.5703125" style="6" customWidth="1" outlineLevel="1"/>
    <col min="104" max="104" width="20.7109375" style="6" customWidth="1" outlineLevel="1"/>
    <col min="105" max="105" width="20.5703125" style="6" customWidth="1" outlineLevel="1"/>
    <col min="106" max="106" width="22.7109375" style="6" customWidth="1"/>
    <col min="107" max="107" width="15.85546875" style="6" customWidth="1"/>
    <col min="108" max="108" width="20.5703125" style="6" customWidth="1"/>
    <col min="109" max="109" width="16.5703125" style="6" bestFit="1" customWidth="1"/>
    <col min="110" max="110" width="22.42578125" style="6" customWidth="1"/>
    <col min="111" max="111" width="17.85546875" style="6" customWidth="1"/>
    <col min="112" max="112" width="16.7109375" style="6" customWidth="1"/>
    <col min="113" max="113" width="17.42578125" style="6" customWidth="1"/>
    <col min="114" max="114" width="28.5703125" style="6" customWidth="1"/>
    <col min="115" max="115" width="17.42578125" style="6" customWidth="1"/>
    <col min="116" max="116" width="18.5703125" style="6" customWidth="1"/>
    <col min="117" max="117" width="16.7109375" style="6" customWidth="1"/>
    <col min="118" max="119" width="17.7109375" style="6" customWidth="1"/>
    <col min="120" max="120" width="23" style="6" customWidth="1"/>
    <col min="121" max="123" width="20.85546875" style="6" customWidth="1"/>
    <col min="124" max="124" width="75.7109375" style="1" customWidth="1"/>
    <col min="125" max="125" width="22" style="1" customWidth="1"/>
    <col min="126" max="16384" width="9.140625" style="1"/>
  </cols>
  <sheetData>
    <row r="1" spans="1:124" s="71" customFormat="1" x14ac:dyDescent="0.2">
      <c r="A1" s="7" t="s">
        <v>28</v>
      </c>
      <c r="N1" s="107" t="s">
        <v>170</v>
      </c>
      <c r="AP1" s="107" t="s">
        <v>127</v>
      </c>
      <c r="BH1" s="105" t="s">
        <v>311</v>
      </c>
      <c r="BI1" s="105" t="s">
        <v>842</v>
      </c>
      <c r="BJ1" s="70"/>
      <c r="BK1" s="87"/>
      <c r="BL1" s="87"/>
      <c r="BM1" s="87"/>
      <c r="BN1" s="87"/>
      <c r="BO1" s="87"/>
      <c r="CL1" s="91"/>
      <c r="CM1" s="91"/>
      <c r="DB1" s="105" t="s">
        <v>845</v>
      </c>
      <c r="DE1" s="101"/>
      <c r="DR1" s="91"/>
      <c r="DS1" s="91"/>
    </row>
    <row r="2" spans="1:124" s="40" customFormat="1" x14ac:dyDescent="0.2">
      <c r="A2" s="7"/>
      <c r="B2" s="39"/>
      <c r="C2" s="71"/>
      <c r="D2" s="71"/>
      <c r="E2" s="71"/>
      <c r="F2" s="71" t="s">
        <v>982</v>
      </c>
      <c r="G2" s="71"/>
      <c r="H2" s="71"/>
      <c r="I2" s="71"/>
      <c r="J2" s="71"/>
      <c r="K2" s="71"/>
      <c r="L2" s="71"/>
      <c r="M2" s="71"/>
      <c r="N2" s="107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107"/>
      <c r="AQ2" s="71"/>
      <c r="AR2" s="71" t="s">
        <v>982</v>
      </c>
      <c r="AS2" s="71"/>
      <c r="AT2" s="71"/>
      <c r="AU2" s="71" t="s">
        <v>982</v>
      </c>
      <c r="AV2" s="71"/>
      <c r="AW2" s="71"/>
      <c r="AX2" s="71"/>
      <c r="AY2" s="71" t="s">
        <v>982</v>
      </c>
      <c r="AZ2" s="71"/>
      <c r="BA2" s="71"/>
      <c r="BB2" s="71"/>
      <c r="BC2" s="71" t="s">
        <v>982</v>
      </c>
      <c r="BD2" s="71"/>
      <c r="BE2" s="71"/>
      <c r="BF2" s="71"/>
      <c r="BG2" s="71"/>
      <c r="BH2" s="105"/>
      <c r="BI2" s="105"/>
      <c r="BJ2" s="70"/>
      <c r="BK2" s="87" t="s">
        <v>982</v>
      </c>
      <c r="BL2" s="87" t="s">
        <v>982</v>
      </c>
      <c r="BM2" s="87" t="s">
        <v>982</v>
      </c>
      <c r="BN2" s="87" t="s">
        <v>982</v>
      </c>
      <c r="BO2" s="87" t="s">
        <v>982</v>
      </c>
      <c r="BP2" s="71" t="s">
        <v>982</v>
      </c>
      <c r="BQ2" s="71"/>
      <c r="BR2" s="71"/>
      <c r="BS2" s="71"/>
      <c r="BT2" s="71"/>
      <c r="BU2" s="71"/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91"/>
      <c r="CM2" s="91"/>
      <c r="CN2" s="71"/>
      <c r="CO2" s="71"/>
      <c r="CP2" s="71"/>
      <c r="CQ2" s="71"/>
      <c r="CR2" s="71"/>
      <c r="CS2" s="71"/>
      <c r="CT2" s="71"/>
      <c r="CU2" s="71"/>
      <c r="CV2" s="71"/>
      <c r="CW2" s="71"/>
      <c r="CX2" s="71"/>
      <c r="CY2" s="71" t="s">
        <v>522</v>
      </c>
      <c r="CZ2" s="71"/>
      <c r="DA2" s="71"/>
      <c r="DB2" s="105"/>
      <c r="DC2" s="71"/>
      <c r="DD2" s="71"/>
      <c r="DE2" s="10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91" t="s">
        <v>982</v>
      </c>
      <c r="DS2" s="91"/>
    </row>
    <row r="3" spans="1:124" s="9" customFormat="1" ht="15" customHeight="1" x14ac:dyDescent="0.2">
      <c r="A3" s="7" t="s">
        <v>29</v>
      </c>
      <c r="B3" s="4" t="s">
        <v>94</v>
      </c>
      <c r="C3" s="16" t="s">
        <v>163</v>
      </c>
      <c r="D3" s="68" t="s">
        <v>838</v>
      </c>
      <c r="E3" s="68" t="s">
        <v>837</v>
      </c>
      <c r="F3" s="72" t="s">
        <v>98</v>
      </c>
      <c r="G3" s="68" t="s">
        <v>94</v>
      </c>
      <c r="H3" s="13" t="s">
        <v>96</v>
      </c>
      <c r="I3" s="72" t="s">
        <v>156</v>
      </c>
      <c r="J3" s="72" t="s">
        <v>158</v>
      </c>
      <c r="K3" s="72" t="s">
        <v>157</v>
      </c>
      <c r="L3" s="72" t="s">
        <v>160</v>
      </c>
      <c r="M3" s="13" t="s">
        <v>161</v>
      </c>
      <c r="N3" s="16"/>
      <c r="O3" s="106" t="s">
        <v>155</v>
      </c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  <c r="AA3" s="106"/>
      <c r="AB3" s="106"/>
      <c r="AC3" s="106"/>
      <c r="AD3" s="106"/>
      <c r="AE3" s="106"/>
      <c r="AF3" s="106"/>
      <c r="AG3" s="106"/>
      <c r="AH3" s="106"/>
      <c r="AI3" s="106"/>
      <c r="AJ3" s="106"/>
      <c r="AK3" s="106"/>
      <c r="AL3" s="106"/>
      <c r="AM3" s="106"/>
      <c r="AN3" s="106"/>
      <c r="AO3" s="106"/>
      <c r="AP3" s="13"/>
      <c r="AQ3" s="16" t="s">
        <v>164</v>
      </c>
      <c r="AR3" s="16" t="s">
        <v>166</v>
      </c>
      <c r="AS3" s="16" t="s">
        <v>168</v>
      </c>
      <c r="AT3" s="16" t="s">
        <v>171</v>
      </c>
      <c r="AU3" s="16" t="s">
        <v>184</v>
      </c>
      <c r="AV3" s="16" t="s">
        <v>288</v>
      </c>
      <c r="AW3" s="16" t="s">
        <v>290</v>
      </c>
      <c r="AX3" s="28" t="s">
        <v>739</v>
      </c>
      <c r="AY3" s="16" t="s">
        <v>294</v>
      </c>
      <c r="AZ3" s="16" t="s">
        <v>296</v>
      </c>
      <c r="BA3" s="16" t="s">
        <v>297</v>
      </c>
      <c r="BB3" s="16" t="s">
        <v>300</v>
      </c>
      <c r="BC3" s="16" t="s">
        <v>302</v>
      </c>
      <c r="BD3" s="18" t="s">
        <v>304</v>
      </c>
      <c r="BE3" s="18" t="s">
        <v>305</v>
      </c>
      <c r="BF3" s="18" t="s">
        <v>308</v>
      </c>
      <c r="BG3" s="18"/>
      <c r="BH3" s="18"/>
      <c r="BI3" s="18" t="s">
        <v>312</v>
      </c>
      <c r="BJ3" s="72" t="s">
        <v>843</v>
      </c>
      <c r="BK3" s="88" t="s">
        <v>947</v>
      </c>
      <c r="BL3" s="88" t="s">
        <v>948</v>
      </c>
      <c r="BM3" s="88" t="s">
        <v>949</v>
      </c>
      <c r="BN3" s="88" t="s">
        <v>950</v>
      </c>
      <c r="BO3" s="88" t="s">
        <v>951</v>
      </c>
      <c r="BP3" s="21" t="s">
        <v>316</v>
      </c>
      <c r="BQ3" s="21" t="s">
        <v>318</v>
      </c>
      <c r="BR3" s="21" t="s">
        <v>319</v>
      </c>
      <c r="BS3" s="21" t="s">
        <v>322</v>
      </c>
      <c r="BT3" s="21" t="s">
        <v>352</v>
      </c>
      <c r="BU3" s="21" t="s">
        <v>354</v>
      </c>
      <c r="BV3" s="21" t="s">
        <v>356</v>
      </c>
      <c r="BW3" s="28" t="s">
        <v>736</v>
      </c>
      <c r="BX3" s="21" t="s">
        <v>358</v>
      </c>
      <c r="BY3" s="21" t="s">
        <v>360</v>
      </c>
      <c r="BZ3" s="21" t="s">
        <v>374</v>
      </c>
      <c r="CA3" s="21" t="s">
        <v>376</v>
      </c>
      <c r="CB3" s="21" t="s">
        <v>378</v>
      </c>
      <c r="CC3" s="21" t="s">
        <v>380</v>
      </c>
      <c r="CD3" s="21" t="s">
        <v>383</v>
      </c>
      <c r="CE3" s="21" t="s">
        <v>385</v>
      </c>
      <c r="CF3" s="21" t="s">
        <v>401</v>
      </c>
      <c r="CG3" s="21" t="s">
        <v>402</v>
      </c>
      <c r="CH3" s="21" t="s">
        <v>417</v>
      </c>
      <c r="CI3" s="21" t="s">
        <v>480</v>
      </c>
      <c r="CJ3" s="21" t="s">
        <v>482</v>
      </c>
      <c r="CK3" s="21" t="s">
        <v>490</v>
      </c>
      <c r="CL3" s="90" t="s">
        <v>957</v>
      </c>
      <c r="CM3" s="90" t="s">
        <v>886</v>
      </c>
      <c r="CN3" s="21" t="s">
        <v>484</v>
      </c>
      <c r="CO3" s="21" t="s">
        <v>495</v>
      </c>
      <c r="CP3" s="21" t="s">
        <v>496</v>
      </c>
      <c r="CQ3" s="21" t="s">
        <v>499</v>
      </c>
      <c r="CR3" s="21" t="s">
        <v>501</v>
      </c>
      <c r="CS3" s="21" t="s">
        <v>503</v>
      </c>
      <c r="CT3" s="21" t="s">
        <v>506</v>
      </c>
      <c r="CU3" s="21" t="s">
        <v>508</v>
      </c>
      <c r="CV3" s="21" t="s">
        <v>510</v>
      </c>
      <c r="CW3" s="21" t="s">
        <v>512</v>
      </c>
      <c r="CX3" s="26" t="s">
        <v>628</v>
      </c>
      <c r="CY3" s="26" t="s">
        <v>629</v>
      </c>
      <c r="CZ3" s="26" t="s">
        <v>711</v>
      </c>
      <c r="DA3" s="26" t="s">
        <v>712</v>
      </c>
      <c r="DB3" s="32"/>
      <c r="DC3" s="26" t="s">
        <v>713</v>
      </c>
      <c r="DD3" s="26" t="s">
        <v>715</v>
      </c>
      <c r="DE3" s="100" t="s">
        <v>1024</v>
      </c>
      <c r="DF3" s="72" t="s">
        <v>886</v>
      </c>
      <c r="DG3" s="26" t="s">
        <v>717</v>
      </c>
      <c r="DH3" s="26" t="s">
        <v>719</v>
      </c>
      <c r="DI3" s="72" t="s">
        <v>721</v>
      </c>
      <c r="DJ3" s="26" t="s">
        <v>723</v>
      </c>
      <c r="DK3" s="55" t="s">
        <v>725</v>
      </c>
      <c r="DL3" s="26" t="s">
        <v>727</v>
      </c>
      <c r="DM3" s="26" t="s">
        <v>728</v>
      </c>
      <c r="DN3" s="61" t="s">
        <v>730</v>
      </c>
      <c r="DO3" s="61" t="s">
        <v>833</v>
      </c>
      <c r="DP3" s="26" t="s">
        <v>732</v>
      </c>
      <c r="DQ3" s="26" t="s">
        <v>734</v>
      </c>
      <c r="DR3" s="90" t="s">
        <v>960</v>
      </c>
      <c r="DS3" s="90" t="s">
        <v>963</v>
      </c>
      <c r="DT3" s="52" t="s">
        <v>32</v>
      </c>
    </row>
    <row r="4" spans="1:124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840</v>
      </c>
      <c r="E4" s="14" t="s">
        <v>841</v>
      </c>
      <c r="F4" s="14" t="s">
        <v>99</v>
      </c>
      <c r="G4" s="3" t="s">
        <v>839</v>
      </c>
      <c r="H4" s="14" t="s">
        <v>97</v>
      </c>
      <c r="I4" s="14" t="s">
        <v>0</v>
      </c>
      <c r="J4" s="14" t="s">
        <v>1</v>
      </c>
      <c r="K4" s="14" t="s">
        <v>159</v>
      </c>
      <c r="L4" s="14" t="s">
        <v>2</v>
      </c>
      <c r="M4" s="14" t="s">
        <v>162</v>
      </c>
      <c r="N4" s="14"/>
      <c r="O4" s="14" t="s">
        <v>128</v>
      </c>
      <c r="P4" s="14" t="s">
        <v>129</v>
      </c>
      <c r="Q4" s="14" t="s">
        <v>130</v>
      </c>
      <c r="R4" s="14" t="s">
        <v>131</v>
      </c>
      <c r="S4" s="14" t="s">
        <v>132</v>
      </c>
      <c r="T4" s="14" t="s">
        <v>133</v>
      </c>
      <c r="U4" s="14" t="s">
        <v>134</v>
      </c>
      <c r="V4" s="14" t="s">
        <v>135</v>
      </c>
      <c r="W4" s="14" t="s">
        <v>136</v>
      </c>
      <c r="X4" s="14" t="s">
        <v>137</v>
      </c>
      <c r="Y4" s="14" t="s">
        <v>138</v>
      </c>
      <c r="Z4" s="14" t="s">
        <v>139</v>
      </c>
      <c r="AA4" s="14" t="s">
        <v>140</v>
      </c>
      <c r="AB4" s="14" t="s">
        <v>141</v>
      </c>
      <c r="AC4" s="14" t="s">
        <v>142</v>
      </c>
      <c r="AD4" s="14" t="s">
        <v>143</v>
      </c>
      <c r="AE4" s="14" t="s">
        <v>144</v>
      </c>
      <c r="AF4" s="14" t="s">
        <v>145</v>
      </c>
      <c r="AG4" s="14" t="s">
        <v>146</v>
      </c>
      <c r="AH4" s="14" t="s">
        <v>147</v>
      </c>
      <c r="AI4" s="14" t="s">
        <v>148</v>
      </c>
      <c r="AJ4" s="14" t="s">
        <v>149</v>
      </c>
      <c r="AK4" s="14" t="s">
        <v>150</v>
      </c>
      <c r="AL4" s="14" t="s">
        <v>151</v>
      </c>
      <c r="AM4" s="14" t="s">
        <v>152</v>
      </c>
      <c r="AN4" s="14" t="s">
        <v>153</v>
      </c>
      <c r="AO4" s="14" t="s">
        <v>154</v>
      </c>
      <c r="AP4" s="14"/>
      <c r="AQ4" s="14" t="s">
        <v>165</v>
      </c>
      <c r="AR4" s="14" t="s">
        <v>167</v>
      </c>
      <c r="AS4" s="14" t="s">
        <v>169</v>
      </c>
      <c r="AT4" s="14" t="s">
        <v>172</v>
      </c>
      <c r="AU4" s="14" t="s">
        <v>185</v>
      </c>
      <c r="AV4" s="14" t="s">
        <v>289</v>
      </c>
      <c r="AW4" s="14" t="s">
        <v>291</v>
      </c>
      <c r="AX4" s="14" t="s">
        <v>740</v>
      </c>
      <c r="AY4" s="14" t="s">
        <v>888</v>
      </c>
      <c r="AZ4" s="14" t="s">
        <v>295</v>
      </c>
      <c r="BA4" s="14" t="s">
        <v>298</v>
      </c>
      <c r="BB4" s="14" t="s">
        <v>301</v>
      </c>
      <c r="BC4" s="14" t="s">
        <v>303</v>
      </c>
      <c r="BD4" s="14" t="s">
        <v>306</v>
      </c>
      <c r="BE4" s="14" t="s">
        <v>307</v>
      </c>
      <c r="BF4" s="14" t="s">
        <v>309</v>
      </c>
      <c r="BG4" s="14" t="s">
        <v>310</v>
      </c>
      <c r="BH4" s="14"/>
      <c r="BI4" s="14"/>
      <c r="BJ4" s="14" t="s">
        <v>844</v>
      </c>
      <c r="BK4" s="5" t="s">
        <v>952</v>
      </c>
      <c r="BL4" s="5" t="s">
        <v>953</v>
      </c>
      <c r="BM4" s="5" t="s">
        <v>954</v>
      </c>
      <c r="BN4" s="5" t="s">
        <v>955</v>
      </c>
      <c r="BO4" s="5" t="s">
        <v>956</v>
      </c>
      <c r="BP4" s="14" t="s">
        <v>317</v>
      </c>
      <c r="BQ4" s="14" t="s">
        <v>320</v>
      </c>
      <c r="BR4" s="14" t="s">
        <v>321</v>
      </c>
      <c r="BS4" s="14" t="s">
        <v>323</v>
      </c>
      <c r="BT4" s="14" t="s">
        <v>353</v>
      </c>
      <c r="BU4" s="14" t="s">
        <v>355</v>
      </c>
      <c r="BV4" s="14" t="s">
        <v>357</v>
      </c>
      <c r="BW4" s="14" t="s">
        <v>737</v>
      </c>
      <c r="BX4" s="14" t="s">
        <v>359</v>
      </c>
      <c r="BY4" s="14" t="s">
        <v>361</v>
      </c>
      <c r="BZ4" s="14" t="s">
        <v>375</v>
      </c>
      <c r="CA4" s="14" t="s">
        <v>377</v>
      </c>
      <c r="CB4" s="14" t="s">
        <v>379</v>
      </c>
      <c r="CC4" s="14" t="s">
        <v>381</v>
      </c>
      <c r="CD4" s="14" t="s">
        <v>384</v>
      </c>
      <c r="CE4" s="14" t="s">
        <v>386</v>
      </c>
      <c r="CF4" s="14" t="s">
        <v>33</v>
      </c>
      <c r="CG4" s="14" t="s">
        <v>403</v>
      </c>
      <c r="CH4" s="14" t="s">
        <v>418</v>
      </c>
      <c r="CI4" s="14" t="s">
        <v>481</v>
      </c>
      <c r="CJ4" s="14" t="s">
        <v>483</v>
      </c>
      <c r="CK4" s="14" t="s">
        <v>491</v>
      </c>
      <c r="CL4" s="14" t="s">
        <v>958</v>
      </c>
      <c r="CM4" s="14" t="s">
        <v>959</v>
      </c>
      <c r="CN4" s="14" t="s">
        <v>485</v>
      </c>
      <c r="CO4" s="14" t="s">
        <v>498</v>
      </c>
      <c r="CP4" s="14" t="s">
        <v>497</v>
      </c>
      <c r="CQ4" s="14" t="s">
        <v>500</v>
      </c>
      <c r="CR4" s="14" t="s">
        <v>502</v>
      </c>
      <c r="CS4" s="14" t="s">
        <v>504</v>
      </c>
      <c r="CT4" s="14" t="s">
        <v>507</v>
      </c>
      <c r="CU4" s="14" t="s">
        <v>509</v>
      </c>
      <c r="CV4" s="14" t="s">
        <v>511</v>
      </c>
      <c r="CW4" s="14" t="s">
        <v>513</v>
      </c>
      <c r="CX4" s="14" t="s">
        <v>631</v>
      </c>
      <c r="CY4" s="14" t="s">
        <v>630</v>
      </c>
      <c r="CZ4" s="14" t="s">
        <v>626</v>
      </c>
      <c r="DA4" s="14" t="s">
        <v>627</v>
      </c>
      <c r="DB4" s="14"/>
      <c r="DC4" s="14" t="s">
        <v>714</v>
      </c>
      <c r="DD4" s="14" t="s">
        <v>716</v>
      </c>
      <c r="DE4" s="14" t="s">
        <v>1025</v>
      </c>
      <c r="DF4" s="14" t="s">
        <v>887</v>
      </c>
      <c r="DG4" s="14" t="s">
        <v>718</v>
      </c>
      <c r="DH4" s="14" t="s">
        <v>720</v>
      </c>
      <c r="DI4" s="14" t="s">
        <v>722</v>
      </c>
      <c r="DJ4" s="14" t="s">
        <v>724</v>
      </c>
      <c r="DK4" s="14" t="s">
        <v>726</v>
      </c>
      <c r="DL4" s="14" t="s">
        <v>724</v>
      </c>
      <c r="DM4" s="14" t="s">
        <v>729</v>
      </c>
      <c r="DN4" s="14" t="s">
        <v>731</v>
      </c>
      <c r="DO4" s="14" t="s">
        <v>834</v>
      </c>
      <c r="DP4" s="14" t="s">
        <v>733</v>
      </c>
      <c r="DQ4" s="14" t="s">
        <v>735</v>
      </c>
      <c r="DR4" s="14" t="s">
        <v>961</v>
      </c>
      <c r="DS4" s="14" t="s">
        <v>962</v>
      </c>
      <c r="DT4" s="5" t="s">
        <v>832</v>
      </c>
    </row>
    <row r="5" spans="1:124" x14ac:dyDescent="0.2">
      <c r="A5" s="7" t="str">
        <f>"Execução "&amp;ROW()-4</f>
        <v>Execução 1</v>
      </c>
      <c r="B5" s="76"/>
      <c r="C5" s="82"/>
      <c r="D5" s="69" t="str">
        <f>IF(I5="","",I5)</f>
        <v>0582</v>
      </c>
      <c r="E5" s="69" t="str">
        <f>IF(F5="","",F5)</f>
        <v/>
      </c>
      <c r="F5" s="42" t="str">
        <f>IFERROR(IF(INDEX(Estrutura_P01[],MATCH($C5,Estrutura_P01[txtMAKT-MAKTX],0),MATCH(F$3,Estrutura_P01[#Headers],0))=0,"",INDEX(Estrutura_P01[],MATCH($C5,Estrutura_P01[txtMAKT-MAKTX],0),MATCH(F$3,Estrutura_P01[#Headers],0))),"")</f>
        <v/>
      </c>
      <c r="G5" s="42" t="str">
        <f>IF(B5="","",B5)</f>
        <v/>
      </c>
      <c r="H5" s="43" t="s">
        <v>100</v>
      </c>
      <c r="I5" s="89" t="s">
        <v>9</v>
      </c>
      <c r="J5" s="89" t="s">
        <v>18</v>
      </c>
      <c r="K5" s="42" t="str">
        <f>I5</f>
        <v>0582</v>
      </c>
      <c r="L5" s="89" t="s">
        <v>6</v>
      </c>
      <c r="M5" s="42" t="str">
        <f>RIGHT(I5,3)</f>
        <v>582</v>
      </c>
      <c r="O5" s="44" t="s">
        <v>101</v>
      </c>
      <c r="P5" s="44" t="s">
        <v>102</v>
      </c>
      <c r="Q5" s="44" t="s">
        <v>103</v>
      </c>
      <c r="R5" s="44" t="s">
        <v>104</v>
      </c>
      <c r="S5" s="44" t="s">
        <v>105</v>
      </c>
      <c r="T5" s="44" t="s">
        <v>106</v>
      </c>
      <c r="U5" s="44" t="s">
        <v>107</v>
      </c>
      <c r="V5" s="44" t="s">
        <v>109</v>
      </c>
      <c r="W5" s="44" t="s">
        <v>110</v>
      </c>
      <c r="X5" s="44"/>
      <c r="Y5" s="44"/>
      <c r="Z5" s="44" t="s">
        <v>112</v>
      </c>
      <c r="AA5" s="44" t="s">
        <v>113</v>
      </c>
      <c r="AB5" s="44" t="s">
        <v>114</v>
      </c>
      <c r="AC5" s="44" t="s">
        <v>115</v>
      </c>
      <c r="AD5" s="44" t="s">
        <v>117</v>
      </c>
      <c r="AE5" s="44" t="s">
        <v>118</v>
      </c>
      <c r="AF5" s="44" t="s">
        <v>119</v>
      </c>
      <c r="AG5" s="44"/>
      <c r="AH5" s="44"/>
      <c r="AI5" s="44" t="s">
        <v>122</v>
      </c>
      <c r="AJ5" s="44" t="s">
        <v>123</v>
      </c>
      <c r="AK5" s="44" t="s">
        <v>124</v>
      </c>
      <c r="AL5" s="44" t="s">
        <v>125</v>
      </c>
      <c r="AM5" s="44" t="s">
        <v>126</v>
      </c>
      <c r="AN5" s="44"/>
      <c r="AO5" s="44"/>
      <c r="AQ5" s="42" t="str">
        <f>IF(F5="MFER","PC","M")</f>
        <v>M</v>
      </c>
      <c r="AR5" s="42" t="str">
        <f>IFERROR(IF(INDEX(Estrutura_P01[],MATCH($C5,Estrutura_P01[txtMAKT-MAKTX],0),MATCH(AR$3,Estrutura_P01[#Headers],0))=0,"",INDEX(Estrutura_P01[],MATCH($C5,Estrutura_P01[txtMAKT-MAKTX],0),MATCH(AR$3,Estrutura_P01[#Headers],0))),"")</f>
        <v/>
      </c>
      <c r="AS5" s="44"/>
      <c r="AT5" s="47"/>
      <c r="AU5" s="42" t="str">
        <f>IFERROR(IF(INDEX(Estrutura_P01[],MATCH($C5,Estrutura_P01[txtMAKT-MAKTX],0),MATCH(AU$3,Estrutura_P01[#Headers],0))=0,"",INDEX(Estrutura_P01[],MATCH($C5,Estrutura_P01[txtMAKT-MAKTX],0),MATCH(AU$3,Estrutura_P01[#Headers],0))),"")</f>
        <v/>
      </c>
      <c r="AV5" s="44"/>
      <c r="AW5" s="45" t="str">
        <f ca="1">IF(AV5&lt;&gt;0,TEXT(TODAY(),"DD.MM.AAAA"),"")</f>
        <v/>
      </c>
      <c r="AX5" s="46" t="s">
        <v>738</v>
      </c>
      <c r="AY5" s="42" t="str">
        <f>IFERROR(IF(INDEX(Estrutura_P01[],MATCH($C5,Estrutura_P01[txtMAKT-MAKTX],0),MATCH(AY$3,Estrutura_P01[#Headers],0))=0,"",INDEX(Estrutura_P01[],MATCH($C5,Estrutura_P01[txtMAKT-MAKTX],0),MATCH(AY$3,Estrutura_P01[#Headers],0))),"")</f>
        <v/>
      </c>
      <c r="AZ5" s="42" t="str">
        <f>IFERROR(IF(AY5&lt;&gt;0,ROUND(AY5,3),""),"")</f>
        <v/>
      </c>
      <c r="BA5" s="47" t="s">
        <v>299</v>
      </c>
      <c r="BB5" s="47" t="s">
        <v>943</v>
      </c>
      <c r="BC5" s="42" t="str">
        <f>IFERROR(IF(INDEX(Estrutura_P01[],MATCH($C5,Estrutura_P01[txtMAKT-MAKTX],0),MATCH(BC$3,Estrutura_P01[#Headers],0))=0,"",INDEX(Estrutura_P01[],MATCH($C5,Estrutura_P01[txtMAKT-MAKTX],0),MATCH(BC$3,Estrutura_P01[#Headers],0))),"")</f>
        <v/>
      </c>
      <c r="BD5" s="42" t="str">
        <f>IFERROR(IF(LEN(ROUND(AY5,3)*1000)&gt;5,ROUND(AY5,2)*100,ROUND(AY5,3)*1000),"")</f>
        <v/>
      </c>
      <c r="BE5" s="42" t="str">
        <f>IF(BD5="","",BA5)</f>
        <v/>
      </c>
      <c r="BF5" s="42" t="str">
        <f>IFERROR(IF(LEN(ROUND(AY5,3)*1000)&gt;5,100,1000),"")</f>
        <v/>
      </c>
      <c r="BG5" s="42" t="str">
        <f>AQ5</f>
        <v>M</v>
      </c>
      <c r="BI5" s="43" t="s">
        <v>944</v>
      </c>
      <c r="BJ5" s="43" t="s">
        <v>945</v>
      </c>
      <c r="BK5" s="42" t="str">
        <f>IFERROR(IF(INDEX(Estrutura_P01[],MATCH($C5,Estrutura_P01[txtMAKT-MAKTX],0),MATCH(BK$3,Estrutura_P01[#Headers],0))=0,"",INDEX(Estrutura_P01[],MATCH($C5,Estrutura_P01[txtMAKT-MAKTX],0),MATCH(BK$3,Estrutura_P01[#Headers],0))),"")</f>
        <v/>
      </c>
      <c r="BL5" s="42" t="str">
        <f>IFERROR(IF(INDEX(Estrutura_P01[],MATCH($C5,Estrutura_P01[txtMAKT-MAKTX],0),MATCH(BL$3,Estrutura_P01[#Headers],0))=0,"",INDEX(Estrutura_P01[],MATCH($C5,Estrutura_P01[txtMAKT-MAKTX],0),MATCH(BL$3,Estrutura_P01[#Headers],0))),"")</f>
        <v/>
      </c>
      <c r="BM5" s="42" t="str">
        <f>IFERROR(IF(INDEX(Estrutura_P01[],MATCH($C5,Estrutura_P01[txtMAKT-MAKTX],0),MATCH(BM$3,Estrutura_P01[#Headers],0))=0,"",INDEX(Estrutura_P01[],MATCH($C5,Estrutura_P01[txtMAKT-MAKTX],0),MATCH(BM$3,Estrutura_P01[#Headers],0))),"")</f>
        <v/>
      </c>
      <c r="BN5" s="42" t="str">
        <f>IFERROR(IF(INDEX(Estrutura_P01[],MATCH($C5,Estrutura_P01[txtMAKT-MAKTX],0),MATCH(BN$3,Estrutura_P01[#Headers],0))=0,"",INDEX(Estrutura_P01[],MATCH($C5,Estrutura_P01[txtMAKT-MAKTX],0),MATCH(BN$3,Estrutura_P01[#Headers],0))),"")</f>
        <v/>
      </c>
      <c r="BO5" s="42" t="str">
        <f>IFERROR(IF(INDEX(Estrutura_P01[],MATCH($C5,Estrutura_P01[txtMAKT-MAKTX],0),MATCH(BO$3,Estrutura_P01[#Headers],0))=0,"",INDEX(Estrutura_P01[],MATCH($C5,Estrutura_P01[txtMAKT-MAKTX],0),MATCH(BO$3,Estrutura_P01[#Headers],0))),"")</f>
        <v/>
      </c>
      <c r="BP5" s="42" t="str">
        <f>IFERROR(IF(OR(INDEX(Estrutura_P01[],MATCH($C5,Estrutura_P01[txtMAKT-MAKTX],0),MATCH(BP$3,Estrutura_P01[#Headers],0))=0,INDEX(Estrutura_P01[],MATCH($C5,Estrutura_P01[txtMAKT-MAKTX],0),MATCH(BP$3,Estrutura_P01[#Headers],0))=AQ5),"",INDEX(Estrutura_P01[],MATCH($C5,Estrutura_P01[txtMAKT-MAKTX],0),MATCH(BP$3,Estrutura_P01[#Headers],0))),"")</f>
        <v/>
      </c>
      <c r="BQ5" s="44">
        <v>99</v>
      </c>
      <c r="BR5" s="45" t="str">
        <f ca="1">IF(BQ5&lt;&gt;0,TEXT(TODAY(),"DD.MM.AAAA"),"")</f>
        <v>24.05.2022</v>
      </c>
      <c r="BS5" s="48" t="str">
        <f>I5</f>
        <v>0582</v>
      </c>
      <c r="BT5" s="49">
        <v>1</v>
      </c>
      <c r="BU5" s="49" t="s">
        <v>194</v>
      </c>
      <c r="BV5" s="102" t="str">
        <f>IF(AT5="68","20","01")</f>
        <v>01</v>
      </c>
      <c r="BW5" s="49" t="s">
        <v>738</v>
      </c>
      <c r="BX5" s="43">
        <v>1</v>
      </c>
      <c r="BY5" s="43" t="s">
        <v>366</v>
      </c>
      <c r="BZ5" s="49" t="s">
        <v>197</v>
      </c>
      <c r="CA5" s="49" t="s">
        <v>197</v>
      </c>
      <c r="CB5" s="47" t="s">
        <v>942</v>
      </c>
      <c r="CC5" s="43" t="s">
        <v>382</v>
      </c>
      <c r="CD5" s="49">
        <v>0</v>
      </c>
      <c r="CE5" s="44" t="s">
        <v>394</v>
      </c>
      <c r="CF5" s="44" t="s">
        <v>34</v>
      </c>
      <c r="CG5" s="42" t="str">
        <f>IF(AND(CJ5="F",CK5="30"),"999",RIGHT(I5,3))</f>
        <v>582</v>
      </c>
      <c r="CH5" s="44" t="s">
        <v>420</v>
      </c>
      <c r="CI5" s="43">
        <v>0</v>
      </c>
      <c r="CJ5" s="42" t="str">
        <f>IF(F5:F5="MFER","F","E")</f>
        <v>E</v>
      </c>
      <c r="CK5" s="102" t="str">
        <f>IF(AND(CJ5="F",CY5&lt;&gt;""),30,"")</f>
        <v/>
      </c>
      <c r="CL5" s="47">
        <v>1</v>
      </c>
      <c r="CM5" s="47">
        <v>1</v>
      </c>
      <c r="CN5" s="43"/>
      <c r="CO5" s="48" t="str">
        <f>J5</f>
        <v>0330</v>
      </c>
      <c r="CP5" s="48" t="str">
        <f>J5</f>
        <v>0330</v>
      </c>
      <c r="CQ5" s="42" t="str">
        <f>IF(AND(CJ5="F",CK5="Z1"),1,IF(CJ5="F",15,""))</f>
        <v/>
      </c>
      <c r="CR5" s="43">
        <v>1</v>
      </c>
      <c r="CS5" s="49" t="s">
        <v>505</v>
      </c>
      <c r="CT5" s="43" t="s">
        <v>36</v>
      </c>
      <c r="CU5" s="43">
        <v>2</v>
      </c>
      <c r="CV5" s="43">
        <v>42</v>
      </c>
      <c r="CW5" s="43">
        <v>10</v>
      </c>
      <c r="CX5" s="42">
        <f>IF(CY5&lt;&gt;0,1,"")</f>
        <v>1</v>
      </c>
      <c r="CY5" s="42" t="str">
        <f>IFERROR(IF(INDEX(Estrutura_P01[],MATCH($C5,Estrutura_P01[txtMAKT-MAKTX],0),MATCH(CY$3,Estrutura_P01[#Headers],0))=0,"",IF(INDEX(Estrutura_P01[],MATCH($C5,Estrutura_P01[txtMAKT-MAKTX],0),MATCH(CY$3,Estrutura_P01[#Headers],0))="Industrializado","SUB_0582","")),"")</f>
        <v/>
      </c>
      <c r="CZ5" s="42" t="str">
        <f ca="1">IF(CY5&lt;&gt;0,TEXT(TODAY(),"dd.mm.aaaa"),"")</f>
        <v>24.05.2022</v>
      </c>
      <c r="DA5" s="42" t="str">
        <f>IF(CY5&lt;&gt;0,"31.12.9999","")</f>
        <v>31.12.9999</v>
      </c>
      <c r="DC5" s="43">
        <v>1</v>
      </c>
      <c r="DD5" s="43" t="s">
        <v>946</v>
      </c>
      <c r="DE5" s="43">
        <v>30</v>
      </c>
      <c r="DF5" s="43">
        <v>1</v>
      </c>
      <c r="DG5" s="42">
        <f t="shared" ref="DG5:DG30" si="0">IF(OR(AQ5="M",AQ5="KG"),0.01,1)</f>
        <v>0.01</v>
      </c>
      <c r="DH5" s="42" t="str">
        <f t="shared" ref="DH5:DH30" si="1">AQ5</f>
        <v>M</v>
      </c>
      <c r="DI5" s="42" t="str">
        <f t="shared" ref="DI5:DI30" si="2">IF(OR(F5="MFER",F5="KMAT",F5="DFER",F5="FERT"),7925,"")</f>
        <v/>
      </c>
      <c r="DJ5" s="43">
        <v>1000</v>
      </c>
      <c r="DK5" s="69">
        <f t="shared" ref="DK5:DK30" si="3">IF(CJ5="F",IF(CK5=30,1,0),1)</f>
        <v>1</v>
      </c>
      <c r="DL5" s="42">
        <f>DJ5</f>
        <v>1000</v>
      </c>
      <c r="DM5" s="43">
        <v>1</v>
      </c>
      <c r="DN5" s="43">
        <v>0</v>
      </c>
      <c r="DO5" s="43" t="s">
        <v>759</v>
      </c>
      <c r="DP5" s="44">
        <v>0</v>
      </c>
      <c r="DQ5" s="43">
        <v>1000</v>
      </c>
      <c r="DR5" s="94" t="str">
        <f>IFERROR(IF(INDEX(Estrutura_P01[],MATCH($C5,Estrutura_P01[txtMAKT-MAKTX],0),MATCH(DR$3,Estrutura_P01[#Headers],0))=0,"",INDEX(Estrutura_P01[],MATCH($C5,Estrutura_P01[txtMAKT-MAKTX],0),MATCH(DR$3,Estrutura_P01[#Headers],0)))*DQ5,"")</f>
        <v/>
      </c>
      <c r="DS5" s="42" t="str">
        <f ca="1">IF(DR5&lt;&gt;"",TEXT(TODAY(),"DD.MM.AA"),"")</f>
        <v/>
      </c>
      <c r="DT5" s="58"/>
    </row>
    <row r="6" spans="1:124" x14ac:dyDescent="0.2">
      <c r="A6" s="7" t="str">
        <f t="shared" ref="A6:A30" si="4">"Execução "&amp;ROW()-4</f>
        <v>Execução 2</v>
      </c>
      <c r="B6" s="76"/>
      <c r="C6" s="82"/>
      <c r="D6" s="69" t="str">
        <f t="shared" ref="D6:D30" si="5">IF(I6="","",I6)</f>
        <v>0582</v>
      </c>
      <c r="E6" s="69" t="str">
        <f t="shared" ref="E6:E30" si="6">IF(F6="","",F6)</f>
        <v/>
      </c>
      <c r="F6" s="42" t="str">
        <f>IFERROR(IF(INDEX(Estrutura_P01[],MATCH($C6,Estrutura_P01[txtMAKT-MAKTX],0),MATCH(F$3,Estrutura_P01[#Headers],0))=0,"",INDEX(Estrutura_P01[],MATCH($C6,Estrutura_P01[txtMAKT-MAKTX],0),MATCH(F$3,Estrutura_P01[#Headers],0))),"")</f>
        <v/>
      </c>
      <c r="G6" s="42" t="str">
        <f t="shared" ref="G6:G30" si="7">IF(B6="","",B6)</f>
        <v/>
      </c>
      <c r="H6" s="43" t="s">
        <v>100</v>
      </c>
      <c r="I6" s="89" t="s">
        <v>9</v>
      </c>
      <c r="J6" s="89" t="s">
        <v>18</v>
      </c>
      <c r="K6" s="42" t="str">
        <f t="shared" ref="K6:K30" si="8">I6</f>
        <v>0582</v>
      </c>
      <c r="L6" s="89" t="s">
        <v>6</v>
      </c>
      <c r="M6" s="42" t="str">
        <f t="shared" ref="M6:M30" si="9">RIGHT(I6,3)</f>
        <v>582</v>
      </c>
      <c r="O6" s="44" t="s">
        <v>101</v>
      </c>
      <c r="P6" s="44" t="s">
        <v>102</v>
      </c>
      <c r="Q6" s="44" t="s">
        <v>103</v>
      </c>
      <c r="R6" s="44" t="s">
        <v>104</v>
      </c>
      <c r="S6" s="44" t="s">
        <v>105</v>
      </c>
      <c r="T6" s="44" t="s">
        <v>106</v>
      </c>
      <c r="U6" s="44" t="s">
        <v>107</v>
      </c>
      <c r="V6" s="44" t="s">
        <v>109</v>
      </c>
      <c r="W6" s="44" t="s">
        <v>110</v>
      </c>
      <c r="X6" s="44"/>
      <c r="Y6" s="44"/>
      <c r="Z6" s="44" t="s">
        <v>112</v>
      </c>
      <c r="AA6" s="44" t="s">
        <v>113</v>
      </c>
      <c r="AB6" s="44" t="s">
        <v>114</v>
      </c>
      <c r="AC6" s="44" t="s">
        <v>115</v>
      </c>
      <c r="AD6" s="44" t="s">
        <v>117</v>
      </c>
      <c r="AE6" s="44" t="s">
        <v>118</v>
      </c>
      <c r="AF6" s="44" t="s">
        <v>119</v>
      </c>
      <c r="AG6" s="44"/>
      <c r="AH6" s="44"/>
      <c r="AI6" s="44" t="s">
        <v>122</v>
      </c>
      <c r="AJ6" s="44" t="s">
        <v>123</v>
      </c>
      <c r="AK6" s="44" t="s">
        <v>124</v>
      </c>
      <c r="AL6" s="44" t="s">
        <v>125</v>
      </c>
      <c r="AM6" s="44" t="s">
        <v>126</v>
      </c>
      <c r="AN6" s="44"/>
      <c r="AO6" s="44"/>
      <c r="AQ6" s="42" t="str">
        <f t="shared" ref="AQ6:AQ30" si="10">IF(F6="MFER","PC","M")</f>
        <v>M</v>
      </c>
      <c r="AR6" s="42" t="str">
        <f>IFERROR(IF(INDEX(Estrutura_P01[],MATCH($C6,Estrutura_P01[txtMAKT-MAKTX],0),MATCH(AR$3,Estrutura_P01[#Headers],0))=0,"",INDEX(Estrutura_P01[],MATCH($C6,Estrutura_P01[txtMAKT-MAKTX],0),MATCH(AR$3,Estrutura_P01[#Headers],0))),"")</f>
        <v/>
      </c>
      <c r="AS6" s="44"/>
      <c r="AT6" s="47"/>
      <c r="AU6" s="42" t="str">
        <f>IFERROR(IF(INDEX(Estrutura_P01[],MATCH($C6,Estrutura_P01[txtMAKT-MAKTX],0),MATCH(AU$3,Estrutura_P01[#Headers],0))=0,"",INDEX(Estrutura_P01[],MATCH($C6,Estrutura_P01[txtMAKT-MAKTX],0),MATCH(AU$3,Estrutura_P01[#Headers],0))),"")</f>
        <v/>
      </c>
      <c r="AV6" s="44"/>
      <c r="AW6" s="45" t="str">
        <f t="shared" ref="AW6:AW30" ca="1" si="11">IF(AV6&lt;&gt;0,TEXT(TODAY(),"DD.MM.AAAA"),"")</f>
        <v/>
      </c>
      <c r="AX6" s="46" t="s">
        <v>738</v>
      </c>
      <c r="AY6" s="42" t="str">
        <f>IFERROR(IF(INDEX(Estrutura_P01[],MATCH($C6,Estrutura_P01[txtMAKT-MAKTX],0),MATCH(AY$3,Estrutura_P01[#Headers],0))=0,"",INDEX(Estrutura_P01[],MATCH($C6,Estrutura_P01[txtMAKT-MAKTX],0),MATCH(AY$3,Estrutura_P01[#Headers],0))),"")</f>
        <v/>
      </c>
      <c r="AZ6" s="42" t="str">
        <f t="shared" ref="AZ6:AZ30" si="12">IFERROR(IF(AY6&lt;&gt;0,ROUND(AY6,3),""),"")</f>
        <v/>
      </c>
      <c r="BA6" s="47" t="s">
        <v>299</v>
      </c>
      <c r="BB6" s="47" t="s">
        <v>943</v>
      </c>
      <c r="BC6" s="42" t="str">
        <f>IFERROR(IF(INDEX(Estrutura_P01[],MATCH($C6,Estrutura_P01[txtMAKT-MAKTX],0),MATCH(BC$3,Estrutura_P01[#Headers],0))=0,"",INDEX(Estrutura_P01[],MATCH($C6,Estrutura_P01[txtMAKT-MAKTX],0),MATCH(BC$3,Estrutura_P01[#Headers],0))),"")</f>
        <v/>
      </c>
      <c r="BD6" s="42" t="str">
        <f t="shared" ref="BD6:BD30" si="13">IFERROR(IF(LEN(ROUND(AY6,3)*1000)&gt;5,ROUND(AY6,2)*100,ROUND(AY6,3)*1000),"")</f>
        <v/>
      </c>
      <c r="BE6" s="42" t="str">
        <f t="shared" ref="BE6:BE30" si="14">IF(BD6="","",BA6)</f>
        <v/>
      </c>
      <c r="BF6" s="42" t="str">
        <f t="shared" ref="BF6:BF30" si="15">IFERROR(IF(LEN(ROUND(AY6,3)*1000)&gt;5,100,1000),"")</f>
        <v/>
      </c>
      <c r="BG6" s="42" t="str">
        <f t="shared" ref="BG6:BG30" si="16">AQ6</f>
        <v>M</v>
      </c>
      <c r="BI6" s="43" t="s">
        <v>944</v>
      </c>
      <c r="BJ6" s="43" t="s">
        <v>945</v>
      </c>
      <c r="BK6" s="42" t="str">
        <f>IFERROR(IF(INDEX(Estrutura_P01[],MATCH($C6,Estrutura_P01[txtMAKT-MAKTX],0),MATCH(BK$3,Estrutura_P01[#Headers],0))=0,"",INDEX(Estrutura_P01[],MATCH($C6,Estrutura_P01[txtMAKT-MAKTX],0),MATCH(BK$3,Estrutura_P01[#Headers],0))),"")</f>
        <v/>
      </c>
      <c r="BL6" s="42" t="str">
        <f>IFERROR(IF(INDEX(Estrutura_P01[],MATCH($C6,Estrutura_P01[txtMAKT-MAKTX],0),MATCH(BL4,Estrutura_P01[#Headers],0))=0,"",INDEX(Estrutura_P01[],MATCH($C6,Estrutura_P01[txtMAKT-MAKTX],0),MATCH(BL4,Estrutura_P01[#Headers],0))),"")</f>
        <v/>
      </c>
      <c r="BM6" s="42" t="str">
        <f>IFERROR(IF(INDEX(Estrutura_P01[],MATCH($C6,Estrutura_P01[txtMAKT-MAKTX],0),MATCH(BM4,Estrutura_P01[#Headers],0))=0,"",INDEX(Estrutura_P01[],MATCH($C6,Estrutura_P01[txtMAKT-MAKTX],0),MATCH(BM4,Estrutura_P01[#Headers],0))),"")</f>
        <v/>
      </c>
      <c r="BN6" s="42" t="str">
        <f>IFERROR(IF(INDEX(Estrutura_P01[],MATCH($C6,Estrutura_P01[txtMAKT-MAKTX],0),MATCH(BN4,Estrutura_P01[#Headers],0))=0,"",INDEX(Estrutura_P01[],MATCH($C6,Estrutura_P01[txtMAKT-MAKTX],0),MATCH(BN4,Estrutura_P01[#Headers],0))),"")</f>
        <v/>
      </c>
      <c r="BO6" s="42" t="str">
        <f>IFERROR(IF(INDEX(Estrutura_P01[],MATCH($C6,Estrutura_P01[txtMAKT-MAKTX],0),MATCH(BO4,Estrutura_P01[#Headers],0))=0,"",INDEX(Estrutura_P01[],MATCH($C6,Estrutura_P01[txtMAKT-MAKTX],0),MATCH(BO4,Estrutura_P01[#Headers],0))),"")</f>
        <v/>
      </c>
      <c r="BP6" s="42" t="str">
        <f>IFERROR(IF(OR(INDEX(Estrutura_P01[],MATCH($C6,Estrutura_P01[txtMAKT-MAKTX],0),MATCH(BP$3,Estrutura_P01[#Headers],0))=0,INDEX(Estrutura_P01[],MATCH($C6,Estrutura_P01[txtMAKT-MAKTX],0),MATCH(BP$3,Estrutura_P01[#Headers],0))=AQ6),"",INDEX(Estrutura_P01[],MATCH($C6,Estrutura_P01[txtMAKT-MAKTX],0),MATCH(BP$3,Estrutura_P01[#Headers],0))),"")</f>
        <v/>
      </c>
      <c r="BQ6" s="44">
        <v>99</v>
      </c>
      <c r="BR6" s="45" t="str">
        <f t="shared" ref="BR6:BR30" ca="1" si="17">IF(BQ6&lt;&gt;0,TEXT(TODAY(),"DD.MM.AAAA"),"")</f>
        <v>24.05.2022</v>
      </c>
      <c r="BS6" s="48" t="str">
        <f t="shared" ref="BS6:BS30" si="18">I6</f>
        <v>0582</v>
      </c>
      <c r="BT6" s="49">
        <v>1</v>
      </c>
      <c r="BU6" s="49" t="s">
        <v>194</v>
      </c>
      <c r="BV6" s="102" t="str">
        <f t="shared" ref="BV6:BV30" si="19">IF(AT6="68","20","01")</f>
        <v>01</v>
      </c>
      <c r="BW6" s="49" t="s">
        <v>738</v>
      </c>
      <c r="BX6" s="43">
        <v>1</v>
      </c>
      <c r="BY6" s="43" t="s">
        <v>366</v>
      </c>
      <c r="BZ6" s="49" t="s">
        <v>197</v>
      </c>
      <c r="CA6" s="49" t="s">
        <v>197</v>
      </c>
      <c r="CB6" s="47" t="s">
        <v>942</v>
      </c>
      <c r="CC6" s="43" t="s">
        <v>382</v>
      </c>
      <c r="CD6" s="49">
        <v>0</v>
      </c>
      <c r="CE6" s="44" t="s">
        <v>394</v>
      </c>
      <c r="CF6" s="44" t="s">
        <v>34</v>
      </c>
      <c r="CG6" s="42" t="str">
        <f t="shared" ref="CG6:CG30" si="20">IF(AND(CJ6="F",CK6="30"),"999",RIGHT(I6,3))</f>
        <v>582</v>
      </c>
      <c r="CH6" s="44" t="s">
        <v>420</v>
      </c>
      <c r="CI6" s="43">
        <v>0</v>
      </c>
      <c r="CJ6" s="42" t="str">
        <f t="shared" ref="CJ6:CJ30" si="21">IF(F6:F6="MFER","F","E")</f>
        <v>E</v>
      </c>
      <c r="CK6" s="102" t="str">
        <f t="shared" ref="CK6:CK30" si="22">IF(AND(CJ6="F",CY6&lt;&gt;""),30,"")</f>
        <v/>
      </c>
      <c r="CL6" s="47">
        <v>1</v>
      </c>
      <c r="CM6" s="47">
        <v>1</v>
      </c>
      <c r="CN6" s="43"/>
      <c r="CO6" s="48" t="str">
        <f t="shared" ref="CO6:CO30" si="23">J6</f>
        <v>0330</v>
      </c>
      <c r="CP6" s="48" t="str">
        <f t="shared" ref="CP6:CP30" si="24">J6</f>
        <v>0330</v>
      </c>
      <c r="CQ6" s="42" t="str">
        <f t="shared" ref="CQ6:CQ30" si="25">IF(AND(CJ6="F",CK6="Z1"),1,IF(CJ6="F",15,""))</f>
        <v/>
      </c>
      <c r="CR6" s="43">
        <v>1</v>
      </c>
      <c r="CS6" s="49" t="s">
        <v>505</v>
      </c>
      <c r="CT6" s="43" t="s">
        <v>36</v>
      </c>
      <c r="CU6" s="43">
        <v>2</v>
      </c>
      <c r="CV6" s="43">
        <v>42</v>
      </c>
      <c r="CW6" s="43">
        <v>10</v>
      </c>
      <c r="CX6" s="42">
        <f t="shared" ref="CX6:CX30" si="26">IF(CY6&lt;&gt;0,1,"")</f>
        <v>1</v>
      </c>
      <c r="CY6" s="42" t="str">
        <f>IFERROR(IF(INDEX(Estrutura_P01[],MATCH($C6,Estrutura_P01[txtMAKT-MAKTX],0),MATCH(CY$3,Estrutura_P01[#Headers],0))=0,"",IF(INDEX(Estrutura_P01[],MATCH($C6,Estrutura_P01[txtMAKT-MAKTX],0),MATCH(CY$3,Estrutura_P01[#Headers],0))="Industrializado","SUB_0582","")),"")</f>
        <v/>
      </c>
      <c r="CZ6" s="42" t="str">
        <f t="shared" ref="CZ6:CZ30" ca="1" si="27">IF(CY6&lt;&gt;0,TEXT(TODAY(),"dd.mm.aaaa"),"")</f>
        <v>24.05.2022</v>
      </c>
      <c r="DA6" s="42" t="str">
        <f t="shared" ref="DA6:DA30" si="28">IF(CY6&lt;&gt;0,"31.12.9999","")</f>
        <v>31.12.9999</v>
      </c>
      <c r="DC6" s="43">
        <v>1</v>
      </c>
      <c r="DD6" s="43" t="s">
        <v>946</v>
      </c>
      <c r="DE6" s="43">
        <v>30</v>
      </c>
      <c r="DF6" s="43">
        <v>1</v>
      </c>
      <c r="DG6" s="42">
        <f t="shared" si="0"/>
        <v>0.01</v>
      </c>
      <c r="DH6" s="42" t="str">
        <f t="shared" si="1"/>
        <v>M</v>
      </c>
      <c r="DI6" s="42" t="str">
        <f t="shared" si="2"/>
        <v/>
      </c>
      <c r="DJ6" s="43">
        <v>1000</v>
      </c>
      <c r="DK6" s="69">
        <f t="shared" si="3"/>
        <v>1</v>
      </c>
      <c r="DL6" s="42">
        <f t="shared" ref="DL6:DL30" si="29">DJ6</f>
        <v>1000</v>
      </c>
      <c r="DM6" s="43">
        <v>1</v>
      </c>
      <c r="DN6" s="43">
        <v>0</v>
      </c>
      <c r="DO6" s="43" t="s">
        <v>759</v>
      </c>
      <c r="DP6" s="44">
        <v>0</v>
      </c>
      <c r="DQ6" s="43">
        <v>1000</v>
      </c>
      <c r="DR6" s="94" t="str">
        <f>IFERROR(IF(INDEX(Estrutura_P01[],MATCH($C6,Estrutura_P01[txtMAKT-MAKTX],0),MATCH(DR$3,Estrutura_P01[#Headers],0))=0,"",INDEX(Estrutura_P01[],MATCH($C6,Estrutura_P01[txtMAKT-MAKTX],0),MATCH(DR$3,Estrutura_P01[#Headers],0)))*DQ6,"")</f>
        <v/>
      </c>
      <c r="DS6" s="42" t="str">
        <f t="shared" ref="DS6:DS30" ca="1" si="30">IF(DR6&lt;&gt;"",TEXT(TODAY(),"DD.MM.AA"),"")</f>
        <v/>
      </c>
      <c r="DT6" s="58"/>
    </row>
    <row r="7" spans="1:124" x14ac:dyDescent="0.2">
      <c r="A7" s="7" t="str">
        <f t="shared" si="4"/>
        <v>Execução 3</v>
      </c>
      <c r="B7" s="76"/>
      <c r="C7" s="82"/>
      <c r="D7" s="69" t="str">
        <f t="shared" si="5"/>
        <v>0582</v>
      </c>
      <c r="E7" s="69" t="str">
        <f t="shared" si="6"/>
        <v/>
      </c>
      <c r="F7" s="42" t="str">
        <f>IFERROR(IF(INDEX(Estrutura_P01[],MATCH($C7,Estrutura_P01[txtMAKT-MAKTX],0),MATCH(F$3,Estrutura_P01[#Headers],0))=0,"",INDEX(Estrutura_P01[],MATCH($C7,Estrutura_P01[txtMAKT-MAKTX],0),MATCH(F$3,Estrutura_P01[#Headers],0))),"")</f>
        <v/>
      </c>
      <c r="G7" s="42" t="str">
        <f t="shared" si="7"/>
        <v/>
      </c>
      <c r="H7" s="43" t="s">
        <v>100</v>
      </c>
      <c r="I7" s="89" t="s">
        <v>9</v>
      </c>
      <c r="J7" s="89" t="s">
        <v>18</v>
      </c>
      <c r="K7" s="42" t="str">
        <f t="shared" si="8"/>
        <v>0582</v>
      </c>
      <c r="L7" s="89" t="s">
        <v>6</v>
      </c>
      <c r="M7" s="42" t="str">
        <f t="shared" si="9"/>
        <v>582</v>
      </c>
      <c r="O7" s="44" t="s">
        <v>101</v>
      </c>
      <c r="P7" s="44" t="s">
        <v>102</v>
      </c>
      <c r="Q7" s="44" t="s">
        <v>103</v>
      </c>
      <c r="R7" s="44" t="s">
        <v>104</v>
      </c>
      <c r="S7" s="44" t="s">
        <v>105</v>
      </c>
      <c r="T7" s="44" t="s">
        <v>106</v>
      </c>
      <c r="U7" s="44" t="s">
        <v>107</v>
      </c>
      <c r="V7" s="44" t="s">
        <v>109</v>
      </c>
      <c r="W7" s="44" t="s">
        <v>110</v>
      </c>
      <c r="X7" s="44"/>
      <c r="Y7" s="44"/>
      <c r="Z7" s="44" t="s">
        <v>112</v>
      </c>
      <c r="AA7" s="44" t="s">
        <v>113</v>
      </c>
      <c r="AB7" s="44" t="s">
        <v>114</v>
      </c>
      <c r="AC7" s="44" t="s">
        <v>115</v>
      </c>
      <c r="AD7" s="44" t="s">
        <v>117</v>
      </c>
      <c r="AE7" s="44" t="s">
        <v>118</v>
      </c>
      <c r="AF7" s="44" t="s">
        <v>119</v>
      </c>
      <c r="AG7" s="44"/>
      <c r="AH7" s="44"/>
      <c r="AI7" s="44" t="s">
        <v>122</v>
      </c>
      <c r="AJ7" s="44" t="s">
        <v>123</v>
      </c>
      <c r="AK7" s="44" t="s">
        <v>124</v>
      </c>
      <c r="AL7" s="44" t="s">
        <v>125</v>
      </c>
      <c r="AM7" s="44" t="s">
        <v>126</v>
      </c>
      <c r="AN7" s="44"/>
      <c r="AO7" s="44"/>
      <c r="AQ7" s="42" t="str">
        <f t="shared" si="10"/>
        <v>M</v>
      </c>
      <c r="AR7" s="42" t="str">
        <f>IFERROR(IF(INDEX(Estrutura_P01[],MATCH($C7,Estrutura_P01[txtMAKT-MAKTX],0),MATCH(AR$3,Estrutura_P01[#Headers],0))=0,"",INDEX(Estrutura_P01[],MATCH($C7,Estrutura_P01[txtMAKT-MAKTX],0),MATCH(AR$3,Estrutura_P01[#Headers],0))),"")</f>
        <v/>
      </c>
      <c r="AS7" s="44"/>
      <c r="AT7" s="47"/>
      <c r="AU7" s="42" t="str">
        <f>IFERROR(IF(INDEX(Estrutura_P01[],MATCH($C7,Estrutura_P01[txtMAKT-MAKTX],0),MATCH(AU$3,Estrutura_P01[#Headers],0))=0,"",INDEX(Estrutura_P01[],MATCH($C7,Estrutura_P01[txtMAKT-MAKTX],0),MATCH(AU$3,Estrutura_P01[#Headers],0))),"")</f>
        <v/>
      </c>
      <c r="AV7" s="44"/>
      <c r="AW7" s="45" t="str">
        <f t="shared" ca="1" si="11"/>
        <v/>
      </c>
      <c r="AX7" s="46" t="s">
        <v>738</v>
      </c>
      <c r="AY7" s="42" t="str">
        <f>IFERROR(IF(INDEX(Estrutura_P01[],MATCH($C7,Estrutura_P01[txtMAKT-MAKTX],0),MATCH(AY$3,Estrutura_P01[#Headers],0))=0,"",INDEX(Estrutura_P01[],MATCH($C7,Estrutura_P01[txtMAKT-MAKTX],0),MATCH(AY$3,Estrutura_P01[#Headers],0))),"")</f>
        <v/>
      </c>
      <c r="AZ7" s="42" t="str">
        <f t="shared" si="12"/>
        <v/>
      </c>
      <c r="BA7" s="47" t="s">
        <v>299</v>
      </c>
      <c r="BB7" s="47" t="s">
        <v>943</v>
      </c>
      <c r="BC7" s="42" t="str">
        <f>IFERROR(IF(INDEX(Estrutura_P01[],MATCH($C7,Estrutura_P01[txtMAKT-MAKTX],0),MATCH(BC$3,Estrutura_P01[#Headers],0))=0,"",INDEX(Estrutura_P01[],MATCH($C7,Estrutura_P01[txtMAKT-MAKTX],0),MATCH(BC$3,Estrutura_P01[#Headers],0))),"")</f>
        <v/>
      </c>
      <c r="BD7" s="42" t="str">
        <f t="shared" si="13"/>
        <v/>
      </c>
      <c r="BE7" s="42" t="str">
        <f t="shared" si="14"/>
        <v/>
      </c>
      <c r="BF7" s="42" t="str">
        <f t="shared" si="15"/>
        <v/>
      </c>
      <c r="BG7" s="42" t="str">
        <f t="shared" si="16"/>
        <v>M</v>
      </c>
      <c r="BI7" s="43" t="s">
        <v>944</v>
      </c>
      <c r="BJ7" s="43" t="s">
        <v>945</v>
      </c>
      <c r="BK7" s="42" t="str">
        <f>IFERROR(IF(INDEX(Estrutura_P01[],MATCH($C7,Estrutura_P01[txtMAKT-MAKTX],0),MATCH(BK$3,Estrutura_P01[#Headers],0))=0,"",INDEX(Estrutura_P01[],MATCH($C7,Estrutura_P01[txtMAKT-MAKTX],0),MATCH(BK$3,Estrutura_P01[#Headers],0))),"")</f>
        <v/>
      </c>
      <c r="BL7" s="42" t="str">
        <f>IFERROR(IF(INDEX(Estrutura_P01[],MATCH($C7,Estrutura_P01[txtMAKT-MAKTX],0),MATCH(BL5,Estrutura_P01[#Headers],0))=0,"",INDEX(Estrutura_P01[],MATCH($C7,Estrutura_P01[txtMAKT-MAKTX],0),MATCH(BL5,Estrutura_P01[#Headers],0))),"")</f>
        <v/>
      </c>
      <c r="BM7" s="42" t="str">
        <f>IFERROR(IF(INDEX(Estrutura_P01[],MATCH($C7,Estrutura_P01[txtMAKT-MAKTX],0),MATCH(BM5,Estrutura_P01[#Headers],0))=0,"",INDEX(Estrutura_P01[],MATCH($C7,Estrutura_P01[txtMAKT-MAKTX],0),MATCH(BM5,Estrutura_P01[#Headers],0))),"")</f>
        <v/>
      </c>
      <c r="BN7" s="42" t="str">
        <f>IFERROR(IF(INDEX(Estrutura_P01[],MATCH($C7,Estrutura_P01[txtMAKT-MAKTX],0),MATCH(BN5,Estrutura_P01[#Headers],0))=0,"",INDEX(Estrutura_P01[],MATCH($C7,Estrutura_P01[txtMAKT-MAKTX],0),MATCH(BN5,Estrutura_P01[#Headers],0))),"")</f>
        <v/>
      </c>
      <c r="BO7" s="42" t="str">
        <f>IFERROR(IF(INDEX(Estrutura_P01[],MATCH($C7,Estrutura_P01[txtMAKT-MAKTX],0),MATCH(BO5,Estrutura_P01[#Headers],0))=0,"",INDEX(Estrutura_P01[],MATCH($C7,Estrutura_P01[txtMAKT-MAKTX],0),MATCH(BO5,Estrutura_P01[#Headers],0))),"")</f>
        <v/>
      </c>
      <c r="BP7" s="42" t="str">
        <f>IFERROR(IF(OR(INDEX(Estrutura_P01[],MATCH($C7,Estrutura_P01[txtMAKT-MAKTX],0),MATCH(BP$3,Estrutura_P01[#Headers],0))=0,INDEX(Estrutura_P01[],MATCH($C7,Estrutura_P01[txtMAKT-MAKTX],0),MATCH(BP$3,Estrutura_P01[#Headers],0))=AQ7),"",INDEX(Estrutura_P01[],MATCH($C7,Estrutura_P01[txtMAKT-MAKTX],0),MATCH(BP$3,Estrutura_P01[#Headers],0))),"")</f>
        <v/>
      </c>
      <c r="BQ7" s="44">
        <v>99</v>
      </c>
      <c r="BR7" s="45" t="str">
        <f t="shared" ca="1" si="17"/>
        <v>24.05.2022</v>
      </c>
      <c r="BS7" s="48" t="str">
        <f t="shared" si="18"/>
        <v>0582</v>
      </c>
      <c r="BT7" s="49">
        <v>1</v>
      </c>
      <c r="BU7" s="49" t="s">
        <v>194</v>
      </c>
      <c r="BV7" s="102" t="str">
        <f t="shared" si="19"/>
        <v>01</v>
      </c>
      <c r="BW7" s="49" t="s">
        <v>738</v>
      </c>
      <c r="BX7" s="43">
        <v>1</v>
      </c>
      <c r="BY7" s="43" t="s">
        <v>366</v>
      </c>
      <c r="BZ7" s="49" t="s">
        <v>197</v>
      </c>
      <c r="CA7" s="49" t="s">
        <v>197</v>
      </c>
      <c r="CB7" s="47" t="s">
        <v>942</v>
      </c>
      <c r="CC7" s="43" t="s">
        <v>382</v>
      </c>
      <c r="CD7" s="49">
        <v>0</v>
      </c>
      <c r="CE7" s="44" t="s">
        <v>394</v>
      </c>
      <c r="CF7" s="44" t="s">
        <v>34</v>
      </c>
      <c r="CG7" s="42" t="str">
        <f t="shared" si="20"/>
        <v>582</v>
      </c>
      <c r="CH7" s="44" t="s">
        <v>420</v>
      </c>
      <c r="CI7" s="43">
        <v>0</v>
      </c>
      <c r="CJ7" s="42" t="str">
        <f t="shared" si="21"/>
        <v>E</v>
      </c>
      <c r="CK7" s="102" t="str">
        <f t="shared" si="22"/>
        <v/>
      </c>
      <c r="CL7" s="47">
        <v>1</v>
      </c>
      <c r="CM7" s="47">
        <v>1</v>
      </c>
      <c r="CN7" s="43"/>
      <c r="CO7" s="48" t="str">
        <f t="shared" si="23"/>
        <v>0330</v>
      </c>
      <c r="CP7" s="48" t="str">
        <f t="shared" si="24"/>
        <v>0330</v>
      </c>
      <c r="CQ7" s="42" t="str">
        <f t="shared" si="25"/>
        <v/>
      </c>
      <c r="CR7" s="43">
        <v>1</v>
      </c>
      <c r="CS7" s="49" t="s">
        <v>505</v>
      </c>
      <c r="CT7" s="43" t="s">
        <v>36</v>
      </c>
      <c r="CU7" s="43">
        <v>2</v>
      </c>
      <c r="CV7" s="43">
        <v>42</v>
      </c>
      <c r="CW7" s="43">
        <v>10</v>
      </c>
      <c r="CX7" s="42">
        <f t="shared" si="26"/>
        <v>1</v>
      </c>
      <c r="CY7" s="42" t="str">
        <f>IFERROR(IF(INDEX(Estrutura_P01[],MATCH($C7,Estrutura_P01[txtMAKT-MAKTX],0),MATCH(CY$3,Estrutura_P01[#Headers],0))=0,"",IF(INDEX(Estrutura_P01[],MATCH($C7,Estrutura_P01[txtMAKT-MAKTX],0),MATCH(CY$3,Estrutura_P01[#Headers],0))="Industrializado","SUB_0582","")),"")</f>
        <v/>
      </c>
      <c r="CZ7" s="42" t="str">
        <f t="shared" ca="1" si="27"/>
        <v>24.05.2022</v>
      </c>
      <c r="DA7" s="42" t="str">
        <f t="shared" si="28"/>
        <v>31.12.9999</v>
      </c>
      <c r="DC7" s="43">
        <v>1</v>
      </c>
      <c r="DD7" s="43" t="s">
        <v>946</v>
      </c>
      <c r="DE7" s="43">
        <v>30</v>
      </c>
      <c r="DF7" s="43">
        <v>1</v>
      </c>
      <c r="DG7" s="42">
        <f t="shared" si="0"/>
        <v>0.01</v>
      </c>
      <c r="DH7" s="42" t="str">
        <f t="shared" si="1"/>
        <v>M</v>
      </c>
      <c r="DI7" s="42" t="str">
        <f t="shared" si="2"/>
        <v/>
      </c>
      <c r="DJ7" s="43">
        <v>1000</v>
      </c>
      <c r="DK7" s="69">
        <f t="shared" si="3"/>
        <v>1</v>
      </c>
      <c r="DL7" s="42">
        <f t="shared" si="29"/>
        <v>1000</v>
      </c>
      <c r="DM7" s="43">
        <v>1</v>
      </c>
      <c r="DN7" s="43">
        <v>0</v>
      </c>
      <c r="DO7" s="43" t="s">
        <v>759</v>
      </c>
      <c r="DP7" s="44">
        <v>0</v>
      </c>
      <c r="DQ7" s="43">
        <v>1000</v>
      </c>
      <c r="DR7" s="94" t="str">
        <f>IFERROR(IF(INDEX(Estrutura_P01[],MATCH($C7,Estrutura_P01[txtMAKT-MAKTX],0),MATCH(DR$3,Estrutura_P01[#Headers],0))=0,"",INDEX(Estrutura_P01[],MATCH($C7,Estrutura_P01[txtMAKT-MAKTX],0),MATCH(DR$3,Estrutura_P01[#Headers],0)))*DQ7,"")</f>
        <v/>
      </c>
      <c r="DS7" s="42" t="str">
        <f t="shared" ca="1" si="30"/>
        <v/>
      </c>
      <c r="DT7" s="58"/>
    </row>
    <row r="8" spans="1:124" x14ac:dyDescent="0.2">
      <c r="A8" s="7" t="str">
        <f t="shared" si="4"/>
        <v>Execução 4</v>
      </c>
      <c r="B8" s="76"/>
      <c r="C8" s="82"/>
      <c r="D8" s="69" t="str">
        <f t="shared" si="5"/>
        <v>0582</v>
      </c>
      <c r="E8" s="69" t="str">
        <f t="shared" si="6"/>
        <v/>
      </c>
      <c r="F8" s="42" t="str">
        <f>IFERROR(IF(INDEX(Estrutura_P01[],MATCH($C8,Estrutura_P01[txtMAKT-MAKTX],0),MATCH(F$3,Estrutura_P01[#Headers],0))=0,"",INDEX(Estrutura_P01[],MATCH($C8,Estrutura_P01[txtMAKT-MAKTX],0),MATCH(F$3,Estrutura_P01[#Headers],0))),"")</f>
        <v/>
      </c>
      <c r="G8" s="42" t="str">
        <f t="shared" si="7"/>
        <v/>
      </c>
      <c r="H8" s="43" t="s">
        <v>100</v>
      </c>
      <c r="I8" s="89" t="s">
        <v>9</v>
      </c>
      <c r="J8" s="89" t="s">
        <v>18</v>
      </c>
      <c r="K8" s="42" t="str">
        <f t="shared" si="8"/>
        <v>0582</v>
      </c>
      <c r="L8" s="89" t="s">
        <v>6</v>
      </c>
      <c r="M8" s="42" t="str">
        <f t="shared" si="9"/>
        <v>582</v>
      </c>
      <c r="O8" s="44" t="s">
        <v>101</v>
      </c>
      <c r="P8" s="44" t="s">
        <v>102</v>
      </c>
      <c r="Q8" s="44" t="s">
        <v>103</v>
      </c>
      <c r="R8" s="44" t="s">
        <v>104</v>
      </c>
      <c r="S8" s="44" t="s">
        <v>105</v>
      </c>
      <c r="T8" s="44" t="s">
        <v>106</v>
      </c>
      <c r="U8" s="44" t="s">
        <v>107</v>
      </c>
      <c r="V8" s="44" t="s">
        <v>109</v>
      </c>
      <c r="W8" s="44" t="s">
        <v>110</v>
      </c>
      <c r="X8" s="44"/>
      <c r="Y8" s="44"/>
      <c r="Z8" s="44" t="s">
        <v>112</v>
      </c>
      <c r="AA8" s="44" t="s">
        <v>113</v>
      </c>
      <c r="AB8" s="44" t="s">
        <v>114</v>
      </c>
      <c r="AC8" s="44" t="s">
        <v>115</v>
      </c>
      <c r="AD8" s="44" t="s">
        <v>117</v>
      </c>
      <c r="AE8" s="44" t="s">
        <v>118</v>
      </c>
      <c r="AF8" s="44" t="s">
        <v>119</v>
      </c>
      <c r="AG8" s="44"/>
      <c r="AH8" s="44"/>
      <c r="AI8" s="44" t="s">
        <v>122</v>
      </c>
      <c r="AJ8" s="44" t="s">
        <v>123</v>
      </c>
      <c r="AK8" s="44" t="s">
        <v>124</v>
      </c>
      <c r="AL8" s="44" t="s">
        <v>125</v>
      </c>
      <c r="AM8" s="44" t="s">
        <v>126</v>
      </c>
      <c r="AN8" s="44"/>
      <c r="AO8" s="44"/>
      <c r="AQ8" s="42" t="str">
        <f t="shared" si="10"/>
        <v>M</v>
      </c>
      <c r="AR8" s="42" t="str">
        <f>IFERROR(IF(INDEX(Estrutura_P01[],MATCH($C8,Estrutura_P01[txtMAKT-MAKTX],0),MATCH(AR$3,Estrutura_P01[#Headers],0))=0,"",INDEX(Estrutura_P01[],MATCH($C8,Estrutura_P01[txtMAKT-MAKTX],0),MATCH(AR$3,Estrutura_P01[#Headers],0))),"")</f>
        <v/>
      </c>
      <c r="AS8" s="44"/>
      <c r="AT8" s="47"/>
      <c r="AU8" s="42" t="str">
        <f>IFERROR(IF(INDEX(Estrutura_P01[],MATCH($C8,Estrutura_P01[txtMAKT-MAKTX],0),MATCH(AU$3,Estrutura_P01[#Headers],0))=0,"",INDEX(Estrutura_P01[],MATCH($C8,Estrutura_P01[txtMAKT-MAKTX],0),MATCH(AU$3,Estrutura_P01[#Headers],0))),"")</f>
        <v/>
      </c>
      <c r="AV8" s="44"/>
      <c r="AW8" s="45" t="str">
        <f t="shared" ca="1" si="11"/>
        <v/>
      </c>
      <c r="AX8" s="46" t="s">
        <v>738</v>
      </c>
      <c r="AY8" s="42" t="str">
        <f>IFERROR(IF(INDEX(Estrutura_P01[],MATCH($C8,Estrutura_P01[txtMAKT-MAKTX],0),MATCH(AY$3,Estrutura_P01[#Headers],0))=0,"",INDEX(Estrutura_P01[],MATCH($C8,Estrutura_P01[txtMAKT-MAKTX],0),MATCH(AY$3,Estrutura_P01[#Headers],0))),"")</f>
        <v/>
      </c>
      <c r="AZ8" s="42" t="str">
        <f t="shared" si="12"/>
        <v/>
      </c>
      <c r="BA8" s="47" t="s">
        <v>299</v>
      </c>
      <c r="BB8" s="47" t="s">
        <v>943</v>
      </c>
      <c r="BC8" s="42" t="str">
        <f>IFERROR(IF(INDEX(Estrutura_P01[],MATCH($C8,Estrutura_P01[txtMAKT-MAKTX],0),MATCH(BC$3,Estrutura_P01[#Headers],0))=0,"",INDEX(Estrutura_P01[],MATCH($C8,Estrutura_P01[txtMAKT-MAKTX],0),MATCH(BC$3,Estrutura_P01[#Headers],0))),"")</f>
        <v/>
      </c>
      <c r="BD8" s="42" t="str">
        <f t="shared" si="13"/>
        <v/>
      </c>
      <c r="BE8" s="42" t="str">
        <f t="shared" si="14"/>
        <v/>
      </c>
      <c r="BF8" s="42" t="str">
        <f t="shared" si="15"/>
        <v/>
      </c>
      <c r="BG8" s="42" t="str">
        <f t="shared" si="16"/>
        <v>M</v>
      </c>
      <c r="BI8" s="43" t="s">
        <v>944</v>
      </c>
      <c r="BJ8" s="43" t="s">
        <v>945</v>
      </c>
      <c r="BK8" s="42" t="str">
        <f>IFERROR(IF(INDEX(Estrutura_P01[],MATCH($C8,Estrutura_P01[txtMAKT-MAKTX],0),MATCH(BK$3,Estrutura_P01[#Headers],0))=0,"",INDEX(Estrutura_P01[],MATCH($C8,Estrutura_P01[txtMAKT-MAKTX],0),MATCH(BK$3,Estrutura_P01[#Headers],0))),"")</f>
        <v/>
      </c>
      <c r="BL8" s="42" t="str">
        <f>IFERROR(IF(INDEX(Estrutura_P01[],MATCH($C8,Estrutura_P01[txtMAKT-MAKTX],0),MATCH(BL6,Estrutura_P01[#Headers],0))=0,"",INDEX(Estrutura_P01[],MATCH($C8,Estrutura_P01[txtMAKT-MAKTX],0),MATCH(BL6,Estrutura_P01[#Headers],0))),"")</f>
        <v/>
      </c>
      <c r="BM8" s="42" t="str">
        <f>IFERROR(IF(INDEX(Estrutura_P01[],MATCH($C8,Estrutura_P01[txtMAKT-MAKTX],0),MATCH(BM6,Estrutura_P01[#Headers],0))=0,"",INDEX(Estrutura_P01[],MATCH($C8,Estrutura_P01[txtMAKT-MAKTX],0),MATCH(BM6,Estrutura_P01[#Headers],0))),"")</f>
        <v/>
      </c>
      <c r="BN8" s="42" t="str">
        <f>IFERROR(IF(INDEX(Estrutura_P01[],MATCH($C8,Estrutura_P01[txtMAKT-MAKTX],0),MATCH(BN6,Estrutura_P01[#Headers],0))=0,"",INDEX(Estrutura_P01[],MATCH($C8,Estrutura_P01[txtMAKT-MAKTX],0),MATCH(BN6,Estrutura_P01[#Headers],0))),"")</f>
        <v/>
      </c>
      <c r="BO8" s="42" t="str">
        <f>IFERROR(IF(INDEX(Estrutura_P01[],MATCH($C8,Estrutura_P01[txtMAKT-MAKTX],0),MATCH(BO6,Estrutura_P01[#Headers],0))=0,"",INDEX(Estrutura_P01[],MATCH($C8,Estrutura_P01[txtMAKT-MAKTX],0),MATCH(BO6,Estrutura_P01[#Headers],0))),"")</f>
        <v/>
      </c>
      <c r="BP8" s="42" t="str">
        <f>IFERROR(IF(OR(INDEX(Estrutura_P01[],MATCH($C8,Estrutura_P01[txtMAKT-MAKTX],0),MATCH(BP$3,Estrutura_P01[#Headers],0))=0,INDEX(Estrutura_P01[],MATCH($C8,Estrutura_P01[txtMAKT-MAKTX],0),MATCH(BP$3,Estrutura_P01[#Headers],0))=AQ8),"",INDEX(Estrutura_P01[],MATCH($C8,Estrutura_P01[txtMAKT-MAKTX],0),MATCH(BP$3,Estrutura_P01[#Headers],0))),"")</f>
        <v/>
      </c>
      <c r="BQ8" s="44">
        <v>99</v>
      </c>
      <c r="BR8" s="45" t="str">
        <f t="shared" ca="1" si="17"/>
        <v>24.05.2022</v>
      </c>
      <c r="BS8" s="48" t="str">
        <f t="shared" si="18"/>
        <v>0582</v>
      </c>
      <c r="BT8" s="49">
        <v>1</v>
      </c>
      <c r="BU8" s="49" t="s">
        <v>194</v>
      </c>
      <c r="BV8" s="102" t="str">
        <f t="shared" si="19"/>
        <v>01</v>
      </c>
      <c r="BW8" s="49" t="s">
        <v>738</v>
      </c>
      <c r="BX8" s="43">
        <v>1</v>
      </c>
      <c r="BY8" s="43" t="s">
        <v>366</v>
      </c>
      <c r="BZ8" s="49" t="s">
        <v>197</v>
      </c>
      <c r="CA8" s="49" t="s">
        <v>197</v>
      </c>
      <c r="CB8" s="47" t="s">
        <v>942</v>
      </c>
      <c r="CC8" s="43" t="s">
        <v>382</v>
      </c>
      <c r="CD8" s="49">
        <v>0</v>
      </c>
      <c r="CE8" s="44" t="s">
        <v>394</v>
      </c>
      <c r="CF8" s="44" t="s">
        <v>34</v>
      </c>
      <c r="CG8" s="42" t="str">
        <f t="shared" si="20"/>
        <v>582</v>
      </c>
      <c r="CH8" s="44" t="s">
        <v>420</v>
      </c>
      <c r="CI8" s="43">
        <v>0</v>
      </c>
      <c r="CJ8" s="42" t="str">
        <f t="shared" si="21"/>
        <v>E</v>
      </c>
      <c r="CK8" s="102" t="str">
        <f t="shared" si="22"/>
        <v/>
      </c>
      <c r="CL8" s="47">
        <v>1</v>
      </c>
      <c r="CM8" s="47">
        <v>1</v>
      </c>
      <c r="CN8" s="43"/>
      <c r="CO8" s="48" t="str">
        <f t="shared" si="23"/>
        <v>0330</v>
      </c>
      <c r="CP8" s="48" t="str">
        <f t="shared" si="24"/>
        <v>0330</v>
      </c>
      <c r="CQ8" s="42" t="str">
        <f t="shared" si="25"/>
        <v/>
      </c>
      <c r="CR8" s="43">
        <v>1</v>
      </c>
      <c r="CS8" s="49" t="s">
        <v>505</v>
      </c>
      <c r="CT8" s="43" t="s">
        <v>36</v>
      </c>
      <c r="CU8" s="43">
        <v>2</v>
      </c>
      <c r="CV8" s="43">
        <v>42</v>
      </c>
      <c r="CW8" s="43">
        <v>10</v>
      </c>
      <c r="CX8" s="42">
        <f t="shared" si="26"/>
        <v>1</v>
      </c>
      <c r="CY8" s="42" t="str">
        <f>IFERROR(IF(INDEX(Estrutura_P01[],MATCH($C8,Estrutura_P01[txtMAKT-MAKTX],0),MATCH(CY$3,Estrutura_P01[#Headers],0))=0,"",IF(INDEX(Estrutura_P01[],MATCH($C8,Estrutura_P01[txtMAKT-MAKTX],0),MATCH(CY$3,Estrutura_P01[#Headers],0))="Industrializado","SUB_0582","")),"")</f>
        <v/>
      </c>
      <c r="CZ8" s="42" t="str">
        <f t="shared" ca="1" si="27"/>
        <v>24.05.2022</v>
      </c>
      <c r="DA8" s="42" t="str">
        <f t="shared" si="28"/>
        <v>31.12.9999</v>
      </c>
      <c r="DC8" s="43">
        <v>1</v>
      </c>
      <c r="DD8" s="43" t="s">
        <v>946</v>
      </c>
      <c r="DE8" s="43">
        <v>30</v>
      </c>
      <c r="DF8" s="43">
        <v>1</v>
      </c>
      <c r="DG8" s="42">
        <f t="shared" si="0"/>
        <v>0.01</v>
      </c>
      <c r="DH8" s="42" t="str">
        <f t="shared" si="1"/>
        <v>M</v>
      </c>
      <c r="DI8" s="42" t="str">
        <f t="shared" si="2"/>
        <v/>
      </c>
      <c r="DJ8" s="43">
        <v>1000</v>
      </c>
      <c r="DK8" s="69">
        <f t="shared" si="3"/>
        <v>1</v>
      </c>
      <c r="DL8" s="42">
        <f t="shared" si="29"/>
        <v>1000</v>
      </c>
      <c r="DM8" s="43">
        <v>1</v>
      </c>
      <c r="DN8" s="43">
        <v>0</v>
      </c>
      <c r="DO8" s="43" t="s">
        <v>759</v>
      </c>
      <c r="DP8" s="44">
        <v>0</v>
      </c>
      <c r="DQ8" s="43">
        <v>1000</v>
      </c>
      <c r="DR8" s="94" t="str">
        <f>IFERROR(IF(INDEX(Estrutura_P01[],MATCH($C8,Estrutura_P01[txtMAKT-MAKTX],0),MATCH(DR$3,Estrutura_P01[#Headers],0))=0,"",INDEX(Estrutura_P01[],MATCH($C8,Estrutura_P01[txtMAKT-MAKTX],0),MATCH(DR$3,Estrutura_P01[#Headers],0)))*DQ8,"")</f>
        <v/>
      </c>
      <c r="DS8" s="42" t="str">
        <f t="shared" ca="1" si="30"/>
        <v/>
      </c>
      <c r="DT8" s="58"/>
    </row>
    <row r="9" spans="1:124" x14ac:dyDescent="0.2">
      <c r="A9" s="7" t="str">
        <f t="shared" si="4"/>
        <v>Execução 5</v>
      </c>
      <c r="B9" s="76"/>
      <c r="C9" s="82"/>
      <c r="D9" s="69" t="str">
        <f t="shared" si="5"/>
        <v>0582</v>
      </c>
      <c r="E9" s="69" t="str">
        <f t="shared" si="6"/>
        <v/>
      </c>
      <c r="F9" s="42" t="str">
        <f>IFERROR(IF(INDEX(Estrutura_P01[],MATCH($C9,Estrutura_P01[txtMAKT-MAKTX],0),MATCH(F$3,Estrutura_P01[#Headers],0))=0,"",INDEX(Estrutura_P01[],MATCH($C9,Estrutura_P01[txtMAKT-MAKTX],0),MATCH(F$3,Estrutura_P01[#Headers],0))),"")</f>
        <v/>
      </c>
      <c r="G9" s="42" t="str">
        <f t="shared" si="7"/>
        <v/>
      </c>
      <c r="H9" s="43" t="s">
        <v>100</v>
      </c>
      <c r="I9" s="89" t="s">
        <v>9</v>
      </c>
      <c r="J9" s="89" t="s">
        <v>18</v>
      </c>
      <c r="K9" s="42" t="str">
        <f t="shared" si="8"/>
        <v>0582</v>
      </c>
      <c r="L9" s="89" t="s">
        <v>6</v>
      </c>
      <c r="M9" s="42" t="str">
        <f t="shared" si="9"/>
        <v>582</v>
      </c>
      <c r="O9" s="44" t="s">
        <v>101</v>
      </c>
      <c r="P9" s="44" t="s">
        <v>102</v>
      </c>
      <c r="Q9" s="44" t="s">
        <v>103</v>
      </c>
      <c r="R9" s="44" t="s">
        <v>104</v>
      </c>
      <c r="S9" s="44" t="s">
        <v>105</v>
      </c>
      <c r="T9" s="44" t="s">
        <v>106</v>
      </c>
      <c r="U9" s="44" t="s">
        <v>107</v>
      </c>
      <c r="V9" s="44" t="s">
        <v>109</v>
      </c>
      <c r="W9" s="44" t="s">
        <v>110</v>
      </c>
      <c r="X9" s="44"/>
      <c r="Y9" s="44"/>
      <c r="Z9" s="44" t="s">
        <v>112</v>
      </c>
      <c r="AA9" s="44" t="s">
        <v>113</v>
      </c>
      <c r="AB9" s="44" t="s">
        <v>114</v>
      </c>
      <c r="AC9" s="44" t="s">
        <v>115</v>
      </c>
      <c r="AD9" s="44" t="s">
        <v>117</v>
      </c>
      <c r="AE9" s="44" t="s">
        <v>118</v>
      </c>
      <c r="AF9" s="44" t="s">
        <v>119</v>
      </c>
      <c r="AG9" s="44"/>
      <c r="AH9" s="44"/>
      <c r="AI9" s="44" t="s">
        <v>122</v>
      </c>
      <c r="AJ9" s="44" t="s">
        <v>123</v>
      </c>
      <c r="AK9" s="44" t="s">
        <v>124</v>
      </c>
      <c r="AL9" s="44" t="s">
        <v>125</v>
      </c>
      <c r="AM9" s="44" t="s">
        <v>126</v>
      </c>
      <c r="AN9" s="44"/>
      <c r="AO9" s="44"/>
      <c r="AQ9" s="42" t="str">
        <f t="shared" si="10"/>
        <v>M</v>
      </c>
      <c r="AR9" s="42" t="str">
        <f>IFERROR(IF(INDEX(Estrutura_P01[],MATCH($C9,Estrutura_P01[txtMAKT-MAKTX],0),MATCH(AR$3,Estrutura_P01[#Headers],0))=0,"",INDEX(Estrutura_P01[],MATCH($C9,Estrutura_P01[txtMAKT-MAKTX],0),MATCH(AR$3,Estrutura_P01[#Headers],0))),"")</f>
        <v/>
      </c>
      <c r="AS9" s="44"/>
      <c r="AT9" s="47"/>
      <c r="AU9" s="42" t="str">
        <f>IFERROR(IF(INDEX(Estrutura_P01[],MATCH($C9,Estrutura_P01[txtMAKT-MAKTX],0),MATCH(AU$3,Estrutura_P01[#Headers],0))=0,"",INDEX(Estrutura_P01[],MATCH($C9,Estrutura_P01[txtMAKT-MAKTX],0),MATCH(AU$3,Estrutura_P01[#Headers],0))),"")</f>
        <v/>
      </c>
      <c r="AV9" s="44"/>
      <c r="AW9" s="45" t="str">
        <f t="shared" ca="1" si="11"/>
        <v/>
      </c>
      <c r="AX9" s="46" t="s">
        <v>738</v>
      </c>
      <c r="AY9" s="42" t="str">
        <f>IFERROR(IF(INDEX(Estrutura_P01[],MATCH($C9,Estrutura_P01[txtMAKT-MAKTX],0),MATCH(AY$3,Estrutura_P01[#Headers],0))=0,"",INDEX(Estrutura_P01[],MATCH($C9,Estrutura_P01[txtMAKT-MAKTX],0),MATCH(AY$3,Estrutura_P01[#Headers],0))),"")</f>
        <v/>
      </c>
      <c r="AZ9" s="42" t="str">
        <f t="shared" si="12"/>
        <v/>
      </c>
      <c r="BA9" s="47" t="s">
        <v>299</v>
      </c>
      <c r="BB9" s="47" t="s">
        <v>943</v>
      </c>
      <c r="BC9" s="42" t="str">
        <f>IFERROR(IF(INDEX(Estrutura_P01[],MATCH($C9,Estrutura_P01[txtMAKT-MAKTX],0),MATCH(BC$3,Estrutura_P01[#Headers],0))=0,"",INDEX(Estrutura_P01[],MATCH($C9,Estrutura_P01[txtMAKT-MAKTX],0),MATCH(BC$3,Estrutura_P01[#Headers],0))),"")</f>
        <v/>
      </c>
      <c r="BD9" s="42" t="str">
        <f t="shared" si="13"/>
        <v/>
      </c>
      <c r="BE9" s="42" t="str">
        <f t="shared" si="14"/>
        <v/>
      </c>
      <c r="BF9" s="42" t="str">
        <f t="shared" si="15"/>
        <v/>
      </c>
      <c r="BG9" s="42" t="str">
        <f t="shared" si="16"/>
        <v>M</v>
      </c>
      <c r="BI9" s="43" t="s">
        <v>944</v>
      </c>
      <c r="BJ9" s="43" t="s">
        <v>945</v>
      </c>
      <c r="BK9" s="42" t="str">
        <f>IFERROR(IF(INDEX(Estrutura_P01[],MATCH($C9,Estrutura_P01[txtMAKT-MAKTX],0),MATCH(BK$3,Estrutura_P01[#Headers],0))=0,"",INDEX(Estrutura_P01[],MATCH($C9,Estrutura_P01[txtMAKT-MAKTX],0),MATCH(BK$3,Estrutura_P01[#Headers],0))),"")</f>
        <v/>
      </c>
      <c r="BL9" s="42" t="str">
        <f>IFERROR(IF(INDEX(Estrutura_P01[],MATCH($C9,Estrutura_P01[txtMAKT-MAKTX],0),MATCH(BL7,Estrutura_P01[#Headers],0))=0,"",INDEX(Estrutura_P01[],MATCH($C9,Estrutura_P01[txtMAKT-MAKTX],0),MATCH(BL7,Estrutura_P01[#Headers],0))),"")</f>
        <v/>
      </c>
      <c r="BM9" s="42" t="str">
        <f>IFERROR(IF(INDEX(Estrutura_P01[],MATCH($C9,Estrutura_P01[txtMAKT-MAKTX],0),MATCH(BM7,Estrutura_P01[#Headers],0))=0,"",INDEX(Estrutura_P01[],MATCH($C9,Estrutura_P01[txtMAKT-MAKTX],0),MATCH(BM7,Estrutura_P01[#Headers],0))),"")</f>
        <v/>
      </c>
      <c r="BN9" s="42" t="str">
        <f>IFERROR(IF(INDEX(Estrutura_P01[],MATCH($C9,Estrutura_P01[txtMAKT-MAKTX],0),MATCH(BN7,Estrutura_P01[#Headers],0))=0,"",INDEX(Estrutura_P01[],MATCH($C9,Estrutura_P01[txtMAKT-MAKTX],0),MATCH(BN7,Estrutura_P01[#Headers],0))),"")</f>
        <v/>
      </c>
      <c r="BO9" s="42" t="str">
        <f>IFERROR(IF(INDEX(Estrutura_P01[],MATCH($C9,Estrutura_P01[txtMAKT-MAKTX],0),MATCH(BO7,Estrutura_P01[#Headers],0))=0,"",INDEX(Estrutura_P01[],MATCH($C9,Estrutura_P01[txtMAKT-MAKTX],0),MATCH(BO7,Estrutura_P01[#Headers],0))),"")</f>
        <v/>
      </c>
      <c r="BP9" s="42" t="str">
        <f>IFERROR(IF(OR(INDEX(Estrutura_P01[],MATCH($C9,Estrutura_P01[txtMAKT-MAKTX],0),MATCH(BP$3,Estrutura_P01[#Headers],0))=0,INDEX(Estrutura_P01[],MATCH($C9,Estrutura_P01[txtMAKT-MAKTX],0),MATCH(BP$3,Estrutura_P01[#Headers],0))=AQ9),"",INDEX(Estrutura_P01[],MATCH($C9,Estrutura_P01[txtMAKT-MAKTX],0),MATCH(BP$3,Estrutura_P01[#Headers],0))),"")</f>
        <v/>
      </c>
      <c r="BQ9" s="44">
        <v>99</v>
      </c>
      <c r="BR9" s="45" t="str">
        <f t="shared" ca="1" si="17"/>
        <v>24.05.2022</v>
      </c>
      <c r="BS9" s="48" t="str">
        <f t="shared" si="18"/>
        <v>0582</v>
      </c>
      <c r="BT9" s="49">
        <v>1</v>
      </c>
      <c r="BU9" s="49" t="s">
        <v>194</v>
      </c>
      <c r="BV9" s="102" t="str">
        <f t="shared" si="19"/>
        <v>01</v>
      </c>
      <c r="BW9" s="49" t="s">
        <v>738</v>
      </c>
      <c r="BX9" s="43">
        <v>1</v>
      </c>
      <c r="BY9" s="43" t="s">
        <v>366</v>
      </c>
      <c r="BZ9" s="49" t="s">
        <v>197</v>
      </c>
      <c r="CA9" s="49" t="s">
        <v>197</v>
      </c>
      <c r="CB9" s="47" t="s">
        <v>942</v>
      </c>
      <c r="CC9" s="43" t="s">
        <v>382</v>
      </c>
      <c r="CD9" s="49">
        <v>0</v>
      </c>
      <c r="CE9" s="44" t="s">
        <v>394</v>
      </c>
      <c r="CF9" s="44" t="s">
        <v>34</v>
      </c>
      <c r="CG9" s="42" t="str">
        <f t="shared" si="20"/>
        <v>582</v>
      </c>
      <c r="CH9" s="44" t="s">
        <v>420</v>
      </c>
      <c r="CI9" s="43">
        <v>0</v>
      </c>
      <c r="CJ9" s="42" t="str">
        <f t="shared" si="21"/>
        <v>E</v>
      </c>
      <c r="CK9" s="102" t="str">
        <f t="shared" si="22"/>
        <v/>
      </c>
      <c r="CL9" s="47">
        <v>1</v>
      </c>
      <c r="CM9" s="47">
        <v>1</v>
      </c>
      <c r="CN9" s="43"/>
      <c r="CO9" s="48" t="str">
        <f t="shared" si="23"/>
        <v>0330</v>
      </c>
      <c r="CP9" s="48" t="str">
        <f t="shared" si="24"/>
        <v>0330</v>
      </c>
      <c r="CQ9" s="42" t="str">
        <f t="shared" si="25"/>
        <v/>
      </c>
      <c r="CR9" s="43">
        <v>1</v>
      </c>
      <c r="CS9" s="49" t="s">
        <v>505</v>
      </c>
      <c r="CT9" s="43" t="s">
        <v>36</v>
      </c>
      <c r="CU9" s="43">
        <v>2</v>
      </c>
      <c r="CV9" s="43">
        <v>42</v>
      </c>
      <c r="CW9" s="43">
        <v>10</v>
      </c>
      <c r="CX9" s="42">
        <f t="shared" si="26"/>
        <v>1</v>
      </c>
      <c r="CY9" s="42" t="str">
        <f>IFERROR(IF(INDEX(Estrutura_P01[],MATCH($C9,Estrutura_P01[txtMAKT-MAKTX],0),MATCH(CY$3,Estrutura_P01[#Headers],0))=0,"",IF(INDEX(Estrutura_P01[],MATCH($C9,Estrutura_P01[txtMAKT-MAKTX],0),MATCH(CY$3,Estrutura_P01[#Headers],0))="Industrializado","SUB_0582","")),"")</f>
        <v/>
      </c>
      <c r="CZ9" s="42" t="str">
        <f t="shared" ca="1" si="27"/>
        <v>24.05.2022</v>
      </c>
      <c r="DA9" s="42" t="str">
        <f t="shared" si="28"/>
        <v>31.12.9999</v>
      </c>
      <c r="DC9" s="43">
        <v>1</v>
      </c>
      <c r="DD9" s="43" t="s">
        <v>946</v>
      </c>
      <c r="DE9" s="43">
        <v>30</v>
      </c>
      <c r="DF9" s="43">
        <v>1</v>
      </c>
      <c r="DG9" s="42">
        <f t="shared" si="0"/>
        <v>0.01</v>
      </c>
      <c r="DH9" s="42" t="str">
        <f t="shared" si="1"/>
        <v>M</v>
      </c>
      <c r="DI9" s="42" t="str">
        <f t="shared" si="2"/>
        <v/>
      </c>
      <c r="DJ9" s="43">
        <v>1000</v>
      </c>
      <c r="DK9" s="69">
        <f t="shared" si="3"/>
        <v>1</v>
      </c>
      <c r="DL9" s="42">
        <f t="shared" si="29"/>
        <v>1000</v>
      </c>
      <c r="DM9" s="43">
        <v>1</v>
      </c>
      <c r="DN9" s="43">
        <v>0</v>
      </c>
      <c r="DO9" s="43" t="s">
        <v>759</v>
      </c>
      <c r="DP9" s="44">
        <v>0</v>
      </c>
      <c r="DQ9" s="43">
        <v>1000</v>
      </c>
      <c r="DR9" s="94" t="str">
        <f>IFERROR(IF(INDEX(Estrutura_P01[],MATCH($C9,Estrutura_P01[txtMAKT-MAKTX],0),MATCH(DR$3,Estrutura_P01[#Headers],0))=0,"",INDEX(Estrutura_P01[],MATCH($C9,Estrutura_P01[txtMAKT-MAKTX],0),MATCH(DR$3,Estrutura_P01[#Headers],0)))*DQ9,"")</f>
        <v/>
      </c>
      <c r="DS9" s="42" t="str">
        <f t="shared" ca="1" si="30"/>
        <v/>
      </c>
      <c r="DT9" s="58"/>
    </row>
    <row r="10" spans="1:124" x14ac:dyDescent="0.2">
      <c r="A10" s="7" t="str">
        <f t="shared" si="4"/>
        <v>Execução 6</v>
      </c>
      <c r="B10" s="76"/>
      <c r="C10" s="82"/>
      <c r="D10" s="69" t="str">
        <f t="shared" si="5"/>
        <v>0582</v>
      </c>
      <c r="E10" s="69" t="str">
        <f t="shared" si="6"/>
        <v/>
      </c>
      <c r="F10" s="42" t="str">
        <f>IFERROR(IF(INDEX(Estrutura_P01[],MATCH($C10,Estrutura_P01[txtMAKT-MAKTX],0),MATCH(F$3,Estrutura_P01[#Headers],0))=0,"",INDEX(Estrutura_P01[],MATCH($C10,Estrutura_P01[txtMAKT-MAKTX],0),MATCH(F$3,Estrutura_P01[#Headers],0))),"")</f>
        <v/>
      </c>
      <c r="G10" s="42" t="str">
        <f t="shared" si="7"/>
        <v/>
      </c>
      <c r="H10" s="43" t="s">
        <v>100</v>
      </c>
      <c r="I10" s="89" t="s">
        <v>9</v>
      </c>
      <c r="J10" s="89" t="s">
        <v>18</v>
      </c>
      <c r="K10" s="42" t="str">
        <f t="shared" si="8"/>
        <v>0582</v>
      </c>
      <c r="L10" s="89" t="s">
        <v>6</v>
      </c>
      <c r="M10" s="42" t="str">
        <f t="shared" si="9"/>
        <v>582</v>
      </c>
      <c r="O10" s="44" t="s">
        <v>101</v>
      </c>
      <c r="P10" s="44" t="s">
        <v>102</v>
      </c>
      <c r="Q10" s="44" t="s">
        <v>103</v>
      </c>
      <c r="R10" s="44" t="s">
        <v>104</v>
      </c>
      <c r="S10" s="44" t="s">
        <v>105</v>
      </c>
      <c r="T10" s="44" t="s">
        <v>106</v>
      </c>
      <c r="U10" s="44" t="s">
        <v>107</v>
      </c>
      <c r="V10" s="44" t="s">
        <v>109</v>
      </c>
      <c r="W10" s="44" t="s">
        <v>110</v>
      </c>
      <c r="X10" s="44"/>
      <c r="Y10" s="44"/>
      <c r="Z10" s="44" t="s">
        <v>112</v>
      </c>
      <c r="AA10" s="44" t="s">
        <v>113</v>
      </c>
      <c r="AB10" s="44" t="s">
        <v>114</v>
      </c>
      <c r="AC10" s="44" t="s">
        <v>115</v>
      </c>
      <c r="AD10" s="44" t="s">
        <v>117</v>
      </c>
      <c r="AE10" s="44" t="s">
        <v>118</v>
      </c>
      <c r="AF10" s="44" t="s">
        <v>119</v>
      </c>
      <c r="AG10" s="44"/>
      <c r="AH10" s="44"/>
      <c r="AI10" s="44" t="s">
        <v>122</v>
      </c>
      <c r="AJ10" s="44" t="s">
        <v>123</v>
      </c>
      <c r="AK10" s="44" t="s">
        <v>124</v>
      </c>
      <c r="AL10" s="44" t="s">
        <v>125</v>
      </c>
      <c r="AM10" s="44" t="s">
        <v>126</v>
      </c>
      <c r="AN10" s="44"/>
      <c r="AO10" s="44"/>
      <c r="AQ10" s="42" t="str">
        <f t="shared" si="10"/>
        <v>M</v>
      </c>
      <c r="AR10" s="42" t="str">
        <f>IFERROR(IF(INDEX(Estrutura_P01[],MATCH($C10,Estrutura_P01[txtMAKT-MAKTX],0),MATCH(AR$3,Estrutura_P01[#Headers],0))=0,"",INDEX(Estrutura_P01[],MATCH($C10,Estrutura_P01[txtMAKT-MAKTX],0),MATCH(AR$3,Estrutura_P01[#Headers],0))),"")</f>
        <v/>
      </c>
      <c r="AS10" s="44"/>
      <c r="AT10" s="47"/>
      <c r="AU10" s="42" t="str">
        <f>IFERROR(IF(INDEX(Estrutura_P01[],MATCH($C10,Estrutura_P01[txtMAKT-MAKTX],0),MATCH(AU$3,Estrutura_P01[#Headers],0))=0,"",INDEX(Estrutura_P01[],MATCH($C10,Estrutura_P01[txtMAKT-MAKTX],0),MATCH(AU$3,Estrutura_P01[#Headers],0))),"")</f>
        <v/>
      </c>
      <c r="AV10" s="44"/>
      <c r="AW10" s="45" t="str">
        <f t="shared" ca="1" si="11"/>
        <v/>
      </c>
      <c r="AX10" s="46" t="s">
        <v>738</v>
      </c>
      <c r="AY10" s="42" t="str">
        <f>IFERROR(IF(INDEX(Estrutura_P01[],MATCH($C10,Estrutura_P01[txtMAKT-MAKTX],0),MATCH(AY$3,Estrutura_P01[#Headers],0))=0,"",INDEX(Estrutura_P01[],MATCH($C10,Estrutura_P01[txtMAKT-MAKTX],0),MATCH(AY$3,Estrutura_P01[#Headers],0))),"")</f>
        <v/>
      </c>
      <c r="AZ10" s="42" t="str">
        <f t="shared" si="12"/>
        <v/>
      </c>
      <c r="BA10" s="47" t="s">
        <v>299</v>
      </c>
      <c r="BB10" s="47" t="s">
        <v>943</v>
      </c>
      <c r="BC10" s="42" t="str">
        <f>IFERROR(IF(INDEX(Estrutura_P01[],MATCH($C10,Estrutura_P01[txtMAKT-MAKTX],0),MATCH(BC$3,Estrutura_P01[#Headers],0))=0,"",INDEX(Estrutura_P01[],MATCH($C10,Estrutura_P01[txtMAKT-MAKTX],0),MATCH(BC$3,Estrutura_P01[#Headers],0))),"")</f>
        <v/>
      </c>
      <c r="BD10" s="42" t="str">
        <f t="shared" si="13"/>
        <v/>
      </c>
      <c r="BE10" s="42" t="str">
        <f t="shared" si="14"/>
        <v/>
      </c>
      <c r="BF10" s="42" t="str">
        <f t="shared" si="15"/>
        <v/>
      </c>
      <c r="BG10" s="42" t="str">
        <f t="shared" si="16"/>
        <v>M</v>
      </c>
      <c r="BI10" s="43" t="s">
        <v>944</v>
      </c>
      <c r="BJ10" s="43" t="s">
        <v>945</v>
      </c>
      <c r="BK10" s="42" t="str">
        <f>IFERROR(IF(INDEX(Estrutura_P01[],MATCH($C10,Estrutura_P01[txtMAKT-MAKTX],0),MATCH(BK$3,Estrutura_P01[#Headers],0))=0,"",INDEX(Estrutura_P01[],MATCH($C10,Estrutura_P01[txtMAKT-MAKTX],0),MATCH(BK$3,Estrutura_P01[#Headers],0))),"")</f>
        <v/>
      </c>
      <c r="BL10" s="42" t="str">
        <f>IFERROR(IF(INDEX(Estrutura_P01[],MATCH($C10,Estrutura_P01[txtMAKT-MAKTX],0),MATCH(BL8,Estrutura_P01[#Headers],0))=0,"",INDEX(Estrutura_P01[],MATCH($C10,Estrutura_P01[txtMAKT-MAKTX],0),MATCH(BL8,Estrutura_P01[#Headers],0))),"")</f>
        <v/>
      </c>
      <c r="BM10" s="42" t="str">
        <f>IFERROR(IF(INDEX(Estrutura_P01[],MATCH($C10,Estrutura_P01[txtMAKT-MAKTX],0),MATCH(BM8,Estrutura_P01[#Headers],0))=0,"",INDEX(Estrutura_P01[],MATCH($C10,Estrutura_P01[txtMAKT-MAKTX],0),MATCH(BM8,Estrutura_P01[#Headers],0))),"")</f>
        <v/>
      </c>
      <c r="BN10" s="42" t="str">
        <f>IFERROR(IF(INDEX(Estrutura_P01[],MATCH($C10,Estrutura_P01[txtMAKT-MAKTX],0),MATCH(BN8,Estrutura_P01[#Headers],0))=0,"",INDEX(Estrutura_P01[],MATCH($C10,Estrutura_P01[txtMAKT-MAKTX],0),MATCH(BN8,Estrutura_P01[#Headers],0))),"")</f>
        <v/>
      </c>
      <c r="BO10" s="42" t="str">
        <f>IFERROR(IF(INDEX(Estrutura_P01[],MATCH($C10,Estrutura_P01[txtMAKT-MAKTX],0),MATCH(BO8,Estrutura_P01[#Headers],0))=0,"",INDEX(Estrutura_P01[],MATCH($C10,Estrutura_P01[txtMAKT-MAKTX],0),MATCH(BO8,Estrutura_P01[#Headers],0))),"")</f>
        <v/>
      </c>
      <c r="BP10" s="42" t="str">
        <f>IFERROR(IF(OR(INDEX(Estrutura_P01[],MATCH($C10,Estrutura_P01[txtMAKT-MAKTX],0),MATCH(BP$3,Estrutura_P01[#Headers],0))=0,INDEX(Estrutura_P01[],MATCH($C10,Estrutura_P01[txtMAKT-MAKTX],0),MATCH(BP$3,Estrutura_P01[#Headers],0))=AQ10),"",INDEX(Estrutura_P01[],MATCH($C10,Estrutura_P01[txtMAKT-MAKTX],0),MATCH(BP$3,Estrutura_P01[#Headers],0))),"")</f>
        <v/>
      </c>
      <c r="BQ10" s="44">
        <v>99</v>
      </c>
      <c r="BR10" s="45" t="str">
        <f t="shared" ca="1" si="17"/>
        <v>24.05.2022</v>
      </c>
      <c r="BS10" s="48" t="str">
        <f t="shared" si="18"/>
        <v>0582</v>
      </c>
      <c r="BT10" s="49">
        <v>1</v>
      </c>
      <c r="BU10" s="49" t="s">
        <v>194</v>
      </c>
      <c r="BV10" s="102" t="str">
        <f t="shared" si="19"/>
        <v>01</v>
      </c>
      <c r="BW10" s="49" t="s">
        <v>738</v>
      </c>
      <c r="BX10" s="43">
        <v>1</v>
      </c>
      <c r="BY10" s="43" t="s">
        <v>366</v>
      </c>
      <c r="BZ10" s="49" t="s">
        <v>197</v>
      </c>
      <c r="CA10" s="49" t="s">
        <v>197</v>
      </c>
      <c r="CB10" s="47" t="s">
        <v>942</v>
      </c>
      <c r="CC10" s="43" t="s">
        <v>382</v>
      </c>
      <c r="CD10" s="49">
        <v>0</v>
      </c>
      <c r="CE10" s="44" t="s">
        <v>394</v>
      </c>
      <c r="CF10" s="44" t="s">
        <v>34</v>
      </c>
      <c r="CG10" s="42" t="str">
        <f t="shared" si="20"/>
        <v>582</v>
      </c>
      <c r="CH10" s="44" t="s">
        <v>420</v>
      </c>
      <c r="CI10" s="43">
        <v>0</v>
      </c>
      <c r="CJ10" s="42" t="str">
        <f t="shared" si="21"/>
        <v>E</v>
      </c>
      <c r="CK10" s="102" t="str">
        <f t="shared" si="22"/>
        <v/>
      </c>
      <c r="CL10" s="47">
        <v>1</v>
      </c>
      <c r="CM10" s="47">
        <v>1</v>
      </c>
      <c r="CN10" s="43"/>
      <c r="CO10" s="48" t="str">
        <f t="shared" si="23"/>
        <v>0330</v>
      </c>
      <c r="CP10" s="48" t="str">
        <f t="shared" si="24"/>
        <v>0330</v>
      </c>
      <c r="CQ10" s="42" t="str">
        <f t="shared" si="25"/>
        <v/>
      </c>
      <c r="CR10" s="43">
        <v>1</v>
      </c>
      <c r="CS10" s="49" t="s">
        <v>505</v>
      </c>
      <c r="CT10" s="43" t="s">
        <v>36</v>
      </c>
      <c r="CU10" s="43">
        <v>2</v>
      </c>
      <c r="CV10" s="43">
        <v>42</v>
      </c>
      <c r="CW10" s="43">
        <v>10</v>
      </c>
      <c r="CX10" s="42">
        <f t="shared" si="26"/>
        <v>1</v>
      </c>
      <c r="CY10" s="42" t="str">
        <f>IFERROR(IF(INDEX(Estrutura_P01[],MATCH($C10,Estrutura_P01[txtMAKT-MAKTX],0),MATCH(CY$3,Estrutura_P01[#Headers],0))=0,"",IF(INDEX(Estrutura_P01[],MATCH($C10,Estrutura_P01[txtMAKT-MAKTX],0),MATCH(CY$3,Estrutura_P01[#Headers],0))="Industrializado","SUB_0582","")),"")</f>
        <v/>
      </c>
      <c r="CZ10" s="42" t="str">
        <f t="shared" ca="1" si="27"/>
        <v>24.05.2022</v>
      </c>
      <c r="DA10" s="42" t="str">
        <f t="shared" si="28"/>
        <v>31.12.9999</v>
      </c>
      <c r="DC10" s="43">
        <v>1</v>
      </c>
      <c r="DD10" s="43" t="s">
        <v>946</v>
      </c>
      <c r="DE10" s="43">
        <v>30</v>
      </c>
      <c r="DF10" s="43">
        <v>1</v>
      </c>
      <c r="DG10" s="42">
        <f t="shared" si="0"/>
        <v>0.01</v>
      </c>
      <c r="DH10" s="42" t="str">
        <f t="shared" si="1"/>
        <v>M</v>
      </c>
      <c r="DI10" s="42" t="str">
        <f t="shared" si="2"/>
        <v/>
      </c>
      <c r="DJ10" s="43">
        <v>1000</v>
      </c>
      <c r="DK10" s="69">
        <f t="shared" si="3"/>
        <v>1</v>
      </c>
      <c r="DL10" s="42">
        <f t="shared" si="29"/>
        <v>1000</v>
      </c>
      <c r="DM10" s="43">
        <v>1</v>
      </c>
      <c r="DN10" s="43">
        <v>0</v>
      </c>
      <c r="DO10" s="43" t="s">
        <v>759</v>
      </c>
      <c r="DP10" s="44">
        <v>0</v>
      </c>
      <c r="DQ10" s="43">
        <v>1000</v>
      </c>
      <c r="DR10" s="94" t="str">
        <f>IFERROR(IF(INDEX(Estrutura_P01[],MATCH($C10,Estrutura_P01[txtMAKT-MAKTX],0),MATCH(DR$3,Estrutura_P01[#Headers],0))=0,"",INDEX(Estrutura_P01[],MATCH($C10,Estrutura_P01[txtMAKT-MAKTX],0),MATCH(DR$3,Estrutura_P01[#Headers],0)))*DQ10,"")</f>
        <v/>
      </c>
      <c r="DS10" s="42" t="str">
        <f t="shared" ca="1" si="30"/>
        <v/>
      </c>
      <c r="DT10" s="58"/>
    </row>
    <row r="11" spans="1:124" x14ac:dyDescent="0.2">
      <c r="A11" s="7" t="str">
        <f t="shared" si="4"/>
        <v>Execução 7</v>
      </c>
      <c r="B11" s="76"/>
      <c r="C11" s="82"/>
      <c r="D11" s="69" t="str">
        <f t="shared" si="5"/>
        <v>0582</v>
      </c>
      <c r="E11" s="69" t="str">
        <f t="shared" si="6"/>
        <v/>
      </c>
      <c r="F11" s="42" t="str">
        <f>IFERROR(IF(INDEX(Estrutura_P01[],MATCH($C11,Estrutura_P01[txtMAKT-MAKTX],0),MATCH(F$3,Estrutura_P01[#Headers],0))=0,"",INDEX(Estrutura_P01[],MATCH($C11,Estrutura_P01[txtMAKT-MAKTX],0),MATCH(F$3,Estrutura_P01[#Headers],0))),"")</f>
        <v/>
      </c>
      <c r="G11" s="42" t="str">
        <f t="shared" si="7"/>
        <v/>
      </c>
      <c r="H11" s="43" t="s">
        <v>100</v>
      </c>
      <c r="I11" s="89" t="s">
        <v>9</v>
      </c>
      <c r="J11" s="89" t="s">
        <v>18</v>
      </c>
      <c r="K11" s="42" t="str">
        <f t="shared" si="8"/>
        <v>0582</v>
      </c>
      <c r="L11" s="89" t="s">
        <v>6</v>
      </c>
      <c r="M11" s="42" t="str">
        <f t="shared" si="9"/>
        <v>582</v>
      </c>
      <c r="O11" s="44" t="s">
        <v>101</v>
      </c>
      <c r="P11" s="44" t="s">
        <v>102</v>
      </c>
      <c r="Q11" s="44" t="s">
        <v>103</v>
      </c>
      <c r="R11" s="44" t="s">
        <v>104</v>
      </c>
      <c r="S11" s="44" t="s">
        <v>105</v>
      </c>
      <c r="T11" s="44" t="s">
        <v>106</v>
      </c>
      <c r="U11" s="44" t="s">
        <v>107</v>
      </c>
      <c r="V11" s="44" t="s">
        <v>109</v>
      </c>
      <c r="W11" s="44" t="s">
        <v>110</v>
      </c>
      <c r="X11" s="44"/>
      <c r="Y11" s="44"/>
      <c r="Z11" s="44" t="s">
        <v>112</v>
      </c>
      <c r="AA11" s="44" t="s">
        <v>113</v>
      </c>
      <c r="AB11" s="44" t="s">
        <v>114</v>
      </c>
      <c r="AC11" s="44" t="s">
        <v>115</v>
      </c>
      <c r="AD11" s="44" t="s">
        <v>117</v>
      </c>
      <c r="AE11" s="44" t="s">
        <v>118</v>
      </c>
      <c r="AF11" s="44" t="s">
        <v>119</v>
      </c>
      <c r="AG11" s="44"/>
      <c r="AH11" s="44"/>
      <c r="AI11" s="44" t="s">
        <v>122</v>
      </c>
      <c r="AJ11" s="44" t="s">
        <v>123</v>
      </c>
      <c r="AK11" s="44" t="s">
        <v>124</v>
      </c>
      <c r="AL11" s="44" t="s">
        <v>125</v>
      </c>
      <c r="AM11" s="44" t="s">
        <v>126</v>
      </c>
      <c r="AN11" s="44"/>
      <c r="AO11" s="44"/>
      <c r="AQ11" s="42" t="str">
        <f t="shared" si="10"/>
        <v>M</v>
      </c>
      <c r="AR11" s="42" t="str">
        <f>IFERROR(IF(INDEX(Estrutura_P01[],MATCH($C11,Estrutura_P01[txtMAKT-MAKTX],0),MATCH(AR$3,Estrutura_P01[#Headers],0))=0,"",INDEX(Estrutura_P01[],MATCH($C11,Estrutura_P01[txtMAKT-MAKTX],0),MATCH(AR$3,Estrutura_P01[#Headers],0))),"")</f>
        <v/>
      </c>
      <c r="AS11" s="44"/>
      <c r="AT11" s="47"/>
      <c r="AU11" s="42" t="str">
        <f>IFERROR(IF(INDEX(Estrutura_P01[],MATCH($C11,Estrutura_P01[txtMAKT-MAKTX],0),MATCH(AU$3,Estrutura_P01[#Headers],0))=0,"",INDEX(Estrutura_P01[],MATCH($C11,Estrutura_P01[txtMAKT-MAKTX],0),MATCH(AU$3,Estrutura_P01[#Headers],0))),"")</f>
        <v/>
      </c>
      <c r="AV11" s="44"/>
      <c r="AW11" s="45" t="str">
        <f t="shared" ca="1" si="11"/>
        <v/>
      </c>
      <c r="AX11" s="46" t="s">
        <v>738</v>
      </c>
      <c r="AY11" s="42" t="str">
        <f>IFERROR(IF(INDEX(Estrutura_P01[],MATCH($C11,Estrutura_P01[txtMAKT-MAKTX],0),MATCH(AY$3,Estrutura_P01[#Headers],0))=0,"",INDEX(Estrutura_P01[],MATCH($C11,Estrutura_P01[txtMAKT-MAKTX],0),MATCH(AY$3,Estrutura_P01[#Headers],0))),"")</f>
        <v/>
      </c>
      <c r="AZ11" s="42" t="str">
        <f t="shared" si="12"/>
        <v/>
      </c>
      <c r="BA11" s="47" t="s">
        <v>299</v>
      </c>
      <c r="BB11" s="47" t="s">
        <v>943</v>
      </c>
      <c r="BC11" s="42" t="str">
        <f>IFERROR(IF(INDEX(Estrutura_P01[],MATCH($C11,Estrutura_P01[txtMAKT-MAKTX],0),MATCH(BC$3,Estrutura_P01[#Headers],0))=0,"",INDEX(Estrutura_P01[],MATCH($C11,Estrutura_P01[txtMAKT-MAKTX],0),MATCH(BC$3,Estrutura_P01[#Headers],0))),"")</f>
        <v/>
      </c>
      <c r="BD11" s="42" t="str">
        <f t="shared" si="13"/>
        <v/>
      </c>
      <c r="BE11" s="42" t="str">
        <f t="shared" si="14"/>
        <v/>
      </c>
      <c r="BF11" s="42" t="str">
        <f t="shared" si="15"/>
        <v/>
      </c>
      <c r="BG11" s="42" t="str">
        <f t="shared" si="16"/>
        <v>M</v>
      </c>
      <c r="BI11" s="43" t="s">
        <v>944</v>
      </c>
      <c r="BJ11" s="43" t="s">
        <v>945</v>
      </c>
      <c r="BK11" s="42" t="str">
        <f>IFERROR(IF(INDEX(Estrutura_P01[],MATCH($C11,Estrutura_P01[txtMAKT-MAKTX],0),MATCH(BK$3,Estrutura_P01[#Headers],0))=0,"",INDEX(Estrutura_P01[],MATCH($C11,Estrutura_P01[txtMAKT-MAKTX],0),MATCH(BK$3,Estrutura_P01[#Headers],0))),"")</f>
        <v/>
      </c>
      <c r="BL11" s="42" t="str">
        <f>IFERROR(IF(INDEX(Estrutura_P01[],MATCH($C11,Estrutura_P01[txtMAKT-MAKTX],0),MATCH(BL9,Estrutura_P01[#Headers],0))=0,"",INDEX(Estrutura_P01[],MATCH($C11,Estrutura_P01[txtMAKT-MAKTX],0),MATCH(BL9,Estrutura_P01[#Headers],0))),"")</f>
        <v/>
      </c>
      <c r="BM11" s="42" t="str">
        <f>IFERROR(IF(INDEX(Estrutura_P01[],MATCH($C11,Estrutura_P01[txtMAKT-MAKTX],0),MATCH(BM9,Estrutura_P01[#Headers],0))=0,"",INDEX(Estrutura_P01[],MATCH($C11,Estrutura_P01[txtMAKT-MAKTX],0),MATCH(BM9,Estrutura_P01[#Headers],0))),"")</f>
        <v/>
      </c>
      <c r="BN11" s="42" t="str">
        <f>IFERROR(IF(INDEX(Estrutura_P01[],MATCH($C11,Estrutura_P01[txtMAKT-MAKTX],0),MATCH(BN9,Estrutura_P01[#Headers],0))=0,"",INDEX(Estrutura_P01[],MATCH($C11,Estrutura_P01[txtMAKT-MAKTX],0),MATCH(BN9,Estrutura_P01[#Headers],0))),"")</f>
        <v/>
      </c>
      <c r="BO11" s="42" t="str">
        <f>IFERROR(IF(INDEX(Estrutura_P01[],MATCH($C11,Estrutura_P01[txtMAKT-MAKTX],0),MATCH(BO9,Estrutura_P01[#Headers],0))=0,"",INDEX(Estrutura_P01[],MATCH($C11,Estrutura_P01[txtMAKT-MAKTX],0),MATCH(BO9,Estrutura_P01[#Headers],0))),"")</f>
        <v/>
      </c>
      <c r="BP11" s="42" t="str">
        <f>IFERROR(IF(OR(INDEX(Estrutura_P01[],MATCH($C11,Estrutura_P01[txtMAKT-MAKTX],0),MATCH(BP$3,Estrutura_P01[#Headers],0))=0,INDEX(Estrutura_P01[],MATCH($C11,Estrutura_P01[txtMAKT-MAKTX],0),MATCH(BP$3,Estrutura_P01[#Headers],0))=AQ11),"",INDEX(Estrutura_P01[],MATCH($C11,Estrutura_P01[txtMAKT-MAKTX],0),MATCH(BP$3,Estrutura_P01[#Headers],0))),"")</f>
        <v/>
      </c>
      <c r="BQ11" s="44">
        <v>99</v>
      </c>
      <c r="BR11" s="45" t="str">
        <f t="shared" ca="1" si="17"/>
        <v>24.05.2022</v>
      </c>
      <c r="BS11" s="48" t="str">
        <f t="shared" si="18"/>
        <v>0582</v>
      </c>
      <c r="BT11" s="49">
        <v>1</v>
      </c>
      <c r="BU11" s="49" t="s">
        <v>194</v>
      </c>
      <c r="BV11" s="102" t="str">
        <f t="shared" si="19"/>
        <v>01</v>
      </c>
      <c r="BW11" s="49" t="s">
        <v>738</v>
      </c>
      <c r="BX11" s="43">
        <v>1</v>
      </c>
      <c r="BY11" s="43" t="s">
        <v>366</v>
      </c>
      <c r="BZ11" s="49" t="s">
        <v>197</v>
      </c>
      <c r="CA11" s="49" t="s">
        <v>197</v>
      </c>
      <c r="CB11" s="47" t="s">
        <v>942</v>
      </c>
      <c r="CC11" s="43" t="s">
        <v>382</v>
      </c>
      <c r="CD11" s="49">
        <v>0</v>
      </c>
      <c r="CE11" s="44" t="s">
        <v>394</v>
      </c>
      <c r="CF11" s="44" t="s">
        <v>34</v>
      </c>
      <c r="CG11" s="42" t="str">
        <f t="shared" si="20"/>
        <v>582</v>
      </c>
      <c r="CH11" s="44" t="s">
        <v>420</v>
      </c>
      <c r="CI11" s="43">
        <v>0</v>
      </c>
      <c r="CJ11" s="42" t="str">
        <f t="shared" si="21"/>
        <v>E</v>
      </c>
      <c r="CK11" s="102" t="str">
        <f t="shared" si="22"/>
        <v/>
      </c>
      <c r="CL11" s="47">
        <v>1</v>
      </c>
      <c r="CM11" s="47">
        <v>1</v>
      </c>
      <c r="CN11" s="43"/>
      <c r="CO11" s="48" t="str">
        <f t="shared" si="23"/>
        <v>0330</v>
      </c>
      <c r="CP11" s="48" t="str">
        <f t="shared" si="24"/>
        <v>0330</v>
      </c>
      <c r="CQ11" s="42" t="str">
        <f t="shared" si="25"/>
        <v/>
      </c>
      <c r="CR11" s="43">
        <v>1</v>
      </c>
      <c r="CS11" s="49" t="s">
        <v>505</v>
      </c>
      <c r="CT11" s="43" t="s">
        <v>36</v>
      </c>
      <c r="CU11" s="43">
        <v>2</v>
      </c>
      <c r="CV11" s="43">
        <v>42</v>
      </c>
      <c r="CW11" s="43">
        <v>10</v>
      </c>
      <c r="CX11" s="42">
        <f t="shared" si="26"/>
        <v>1</v>
      </c>
      <c r="CY11" s="42" t="str">
        <f>IFERROR(IF(INDEX(Estrutura_P01[],MATCH($C11,Estrutura_P01[txtMAKT-MAKTX],0),MATCH(CY$3,Estrutura_P01[#Headers],0))=0,"",IF(INDEX(Estrutura_P01[],MATCH($C11,Estrutura_P01[txtMAKT-MAKTX],0),MATCH(CY$3,Estrutura_P01[#Headers],0))="Industrializado","SUB_0582","")),"")</f>
        <v/>
      </c>
      <c r="CZ11" s="42" t="str">
        <f t="shared" ca="1" si="27"/>
        <v>24.05.2022</v>
      </c>
      <c r="DA11" s="42" t="str">
        <f t="shared" si="28"/>
        <v>31.12.9999</v>
      </c>
      <c r="DC11" s="43">
        <v>1</v>
      </c>
      <c r="DD11" s="43" t="s">
        <v>946</v>
      </c>
      <c r="DE11" s="43">
        <v>30</v>
      </c>
      <c r="DF11" s="43">
        <v>1</v>
      </c>
      <c r="DG11" s="42">
        <f t="shared" si="0"/>
        <v>0.01</v>
      </c>
      <c r="DH11" s="42" t="str">
        <f t="shared" si="1"/>
        <v>M</v>
      </c>
      <c r="DI11" s="42" t="str">
        <f t="shared" si="2"/>
        <v/>
      </c>
      <c r="DJ11" s="43">
        <v>1000</v>
      </c>
      <c r="DK11" s="69">
        <f t="shared" si="3"/>
        <v>1</v>
      </c>
      <c r="DL11" s="42">
        <f t="shared" si="29"/>
        <v>1000</v>
      </c>
      <c r="DM11" s="43">
        <v>1</v>
      </c>
      <c r="DN11" s="43">
        <v>0</v>
      </c>
      <c r="DO11" s="43" t="s">
        <v>759</v>
      </c>
      <c r="DP11" s="44">
        <v>0</v>
      </c>
      <c r="DQ11" s="43">
        <v>1000</v>
      </c>
      <c r="DR11" s="94" t="str">
        <f>IFERROR(IF(INDEX(Estrutura_P01[],MATCH($C11,Estrutura_P01[txtMAKT-MAKTX],0),MATCH(DR$3,Estrutura_P01[#Headers],0))=0,"",INDEX(Estrutura_P01[],MATCH($C11,Estrutura_P01[txtMAKT-MAKTX],0),MATCH(DR$3,Estrutura_P01[#Headers],0)))*DQ11,"")</f>
        <v/>
      </c>
      <c r="DS11" s="42" t="str">
        <f t="shared" ca="1" si="30"/>
        <v/>
      </c>
      <c r="DT11" s="58"/>
    </row>
    <row r="12" spans="1:124" x14ac:dyDescent="0.2">
      <c r="A12" s="7" t="str">
        <f t="shared" si="4"/>
        <v>Execução 8</v>
      </c>
      <c r="B12" s="76"/>
      <c r="C12" s="82"/>
      <c r="D12" s="69" t="str">
        <f t="shared" si="5"/>
        <v>0582</v>
      </c>
      <c r="E12" s="69" t="str">
        <f t="shared" si="6"/>
        <v/>
      </c>
      <c r="F12" s="42" t="str">
        <f>IFERROR(IF(INDEX(Estrutura_P01[],MATCH($C12,Estrutura_P01[txtMAKT-MAKTX],0),MATCH(F$3,Estrutura_P01[#Headers],0))=0,"",INDEX(Estrutura_P01[],MATCH($C12,Estrutura_P01[txtMAKT-MAKTX],0),MATCH(F$3,Estrutura_P01[#Headers],0))),"")</f>
        <v/>
      </c>
      <c r="G12" s="42" t="str">
        <f t="shared" si="7"/>
        <v/>
      </c>
      <c r="H12" s="43" t="s">
        <v>100</v>
      </c>
      <c r="I12" s="89" t="s">
        <v>9</v>
      </c>
      <c r="J12" s="89" t="s">
        <v>18</v>
      </c>
      <c r="K12" s="42" t="str">
        <f t="shared" si="8"/>
        <v>0582</v>
      </c>
      <c r="L12" s="89" t="s">
        <v>6</v>
      </c>
      <c r="M12" s="42" t="str">
        <f t="shared" si="9"/>
        <v>582</v>
      </c>
      <c r="O12" s="44" t="s">
        <v>101</v>
      </c>
      <c r="P12" s="44" t="s">
        <v>102</v>
      </c>
      <c r="Q12" s="44" t="s">
        <v>103</v>
      </c>
      <c r="R12" s="44" t="s">
        <v>104</v>
      </c>
      <c r="S12" s="44" t="s">
        <v>105</v>
      </c>
      <c r="T12" s="44" t="s">
        <v>106</v>
      </c>
      <c r="U12" s="44" t="s">
        <v>107</v>
      </c>
      <c r="V12" s="44" t="s">
        <v>109</v>
      </c>
      <c r="W12" s="44" t="s">
        <v>110</v>
      </c>
      <c r="X12" s="44"/>
      <c r="Y12" s="44"/>
      <c r="Z12" s="44" t="s">
        <v>112</v>
      </c>
      <c r="AA12" s="44" t="s">
        <v>113</v>
      </c>
      <c r="AB12" s="44" t="s">
        <v>114</v>
      </c>
      <c r="AC12" s="44" t="s">
        <v>115</v>
      </c>
      <c r="AD12" s="44" t="s">
        <v>117</v>
      </c>
      <c r="AE12" s="44" t="s">
        <v>118</v>
      </c>
      <c r="AF12" s="44" t="s">
        <v>119</v>
      </c>
      <c r="AG12" s="44"/>
      <c r="AH12" s="44"/>
      <c r="AI12" s="44" t="s">
        <v>122</v>
      </c>
      <c r="AJ12" s="44" t="s">
        <v>123</v>
      </c>
      <c r="AK12" s="44" t="s">
        <v>124</v>
      </c>
      <c r="AL12" s="44" t="s">
        <v>125</v>
      </c>
      <c r="AM12" s="44" t="s">
        <v>126</v>
      </c>
      <c r="AN12" s="44"/>
      <c r="AO12" s="44"/>
      <c r="AQ12" s="42" t="str">
        <f t="shared" si="10"/>
        <v>M</v>
      </c>
      <c r="AR12" s="42" t="str">
        <f>IFERROR(IF(INDEX(Estrutura_P01[],MATCH($C12,Estrutura_P01[txtMAKT-MAKTX],0),MATCH(AR$3,Estrutura_P01[#Headers],0))=0,"",INDEX(Estrutura_P01[],MATCH($C12,Estrutura_P01[txtMAKT-MAKTX],0),MATCH(AR$3,Estrutura_P01[#Headers],0))),"")</f>
        <v/>
      </c>
      <c r="AS12" s="44"/>
      <c r="AT12" s="47"/>
      <c r="AU12" s="42" t="str">
        <f>IFERROR(IF(INDEX(Estrutura_P01[],MATCH($C12,Estrutura_P01[txtMAKT-MAKTX],0),MATCH(AU$3,Estrutura_P01[#Headers],0))=0,"",INDEX(Estrutura_P01[],MATCH($C12,Estrutura_P01[txtMAKT-MAKTX],0),MATCH(AU$3,Estrutura_P01[#Headers],0))),"")</f>
        <v/>
      </c>
      <c r="AV12" s="44"/>
      <c r="AW12" s="45" t="str">
        <f t="shared" ca="1" si="11"/>
        <v/>
      </c>
      <c r="AX12" s="46" t="s">
        <v>738</v>
      </c>
      <c r="AY12" s="42" t="str">
        <f>IFERROR(IF(INDEX(Estrutura_P01[],MATCH($C12,Estrutura_P01[txtMAKT-MAKTX],0),MATCH(AY$3,Estrutura_P01[#Headers],0))=0,"",INDEX(Estrutura_P01[],MATCH($C12,Estrutura_P01[txtMAKT-MAKTX],0),MATCH(AY$3,Estrutura_P01[#Headers],0))),"")</f>
        <v/>
      </c>
      <c r="AZ12" s="42" t="str">
        <f t="shared" si="12"/>
        <v/>
      </c>
      <c r="BA12" s="47" t="s">
        <v>299</v>
      </c>
      <c r="BB12" s="47" t="s">
        <v>943</v>
      </c>
      <c r="BC12" s="42" t="str">
        <f>IFERROR(IF(INDEX(Estrutura_P01[],MATCH($C12,Estrutura_P01[txtMAKT-MAKTX],0),MATCH(BC$3,Estrutura_P01[#Headers],0))=0,"",INDEX(Estrutura_P01[],MATCH($C12,Estrutura_P01[txtMAKT-MAKTX],0),MATCH(BC$3,Estrutura_P01[#Headers],0))),"")</f>
        <v/>
      </c>
      <c r="BD12" s="42" t="str">
        <f t="shared" si="13"/>
        <v/>
      </c>
      <c r="BE12" s="42" t="str">
        <f t="shared" si="14"/>
        <v/>
      </c>
      <c r="BF12" s="42" t="str">
        <f t="shared" si="15"/>
        <v/>
      </c>
      <c r="BG12" s="42" t="str">
        <f t="shared" si="16"/>
        <v>M</v>
      </c>
      <c r="BI12" s="43" t="s">
        <v>944</v>
      </c>
      <c r="BJ12" s="43" t="s">
        <v>945</v>
      </c>
      <c r="BK12" s="42" t="str">
        <f>IFERROR(IF(INDEX(Estrutura_P01[],MATCH($C12,Estrutura_P01[txtMAKT-MAKTX],0),MATCH(BK$3,Estrutura_P01[#Headers],0))=0,"",INDEX(Estrutura_P01[],MATCH($C12,Estrutura_P01[txtMAKT-MAKTX],0),MATCH(BK$3,Estrutura_P01[#Headers],0))),"")</f>
        <v/>
      </c>
      <c r="BL12" s="42" t="str">
        <f>IFERROR(IF(INDEX(Estrutura_P01[],MATCH($C12,Estrutura_P01[txtMAKT-MAKTX],0),MATCH(BL10,Estrutura_P01[#Headers],0))=0,"",INDEX(Estrutura_P01[],MATCH($C12,Estrutura_P01[txtMAKT-MAKTX],0),MATCH(BL10,Estrutura_P01[#Headers],0))),"")</f>
        <v/>
      </c>
      <c r="BM12" s="42" t="str">
        <f>IFERROR(IF(INDEX(Estrutura_P01[],MATCH($C12,Estrutura_P01[txtMAKT-MAKTX],0),MATCH(BM10,Estrutura_P01[#Headers],0))=0,"",INDEX(Estrutura_P01[],MATCH($C12,Estrutura_P01[txtMAKT-MAKTX],0),MATCH(BM10,Estrutura_P01[#Headers],0))),"")</f>
        <v/>
      </c>
      <c r="BN12" s="42" t="str">
        <f>IFERROR(IF(INDEX(Estrutura_P01[],MATCH($C12,Estrutura_P01[txtMAKT-MAKTX],0),MATCH(BN10,Estrutura_P01[#Headers],0))=0,"",INDEX(Estrutura_P01[],MATCH($C12,Estrutura_P01[txtMAKT-MAKTX],0),MATCH(BN10,Estrutura_P01[#Headers],0))),"")</f>
        <v/>
      </c>
      <c r="BO12" s="42" t="str">
        <f>IFERROR(IF(INDEX(Estrutura_P01[],MATCH($C12,Estrutura_P01[txtMAKT-MAKTX],0),MATCH(BO10,Estrutura_P01[#Headers],0))=0,"",INDEX(Estrutura_P01[],MATCH($C12,Estrutura_P01[txtMAKT-MAKTX],0),MATCH(BO10,Estrutura_P01[#Headers],0))),"")</f>
        <v/>
      </c>
      <c r="BP12" s="42" t="str">
        <f>IFERROR(IF(OR(INDEX(Estrutura_P01[],MATCH($C12,Estrutura_P01[txtMAKT-MAKTX],0),MATCH(BP$3,Estrutura_P01[#Headers],0))=0,INDEX(Estrutura_P01[],MATCH($C12,Estrutura_P01[txtMAKT-MAKTX],0),MATCH(BP$3,Estrutura_P01[#Headers],0))=AQ12),"",INDEX(Estrutura_P01[],MATCH($C12,Estrutura_P01[txtMAKT-MAKTX],0),MATCH(BP$3,Estrutura_P01[#Headers],0))),"")</f>
        <v/>
      </c>
      <c r="BQ12" s="44">
        <v>99</v>
      </c>
      <c r="BR12" s="45" t="str">
        <f t="shared" ca="1" si="17"/>
        <v>24.05.2022</v>
      </c>
      <c r="BS12" s="48" t="str">
        <f t="shared" si="18"/>
        <v>0582</v>
      </c>
      <c r="BT12" s="49">
        <v>1</v>
      </c>
      <c r="BU12" s="49" t="s">
        <v>194</v>
      </c>
      <c r="BV12" s="102" t="str">
        <f t="shared" si="19"/>
        <v>01</v>
      </c>
      <c r="BW12" s="49" t="s">
        <v>738</v>
      </c>
      <c r="BX12" s="43">
        <v>1</v>
      </c>
      <c r="BY12" s="43" t="s">
        <v>366</v>
      </c>
      <c r="BZ12" s="49" t="s">
        <v>197</v>
      </c>
      <c r="CA12" s="49" t="s">
        <v>197</v>
      </c>
      <c r="CB12" s="47" t="s">
        <v>942</v>
      </c>
      <c r="CC12" s="43" t="s">
        <v>382</v>
      </c>
      <c r="CD12" s="49">
        <v>0</v>
      </c>
      <c r="CE12" s="44" t="s">
        <v>394</v>
      </c>
      <c r="CF12" s="44" t="s">
        <v>34</v>
      </c>
      <c r="CG12" s="42" t="str">
        <f t="shared" si="20"/>
        <v>582</v>
      </c>
      <c r="CH12" s="44" t="s">
        <v>420</v>
      </c>
      <c r="CI12" s="43">
        <v>0</v>
      </c>
      <c r="CJ12" s="42" t="str">
        <f t="shared" si="21"/>
        <v>E</v>
      </c>
      <c r="CK12" s="102" t="str">
        <f t="shared" si="22"/>
        <v/>
      </c>
      <c r="CL12" s="47">
        <v>1</v>
      </c>
      <c r="CM12" s="47">
        <v>1</v>
      </c>
      <c r="CN12" s="43"/>
      <c r="CO12" s="48" t="str">
        <f t="shared" si="23"/>
        <v>0330</v>
      </c>
      <c r="CP12" s="48" t="str">
        <f t="shared" si="24"/>
        <v>0330</v>
      </c>
      <c r="CQ12" s="42" t="str">
        <f t="shared" si="25"/>
        <v/>
      </c>
      <c r="CR12" s="43">
        <v>1</v>
      </c>
      <c r="CS12" s="49" t="s">
        <v>505</v>
      </c>
      <c r="CT12" s="43" t="s">
        <v>36</v>
      </c>
      <c r="CU12" s="43">
        <v>2</v>
      </c>
      <c r="CV12" s="43">
        <v>42</v>
      </c>
      <c r="CW12" s="43">
        <v>10</v>
      </c>
      <c r="CX12" s="42">
        <f t="shared" si="26"/>
        <v>1</v>
      </c>
      <c r="CY12" s="42" t="str">
        <f>IFERROR(IF(INDEX(Estrutura_P01[],MATCH($C12,Estrutura_P01[txtMAKT-MAKTX],0),MATCH(CY$3,Estrutura_P01[#Headers],0))=0,"",IF(INDEX(Estrutura_P01[],MATCH($C12,Estrutura_P01[txtMAKT-MAKTX],0),MATCH(CY$3,Estrutura_P01[#Headers],0))="Industrializado","SUB_0582","")),"")</f>
        <v/>
      </c>
      <c r="CZ12" s="42" t="str">
        <f t="shared" ca="1" si="27"/>
        <v>24.05.2022</v>
      </c>
      <c r="DA12" s="42" t="str">
        <f t="shared" si="28"/>
        <v>31.12.9999</v>
      </c>
      <c r="DC12" s="43">
        <v>1</v>
      </c>
      <c r="DD12" s="43" t="s">
        <v>946</v>
      </c>
      <c r="DE12" s="43">
        <v>30</v>
      </c>
      <c r="DF12" s="43">
        <v>1</v>
      </c>
      <c r="DG12" s="42">
        <f t="shared" si="0"/>
        <v>0.01</v>
      </c>
      <c r="DH12" s="42" t="str">
        <f t="shared" si="1"/>
        <v>M</v>
      </c>
      <c r="DI12" s="42" t="str">
        <f t="shared" si="2"/>
        <v/>
      </c>
      <c r="DJ12" s="43">
        <v>1000</v>
      </c>
      <c r="DK12" s="69">
        <f t="shared" si="3"/>
        <v>1</v>
      </c>
      <c r="DL12" s="42">
        <f t="shared" si="29"/>
        <v>1000</v>
      </c>
      <c r="DM12" s="43">
        <v>1</v>
      </c>
      <c r="DN12" s="43">
        <v>0</v>
      </c>
      <c r="DO12" s="43" t="s">
        <v>759</v>
      </c>
      <c r="DP12" s="44">
        <v>0</v>
      </c>
      <c r="DQ12" s="43">
        <v>1000</v>
      </c>
      <c r="DR12" s="94" t="str">
        <f>IFERROR(IF(INDEX(Estrutura_P01[],MATCH($C12,Estrutura_P01[txtMAKT-MAKTX],0),MATCH(DR$3,Estrutura_P01[#Headers],0))=0,"",INDEX(Estrutura_P01[],MATCH($C12,Estrutura_P01[txtMAKT-MAKTX],0),MATCH(DR$3,Estrutura_P01[#Headers],0)))*DQ12,"")</f>
        <v/>
      </c>
      <c r="DS12" s="42" t="str">
        <f t="shared" ca="1" si="30"/>
        <v/>
      </c>
      <c r="DT12" s="58"/>
    </row>
    <row r="13" spans="1:124" x14ac:dyDescent="0.2">
      <c r="A13" s="7" t="str">
        <f t="shared" si="4"/>
        <v>Execução 9</v>
      </c>
      <c r="B13" s="76"/>
      <c r="C13" s="82"/>
      <c r="D13" s="69" t="str">
        <f t="shared" si="5"/>
        <v>0582</v>
      </c>
      <c r="E13" s="69" t="str">
        <f t="shared" si="6"/>
        <v/>
      </c>
      <c r="F13" s="42" t="str">
        <f>IFERROR(IF(INDEX(Estrutura_P01[],MATCH($C13,Estrutura_P01[txtMAKT-MAKTX],0),MATCH(F$3,Estrutura_P01[#Headers],0))=0,"",INDEX(Estrutura_P01[],MATCH($C13,Estrutura_P01[txtMAKT-MAKTX],0),MATCH(F$3,Estrutura_P01[#Headers],0))),"")</f>
        <v/>
      </c>
      <c r="G13" s="42" t="str">
        <f t="shared" si="7"/>
        <v/>
      </c>
      <c r="H13" s="43" t="s">
        <v>100</v>
      </c>
      <c r="I13" s="89" t="s">
        <v>9</v>
      </c>
      <c r="J13" s="89" t="s">
        <v>18</v>
      </c>
      <c r="K13" s="42" t="str">
        <f t="shared" si="8"/>
        <v>0582</v>
      </c>
      <c r="L13" s="89" t="s">
        <v>6</v>
      </c>
      <c r="M13" s="42" t="str">
        <f t="shared" si="9"/>
        <v>582</v>
      </c>
      <c r="O13" s="44" t="s">
        <v>101</v>
      </c>
      <c r="P13" s="44" t="s">
        <v>102</v>
      </c>
      <c r="Q13" s="44" t="s">
        <v>103</v>
      </c>
      <c r="R13" s="44" t="s">
        <v>104</v>
      </c>
      <c r="S13" s="44" t="s">
        <v>105</v>
      </c>
      <c r="T13" s="44" t="s">
        <v>106</v>
      </c>
      <c r="U13" s="44" t="s">
        <v>107</v>
      </c>
      <c r="V13" s="44" t="s">
        <v>109</v>
      </c>
      <c r="W13" s="44" t="s">
        <v>110</v>
      </c>
      <c r="X13" s="44"/>
      <c r="Y13" s="44"/>
      <c r="Z13" s="44" t="s">
        <v>112</v>
      </c>
      <c r="AA13" s="44" t="s">
        <v>113</v>
      </c>
      <c r="AB13" s="44" t="s">
        <v>114</v>
      </c>
      <c r="AC13" s="44" t="s">
        <v>115</v>
      </c>
      <c r="AD13" s="44" t="s">
        <v>117</v>
      </c>
      <c r="AE13" s="44" t="s">
        <v>118</v>
      </c>
      <c r="AF13" s="44" t="s">
        <v>119</v>
      </c>
      <c r="AG13" s="44"/>
      <c r="AH13" s="44"/>
      <c r="AI13" s="44" t="s">
        <v>122</v>
      </c>
      <c r="AJ13" s="44" t="s">
        <v>123</v>
      </c>
      <c r="AK13" s="44" t="s">
        <v>124</v>
      </c>
      <c r="AL13" s="44" t="s">
        <v>125</v>
      </c>
      <c r="AM13" s="44" t="s">
        <v>126</v>
      </c>
      <c r="AN13" s="44"/>
      <c r="AO13" s="44"/>
      <c r="AQ13" s="42" t="str">
        <f t="shared" si="10"/>
        <v>M</v>
      </c>
      <c r="AR13" s="42" t="str">
        <f>IFERROR(IF(INDEX(Estrutura_P01[],MATCH($C13,Estrutura_P01[txtMAKT-MAKTX],0),MATCH(AR$3,Estrutura_P01[#Headers],0))=0,"",INDEX(Estrutura_P01[],MATCH($C13,Estrutura_P01[txtMAKT-MAKTX],0),MATCH(AR$3,Estrutura_P01[#Headers],0))),"")</f>
        <v/>
      </c>
      <c r="AS13" s="44"/>
      <c r="AT13" s="47"/>
      <c r="AU13" s="42" t="str">
        <f>IFERROR(IF(INDEX(Estrutura_P01[],MATCH($C13,Estrutura_P01[txtMAKT-MAKTX],0),MATCH(AU$3,Estrutura_P01[#Headers],0))=0,"",INDEX(Estrutura_P01[],MATCH($C13,Estrutura_P01[txtMAKT-MAKTX],0),MATCH(AU$3,Estrutura_P01[#Headers],0))),"")</f>
        <v/>
      </c>
      <c r="AV13" s="44"/>
      <c r="AW13" s="45" t="str">
        <f t="shared" ca="1" si="11"/>
        <v/>
      </c>
      <c r="AX13" s="46" t="s">
        <v>738</v>
      </c>
      <c r="AY13" s="42" t="str">
        <f>IFERROR(IF(INDEX(Estrutura_P01[],MATCH($C13,Estrutura_P01[txtMAKT-MAKTX],0),MATCH(AY$3,Estrutura_P01[#Headers],0))=0,"",INDEX(Estrutura_P01[],MATCH($C13,Estrutura_P01[txtMAKT-MAKTX],0),MATCH(AY$3,Estrutura_P01[#Headers],0))),"")</f>
        <v/>
      </c>
      <c r="AZ13" s="42" t="str">
        <f t="shared" si="12"/>
        <v/>
      </c>
      <c r="BA13" s="47" t="s">
        <v>299</v>
      </c>
      <c r="BB13" s="47" t="s">
        <v>943</v>
      </c>
      <c r="BC13" s="42" t="str">
        <f>IFERROR(IF(INDEX(Estrutura_P01[],MATCH($C13,Estrutura_P01[txtMAKT-MAKTX],0),MATCH(BC$3,Estrutura_P01[#Headers],0))=0,"",INDEX(Estrutura_P01[],MATCH($C13,Estrutura_P01[txtMAKT-MAKTX],0),MATCH(BC$3,Estrutura_P01[#Headers],0))),"")</f>
        <v/>
      </c>
      <c r="BD13" s="42" t="str">
        <f t="shared" si="13"/>
        <v/>
      </c>
      <c r="BE13" s="42" t="str">
        <f t="shared" si="14"/>
        <v/>
      </c>
      <c r="BF13" s="42" t="str">
        <f t="shared" si="15"/>
        <v/>
      </c>
      <c r="BG13" s="42" t="str">
        <f t="shared" si="16"/>
        <v>M</v>
      </c>
      <c r="BI13" s="43" t="s">
        <v>944</v>
      </c>
      <c r="BJ13" s="43" t="s">
        <v>945</v>
      </c>
      <c r="BK13" s="42" t="str">
        <f>IFERROR(IF(INDEX(Estrutura_P01[],MATCH($C13,Estrutura_P01[txtMAKT-MAKTX],0),MATCH(BK$3,Estrutura_P01[#Headers],0))=0,"",INDEX(Estrutura_P01[],MATCH($C13,Estrutura_P01[txtMAKT-MAKTX],0),MATCH(BK$3,Estrutura_P01[#Headers],0))),"")</f>
        <v/>
      </c>
      <c r="BL13" s="42" t="str">
        <f>IFERROR(IF(INDEX(Estrutura_P01[],MATCH($C13,Estrutura_P01[txtMAKT-MAKTX],0),MATCH(BL11,Estrutura_P01[#Headers],0))=0,"",INDEX(Estrutura_P01[],MATCH($C13,Estrutura_P01[txtMAKT-MAKTX],0),MATCH(BL11,Estrutura_P01[#Headers],0))),"")</f>
        <v/>
      </c>
      <c r="BM13" s="42" t="str">
        <f>IFERROR(IF(INDEX(Estrutura_P01[],MATCH($C13,Estrutura_P01[txtMAKT-MAKTX],0),MATCH(BM11,Estrutura_P01[#Headers],0))=0,"",INDEX(Estrutura_P01[],MATCH($C13,Estrutura_P01[txtMAKT-MAKTX],0),MATCH(BM11,Estrutura_P01[#Headers],0))),"")</f>
        <v/>
      </c>
      <c r="BN13" s="42" t="str">
        <f>IFERROR(IF(INDEX(Estrutura_P01[],MATCH($C13,Estrutura_P01[txtMAKT-MAKTX],0),MATCH(BN11,Estrutura_P01[#Headers],0))=0,"",INDEX(Estrutura_P01[],MATCH($C13,Estrutura_P01[txtMAKT-MAKTX],0),MATCH(BN11,Estrutura_P01[#Headers],0))),"")</f>
        <v/>
      </c>
      <c r="BO13" s="42" t="str">
        <f>IFERROR(IF(INDEX(Estrutura_P01[],MATCH($C13,Estrutura_P01[txtMAKT-MAKTX],0),MATCH(BO11,Estrutura_P01[#Headers],0))=0,"",INDEX(Estrutura_P01[],MATCH($C13,Estrutura_P01[txtMAKT-MAKTX],0),MATCH(BO11,Estrutura_P01[#Headers],0))),"")</f>
        <v/>
      </c>
      <c r="BP13" s="42" t="str">
        <f>IFERROR(IF(OR(INDEX(Estrutura_P01[],MATCH($C13,Estrutura_P01[txtMAKT-MAKTX],0),MATCH(BP$3,Estrutura_P01[#Headers],0))=0,INDEX(Estrutura_P01[],MATCH($C13,Estrutura_P01[txtMAKT-MAKTX],0),MATCH(BP$3,Estrutura_P01[#Headers],0))=AQ13),"",INDEX(Estrutura_P01[],MATCH($C13,Estrutura_P01[txtMAKT-MAKTX],0),MATCH(BP$3,Estrutura_P01[#Headers],0))),"")</f>
        <v/>
      </c>
      <c r="BQ13" s="44">
        <v>99</v>
      </c>
      <c r="BR13" s="45" t="str">
        <f t="shared" ca="1" si="17"/>
        <v>24.05.2022</v>
      </c>
      <c r="BS13" s="48" t="str">
        <f t="shared" si="18"/>
        <v>0582</v>
      </c>
      <c r="BT13" s="49">
        <v>1</v>
      </c>
      <c r="BU13" s="49" t="s">
        <v>194</v>
      </c>
      <c r="BV13" s="102" t="str">
        <f t="shared" si="19"/>
        <v>01</v>
      </c>
      <c r="BW13" s="49" t="s">
        <v>738</v>
      </c>
      <c r="BX13" s="43">
        <v>1</v>
      </c>
      <c r="BY13" s="43" t="s">
        <v>366</v>
      </c>
      <c r="BZ13" s="49" t="s">
        <v>197</v>
      </c>
      <c r="CA13" s="49" t="s">
        <v>197</v>
      </c>
      <c r="CB13" s="47" t="s">
        <v>942</v>
      </c>
      <c r="CC13" s="43" t="s">
        <v>382</v>
      </c>
      <c r="CD13" s="49">
        <v>0</v>
      </c>
      <c r="CE13" s="44" t="s">
        <v>394</v>
      </c>
      <c r="CF13" s="44" t="s">
        <v>34</v>
      </c>
      <c r="CG13" s="42" t="str">
        <f t="shared" si="20"/>
        <v>582</v>
      </c>
      <c r="CH13" s="44" t="s">
        <v>420</v>
      </c>
      <c r="CI13" s="43">
        <v>0</v>
      </c>
      <c r="CJ13" s="42" t="str">
        <f t="shared" si="21"/>
        <v>E</v>
      </c>
      <c r="CK13" s="102" t="str">
        <f t="shared" si="22"/>
        <v/>
      </c>
      <c r="CL13" s="47">
        <v>1</v>
      </c>
      <c r="CM13" s="47">
        <v>1</v>
      </c>
      <c r="CN13" s="43"/>
      <c r="CO13" s="48" t="str">
        <f t="shared" si="23"/>
        <v>0330</v>
      </c>
      <c r="CP13" s="48" t="str">
        <f t="shared" si="24"/>
        <v>0330</v>
      </c>
      <c r="CQ13" s="42" t="str">
        <f t="shared" si="25"/>
        <v/>
      </c>
      <c r="CR13" s="43">
        <v>1</v>
      </c>
      <c r="CS13" s="49" t="s">
        <v>505</v>
      </c>
      <c r="CT13" s="43" t="s">
        <v>36</v>
      </c>
      <c r="CU13" s="43">
        <v>2</v>
      </c>
      <c r="CV13" s="43">
        <v>42</v>
      </c>
      <c r="CW13" s="43">
        <v>10</v>
      </c>
      <c r="CX13" s="42">
        <f t="shared" si="26"/>
        <v>1</v>
      </c>
      <c r="CY13" s="42" t="str">
        <f>IFERROR(IF(INDEX(Estrutura_P01[],MATCH($C13,Estrutura_P01[txtMAKT-MAKTX],0),MATCH(CY$3,Estrutura_P01[#Headers],0))=0,"",IF(INDEX(Estrutura_P01[],MATCH($C13,Estrutura_P01[txtMAKT-MAKTX],0),MATCH(CY$3,Estrutura_P01[#Headers],0))="Industrializado","SUB_0582","")),"")</f>
        <v/>
      </c>
      <c r="CZ13" s="42" t="str">
        <f t="shared" ca="1" si="27"/>
        <v>24.05.2022</v>
      </c>
      <c r="DA13" s="42" t="str">
        <f t="shared" si="28"/>
        <v>31.12.9999</v>
      </c>
      <c r="DC13" s="43">
        <v>1</v>
      </c>
      <c r="DD13" s="43" t="s">
        <v>946</v>
      </c>
      <c r="DE13" s="43">
        <v>30</v>
      </c>
      <c r="DF13" s="43">
        <v>1</v>
      </c>
      <c r="DG13" s="42">
        <f t="shared" si="0"/>
        <v>0.01</v>
      </c>
      <c r="DH13" s="42" t="str">
        <f t="shared" si="1"/>
        <v>M</v>
      </c>
      <c r="DI13" s="42" t="str">
        <f t="shared" si="2"/>
        <v/>
      </c>
      <c r="DJ13" s="43">
        <v>1000</v>
      </c>
      <c r="DK13" s="69">
        <f t="shared" si="3"/>
        <v>1</v>
      </c>
      <c r="DL13" s="42">
        <f t="shared" si="29"/>
        <v>1000</v>
      </c>
      <c r="DM13" s="43">
        <v>1</v>
      </c>
      <c r="DN13" s="43">
        <v>0</v>
      </c>
      <c r="DO13" s="43" t="s">
        <v>759</v>
      </c>
      <c r="DP13" s="44">
        <v>0</v>
      </c>
      <c r="DQ13" s="43">
        <v>1000</v>
      </c>
      <c r="DR13" s="94" t="str">
        <f>IFERROR(IF(INDEX(Estrutura_P01[],MATCH($C13,Estrutura_P01[txtMAKT-MAKTX],0),MATCH(DR$3,Estrutura_P01[#Headers],0))=0,"",INDEX(Estrutura_P01[],MATCH($C13,Estrutura_P01[txtMAKT-MAKTX],0),MATCH(DR$3,Estrutura_P01[#Headers],0)))*DQ13,"")</f>
        <v/>
      </c>
      <c r="DS13" s="42" t="str">
        <f t="shared" ca="1" si="30"/>
        <v/>
      </c>
      <c r="DT13" s="58"/>
    </row>
    <row r="14" spans="1:124" x14ac:dyDescent="0.2">
      <c r="A14" s="7" t="str">
        <f t="shared" si="4"/>
        <v>Execução 10</v>
      </c>
      <c r="B14" s="76"/>
      <c r="C14" s="82"/>
      <c r="D14" s="69" t="str">
        <f t="shared" si="5"/>
        <v>0582</v>
      </c>
      <c r="E14" s="69" t="str">
        <f t="shared" si="6"/>
        <v/>
      </c>
      <c r="F14" s="42" t="str">
        <f>IFERROR(IF(INDEX(Estrutura_P01[],MATCH($C14,Estrutura_P01[txtMAKT-MAKTX],0),MATCH(F$3,Estrutura_P01[#Headers],0))=0,"",INDEX(Estrutura_P01[],MATCH($C14,Estrutura_P01[txtMAKT-MAKTX],0),MATCH(F$3,Estrutura_P01[#Headers],0))),"")</f>
        <v/>
      </c>
      <c r="G14" s="42" t="str">
        <f t="shared" si="7"/>
        <v/>
      </c>
      <c r="H14" s="43" t="s">
        <v>100</v>
      </c>
      <c r="I14" s="89" t="s">
        <v>9</v>
      </c>
      <c r="J14" s="89" t="s">
        <v>18</v>
      </c>
      <c r="K14" s="42" t="str">
        <f t="shared" si="8"/>
        <v>0582</v>
      </c>
      <c r="L14" s="89" t="s">
        <v>6</v>
      </c>
      <c r="M14" s="42" t="str">
        <f t="shared" si="9"/>
        <v>582</v>
      </c>
      <c r="O14" s="44" t="s">
        <v>101</v>
      </c>
      <c r="P14" s="44" t="s">
        <v>102</v>
      </c>
      <c r="Q14" s="44" t="s">
        <v>103</v>
      </c>
      <c r="R14" s="44" t="s">
        <v>104</v>
      </c>
      <c r="S14" s="44" t="s">
        <v>105</v>
      </c>
      <c r="T14" s="44" t="s">
        <v>106</v>
      </c>
      <c r="U14" s="44" t="s">
        <v>107</v>
      </c>
      <c r="V14" s="44" t="s">
        <v>109</v>
      </c>
      <c r="W14" s="44" t="s">
        <v>110</v>
      </c>
      <c r="X14" s="44"/>
      <c r="Y14" s="44"/>
      <c r="Z14" s="44" t="s">
        <v>112</v>
      </c>
      <c r="AA14" s="44" t="s">
        <v>113</v>
      </c>
      <c r="AB14" s="44" t="s">
        <v>114</v>
      </c>
      <c r="AC14" s="44" t="s">
        <v>115</v>
      </c>
      <c r="AD14" s="44" t="s">
        <v>117</v>
      </c>
      <c r="AE14" s="44" t="s">
        <v>118</v>
      </c>
      <c r="AF14" s="44" t="s">
        <v>119</v>
      </c>
      <c r="AG14" s="44"/>
      <c r="AH14" s="44"/>
      <c r="AI14" s="44" t="s">
        <v>122</v>
      </c>
      <c r="AJ14" s="44" t="s">
        <v>123</v>
      </c>
      <c r="AK14" s="44" t="s">
        <v>124</v>
      </c>
      <c r="AL14" s="44" t="s">
        <v>125</v>
      </c>
      <c r="AM14" s="44" t="s">
        <v>126</v>
      </c>
      <c r="AN14" s="44"/>
      <c r="AO14" s="44"/>
      <c r="AQ14" s="42" t="str">
        <f t="shared" si="10"/>
        <v>M</v>
      </c>
      <c r="AR14" s="42" t="str">
        <f>IFERROR(IF(INDEX(Estrutura_P01[],MATCH($C14,Estrutura_P01[txtMAKT-MAKTX],0),MATCH(AR$3,Estrutura_P01[#Headers],0))=0,"",INDEX(Estrutura_P01[],MATCH($C14,Estrutura_P01[txtMAKT-MAKTX],0),MATCH(AR$3,Estrutura_P01[#Headers],0))),"")</f>
        <v/>
      </c>
      <c r="AS14" s="44"/>
      <c r="AT14" s="47"/>
      <c r="AU14" s="42" t="str">
        <f>IFERROR(IF(INDEX(Estrutura_P01[],MATCH($C14,Estrutura_P01[txtMAKT-MAKTX],0),MATCH(AU$3,Estrutura_P01[#Headers],0))=0,"",INDEX(Estrutura_P01[],MATCH($C14,Estrutura_P01[txtMAKT-MAKTX],0),MATCH(AU$3,Estrutura_P01[#Headers],0))),"")</f>
        <v/>
      </c>
      <c r="AV14" s="44"/>
      <c r="AW14" s="45" t="str">
        <f t="shared" ca="1" si="11"/>
        <v/>
      </c>
      <c r="AX14" s="46" t="s">
        <v>738</v>
      </c>
      <c r="AY14" s="42" t="str">
        <f>IFERROR(IF(INDEX(Estrutura_P01[],MATCH($C14,Estrutura_P01[txtMAKT-MAKTX],0),MATCH(AY$3,Estrutura_P01[#Headers],0))=0,"",INDEX(Estrutura_P01[],MATCH($C14,Estrutura_P01[txtMAKT-MAKTX],0),MATCH(AY$3,Estrutura_P01[#Headers],0))),"")</f>
        <v/>
      </c>
      <c r="AZ14" s="42" t="str">
        <f t="shared" si="12"/>
        <v/>
      </c>
      <c r="BA14" s="47" t="s">
        <v>299</v>
      </c>
      <c r="BB14" s="47" t="s">
        <v>943</v>
      </c>
      <c r="BC14" s="42" t="str">
        <f>IFERROR(IF(INDEX(Estrutura_P01[],MATCH($C14,Estrutura_P01[txtMAKT-MAKTX],0),MATCH(BC$3,Estrutura_P01[#Headers],0))=0,"",INDEX(Estrutura_P01[],MATCH($C14,Estrutura_P01[txtMAKT-MAKTX],0),MATCH(BC$3,Estrutura_P01[#Headers],0))),"")</f>
        <v/>
      </c>
      <c r="BD14" s="42" t="str">
        <f t="shared" si="13"/>
        <v/>
      </c>
      <c r="BE14" s="42" t="str">
        <f t="shared" si="14"/>
        <v/>
      </c>
      <c r="BF14" s="42" t="str">
        <f t="shared" si="15"/>
        <v/>
      </c>
      <c r="BG14" s="42" t="str">
        <f t="shared" si="16"/>
        <v>M</v>
      </c>
      <c r="BI14" s="43" t="s">
        <v>944</v>
      </c>
      <c r="BJ14" s="43" t="s">
        <v>945</v>
      </c>
      <c r="BK14" s="42" t="str">
        <f>IFERROR(IF(INDEX(Estrutura_P01[],MATCH($C14,Estrutura_P01[txtMAKT-MAKTX],0),MATCH(BK$3,Estrutura_P01[#Headers],0))=0,"",INDEX(Estrutura_P01[],MATCH($C14,Estrutura_P01[txtMAKT-MAKTX],0),MATCH(BK$3,Estrutura_P01[#Headers],0))),"")</f>
        <v/>
      </c>
      <c r="BL14" s="42" t="str">
        <f>IFERROR(IF(INDEX(Estrutura_P01[],MATCH($C14,Estrutura_P01[txtMAKT-MAKTX],0),MATCH(BL12,Estrutura_P01[#Headers],0))=0,"",INDEX(Estrutura_P01[],MATCH($C14,Estrutura_P01[txtMAKT-MAKTX],0),MATCH(BL12,Estrutura_P01[#Headers],0))),"")</f>
        <v/>
      </c>
      <c r="BM14" s="42" t="str">
        <f>IFERROR(IF(INDEX(Estrutura_P01[],MATCH($C14,Estrutura_P01[txtMAKT-MAKTX],0),MATCH(BM12,Estrutura_P01[#Headers],0))=0,"",INDEX(Estrutura_P01[],MATCH($C14,Estrutura_P01[txtMAKT-MAKTX],0),MATCH(BM12,Estrutura_P01[#Headers],0))),"")</f>
        <v/>
      </c>
      <c r="BN14" s="42" t="str">
        <f>IFERROR(IF(INDEX(Estrutura_P01[],MATCH($C14,Estrutura_P01[txtMAKT-MAKTX],0),MATCH(BN12,Estrutura_P01[#Headers],0))=0,"",INDEX(Estrutura_P01[],MATCH($C14,Estrutura_P01[txtMAKT-MAKTX],0),MATCH(BN12,Estrutura_P01[#Headers],0))),"")</f>
        <v/>
      </c>
      <c r="BO14" s="42" t="str">
        <f>IFERROR(IF(INDEX(Estrutura_P01[],MATCH($C14,Estrutura_P01[txtMAKT-MAKTX],0),MATCH(BO12,Estrutura_P01[#Headers],0))=0,"",INDEX(Estrutura_P01[],MATCH($C14,Estrutura_P01[txtMAKT-MAKTX],0),MATCH(BO12,Estrutura_P01[#Headers],0))),"")</f>
        <v/>
      </c>
      <c r="BP14" s="42" t="str">
        <f>IFERROR(IF(OR(INDEX(Estrutura_P01[],MATCH($C14,Estrutura_P01[txtMAKT-MAKTX],0),MATCH(BP$3,Estrutura_P01[#Headers],0))=0,INDEX(Estrutura_P01[],MATCH($C14,Estrutura_P01[txtMAKT-MAKTX],0),MATCH(BP$3,Estrutura_P01[#Headers],0))=AQ14),"",INDEX(Estrutura_P01[],MATCH($C14,Estrutura_P01[txtMAKT-MAKTX],0),MATCH(BP$3,Estrutura_P01[#Headers],0))),"")</f>
        <v/>
      </c>
      <c r="BQ14" s="44">
        <v>99</v>
      </c>
      <c r="BR14" s="45" t="str">
        <f t="shared" ca="1" si="17"/>
        <v>24.05.2022</v>
      </c>
      <c r="BS14" s="48" t="str">
        <f t="shared" si="18"/>
        <v>0582</v>
      </c>
      <c r="BT14" s="49">
        <v>1</v>
      </c>
      <c r="BU14" s="49" t="s">
        <v>194</v>
      </c>
      <c r="BV14" s="102" t="str">
        <f t="shared" si="19"/>
        <v>01</v>
      </c>
      <c r="BW14" s="49" t="s">
        <v>738</v>
      </c>
      <c r="BX14" s="43">
        <v>1</v>
      </c>
      <c r="BY14" s="43" t="s">
        <v>366</v>
      </c>
      <c r="BZ14" s="49" t="s">
        <v>197</v>
      </c>
      <c r="CA14" s="49" t="s">
        <v>197</v>
      </c>
      <c r="CB14" s="47" t="s">
        <v>942</v>
      </c>
      <c r="CC14" s="43" t="s">
        <v>382</v>
      </c>
      <c r="CD14" s="49">
        <v>0</v>
      </c>
      <c r="CE14" s="44" t="s">
        <v>394</v>
      </c>
      <c r="CF14" s="44" t="s">
        <v>34</v>
      </c>
      <c r="CG14" s="42" t="str">
        <f t="shared" si="20"/>
        <v>582</v>
      </c>
      <c r="CH14" s="44" t="s">
        <v>420</v>
      </c>
      <c r="CI14" s="43">
        <v>0</v>
      </c>
      <c r="CJ14" s="42" t="str">
        <f t="shared" si="21"/>
        <v>E</v>
      </c>
      <c r="CK14" s="102" t="str">
        <f t="shared" si="22"/>
        <v/>
      </c>
      <c r="CL14" s="47">
        <v>1</v>
      </c>
      <c r="CM14" s="47">
        <v>1</v>
      </c>
      <c r="CN14" s="43"/>
      <c r="CO14" s="48" t="str">
        <f t="shared" si="23"/>
        <v>0330</v>
      </c>
      <c r="CP14" s="48" t="str">
        <f t="shared" si="24"/>
        <v>0330</v>
      </c>
      <c r="CQ14" s="42" t="str">
        <f t="shared" si="25"/>
        <v/>
      </c>
      <c r="CR14" s="43">
        <v>1</v>
      </c>
      <c r="CS14" s="49" t="s">
        <v>505</v>
      </c>
      <c r="CT14" s="43" t="s">
        <v>36</v>
      </c>
      <c r="CU14" s="43">
        <v>2</v>
      </c>
      <c r="CV14" s="43">
        <v>42</v>
      </c>
      <c r="CW14" s="43">
        <v>10</v>
      </c>
      <c r="CX14" s="42">
        <f t="shared" si="26"/>
        <v>1</v>
      </c>
      <c r="CY14" s="42" t="str">
        <f>IFERROR(IF(INDEX(Estrutura_P01[],MATCH($C14,Estrutura_P01[txtMAKT-MAKTX],0),MATCH(CY$3,Estrutura_P01[#Headers],0))=0,"",IF(INDEX(Estrutura_P01[],MATCH($C14,Estrutura_P01[txtMAKT-MAKTX],0),MATCH(CY$3,Estrutura_P01[#Headers],0))="Industrializado","SUB_0582","")),"")</f>
        <v/>
      </c>
      <c r="CZ14" s="42" t="str">
        <f t="shared" ca="1" si="27"/>
        <v>24.05.2022</v>
      </c>
      <c r="DA14" s="42" t="str">
        <f t="shared" si="28"/>
        <v>31.12.9999</v>
      </c>
      <c r="DC14" s="43">
        <v>1</v>
      </c>
      <c r="DD14" s="43" t="s">
        <v>946</v>
      </c>
      <c r="DE14" s="43">
        <v>30</v>
      </c>
      <c r="DF14" s="43">
        <v>1</v>
      </c>
      <c r="DG14" s="42">
        <f t="shared" si="0"/>
        <v>0.01</v>
      </c>
      <c r="DH14" s="42" t="str">
        <f t="shared" si="1"/>
        <v>M</v>
      </c>
      <c r="DI14" s="42" t="str">
        <f t="shared" si="2"/>
        <v/>
      </c>
      <c r="DJ14" s="43">
        <v>1000</v>
      </c>
      <c r="DK14" s="69">
        <f t="shared" si="3"/>
        <v>1</v>
      </c>
      <c r="DL14" s="42">
        <f t="shared" si="29"/>
        <v>1000</v>
      </c>
      <c r="DM14" s="43">
        <v>1</v>
      </c>
      <c r="DN14" s="43">
        <v>0</v>
      </c>
      <c r="DO14" s="43" t="s">
        <v>759</v>
      </c>
      <c r="DP14" s="44">
        <v>0</v>
      </c>
      <c r="DQ14" s="43">
        <v>1000</v>
      </c>
      <c r="DR14" s="94" t="str">
        <f>IFERROR(IF(INDEX(Estrutura_P01[],MATCH($C14,Estrutura_P01[txtMAKT-MAKTX],0),MATCH(DR$3,Estrutura_P01[#Headers],0))=0,"",INDEX(Estrutura_P01[],MATCH($C14,Estrutura_P01[txtMAKT-MAKTX],0),MATCH(DR$3,Estrutura_P01[#Headers],0)))*DQ14,"")</f>
        <v/>
      </c>
      <c r="DS14" s="42" t="str">
        <f t="shared" ca="1" si="30"/>
        <v/>
      </c>
      <c r="DT14" s="58"/>
    </row>
    <row r="15" spans="1:124" x14ac:dyDescent="0.2">
      <c r="A15" s="7" t="str">
        <f t="shared" si="4"/>
        <v>Execução 11</v>
      </c>
      <c r="B15" s="76"/>
      <c r="C15" s="82"/>
      <c r="D15" s="69" t="str">
        <f t="shared" si="5"/>
        <v>0582</v>
      </c>
      <c r="E15" s="69" t="str">
        <f t="shared" si="6"/>
        <v/>
      </c>
      <c r="F15" s="42" t="str">
        <f>IFERROR(IF(INDEX(Estrutura_P01[],MATCH($C15,Estrutura_P01[txtMAKT-MAKTX],0),MATCH(F$3,Estrutura_P01[#Headers],0))=0,"",INDEX(Estrutura_P01[],MATCH($C15,Estrutura_P01[txtMAKT-MAKTX],0),MATCH(F$3,Estrutura_P01[#Headers],0))),"")</f>
        <v/>
      </c>
      <c r="G15" s="42" t="str">
        <f t="shared" si="7"/>
        <v/>
      </c>
      <c r="H15" s="43" t="s">
        <v>100</v>
      </c>
      <c r="I15" s="89" t="s">
        <v>9</v>
      </c>
      <c r="J15" s="89" t="s">
        <v>18</v>
      </c>
      <c r="K15" s="42" t="str">
        <f t="shared" si="8"/>
        <v>0582</v>
      </c>
      <c r="L15" s="89" t="s">
        <v>6</v>
      </c>
      <c r="M15" s="42" t="str">
        <f t="shared" si="9"/>
        <v>582</v>
      </c>
      <c r="O15" s="44" t="s">
        <v>101</v>
      </c>
      <c r="P15" s="44" t="s">
        <v>102</v>
      </c>
      <c r="Q15" s="44" t="s">
        <v>103</v>
      </c>
      <c r="R15" s="44" t="s">
        <v>104</v>
      </c>
      <c r="S15" s="44" t="s">
        <v>105</v>
      </c>
      <c r="T15" s="44" t="s">
        <v>106</v>
      </c>
      <c r="U15" s="44" t="s">
        <v>107</v>
      </c>
      <c r="V15" s="44" t="s">
        <v>109</v>
      </c>
      <c r="W15" s="44" t="s">
        <v>110</v>
      </c>
      <c r="X15" s="44"/>
      <c r="Y15" s="44"/>
      <c r="Z15" s="44" t="s">
        <v>112</v>
      </c>
      <c r="AA15" s="44" t="s">
        <v>113</v>
      </c>
      <c r="AB15" s="44" t="s">
        <v>114</v>
      </c>
      <c r="AC15" s="44" t="s">
        <v>115</v>
      </c>
      <c r="AD15" s="44" t="s">
        <v>117</v>
      </c>
      <c r="AE15" s="44" t="s">
        <v>118</v>
      </c>
      <c r="AF15" s="44" t="s">
        <v>119</v>
      </c>
      <c r="AG15" s="44"/>
      <c r="AH15" s="44"/>
      <c r="AI15" s="44" t="s">
        <v>122</v>
      </c>
      <c r="AJ15" s="44" t="s">
        <v>123</v>
      </c>
      <c r="AK15" s="44" t="s">
        <v>124</v>
      </c>
      <c r="AL15" s="44" t="s">
        <v>125</v>
      </c>
      <c r="AM15" s="44" t="s">
        <v>126</v>
      </c>
      <c r="AN15" s="44"/>
      <c r="AO15" s="44"/>
      <c r="AQ15" s="42" t="str">
        <f t="shared" si="10"/>
        <v>M</v>
      </c>
      <c r="AR15" s="42" t="str">
        <f>IFERROR(IF(INDEX(Estrutura_P01[],MATCH($C15,Estrutura_P01[txtMAKT-MAKTX],0),MATCH(AR$3,Estrutura_P01[#Headers],0))=0,"",INDEX(Estrutura_P01[],MATCH($C15,Estrutura_P01[txtMAKT-MAKTX],0),MATCH(AR$3,Estrutura_P01[#Headers],0))),"")</f>
        <v/>
      </c>
      <c r="AS15" s="44"/>
      <c r="AT15" s="47"/>
      <c r="AU15" s="42" t="str">
        <f>IFERROR(IF(INDEX(Estrutura_P01[],MATCH($C15,Estrutura_P01[txtMAKT-MAKTX],0),MATCH(AU$3,Estrutura_P01[#Headers],0))=0,"",INDEX(Estrutura_P01[],MATCH($C15,Estrutura_P01[txtMAKT-MAKTX],0),MATCH(AU$3,Estrutura_P01[#Headers],0))),"")</f>
        <v/>
      </c>
      <c r="AV15" s="44"/>
      <c r="AW15" s="45" t="str">
        <f t="shared" ca="1" si="11"/>
        <v/>
      </c>
      <c r="AX15" s="46" t="s">
        <v>738</v>
      </c>
      <c r="AY15" s="42" t="str">
        <f>IFERROR(IF(INDEX(Estrutura_P01[],MATCH($C15,Estrutura_P01[txtMAKT-MAKTX],0),MATCH(AY$3,Estrutura_P01[#Headers],0))=0,"",INDEX(Estrutura_P01[],MATCH($C15,Estrutura_P01[txtMAKT-MAKTX],0),MATCH(AY$3,Estrutura_P01[#Headers],0))),"")</f>
        <v/>
      </c>
      <c r="AZ15" s="42" t="str">
        <f t="shared" si="12"/>
        <v/>
      </c>
      <c r="BA15" s="47" t="s">
        <v>299</v>
      </c>
      <c r="BB15" s="47" t="s">
        <v>943</v>
      </c>
      <c r="BC15" s="42" t="str">
        <f>IFERROR(IF(INDEX(Estrutura_P01[],MATCH($C15,Estrutura_P01[txtMAKT-MAKTX],0),MATCH(BC$3,Estrutura_P01[#Headers],0))=0,"",INDEX(Estrutura_P01[],MATCH($C15,Estrutura_P01[txtMAKT-MAKTX],0),MATCH(BC$3,Estrutura_P01[#Headers],0))),"")</f>
        <v/>
      </c>
      <c r="BD15" s="42" t="str">
        <f t="shared" si="13"/>
        <v/>
      </c>
      <c r="BE15" s="42" t="str">
        <f t="shared" si="14"/>
        <v/>
      </c>
      <c r="BF15" s="42" t="str">
        <f t="shared" si="15"/>
        <v/>
      </c>
      <c r="BG15" s="42" t="str">
        <f t="shared" si="16"/>
        <v>M</v>
      </c>
      <c r="BI15" s="43" t="s">
        <v>944</v>
      </c>
      <c r="BJ15" s="43" t="s">
        <v>945</v>
      </c>
      <c r="BK15" s="42" t="str">
        <f>IFERROR(IF(INDEX(Estrutura_P01[],MATCH($C15,Estrutura_P01[txtMAKT-MAKTX],0),MATCH(BK$3,Estrutura_P01[#Headers],0))=0,"",INDEX(Estrutura_P01[],MATCH($C15,Estrutura_P01[txtMAKT-MAKTX],0),MATCH(BK$3,Estrutura_P01[#Headers],0))),"")</f>
        <v/>
      </c>
      <c r="BL15" s="42" t="str">
        <f>IFERROR(IF(INDEX(Estrutura_P01[],MATCH($C15,Estrutura_P01[txtMAKT-MAKTX],0),MATCH(BL13,Estrutura_P01[#Headers],0))=0,"",INDEX(Estrutura_P01[],MATCH($C15,Estrutura_P01[txtMAKT-MAKTX],0),MATCH(BL13,Estrutura_P01[#Headers],0))),"")</f>
        <v/>
      </c>
      <c r="BM15" s="42" t="str">
        <f>IFERROR(IF(INDEX(Estrutura_P01[],MATCH($C15,Estrutura_P01[txtMAKT-MAKTX],0),MATCH(BM13,Estrutura_P01[#Headers],0))=0,"",INDEX(Estrutura_P01[],MATCH($C15,Estrutura_P01[txtMAKT-MAKTX],0),MATCH(BM13,Estrutura_P01[#Headers],0))),"")</f>
        <v/>
      </c>
      <c r="BN15" s="42" t="str">
        <f>IFERROR(IF(INDEX(Estrutura_P01[],MATCH($C15,Estrutura_P01[txtMAKT-MAKTX],0),MATCH(BN13,Estrutura_P01[#Headers],0))=0,"",INDEX(Estrutura_P01[],MATCH($C15,Estrutura_P01[txtMAKT-MAKTX],0),MATCH(BN13,Estrutura_P01[#Headers],0))),"")</f>
        <v/>
      </c>
      <c r="BO15" s="42" t="str">
        <f>IFERROR(IF(INDEX(Estrutura_P01[],MATCH($C15,Estrutura_P01[txtMAKT-MAKTX],0),MATCH(BO13,Estrutura_P01[#Headers],0))=0,"",INDEX(Estrutura_P01[],MATCH($C15,Estrutura_P01[txtMAKT-MAKTX],0),MATCH(BO13,Estrutura_P01[#Headers],0))),"")</f>
        <v/>
      </c>
      <c r="BP15" s="42" t="str">
        <f>IFERROR(IF(OR(INDEX(Estrutura_P01[],MATCH($C15,Estrutura_P01[txtMAKT-MAKTX],0),MATCH(BP$3,Estrutura_P01[#Headers],0))=0,INDEX(Estrutura_P01[],MATCH($C15,Estrutura_P01[txtMAKT-MAKTX],0),MATCH(BP$3,Estrutura_P01[#Headers],0))=AQ15),"",INDEX(Estrutura_P01[],MATCH($C15,Estrutura_P01[txtMAKT-MAKTX],0),MATCH(BP$3,Estrutura_P01[#Headers],0))),"")</f>
        <v/>
      </c>
      <c r="BQ15" s="44">
        <v>99</v>
      </c>
      <c r="BR15" s="45" t="str">
        <f t="shared" ca="1" si="17"/>
        <v>24.05.2022</v>
      </c>
      <c r="BS15" s="48" t="str">
        <f t="shared" si="18"/>
        <v>0582</v>
      </c>
      <c r="BT15" s="49">
        <v>1</v>
      </c>
      <c r="BU15" s="49" t="s">
        <v>194</v>
      </c>
      <c r="BV15" s="102" t="str">
        <f t="shared" si="19"/>
        <v>01</v>
      </c>
      <c r="BW15" s="49" t="s">
        <v>738</v>
      </c>
      <c r="BX15" s="43">
        <v>1</v>
      </c>
      <c r="BY15" s="43" t="s">
        <v>366</v>
      </c>
      <c r="BZ15" s="49" t="s">
        <v>197</v>
      </c>
      <c r="CA15" s="49" t="s">
        <v>197</v>
      </c>
      <c r="CB15" s="47" t="s">
        <v>942</v>
      </c>
      <c r="CC15" s="43" t="s">
        <v>382</v>
      </c>
      <c r="CD15" s="49">
        <v>0</v>
      </c>
      <c r="CE15" s="44" t="s">
        <v>394</v>
      </c>
      <c r="CF15" s="44" t="s">
        <v>34</v>
      </c>
      <c r="CG15" s="42" t="str">
        <f t="shared" si="20"/>
        <v>582</v>
      </c>
      <c r="CH15" s="44" t="s">
        <v>420</v>
      </c>
      <c r="CI15" s="43">
        <v>0</v>
      </c>
      <c r="CJ15" s="42" t="str">
        <f t="shared" si="21"/>
        <v>E</v>
      </c>
      <c r="CK15" s="102" t="str">
        <f t="shared" si="22"/>
        <v/>
      </c>
      <c r="CL15" s="47">
        <v>1</v>
      </c>
      <c r="CM15" s="47">
        <v>1</v>
      </c>
      <c r="CN15" s="43"/>
      <c r="CO15" s="48" t="str">
        <f t="shared" si="23"/>
        <v>0330</v>
      </c>
      <c r="CP15" s="48" t="str">
        <f t="shared" si="24"/>
        <v>0330</v>
      </c>
      <c r="CQ15" s="42" t="str">
        <f t="shared" si="25"/>
        <v/>
      </c>
      <c r="CR15" s="43">
        <v>1</v>
      </c>
      <c r="CS15" s="49" t="s">
        <v>505</v>
      </c>
      <c r="CT15" s="43" t="s">
        <v>36</v>
      </c>
      <c r="CU15" s="43">
        <v>2</v>
      </c>
      <c r="CV15" s="43">
        <v>42</v>
      </c>
      <c r="CW15" s="43">
        <v>10</v>
      </c>
      <c r="CX15" s="42">
        <f t="shared" si="26"/>
        <v>1</v>
      </c>
      <c r="CY15" s="42" t="str">
        <f>IFERROR(IF(INDEX(Estrutura_P01[],MATCH($C15,Estrutura_P01[txtMAKT-MAKTX],0),MATCH(CY$3,Estrutura_P01[#Headers],0))=0,"",IF(INDEX(Estrutura_P01[],MATCH($C15,Estrutura_P01[txtMAKT-MAKTX],0),MATCH(CY$3,Estrutura_P01[#Headers],0))="Industrializado","SUB_0582","")),"")</f>
        <v/>
      </c>
      <c r="CZ15" s="42" t="str">
        <f t="shared" ca="1" si="27"/>
        <v>24.05.2022</v>
      </c>
      <c r="DA15" s="42" t="str">
        <f t="shared" si="28"/>
        <v>31.12.9999</v>
      </c>
      <c r="DC15" s="43">
        <v>1</v>
      </c>
      <c r="DD15" s="43" t="s">
        <v>946</v>
      </c>
      <c r="DE15" s="43">
        <v>30</v>
      </c>
      <c r="DF15" s="43">
        <v>1</v>
      </c>
      <c r="DG15" s="42">
        <f t="shared" si="0"/>
        <v>0.01</v>
      </c>
      <c r="DH15" s="42" t="str">
        <f t="shared" si="1"/>
        <v>M</v>
      </c>
      <c r="DI15" s="42" t="str">
        <f t="shared" si="2"/>
        <v/>
      </c>
      <c r="DJ15" s="43">
        <v>1000</v>
      </c>
      <c r="DK15" s="69">
        <f t="shared" si="3"/>
        <v>1</v>
      </c>
      <c r="DL15" s="42">
        <f t="shared" si="29"/>
        <v>1000</v>
      </c>
      <c r="DM15" s="43">
        <v>1</v>
      </c>
      <c r="DN15" s="43">
        <v>0</v>
      </c>
      <c r="DO15" s="43" t="s">
        <v>759</v>
      </c>
      <c r="DP15" s="44">
        <v>0</v>
      </c>
      <c r="DQ15" s="43">
        <v>1000</v>
      </c>
      <c r="DR15" s="94" t="str">
        <f>IFERROR(IF(INDEX(Estrutura_P01[],MATCH($C15,Estrutura_P01[txtMAKT-MAKTX],0),MATCH(DR$3,Estrutura_P01[#Headers],0))=0,"",INDEX(Estrutura_P01[],MATCH($C15,Estrutura_P01[txtMAKT-MAKTX],0),MATCH(DR$3,Estrutura_P01[#Headers],0)))*DQ15,"")</f>
        <v/>
      </c>
      <c r="DS15" s="42" t="str">
        <f t="shared" ca="1" si="30"/>
        <v/>
      </c>
      <c r="DT15" s="58" t="s">
        <v>983</v>
      </c>
    </row>
    <row r="16" spans="1:124" x14ac:dyDescent="0.2">
      <c r="A16" s="7" t="str">
        <f t="shared" si="4"/>
        <v>Execução 12</v>
      </c>
      <c r="B16" s="76"/>
      <c r="C16" s="82"/>
      <c r="D16" s="69" t="str">
        <f t="shared" si="5"/>
        <v>0582</v>
      </c>
      <c r="E16" s="69" t="str">
        <f t="shared" si="6"/>
        <v/>
      </c>
      <c r="F16" s="42" t="str">
        <f>IFERROR(IF(INDEX(Estrutura_P01[],MATCH($C16,Estrutura_P01[txtMAKT-MAKTX],0),MATCH(F$3,Estrutura_P01[#Headers],0))=0,"",INDEX(Estrutura_P01[],MATCH($C16,Estrutura_P01[txtMAKT-MAKTX],0),MATCH(F$3,Estrutura_P01[#Headers],0))),"")</f>
        <v/>
      </c>
      <c r="G16" s="42" t="str">
        <f t="shared" si="7"/>
        <v/>
      </c>
      <c r="H16" s="43" t="s">
        <v>100</v>
      </c>
      <c r="I16" s="89" t="s">
        <v>9</v>
      </c>
      <c r="J16" s="89" t="s">
        <v>18</v>
      </c>
      <c r="K16" s="42" t="str">
        <f t="shared" si="8"/>
        <v>0582</v>
      </c>
      <c r="L16" s="89" t="s">
        <v>6</v>
      </c>
      <c r="M16" s="42" t="str">
        <f t="shared" si="9"/>
        <v>582</v>
      </c>
      <c r="O16" s="44" t="s">
        <v>101</v>
      </c>
      <c r="P16" s="44" t="s">
        <v>102</v>
      </c>
      <c r="Q16" s="44" t="s">
        <v>103</v>
      </c>
      <c r="R16" s="44" t="s">
        <v>104</v>
      </c>
      <c r="S16" s="44" t="s">
        <v>105</v>
      </c>
      <c r="T16" s="44" t="s">
        <v>106</v>
      </c>
      <c r="U16" s="44" t="s">
        <v>107</v>
      </c>
      <c r="V16" s="44" t="s">
        <v>109</v>
      </c>
      <c r="W16" s="44" t="s">
        <v>110</v>
      </c>
      <c r="X16" s="44"/>
      <c r="Y16" s="44"/>
      <c r="Z16" s="44" t="s">
        <v>112</v>
      </c>
      <c r="AA16" s="44" t="s">
        <v>113</v>
      </c>
      <c r="AB16" s="44" t="s">
        <v>114</v>
      </c>
      <c r="AC16" s="44" t="s">
        <v>115</v>
      </c>
      <c r="AD16" s="44" t="s">
        <v>117</v>
      </c>
      <c r="AE16" s="44" t="s">
        <v>118</v>
      </c>
      <c r="AF16" s="44" t="s">
        <v>119</v>
      </c>
      <c r="AG16" s="44"/>
      <c r="AH16" s="44"/>
      <c r="AI16" s="44" t="s">
        <v>122</v>
      </c>
      <c r="AJ16" s="44" t="s">
        <v>123</v>
      </c>
      <c r="AK16" s="44" t="s">
        <v>124</v>
      </c>
      <c r="AL16" s="44" t="s">
        <v>125</v>
      </c>
      <c r="AM16" s="44" t="s">
        <v>126</v>
      </c>
      <c r="AN16" s="44"/>
      <c r="AO16" s="44"/>
      <c r="AQ16" s="42" t="str">
        <f t="shared" si="10"/>
        <v>M</v>
      </c>
      <c r="AR16" s="42" t="str">
        <f>IFERROR(IF(INDEX(Estrutura_P01[],MATCH($C16,Estrutura_P01[txtMAKT-MAKTX],0),MATCH(AR$3,Estrutura_P01[#Headers],0))=0,"",INDEX(Estrutura_P01[],MATCH($C16,Estrutura_P01[txtMAKT-MAKTX],0),MATCH(AR$3,Estrutura_P01[#Headers],0))),"")</f>
        <v/>
      </c>
      <c r="AS16" s="44"/>
      <c r="AT16" s="47"/>
      <c r="AU16" s="42" t="str">
        <f>IFERROR(IF(INDEX(Estrutura_P01[],MATCH($C16,Estrutura_P01[txtMAKT-MAKTX],0),MATCH(AU$3,Estrutura_P01[#Headers],0))=0,"",INDEX(Estrutura_P01[],MATCH($C16,Estrutura_P01[txtMAKT-MAKTX],0),MATCH(AU$3,Estrutura_P01[#Headers],0))),"")</f>
        <v/>
      </c>
      <c r="AV16" s="44"/>
      <c r="AW16" s="45" t="str">
        <f t="shared" ca="1" si="11"/>
        <v/>
      </c>
      <c r="AX16" s="46" t="s">
        <v>738</v>
      </c>
      <c r="AY16" s="42" t="str">
        <f>IFERROR(IF(INDEX(Estrutura_P01[],MATCH($C16,Estrutura_P01[txtMAKT-MAKTX],0),MATCH(AY$3,Estrutura_P01[#Headers],0))=0,"",INDEX(Estrutura_P01[],MATCH($C16,Estrutura_P01[txtMAKT-MAKTX],0),MATCH(AY$3,Estrutura_P01[#Headers],0))),"")</f>
        <v/>
      </c>
      <c r="AZ16" s="42" t="str">
        <f t="shared" si="12"/>
        <v/>
      </c>
      <c r="BA16" s="47" t="s">
        <v>299</v>
      </c>
      <c r="BB16" s="47" t="s">
        <v>943</v>
      </c>
      <c r="BC16" s="42" t="str">
        <f>IFERROR(IF(INDEX(Estrutura_P01[],MATCH($C16,Estrutura_P01[txtMAKT-MAKTX],0),MATCH(BC$3,Estrutura_P01[#Headers],0))=0,"",INDEX(Estrutura_P01[],MATCH($C16,Estrutura_P01[txtMAKT-MAKTX],0),MATCH(BC$3,Estrutura_P01[#Headers],0))),"")</f>
        <v/>
      </c>
      <c r="BD16" s="42" t="str">
        <f t="shared" si="13"/>
        <v/>
      </c>
      <c r="BE16" s="42" t="str">
        <f t="shared" si="14"/>
        <v/>
      </c>
      <c r="BF16" s="42" t="str">
        <f t="shared" si="15"/>
        <v/>
      </c>
      <c r="BG16" s="42" t="str">
        <f t="shared" si="16"/>
        <v>M</v>
      </c>
      <c r="BI16" s="43" t="s">
        <v>944</v>
      </c>
      <c r="BJ16" s="43" t="s">
        <v>945</v>
      </c>
      <c r="BK16" s="42" t="str">
        <f>IFERROR(IF(INDEX(Estrutura_P01[],MATCH($C16,Estrutura_P01[txtMAKT-MAKTX],0),MATCH(BK$3,Estrutura_P01[#Headers],0))=0,"",INDEX(Estrutura_P01[],MATCH($C16,Estrutura_P01[txtMAKT-MAKTX],0),MATCH(BK$3,Estrutura_P01[#Headers],0))),"")</f>
        <v/>
      </c>
      <c r="BL16" s="42" t="str">
        <f>IFERROR(IF(INDEX(Estrutura_P01[],MATCH($C16,Estrutura_P01[txtMAKT-MAKTX],0),MATCH(BL14,Estrutura_P01[#Headers],0))=0,"",INDEX(Estrutura_P01[],MATCH($C16,Estrutura_P01[txtMAKT-MAKTX],0),MATCH(BL14,Estrutura_P01[#Headers],0))),"")</f>
        <v/>
      </c>
      <c r="BM16" s="42" t="str">
        <f>IFERROR(IF(INDEX(Estrutura_P01[],MATCH($C16,Estrutura_P01[txtMAKT-MAKTX],0),MATCH(BM14,Estrutura_P01[#Headers],0))=0,"",INDEX(Estrutura_P01[],MATCH($C16,Estrutura_P01[txtMAKT-MAKTX],0),MATCH(BM14,Estrutura_P01[#Headers],0))),"")</f>
        <v/>
      </c>
      <c r="BN16" s="42" t="str">
        <f>IFERROR(IF(INDEX(Estrutura_P01[],MATCH($C16,Estrutura_P01[txtMAKT-MAKTX],0),MATCH(BN14,Estrutura_P01[#Headers],0))=0,"",INDEX(Estrutura_P01[],MATCH($C16,Estrutura_P01[txtMAKT-MAKTX],0),MATCH(BN14,Estrutura_P01[#Headers],0))),"")</f>
        <v/>
      </c>
      <c r="BO16" s="42" t="str">
        <f>IFERROR(IF(INDEX(Estrutura_P01[],MATCH($C16,Estrutura_P01[txtMAKT-MAKTX],0),MATCH(BO14,Estrutura_P01[#Headers],0))=0,"",INDEX(Estrutura_P01[],MATCH($C16,Estrutura_P01[txtMAKT-MAKTX],0),MATCH(BO14,Estrutura_P01[#Headers],0))),"")</f>
        <v/>
      </c>
      <c r="BP16" s="42" t="str">
        <f>IFERROR(IF(OR(INDEX(Estrutura_P01[],MATCH($C16,Estrutura_P01[txtMAKT-MAKTX],0),MATCH(BP$3,Estrutura_P01[#Headers],0))=0,INDEX(Estrutura_P01[],MATCH($C16,Estrutura_P01[txtMAKT-MAKTX],0),MATCH(BP$3,Estrutura_P01[#Headers],0))=AQ16),"",INDEX(Estrutura_P01[],MATCH($C16,Estrutura_P01[txtMAKT-MAKTX],0),MATCH(BP$3,Estrutura_P01[#Headers],0))),"")</f>
        <v/>
      </c>
      <c r="BQ16" s="44">
        <v>99</v>
      </c>
      <c r="BR16" s="45" t="str">
        <f t="shared" ca="1" si="17"/>
        <v>24.05.2022</v>
      </c>
      <c r="BS16" s="48" t="str">
        <f t="shared" si="18"/>
        <v>0582</v>
      </c>
      <c r="BT16" s="49">
        <v>1</v>
      </c>
      <c r="BU16" s="49" t="s">
        <v>194</v>
      </c>
      <c r="BV16" s="102" t="str">
        <f t="shared" si="19"/>
        <v>01</v>
      </c>
      <c r="BW16" s="49" t="s">
        <v>738</v>
      </c>
      <c r="BX16" s="43">
        <v>1</v>
      </c>
      <c r="BY16" s="43" t="s">
        <v>366</v>
      </c>
      <c r="BZ16" s="49" t="s">
        <v>197</v>
      </c>
      <c r="CA16" s="49" t="s">
        <v>197</v>
      </c>
      <c r="CB16" s="47" t="s">
        <v>942</v>
      </c>
      <c r="CC16" s="43" t="s">
        <v>382</v>
      </c>
      <c r="CD16" s="49">
        <v>0</v>
      </c>
      <c r="CE16" s="44" t="s">
        <v>394</v>
      </c>
      <c r="CF16" s="44" t="s">
        <v>34</v>
      </c>
      <c r="CG16" s="42" t="str">
        <f t="shared" si="20"/>
        <v>582</v>
      </c>
      <c r="CH16" s="44" t="s">
        <v>420</v>
      </c>
      <c r="CI16" s="43">
        <v>0</v>
      </c>
      <c r="CJ16" s="42" t="str">
        <f t="shared" si="21"/>
        <v>E</v>
      </c>
      <c r="CK16" s="102" t="str">
        <f t="shared" si="22"/>
        <v/>
      </c>
      <c r="CL16" s="47">
        <v>1</v>
      </c>
      <c r="CM16" s="47">
        <v>1</v>
      </c>
      <c r="CN16" s="43"/>
      <c r="CO16" s="48" t="str">
        <f t="shared" si="23"/>
        <v>0330</v>
      </c>
      <c r="CP16" s="48" t="str">
        <f t="shared" si="24"/>
        <v>0330</v>
      </c>
      <c r="CQ16" s="42" t="str">
        <f t="shared" si="25"/>
        <v/>
      </c>
      <c r="CR16" s="43">
        <v>1</v>
      </c>
      <c r="CS16" s="49" t="s">
        <v>505</v>
      </c>
      <c r="CT16" s="43" t="s">
        <v>36</v>
      </c>
      <c r="CU16" s="43">
        <v>2</v>
      </c>
      <c r="CV16" s="43">
        <v>42</v>
      </c>
      <c r="CW16" s="43">
        <v>10</v>
      </c>
      <c r="CX16" s="42">
        <f t="shared" si="26"/>
        <v>1</v>
      </c>
      <c r="CY16" s="42" t="str">
        <f>IFERROR(IF(INDEX(Estrutura_P01[],MATCH($C16,Estrutura_P01[txtMAKT-MAKTX],0),MATCH(CY$3,Estrutura_P01[#Headers],0))=0,"",IF(INDEX(Estrutura_P01[],MATCH($C16,Estrutura_P01[txtMAKT-MAKTX],0),MATCH(CY$3,Estrutura_P01[#Headers],0))="Industrializado","SUB_0582","")),"")</f>
        <v/>
      </c>
      <c r="CZ16" s="42" t="str">
        <f t="shared" ca="1" si="27"/>
        <v>24.05.2022</v>
      </c>
      <c r="DA16" s="42" t="str">
        <f t="shared" si="28"/>
        <v>31.12.9999</v>
      </c>
      <c r="DC16" s="43">
        <v>1</v>
      </c>
      <c r="DD16" s="43" t="s">
        <v>946</v>
      </c>
      <c r="DE16" s="43">
        <v>30</v>
      </c>
      <c r="DF16" s="43">
        <v>1</v>
      </c>
      <c r="DG16" s="42">
        <f t="shared" si="0"/>
        <v>0.01</v>
      </c>
      <c r="DH16" s="42" t="str">
        <f t="shared" si="1"/>
        <v>M</v>
      </c>
      <c r="DI16" s="42" t="str">
        <f t="shared" si="2"/>
        <v/>
      </c>
      <c r="DJ16" s="43">
        <v>1000</v>
      </c>
      <c r="DK16" s="69">
        <f t="shared" si="3"/>
        <v>1</v>
      </c>
      <c r="DL16" s="42">
        <f t="shared" si="29"/>
        <v>1000</v>
      </c>
      <c r="DM16" s="43">
        <v>1</v>
      </c>
      <c r="DN16" s="43">
        <v>0</v>
      </c>
      <c r="DO16" s="43" t="s">
        <v>759</v>
      </c>
      <c r="DP16" s="44">
        <v>0</v>
      </c>
      <c r="DQ16" s="43">
        <v>1000</v>
      </c>
      <c r="DR16" s="94" t="str">
        <f>IFERROR(IF(INDEX(Estrutura_P01[],MATCH($C16,Estrutura_P01[txtMAKT-MAKTX],0),MATCH(DR$3,Estrutura_P01[#Headers],0))=0,"",INDEX(Estrutura_P01[],MATCH($C16,Estrutura_P01[txtMAKT-MAKTX],0),MATCH(DR$3,Estrutura_P01[#Headers],0)))*DQ16,"")</f>
        <v/>
      </c>
      <c r="DS16" s="42" t="str">
        <f t="shared" ca="1" si="30"/>
        <v/>
      </c>
      <c r="DT16" s="58" t="s">
        <v>983</v>
      </c>
    </row>
    <row r="17" spans="1:124" x14ac:dyDescent="0.2">
      <c r="A17" s="7" t="str">
        <f t="shared" si="4"/>
        <v>Execução 13</v>
      </c>
      <c r="B17" s="76"/>
      <c r="C17" s="82"/>
      <c r="D17" s="69" t="str">
        <f t="shared" si="5"/>
        <v>0582</v>
      </c>
      <c r="E17" s="69" t="str">
        <f t="shared" si="6"/>
        <v/>
      </c>
      <c r="F17" s="42" t="str">
        <f>IFERROR(IF(INDEX(Estrutura_P01[],MATCH($C17,Estrutura_P01[txtMAKT-MAKTX],0),MATCH(F$3,Estrutura_P01[#Headers],0))=0,"",INDEX(Estrutura_P01[],MATCH($C17,Estrutura_P01[txtMAKT-MAKTX],0),MATCH(F$3,Estrutura_P01[#Headers],0))),"")</f>
        <v/>
      </c>
      <c r="G17" s="42" t="str">
        <f t="shared" si="7"/>
        <v/>
      </c>
      <c r="H17" s="43" t="s">
        <v>100</v>
      </c>
      <c r="I17" s="89" t="s">
        <v>9</v>
      </c>
      <c r="J17" s="89" t="s">
        <v>18</v>
      </c>
      <c r="K17" s="42" t="str">
        <f t="shared" si="8"/>
        <v>0582</v>
      </c>
      <c r="L17" s="89" t="s">
        <v>6</v>
      </c>
      <c r="M17" s="42" t="str">
        <f t="shared" si="9"/>
        <v>582</v>
      </c>
      <c r="O17" s="44" t="s">
        <v>101</v>
      </c>
      <c r="P17" s="44" t="s">
        <v>102</v>
      </c>
      <c r="Q17" s="44" t="s">
        <v>103</v>
      </c>
      <c r="R17" s="44" t="s">
        <v>104</v>
      </c>
      <c r="S17" s="44" t="s">
        <v>105</v>
      </c>
      <c r="T17" s="44" t="s">
        <v>106</v>
      </c>
      <c r="U17" s="44" t="s">
        <v>107</v>
      </c>
      <c r="V17" s="44" t="s">
        <v>109</v>
      </c>
      <c r="W17" s="44" t="s">
        <v>110</v>
      </c>
      <c r="X17" s="44"/>
      <c r="Y17" s="44"/>
      <c r="Z17" s="44" t="s">
        <v>112</v>
      </c>
      <c r="AA17" s="44" t="s">
        <v>113</v>
      </c>
      <c r="AB17" s="44" t="s">
        <v>114</v>
      </c>
      <c r="AC17" s="44" t="s">
        <v>115</v>
      </c>
      <c r="AD17" s="44" t="s">
        <v>117</v>
      </c>
      <c r="AE17" s="44" t="s">
        <v>118</v>
      </c>
      <c r="AF17" s="44" t="s">
        <v>119</v>
      </c>
      <c r="AG17" s="44"/>
      <c r="AH17" s="44"/>
      <c r="AI17" s="44" t="s">
        <v>122</v>
      </c>
      <c r="AJ17" s="44" t="s">
        <v>123</v>
      </c>
      <c r="AK17" s="44" t="s">
        <v>124</v>
      </c>
      <c r="AL17" s="44" t="s">
        <v>125</v>
      </c>
      <c r="AM17" s="44" t="s">
        <v>126</v>
      </c>
      <c r="AN17" s="44"/>
      <c r="AO17" s="44"/>
      <c r="AQ17" s="42" t="str">
        <f t="shared" si="10"/>
        <v>M</v>
      </c>
      <c r="AR17" s="42" t="str">
        <f>IFERROR(IF(INDEX(Estrutura_P01[],MATCH($C17,Estrutura_P01[txtMAKT-MAKTX],0),MATCH(AR$3,Estrutura_P01[#Headers],0))=0,"",INDEX(Estrutura_P01[],MATCH($C17,Estrutura_P01[txtMAKT-MAKTX],0),MATCH(AR$3,Estrutura_P01[#Headers],0))),"")</f>
        <v/>
      </c>
      <c r="AS17" s="44"/>
      <c r="AT17" s="47"/>
      <c r="AU17" s="42" t="str">
        <f>IFERROR(IF(INDEX(Estrutura_P01[],MATCH($C17,Estrutura_P01[txtMAKT-MAKTX],0),MATCH(AU$3,Estrutura_P01[#Headers],0))=0,"",INDEX(Estrutura_P01[],MATCH($C17,Estrutura_P01[txtMAKT-MAKTX],0),MATCH(AU$3,Estrutura_P01[#Headers],0))),"")</f>
        <v/>
      </c>
      <c r="AV17" s="44"/>
      <c r="AW17" s="45" t="str">
        <f t="shared" ca="1" si="11"/>
        <v/>
      </c>
      <c r="AX17" s="46" t="s">
        <v>738</v>
      </c>
      <c r="AY17" s="42" t="str">
        <f>IFERROR(IF(INDEX(Estrutura_P01[],MATCH($C17,Estrutura_P01[txtMAKT-MAKTX],0),MATCH(AY$3,Estrutura_P01[#Headers],0))=0,"",INDEX(Estrutura_P01[],MATCH($C17,Estrutura_P01[txtMAKT-MAKTX],0),MATCH(AY$3,Estrutura_P01[#Headers],0))),"")</f>
        <v/>
      </c>
      <c r="AZ17" s="42" t="str">
        <f t="shared" si="12"/>
        <v/>
      </c>
      <c r="BA17" s="47" t="s">
        <v>299</v>
      </c>
      <c r="BB17" s="47" t="s">
        <v>943</v>
      </c>
      <c r="BC17" s="42" t="str">
        <f>IFERROR(IF(INDEX(Estrutura_P01[],MATCH($C17,Estrutura_P01[txtMAKT-MAKTX],0),MATCH(BC$3,Estrutura_P01[#Headers],0))=0,"",INDEX(Estrutura_P01[],MATCH($C17,Estrutura_P01[txtMAKT-MAKTX],0),MATCH(BC$3,Estrutura_P01[#Headers],0))),"")</f>
        <v/>
      </c>
      <c r="BD17" s="42" t="str">
        <f t="shared" si="13"/>
        <v/>
      </c>
      <c r="BE17" s="42" t="str">
        <f t="shared" si="14"/>
        <v/>
      </c>
      <c r="BF17" s="42" t="str">
        <f t="shared" si="15"/>
        <v/>
      </c>
      <c r="BG17" s="42" t="str">
        <f t="shared" si="16"/>
        <v>M</v>
      </c>
      <c r="BI17" s="43" t="s">
        <v>944</v>
      </c>
      <c r="BJ17" s="43" t="s">
        <v>945</v>
      </c>
      <c r="BK17" s="42" t="str">
        <f>IFERROR(IF(INDEX(Estrutura_P01[],MATCH($C17,Estrutura_P01[txtMAKT-MAKTX],0),MATCH(BK$3,Estrutura_P01[#Headers],0))=0,"",INDEX(Estrutura_P01[],MATCH($C17,Estrutura_P01[txtMAKT-MAKTX],0),MATCH(BK$3,Estrutura_P01[#Headers],0))),"")</f>
        <v/>
      </c>
      <c r="BL17" s="42" t="str">
        <f>IFERROR(IF(INDEX(Estrutura_P01[],MATCH($C17,Estrutura_P01[txtMAKT-MAKTX],0),MATCH(BL15,Estrutura_P01[#Headers],0))=0,"",INDEX(Estrutura_P01[],MATCH($C17,Estrutura_P01[txtMAKT-MAKTX],0),MATCH(BL15,Estrutura_P01[#Headers],0))),"")</f>
        <v/>
      </c>
      <c r="BM17" s="42" t="str">
        <f>IFERROR(IF(INDEX(Estrutura_P01[],MATCH($C17,Estrutura_P01[txtMAKT-MAKTX],0),MATCH(BM15,Estrutura_P01[#Headers],0))=0,"",INDEX(Estrutura_P01[],MATCH($C17,Estrutura_P01[txtMAKT-MAKTX],0),MATCH(BM15,Estrutura_P01[#Headers],0))),"")</f>
        <v/>
      </c>
      <c r="BN17" s="42" t="str">
        <f>IFERROR(IF(INDEX(Estrutura_P01[],MATCH($C17,Estrutura_P01[txtMAKT-MAKTX],0),MATCH(BN15,Estrutura_P01[#Headers],0))=0,"",INDEX(Estrutura_P01[],MATCH($C17,Estrutura_P01[txtMAKT-MAKTX],0),MATCH(BN15,Estrutura_P01[#Headers],0))),"")</f>
        <v/>
      </c>
      <c r="BO17" s="42" t="str">
        <f>IFERROR(IF(INDEX(Estrutura_P01[],MATCH($C17,Estrutura_P01[txtMAKT-MAKTX],0),MATCH(BO15,Estrutura_P01[#Headers],0))=0,"",INDEX(Estrutura_P01[],MATCH($C17,Estrutura_P01[txtMAKT-MAKTX],0),MATCH(BO15,Estrutura_P01[#Headers],0))),"")</f>
        <v/>
      </c>
      <c r="BP17" s="42" t="str">
        <f>IFERROR(IF(OR(INDEX(Estrutura_P01[],MATCH($C17,Estrutura_P01[txtMAKT-MAKTX],0),MATCH(BP$3,Estrutura_P01[#Headers],0))=0,INDEX(Estrutura_P01[],MATCH($C17,Estrutura_P01[txtMAKT-MAKTX],0),MATCH(BP$3,Estrutura_P01[#Headers],0))=AQ17),"",INDEX(Estrutura_P01[],MATCH($C17,Estrutura_P01[txtMAKT-MAKTX],0),MATCH(BP$3,Estrutura_P01[#Headers],0))),"")</f>
        <v/>
      </c>
      <c r="BQ17" s="44">
        <v>99</v>
      </c>
      <c r="BR17" s="45" t="str">
        <f t="shared" ca="1" si="17"/>
        <v>24.05.2022</v>
      </c>
      <c r="BS17" s="48" t="str">
        <f t="shared" si="18"/>
        <v>0582</v>
      </c>
      <c r="BT17" s="49">
        <v>1</v>
      </c>
      <c r="BU17" s="49" t="s">
        <v>194</v>
      </c>
      <c r="BV17" s="102" t="str">
        <f t="shared" si="19"/>
        <v>01</v>
      </c>
      <c r="BW17" s="49" t="s">
        <v>738</v>
      </c>
      <c r="BX17" s="43">
        <v>1</v>
      </c>
      <c r="BY17" s="43" t="s">
        <v>366</v>
      </c>
      <c r="BZ17" s="49" t="s">
        <v>197</v>
      </c>
      <c r="CA17" s="49" t="s">
        <v>197</v>
      </c>
      <c r="CB17" s="47" t="s">
        <v>942</v>
      </c>
      <c r="CC17" s="43" t="s">
        <v>382</v>
      </c>
      <c r="CD17" s="49">
        <v>0</v>
      </c>
      <c r="CE17" s="44" t="s">
        <v>394</v>
      </c>
      <c r="CF17" s="44" t="s">
        <v>34</v>
      </c>
      <c r="CG17" s="42" t="str">
        <f t="shared" si="20"/>
        <v>582</v>
      </c>
      <c r="CH17" s="44" t="s">
        <v>420</v>
      </c>
      <c r="CI17" s="43">
        <v>0</v>
      </c>
      <c r="CJ17" s="42" t="str">
        <f t="shared" si="21"/>
        <v>E</v>
      </c>
      <c r="CK17" s="102" t="str">
        <f t="shared" si="22"/>
        <v/>
      </c>
      <c r="CL17" s="47">
        <v>1</v>
      </c>
      <c r="CM17" s="47">
        <v>1</v>
      </c>
      <c r="CN17" s="43"/>
      <c r="CO17" s="48" t="str">
        <f t="shared" si="23"/>
        <v>0330</v>
      </c>
      <c r="CP17" s="48" t="str">
        <f t="shared" si="24"/>
        <v>0330</v>
      </c>
      <c r="CQ17" s="42" t="str">
        <f t="shared" si="25"/>
        <v/>
      </c>
      <c r="CR17" s="43">
        <v>1</v>
      </c>
      <c r="CS17" s="49" t="s">
        <v>505</v>
      </c>
      <c r="CT17" s="43" t="s">
        <v>36</v>
      </c>
      <c r="CU17" s="43">
        <v>2</v>
      </c>
      <c r="CV17" s="43">
        <v>42</v>
      </c>
      <c r="CW17" s="43">
        <v>10</v>
      </c>
      <c r="CX17" s="42">
        <f t="shared" si="26"/>
        <v>1</v>
      </c>
      <c r="CY17" s="42" t="str">
        <f>IFERROR(IF(INDEX(Estrutura_P01[],MATCH($C17,Estrutura_P01[txtMAKT-MAKTX],0),MATCH(CY$3,Estrutura_P01[#Headers],0))=0,"",IF(INDEX(Estrutura_P01[],MATCH($C17,Estrutura_P01[txtMAKT-MAKTX],0),MATCH(CY$3,Estrutura_P01[#Headers],0))="Industrializado","SUB_0582","")),"")</f>
        <v/>
      </c>
      <c r="CZ17" s="42" t="str">
        <f t="shared" ca="1" si="27"/>
        <v>24.05.2022</v>
      </c>
      <c r="DA17" s="42" t="str">
        <f t="shared" si="28"/>
        <v>31.12.9999</v>
      </c>
      <c r="DC17" s="43">
        <v>1</v>
      </c>
      <c r="DD17" s="43" t="s">
        <v>946</v>
      </c>
      <c r="DE17" s="43">
        <v>30</v>
      </c>
      <c r="DF17" s="43">
        <v>1</v>
      </c>
      <c r="DG17" s="42">
        <f t="shared" si="0"/>
        <v>0.01</v>
      </c>
      <c r="DH17" s="42" t="str">
        <f t="shared" si="1"/>
        <v>M</v>
      </c>
      <c r="DI17" s="42" t="str">
        <f t="shared" si="2"/>
        <v/>
      </c>
      <c r="DJ17" s="43">
        <v>1000</v>
      </c>
      <c r="DK17" s="69">
        <f t="shared" si="3"/>
        <v>1</v>
      </c>
      <c r="DL17" s="42">
        <f t="shared" si="29"/>
        <v>1000</v>
      </c>
      <c r="DM17" s="43">
        <v>1</v>
      </c>
      <c r="DN17" s="43">
        <v>0</v>
      </c>
      <c r="DO17" s="43" t="s">
        <v>759</v>
      </c>
      <c r="DP17" s="44">
        <v>0</v>
      </c>
      <c r="DQ17" s="43">
        <v>1000</v>
      </c>
      <c r="DR17" s="94" t="str">
        <f>IFERROR(IF(INDEX(Estrutura_P01[],MATCH($C17,Estrutura_P01[txtMAKT-MAKTX],0),MATCH(DR$3,Estrutura_P01[#Headers],0))=0,"",INDEX(Estrutura_P01[],MATCH($C17,Estrutura_P01[txtMAKT-MAKTX],0),MATCH(DR$3,Estrutura_P01[#Headers],0)))*DQ17,"")</f>
        <v/>
      </c>
      <c r="DS17" s="42" t="str">
        <f t="shared" ca="1" si="30"/>
        <v/>
      </c>
      <c r="DT17" s="58" t="s">
        <v>983</v>
      </c>
    </row>
    <row r="18" spans="1:124" x14ac:dyDescent="0.2">
      <c r="A18" s="7" t="str">
        <f t="shared" si="4"/>
        <v>Execução 14</v>
      </c>
      <c r="B18" s="76"/>
      <c r="C18" s="82"/>
      <c r="D18" s="69" t="str">
        <f t="shared" si="5"/>
        <v>0582</v>
      </c>
      <c r="E18" s="69" t="str">
        <f t="shared" si="6"/>
        <v/>
      </c>
      <c r="F18" s="42" t="str">
        <f>IFERROR(IF(INDEX(Estrutura_P01[],MATCH($C18,Estrutura_P01[txtMAKT-MAKTX],0),MATCH(F$3,Estrutura_P01[#Headers],0))=0,"",INDEX(Estrutura_P01[],MATCH($C18,Estrutura_P01[txtMAKT-MAKTX],0),MATCH(F$3,Estrutura_P01[#Headers],0))),"")</f>
        <v/>
      </c>
      <c r="G18" s="42" t="str">
        <f t="shared" si="7"/>
        <v/>
      </c>
      <c r="H18" s="43" t="s">
        <v>100</v>
      </c>
      <c r="I18" s="89" t="s">
        <v>9</v>
      </c>
      <c r="J18" s="89" t="s">
        <v>18</v>
      </c>
      <c r="K18" s="42" t="str">
        <f t="shared" si="8"/>
        <v>0582</v>
      </c>
      <c r="L18" s="89" t="s">
        <v>6</v>
      </c>
      <c r="M18" s="42" t="str">
        <f t="shared" si="9"/>
        <v>582</v>
      </c>
      <c r="O18" s="44" t="s">
        <v>101</v>
      </c>
      <c r="P18" s="44" t="s">
        <v>102</v>
      </c>
      <c r="Q18" s="44" t="s">
        <v>103</v>
      </c>
      <c r="R18" s="44" t="s">
        <v>104</v>
      </c>
      <c r="S18" s="44" t="s">
        <v>105</v>
      </c>
      <c r="T18" s="44" t="s">
        <v>106</v>
      </c>
      <c r="U18" s="44" t="s">
        <v>107</v>
      </c>
      <c r="V18" s="44" t="s">
        <v>109</v>
      </c>
      <c r="W18" s="44" t="s">
        <v>110</v>
      </c>
      <c r="X18" s="44"/>
      <c r="Y18" s="44"/>
      <c r="Z18" s="44" t="s">
        <v>112</v>
      </c>
      <c r="AA18" s="44" t="s">
        <v>113</v>
      </c>
      <c r="AB18" s="44" t="s">
        <v>114</v>
      </c>
      <c r="AC18" s="44" t="s">
        <v>115</v>
      </c>
      <c r="AD18" s="44" t="s">
        <v>117</v>
      </c>
      <c r="AE18" s="44" t="s">
        <v>118</v>
      </c>
      <c r="AF18" s="44" t="s">
        <v>119</v>
      </c>
      <c r="AG18" s="44"/>
      <c r="AH18" s="44"/>
      <c r="AI18" s="44" t="s">
        <v>122</v>
      </c>
      <c r="AJ18" s="44" t="s">
        <v>123</v>
      </c>
      <c r="AK18" s="44" t="s">
        <v>124</v>
      </c>
      <c r="AL18" s="44" t="s">
        <v>125</v>
      </c>
      <c r="AM18" s="44" t="s">
        <v>126</v>
      </c>
      <c r="AN18" s="44"/>
      <c r="AO18" s="44"/>
      <c r="AQ18" s="42" t="str">
        <f t="shared" si="10"/>
        <v>M</v>
      </c>
      <c r="AR18" s="42" t="str">
        <f>IFERROR(IF(INDEX(Estrutura_P01[],MATCH($C18,Estrutura_P01[txtMAKT-MAKTX],0),MATCH(AR$3,Estrutura_P01[#Headers],0))=0,"",INDEX(Estrutura_P01[],MATCH($C18,Estrutura_P01[txtMAKT-MAKTX],0),MATCH(AR$3,Estrutura_P01[#Headers],0))),"")</f>
        <v/>
      </c>
      <c r="AS18" s="44"/>
      <c r="AT18" s="47"/>
      <c r="AU18" s="42" t="str">
        <f>IFERROR(IF(INDEX(Estrutura_P01[],MATCH($C18,Estrutura_P01[txtMAKT-MAKTX],0),MATCH(AU$3,Estrutura_P01[#Headers],0))=0,"",INDEX(Estrutura_P01[],MATCH($C18,Estrutura_P01[txtMAKT-MAKTX],0),MATCH(AU$3,Estrutura_P01[#Headers],0))),"")</f>
        <v/>
      </c>
      <c r="AV18" s="44"/>
      <c r="AW18" s="45" t="str">
        <f t="shared" ca="1" si="11"/>
        <v/>
      </c>
      <c r="AX18" s="46" t="s">
        <v>738</v>
      </c>
      <c r="AY18" s="42" t="str">
        <f>IFERROR(IF(INDEX(Estrutura_P01[],MATCH($C18,Estrutura_P01[txtMAKT-MAKTX],0),MATCH(AY$3,Estrutura_P01[#Headers],0))=0,"",INDEX(Estrutura_P01[],MATCH($C18,Estrutura_P01[txtMAKT-MAKTX],0),MATCH(AY$3,Estrutura_P01[#Headers],0))),"")</f>
        <v/>
      </c>
      <c r="AZ18" s="42" t="str">
        <f t="shared" si="12"/>
        <v/>
      </c>
      <c r="BA18" s="47" t="s">
        <v>299</v>
      </c>
      <c r="BB18" s="47" t="s">
        <v>943</v>
      </c>
      <c r="BC18" s="42" t="str">
        <f>IFERROR(IF(INDEX(Estrutura_P01[],MATCH($C18,Estrutura_P01[txtMAKT-MAKTX],0),MATCH(BC$3,Estrutura_P01[#Headers],0))=0,"",INDEX(Estrutura_P01[],MATCH($C18,Estrutura_P01[txtMAKT-MAKTX],0),MATCH(BC$3,Estrutura_P01[#Headers],0))),"")</f>
        <v/>
      </c>
      <c r="BD18" s="42" t="str">
        <f t="shared" si="13"/>
        <v/>
      </c>
      <c r="BE18" s="42" t="str">
        <f t="shared" si="14"/>
        <v/>
      </c>
      <c r="BF18" s="42" t="str">
        <f t="shared" si="15"/>
        <v/>
      </c>
      <c r="BG18" s="42" t="str">
        <f t="shared" si="16"/>
        <v>M</v>
      </c>
      <c r="BI18" s="43" t="s">
        <v>944</v>
      </c>
      <c r="BJ18" s="43" t="s">
        <v>945</v>
      </c>
      <c r="BK18" s="42" t="str">
        <f>IFERROR(IF(INDEX(Estrutura_P01[],MATCH($C18,Estrutura_P01[txtMAKT-MAKTX],0),MATCH(BK$3,Estrutura_P01[#Headers],0))=0,"",INDEX(Estrutura_P01[],MATCH($C18,Estrutura_P01[txtMAKT-MAKTX],0),MATCH(BK$3,Estrutura_P01[#Headers],0))),"")</f>
        <v/>
      </c>
      <c r="BL18" s="42" t="str">
        <f>IFERROR(IF(INDEX(Estrutura_P01[],MATCH($C18,Estrutura_P01[txtMAKT-MAKTX],0),MATCH(BL16,Estrutura_P01[#Headers],0))=0,"",INDEX(Estrutura_P01[],MATCH($C18,Estrutura_P01[txtMAKT-MAKTX],0),MATCH(BL16,Estrutura_P01[#Headers],0))),"")</f>
        <v/>
      </c>
      <c r="BM18" s="42" t="str">
        <f>IFERROR(IF(INDEX(Estrutura_P01[],MATCH($C18,Estrutura_P01[txtMAKT-MAKTX],0),MATCH(BM16,Estrutura_P01[#Headers],0))=0,"",INDEX(Estrutura_P01[],MATCH($C18,Estrutura_P01[txtMAKT-MAKTX],0),MATCH(BM16,Estrutura_P01[#Headers],0))),"")</f>
        <v/>
      </c>
      <c r="BN18" s="42" t="str">
        <f>IFERROR(IF(INDEX(Estrutura_P01[],MATCH($C18,Estrutura_P01[txtMAKT-MAKTX],0),MATCH(BN16,Estrutura_P01[#Headers],0))=0,"",INDEX(Estrutura_P01[],MATCH($C18,Estrutura_P01[txtMAKT-MAKTX],0),MATCH(BN16,Estrutura_P01[#Headers],0))),"")</f>
        <v/>
      </c>
      <c r="BO18" s="42" t="str">
        <f>IFERROR(IF(INDEX(Estrutura_P01[],MATCH($C18,Estrutura_P01[txtMAKT-MAKTX],0),MATCH(BO16,Estrutura_P01[#Headers],0))=0,"",INDEX(Estrutura_P01[],MATCH($C18,Estrutura_P01[txtMAKT-MAKTX],0),MATCH(BO16,Estrutura_P01[#Headers],0))),"")</f>
        <v/>
      </c>
      <c r="BP18" s="42" t="str">
        <f>IFERROR(IF(OR(INDEX(Estrutura_P01[],MATCH($C18,Estrutura_P01[txtMAKT-MAKTX],0),MATCH(BP$3,Estrutura_P01[#Headers],0))=0,INDEX(Estrutura_P01[],MATCH($C18,Estrutura_P01[txtMAKT-MAKTX],0),MATCH(BP$3,Estrutura_P01[#Headers],0))=AQ18),"",INDEX(Estrutura_P01[],MATCH($C18,Estrutura_P01[txtMAKT-MAKTX],0),MATCH(BP$3,Estrutura_P01[#Headers],0))),"")</f>
        <v/>
      </c>
      <c r="BQ18" s="44">
        <v>99</v>
      </c>
      <c r="BR18" s="45" t="str">
        <f t="shared" ca="1" si="17"/>
        <v>24.05.2022</v>
      </c>
      <c r="BS18" s="48" t="str">
        <f t="shared" si="18"/>
        <v>0582</v>
      </c>
      <c r="BT18" s="49">
        <v>1</v>
      </c>
      <c r="BU18" s="49" t="s">
        <v>194</v>
      </c>
      <c r="BV18" s="102" t="str">
        <f t="shared" si="19"/>
        <v>01</v>
      </c>
      <c r="BW18" s="49" t="s">
        <v>738</v>
      </c>
      <c r="BX18" s="43">
        <v>1</v>
      </c>
      <c r="BY18" s="43" t="s">
        <v>366</v>
      </c>
      <c r="BZ18" s="49" t="s">
        <v>197</v>
      </c>
      <c r="CA18" s="49" t="s">
        <v>197</v>
      </c>
      <c r="CB18" s="47" t="s">
        <v>942</v>
      </c>
      <c r="CC18" s="43" t="s">
        <v>382</v>
      </c>
      <c r="CD18" s="49">
        <v>0</v>
      </c>
      <c r="CE18" s="44" t="s">
        <v>394</v>
      </c>
      <c r="CF18" s="44" t="s">
        <v>34</v>
      </c>
      <c r="CG18" s="42" t="str">
        <f t="shared" si="20"/>
        <v>582</v>
      </c>
      <c r="CH18" s="44" t="s">
        <v>420</v>
      </c>
      <c r="CI18" s="43">
        <v>0</v>
      </c>
      <c r="CJ18" s="42" t="str">
        <f t="shared" si="21"/>
        <v>E</v>
      </c>
      <c r="CK18" s="102" t="str">
        <f t="shared" si="22"/>
        <v/>
      </c>
      <c r="CL18" s="47">
        <v>1</v>
      </c>
      <c r="CM18" s="47">
        <v>1</v>
      </c>
      <c r="CN18" s="43"/>
      <c r="CO18" s="48" t="str">
        <f t="shared" si="23"/>
        <v>0330</v>
      </c>
      <c r="CP18" s="48" t="str">
        <f t="shared" si="24"/>
        <v>0330</v>
      </c>
      <c r="CQ18" s="42" t="str">
        <f t="shared" si="25"/>
        <v/>
      </c>
      <c r="CR18" s="43">
        <v>1</v>
      </c>
      <c r="CS18" s="49" t="s">
        <v>505</v>
      </c>
      <c r="CT18" s="43" t="s">
        <v>36</v>
      </c>
      <c r="CU18" s="43">
        <v>2</v>
      </c>
      <c r="CV18" s="43">
        <v>42</v>
      </c>
      <c r="CW18" s="43">
        <v>10</v>
      </c>
      <c r="CX18" s="42">
        <f t="shared" si="26"/>
        <v>1</v>
      </c>
      <c r="CY18" s="42" t="str">
        <f>IFERROR(IF(INDEX(Estrutura_P01[],MATCH($C18,Estrutura_P01[txtMAKT-MAKTX],0),MATCH(CY$3,Estrutura_P01[#Headers],0))=0,"",IF(INDEX(Estrutura_P01[],MATCH($C18,Estrutura_P01[txtMAKT-MAKTX],0),MATCH(CY$3,Estrutura_P01[#Headers],0))="Industrializado","SUB_0582","")),"")</f>
        <v/>
      </c>
      <c r="CZ18" s="42" t="str">
        <f t="shared" ca="1" si="27"/>
        <v>24.05.2022</v>
      </c>
      <c r="DA18" s="42" t="str">
        <f t="shared" si="28"/>
        <v>31.12.9999</v>
      </c>
      <c r="DC18" s="43">
        <v>1</v>
      </c>
      <c r="DD18" s="43" t="s">
        <v>946</v>
      </c>
      <c r="DE18" s="43">
        <v>30</v>
      </c>
      <c r="DF18" s="43">
        <v>1</v>
      </c>
      <c r="DG18" s="42">
        <f t="shared" si="0"/>
        <v>0.01</v>
      </c>
      <c r="DH18" s="42" t="str">
        <f t="shared" si="1"/>
        <v>M</v>
      </c>
      <c r="DI18" s="42" t="str">
        <f t="shared" si="2"/>
        <v/>
      </c>
      <c r="DJ18" s="43">
        <v>1000</v>
      </c>
      <c r="DK18" s="69">
        <f t="shared" si="3"/>
        <v>1</v>
      </c>
      <c r="DL18" s="42">
        <f t="shared" si="29"/>
        <v>1000</v>
      </c>
      <c r="DM18" s="43">
        <v>1</v>
      </c>
      <c r="DN18" s="43">
        <v>0</v>
      </c>
      <c r="DO18" s="43" t="s">
        <v>759</v>
      </c>
      <c r="DP18" s="44">
        <v>0</v>
      </c>
      <c r="DQ18" s="43">
        <v>1000</v>
      </c>
      <c r="DR18" s="94" t="str">
        <f>IFERROR(IF(INDEX(Estrutura_P01[],MATCH($C18,Estrutura_P01[txtMAKT-MAKTX],0),MATCH(DR$3,Estrutura_P01[#Headers],0))=0,"",INDEX(Estrutura_P01[],MATCH($C18,Estrutura_P01[txtMAKT-MAKTX],0),MATCH(DR$3,Estrutura_P01[#Headers],0)))*DQ18,"")</f>
        <v/>
      </c>
      <c r="DS18" s="42" t="str">
        <f t="shared" ca="1" si="30"/>
        <v/>
      </c>
      <c r="DT18" s="58" t="s">
        <v>983</v>
      </c>
    </row>
    <row r="19" spans="1:124" x14ac:dyDescent="0.2">
      <c r="A19" s="7" t="str">
        <f t="shared" si="4"/>
        <v>Execução 15</v>
      </c>
      <c r="B19" s="76"/>
      <c r="C19" s="82"/>
      <c r="D19" s="69" t="str">
        <f t="shared" si="5"/>
        <v>0582</v>
      </c>
      <c r="E19" s="69" t="str">
        <f t="shared" si="6"/>
        <v/>
      </c>
      <c r="F19" s="42" t="str">
        <f>IFERROR(IF(INDEX(Estrutura_P01[],MATCH($C19,Estrutura_P01[txtMAKT-MAKTX],0),MATCH(F$3,Estrutura_P01[#Headers],0))=0,"",INDEX(Estrutura_P01[],MATCH($C19,Estrutura_P01[txtMAKT-MAKTX],0),MATCH(F$3,Estrutura_P01[#Headers],0))),"")</f>
        <v/>
      </c>
      <c r="G19" s="42" t="str">
        <f t="shared" si="7"/>
        <v/>
      </c>
      <c r="H19" s="43" t="s">
        <v>100</v>
      </c>
      <c r="I19" s="89" t="s">
        <v>9</v>
      </c>
      <c r="J19" s="89" t="s">
        <v>18</v>
      </c>
      <c r="K19" s="42" t="str">
        <f t="shared" si="8"/>
        <v>0582</v>
      </c>
      <c r="L19" s="89" t="s">
        <v>6</v>
      </c>
      <c r="M19" s="42" t="str">
        <f t="shared" si="9"/>
        <v>582</v>
      </c>
      <c r="O19" s="44" t="s">
        <v>101</v>
      </c>
      <c r="P19" s="44" t="s">
        <v>102</v>
      </c>
      <c r="Q19" s="44" t="s">
        <v>103</v>
      </c>
      <c r="R19" s="44" t="s">
        <v>104</v>
      </c>
      <c r="S19" s="44" t="s">
        <v>105</v>
      </c>
      <c r="T19" s="44" t="s">
        <v>106</v>
      </c>
      <c r="U19" s="44" t="s">
        <v>107</v>
      </c>
      <c r="V19" s="44" t="s">
        <v>109</v>
      </c>
      <c r="W19" s="44" t="s">
        <v>110</v>
      </c>
      <c r="X19" s="44"/>
      <c r="Y19" s="44"/>
      <c r="Z19" s="44" t="s">
        <v>112</v>
      </c>
      <c r="AA19" s="44" t="s">
        <v>113</v>
      </c>
      <c r="AB19" s="44" t="s">
        <v>114</v>
      </c>
      <c r="AC19" s="44" t="s">
        <v>115</v>
      </c>
      <c r="AD19" s="44" t="s">
        <v>117</v>
      </c>
      <c r="AE19" s="44" t="s">
        <v>118</v>
      </c>
      <c r="AF19" s="44" t="s">
        <v>119</v>
      </c>
      <c r="AG19" s="44"/>
      <c r="AH19" s="44"/>
      <c r="AI19" s="44" t="s">
        <v>122</v>
      </c>
      <c r="AJ19" s="44" t="s">
        <v>123</v>
      </c>
      <c r="AK19" s="44" t="s">
        <v>124</v>
      </c>
      <c r="AL19" s="44" t="s">
        <v>125</v>
      </c>
      <c r="AM19" s="44" t="s">
        <v>126</v>
      </c>
      <c r="AN19" s="44"/>
      <c r="AO19" s="44"/>
      <c r="AQ19" s="42" t="str">
        <f t="shared" si="10"/>
        <v>M</v>
      </c>
      <c r="AR19" s="42" t="str">
        <f>IFERROR(IF(INDEX(Estrutura_P01[],MATCH($C19,Estrutura_P01[txtMAKT-MAKTX],0),MATCH(AR$3,Estrutura_P01[#Headers],0))=0,"",INDEX(Estrutura_P01[],MATCH($C19,Estrutura_P01[txtMAKT-MAKTX],0),MATCH(AR$3,Estrutura_P01[#Headers],0))),"")</f>
        <v/>
      </c>
      <c r="AS19" s="44"/>
      <c r="AT19" s="47"/>
      <c r="AU19" s="42" t="str">
        <f>IFERROR(IF(INDEX(Estrutura_P01[],MATCH($C19,Estrutura_P01[txtMAKT-MAKTX],0),MATCH(AU$3,Estrutura_P01[#Headers],0))=0,"",INDEX(Estrutura_P01[],MATCH($C19,Estrutura_P01[txtMAKT-MAKTX],0),MATCH(AU$3,Estrutura_P01[#Headers],0))),"")</f>
        <v/>
      </c>
      <c r="AV19" s="44"/>
      <c r="AW19" s="45" t="str">
        <f t="shared" ca="1" si="11"/>
        <v/>
      </c>
      <c r="AX19" s="46" t="s">
        <v>738</v>
      </c>
      <c r="AY19" s="42" t="str">
        <f>IFERROR(IF(INDEX(Estrutura_P01[],MATCH($C19,Estrutura_P01[txtMAKT-MAKTX],0),MATCH(AY$3,Estrutura_P01[#Headers],0))=0,"",INDEX(Estrutura_P01[],MATCH($C19,Estrutura_P01[txtMAKT-MAKTX],0),MATCH(AY$3,Estrutura_P01[#Headers],0))),"")</f>
        <v/>
      </c>
      <c r="AZ19" s="42" t="str">
        <f t="shared" si="12"/>
        <v/>
      </c>
      <c r="BA19" s="47" t="s">
        <v>299</v>
      </c>
      <c r="BB19" s="47" t="s">
        <v>943</v>
      </c>
      <c r="BC19" s="42" t="str">
        <f>IFERROR(IF(INDEX(Estrutura_P01[],MATCH($C19,Estrutura_P01[txtMAKT-MAKTX],0),MATCH(BC$3,Estrutura_P01[#Headers],0))=0,"",INDEX(Estrutura_P01[],MATCH($C19,Estrutura_P01[txtMAKT-MAKTX],0),MATCH(BC$3,Estrutura_P01[#Headers],0))),"")</f>
        <v/>
      </c>
      <c r="BD19" s="42" t="str">
        <f t="shared" si="13"/>
        <v/>
      </c>
      <c r="BE19" s="42" t="str">
        <f t="shared" si="14"/>
        <v/>
      </c>
      <c r="BF19" s="42" t="str">
        <f t="shared" si="15"/>
        <v/>
      </c>
      <c r="BG19" s="42" t="str">
        <f t="shared" si="16"/>
        <v>M</v>
      </c>
      <c r="BI19" s="43" t="s">
        <v>944</v>
      </c>
      <c r="BJ19" s="43" t="s">
        <v>945</v>
      </c>
      <c r="BK19" s="42" t="str">
        <f>IFERROR(IF(INDEX(Estrutura_P01[],MATCH($C19,Estrutura_P01[txtMAKT-MAKTX],0),MATCH(BK$3,Estrutura_P01[#Headers],0))=0,"",INDEX(Estrutura_P01[],MATCH($C19,Estrutura_P01[txtMAKT-MAKTX],0),MATCH(BK$3,Estrutura_P01[#Headers],0))),"")</f>
        <v/>
      </c>
      <c r="BL19" s="42" t="str">
        <f>IFERROR(IF(INDEX(Estrutura_P01[],MATCH($C19,Estrutura_P01[txtMAKT-MAKTX],0),MATCH(BL17,Estrutura_P01[#Headers],0))=0,"",INDEX(Estrutura_P01[],MATCH($C19,Estrutura_P01[txtMAKT-MAKTX],0),MATCH(BL17,Estrutura_P01[#Headers],0))),"")</f>
        <v/>
      </c>
      <c r="BM19" s="42" t="str">
        <f>IFERROR(IF(INDEX(Estrutura_P01[],MATCH($C19,Estrutura_P01[txtMAKT-MAKTX],0),MATCH(BM17,Estrutura_P01[#Headers],0))=0,"",INDEX(Estrutura_P01[],MATCH($C19,Estrutura_P01[txtMAKT-MAKTX],0),MATCH(BM17,Estrutura_P01[#Headers],0))),"")</f>
        <v/>
      </c>
      <c r="BN19" s="42" t="str">
        <f>IFERROR(IF(INDEX(Estrutura_P01[],MATCH($C19,Estrutura_P01[txtMAKT-MAKTX],0),MATCH(BN17,Estrutura_P01[#Headers],0))=0,"",INDEX(Estrutura_P01[],MATCH($C19,Estrutura_P01[txtMAKT-MAKTX],0),MATCH(BN17,Estrutura_P01[#Headers],0))),"")</f>
        <v/>
      </c>
      <c r="BO19" s="42" t="str">
        <f>IFERROR(IF(INDEX(Estrutura_P01[],MATCH($C19,Estrutura_P01[txtMAKT-MAKTX],0),MATCH(BO17,Estrutura_P01[#Headers],0))=0,"",INDEX(Estrutura_P01[],MATCH($C19,Estrutura_P01[txtMAKT-MAKTX],0),MATCH(BO17,Estrutura_P01[#Headers],0))),"")</f>
        <v/>
      </c>
      <c r="BP19" s="42" t="str">
        <f>IFERROR(IF(OR(INDEX(Estrutura_P01[],MATCH($C19,Estrutura_P01[txtMAKT-MAKTX],0),MATCH(BP$3,Estrutura_P01[#Headers],0))=0,INDEX(Estrutura_P01[],MATCH($C19,Estrutura_P01[txtMAKT-MAKTX],0),MATCH(BP$3,Estrutura_P01[#Headers],0))=AQ19),"",INDEX(Estrutura_P01[],MATCH($C19,Estrutura_P01[txtMAKT-MAKTX],0),MATCH(BP$3,Estrutura_P01[#Headers],0))),"")</f>
        <v/>
      </c>
      <c r="BQ19" s="44">
        <v>99</v>
      </c>
      <c r="BR19" s="45" t="str">
        <f t="shared" ca="1" si="17"/>
        <v>24.05.2022</v>
      </c>
      <c r="BS19" s="48" t="str">
        <f t="shared" si="18"/>
        <v>0582</v>
      </c>
      <c r="BT19" s="49">
        <v>1</v>
      </c>
      <c r="BU19" s="49" t="s">
        <v>194</v>
      </c>
      <c r="BV19" s="102" t="str">
        <f t="shared" si="19"/>
        <v>01</v>
      </c>
      <c r="BW19" s="49" t="s">
        <v>738</v>
      </c>
      <c r="BX19" s="43">
        <v>1</v>
      </c>
      <c r="BY19" s="43" t="s">
        <v>366</v>
      </c>
      <c r="BZ19" s="49" t="s">
        <v>197</v>
      </c>
      <c r="CA19" s="49" t="s">
        <v>197</v>
      </c>
      <c r="CB19" s="47" t="s">
        <v>942</v>
      </c>
      <c r="CC19" s="43" t="s">
        <v>382</v>
      </c>
      <c r="CD19" s="49">
        <v>0</v>
      </c>
      <c r="CE19" s="44" t="s">
        <v>394</v>
      </c>
      <c r="CF19" s="44" t="s">
        <v>34</v>
      </c>
      <c r="CG19" s="42" t="str">
        <f t="shared" si="20"/>
        <v>582</v>
      </c>
      <c r="CH19" s="44" t="s">
        <v>420</v>
      </c>
      <c r="CI19" s="43">
        <v>0</v>
      </c>
      <c r="CJ19" s="42" t="str">
        <f t="shared" si="21"/>
        <v>E</v>
      </c>
      <c r="CK19" s="102" t="str">
        <f t="shared" si="22"/>
        <v/>
      </c>
      <c r="CL19" s="47">
        <v>1</v>
      </c>
      <c r="CM19" s="47">
        <v>1</v>
      </c>
      <c r="CN19" s="43"/>
      <c r="CO19" s="48" t="str">
        <f t="shared" si="23"/>
        <v>0330</v>
      </c>
      <c r="CP19" s="48" t="str">
        <f t="shared" si="24"/>
        <v>0330</v>
      </c>
      <c r="CQ19" s="42" t="str">
        <f t="shared" si="25"/>
        <v/>
      </c>
      <c r="CR19" s="43">
        <v>1</v>
      </c>
      <c r="CS19" s="49" t="s">
        <v>505</v>
      </c>
      <c r="CT19" s="43" t="s">
        <v>36</v>
      </c>
      <c r="CU19" s="43">
        <v>2</v>
      </c>
      <c r="CV19" s="43">
        <v>42</v>
      </c>
      <c r="CW19" s="43">
        <v>10</v>
      </c>
      <c r="CX19" s="42">
        <f t="shared" si="26"/>
        <v>1</v>
      </c>
      <c r="CY19" s="42" t="str">
        <f>IFERROR(IF(INDEX(Estrutura_P01[],MATCH($C19,Estrutura_P01[txtMAKT-MAKTX],0),MATCH(CY$3,Estrutura_P01[#Headers],0))=0,"",IF(INDEX(Estrutura_P01[],MATCH($C19,Estrutura_P01[txtMAKT-MAKTX],0),MATCH(CY$3,Estrutura_P01[#Headers],0))="Industrializado","SUB_0582","")),"")</f>
        <v/>
      </c>
      <c r="CZ19" s="42" t="str">
        <f t="shared" ca="1" si="27"/>
        <v>24.05.2022</v>
      </c>
      <c r="DA19" s="42" t="str">
        <f t="shared" si="28"/>
        <v>31.12.9999</v>
      </c>
      <c r="DC19" s="43">
        <v>1</v>
      </c>
      <c r="DD19" s="43" t="s">
        <v>946</v>
      </c>
      <c r="DE19" s="43">
        <v>30</v>
      </c>
      <c r="DF19" s="43">
        <v>1</v>
      </c>
      <c r="DG19" s="42">
        <f t="shared" si="0"/>
        <v>0.01</v>
      </c>
      <c r="DH19" s="42" t="str">
        <f t="shared" si="1"/>
        <v>M</v>
      </c>
      <c r="DI19" s="42" t="str">
        <f t="shared" si="2"/>
        <v/>
      </c>
      <c r="DJ19" s="43">
        <v>1000</v>
      </c>
      <c r="DK19" s="69">
        <f t="shared" si="3"/>
        <v>1</v>
      </c>
      <c r="DL19" s="42">
        <f t="shared" si="29"/>
        <v>1000</v>
      </c>
      <c r="DM19" s="43">
        <v>1</v>
      </c>
      <c r="DN19" s="43">
        <v>0</v>
      </c>
      <c r="DO19" s="43" t="s">
        <v>759</v>
      </c>
      <c r="DP19" s="44">
        <v>0</v>
      </c>
      <c r="DQ19" s="43">
        <v>1000</v>
      </c>
      <c r="DR19" s="94" t="str">
        <f>IFERROR(IF(INDEX(Estrutura_P01[],MATCH($C19,Estrutura_P01[txtMAKT-MAKTX],0),MATCH(DR$3,Estrutura_P01[#Headers],0))=0,"",INDEX(Estrutura_P01[],MATCH($C19,Estrutura_P01[txtMAKT-MAKTX],0),MATCH(DR$3,Estrutura_P01[#Headers],0)))*DQ19,"")</f>
        <v/>
      </c>
      <c r="DS19" s="42" t="str">
        <f t="shared" ca="1" si="30"/>
        <v/>
      </c>
      <c r="DT19" s="58" t="s">
        <v>983</v>
      </c>
    </row>
    <row r="20" spans="1:124" x14ac:dyDescent="0.2">
      <c r="A20" s="7" t="str">
        <f t="shared" si="4"/>
        <v>Execução 16</v>
      </c>
      <c r="B20" s="76"/>
      <c r="C20" s="82"/>
      <c r="D20" s="69" t="str">
        <f t="shared" si="5"/>
        <v>0582</v>
      </c>
      <c r="E20" s="69" t="str">
        <f t="shared" si="6"/>
        <v/>
      </c>
      <c r="F20" s="42" t="str">
        <f>IFERROR(IF(INDEX(Estrutura_P01[],MATCH($C20,Estrutura_P01[txtMAKT-MAKTX],0),MATCH(F$3,Estrutura_P01[#Headers],0))=0,"",INDEX(Estrutura_P01[],MATCH($C20,Estrutura_P01[txtMAKT-MAKTX],0),MATCH(F$3,Estrutura_P01[#Headers],0))),"")</f>
        <v/>
      </c>
      <c r="G20" s="42" t="str">
        <f t="shared" si="7"/>
        <v/>
      </c>
      <c r="H20" s="43" t="s">
        <v>100</v>
      </c>
      <c r="I20" s="89" t="s">
        <v>9</v>
      </c>
      <c r="J20" s="89" t="s">
        <v>18</v>
      </c>
      <c r="K20" s="42" t="str">
        <f t="shared" si="8"/>
        <v>0582</v>
      </c>
      <c r="L20" s="89" t="s">
        <v>6</v>
      </c>
      <c r="M20" s="42" t="str">
        <f t="shared" si="9"/>
        <v>582</v>
      </c>
      <c r="O20" s="44" t="s">
        <v>101</v>
      </c>
      <c r="P20" s="44" t="s">
        <v>102</v>
      </c>
      <c r="Q20" s="44" t="s">
        <v>103</v>
      </c>
      <c r="R20" s="44" t="s">
        <v>104</v>
      </c>
      <c r="S20" s="44" t="s">
        <v>105</v>
      </c>
      <c r="T20" s="44" t="s">
        <v>106</v>
      </c>
      <c r="U20" s="44" t="s">
        <v>107</v>
      </c>
      <c r="V20" s="44" t="s">
        <v>109</v>
      </c>
      <c r="W20" s="44" t="s">
        <v>110</v>
      </c>
      <c r="X20" s="44"/>
      <c r="Y20" s="44"/>
      <c r="Z20" s="44" t="s">
        <v>112</v>
      </c>
      <c r="AA20" s="44" t="s">
        <v>113</v>
      </c>
      <c r="AB20" s="44" t="s">
        <v>114</v>
      </c>
      <c r="AC20" s="44" t="s">
        <v>115</v>
      </c>
      <c r="AD20" s="44" t="s">
        <v>117</v>
      </c>
      <c r="AE20" s="44" t="s">
        <v>118</v>
      </c>
      <c r="AF20" s="44" t="s">
        <v>119</v>
      </c>
      <c r="AG20" s="44"/>
      <c r="AH20" s="44"/>
      <c r="AI20" s="44" t="s">
        <v>122</v>
      </c>
      <c r="AJ20" s="44" t="s">
        <v>123</v>
      </c>
      <c r="AK20" s="44" t="s">
        <v>124</v>
      </c>
      <c r="AL20" s="44" t="s">
        <v>125</v>
      </c>
      <c r="AM20" s="44" t="s">
        <v>126</v>
      </c>
      <c r="AN20" s="44"/>
      <c r="AO20" s="44"/>
      <c r="AQ20" s="42" t="str">
        <f t="shared" si="10"/>
        <v>M</v>
      </c>
      <c r="AR20" s="42" t="str">
        <f>IFERROR(IF(INDEX(Estrutura_P01[],MATCH($C20,Estrutura_P01[txtMAKT-MAKTX],0),MATCH(AR$3,Estrutura_P01[#Headers],0))=0,"",INDEX(Estrutura_P01[],MATCH($C20,Estrutura_P01[txtMAKT-MAKTX],0),MATCH(AR$3,Estrutura_P01[#Headers],0))),"")</f>
        <v/>
      </c>
      <c r="AS20" s="44"/>
      <c r="AT20" s="47"/>
      <c r="AU20" s="42" t="str">
        <f>IFERROR(IF(INDEX(Estrutura_P01[],MATCH($C20,Estrutura_P01[txtMAKT-MAKTX],0),MATCH(AU$3,Estrutura_P01[#Headers],0))=0,"",INDEX(Estrutura_P01[],MATCH($C20,Estrutura_P01[txtMAKT-MAKTX],0),MATCH(AU$3,Estrutura_P01[#Headers],0))),"")</f>
        <v/>
      </c>
      <c r="AV20" s="44"/>
      <c r="AW20" s="45" t="str">
        <f t="shared" ca="1" si="11"/>
        <v/>
      </c>
      <c r="AX20" s="46" t="s">
        <v>738</v>
      </c>
      <c r="AY20" s="42" t="str">
        <f>IFERROR(IF(INDEX(Estrutura_P01[],MATCH($C20,Estrutura_P01[txtMAKT-MAKTX],0),MATCH(AY$3,Estrutura_P01[#Headers],0))=0,"",INDEX(Estrutura_P01[],MATCH($C20,Estrutura_P01[txtMAKT-MAKTX],0),MATCH(AY$3,Estrutura_P01[#Headers],0))),"")</f>
        <v/>
      </c>
      <c r="AZ20" s="42" t="str">
        <f t="shared" si="12"/>
        <v/>
      </c>
      <c r="BA20" s="47" t="s">
        <v>299</v>
      </c>
      <c r="BB20" s="47" t="s">
        <v>943</v>
      </c>
      <c r="BC20" s="42" t="str">
        <f>IFERROR(IF(INDEX(Estrutura_P01[],MATCH($C20,Estrutura_P01[txtMAKT-MAKTX],0),MATCH(BC$3,Estrutura_P01[#Headers],0))=0,"",INDEX(Estrutura_P01[],MATCH($C20,Estrutura_P01[txtMAKT-MAKTX],0),MATCH(BC$3,Estrutura_P01[#Headers],0))),"")</f>
        <v/>
      </c>
      <c r="BD20" s="42" t="str">
        <f t="shared" si="13"/>
        <v/>
      </c>
      <c r="BE20" s="42" t="str">
        <f t="shared" si="14"/>
        <v/>
      </c>
      <c r="BF20" s="42" t="str">
        <f t="shared" si="15"/>
        <v/>
      </c>
      <c r="BG20" s="42" t="str">
        <f t="shared" si="16"/>
        <v>M</v>
      </c>
      <c r="BI20" s="43" t="s">
        <v>944</v>
      </c>
      <c r="BJ20" s="43" t="s">
        <v>945</v>
      </c>
      <c r="BK20" s="42" t="str">
        <f>IFERROR(IF(INDEX(Estrutura_P01[],MATCH($C20,Estrutura_P01[txtMAKT-MAKTX],0),MATCH(BK$3,Estrutura_P01[#Headers],0))=0,"",INDEX(Estrutura_P01[],MATCH($C20,Estrutura_P01[txtMAKT-MAKTX],0),MATCH(BK$3,Estrutura_P01[#Headers],0))),"")</f>
        <v/>
      </c>
      <c r="BL20" s="42" t="str">
        <f>IFERROR(IF(INDEX(Estrutura_P01[],MATCH($C20,Estrutura_P01[txtMAKT-MAKTX],0),MATCH(BL18,Estrutura_P01[#Headers],0))=0,"",INDEX(Estrutura_P01[],MATCH($C20,Estrutura_P01[txtMAKT-MAKTX],0),MATCH(BL18,Estrutura_P01[#Headers],0))),"")</f>
        <v/>
      </c>
      <c r="BM20" s="42" t="str">
        <f>IFERROR(IF(INDEX(Estrutura_P01[],MATCH($C20,Estrutura_P01[txtMAKT-MAKTX],0),MATCH(BM18,Estrutura_P01[#Headers],0))=0,"",INDEX(Estrutura_P01[],MATCH($C20,Estrutura_P01[txtMAKT-MAKTX],0),MATCH(BM18,Estrutura_P01[#Headers],0))),"")</f>
        <v/>
      </c>
      <c r="BN20" s="42" t="str">
        <f>IFERROR(IF(INDEX(Estrutura_P01[],MATCH($C20,Estrutura_P01[txtMAKT-MAKTX],0),MATCH(BN18,Estrutura_P01[#Headers],0))=0,"",INDEX(Estrutura_P01[],MATCH($C20,Estrutura_P01[txtMAKT-MAKTX],0),MATCH(BN18,Estrutura_P01[#Headers],0))),"")</f>
        <v/>
      </c>
      <c r="BO20" s="42" t="str">
        <f>IFERROR(IF(INDEX(Estrutura_P01[],MATCH($C20,Estrutura_P01[txtMAKT-MAKTX],0),MATCH(BO18,Estrutura_P01[#Headers],0))=0,"",INDEX(Estrutura_P01[],MATCH($C20,Estrutura_P01[txtMAKT-MAKTX],0),MATCH(BO18,Estrutura_P01[#Headers],0))),"")</f>
        <v/>
      </c>
      <c r="BP20" s="42" t="str">
        <f>IFERROR(IF(OR(INDEX(Estrutura_P01[],MATCH($C20,Estrutura_P01[txtMAKT-MAKTX],0),MATCH(BP$3,Estrutura_P01[#Headers],0))=0,INDEX(Estrutura_P01[],MATCH($C20,Estrutura_P01[txtMAKT-MAKTX],0),MATCH(BP$3,Estrutura_P01[#Headers],0))=AQ20),"",INDEX(Estrutura_P01[],MATCH($C20,Estrutura_P01[txtMAKT-MAKTX],0),MATCH(BP$3,Estrutura_P01[#Headers],0))),"")</f>
        <v/>
      </c>
      <c r="BQ20" s="44">
        <v>99</v>
      </c>
      <c r="BR20" s="45" t="str">
        <f t="shared" ca="1" si="17"/>
        <v>24.05.2022</v>
      </c>
      <c r="BS20" s="48" t="str">
        <f t="shared" si="18"/>
        <v>0582</v>
      </c>
      <c r="BT20" s="49">
        <v>1</v>
      </c>
      <c r="BU20" s="49" t="s">
        <v>194</v>
      </c>
      <c r="BV20" s="102" t="str">
        <f t="shared" si="19"/>
        <v>01</v>
      </c>
      <c r="BW20" s="49" t="s">
        <v>738</v>
      </c>
      <c r="BX20" s="43">
        <v>1</v>
      </c>
      <c r="BY20" s="43" t="s">
        <v>366</v>
      </c>
      <c r="BZ20" s="49" t="s">
        <v>197</v>
      </c>
      <c r="CA20" s="49" t="s">
        <v>197</v>
      </c>
      <c r="CB20" s="47" t="s">
        <v>942</v>
      </c>
      <c r="CC20" s="43" t="s">
        <v>382</v>
      </c>
      <c r="CD20" s="49">
        <v>0</v>
      </c>
      <c r="CE20" s="44" t="s">
        <v>394</v>
      </c>
      <c r="CF20" s="44" t="s">
        <v>34</v>
      </c>
      <c r="CG20" s="42" t="str">
        <f t="shared" si="20"/>
        <v>582</v>
      </c>
      <c r="CH20" s="44" t="s">
        <v>420</v>
      </c>
      <c r="CI20" s="43">
        <v>0</v>
      </c>
      <c r="CJ20" s="42" t="str">
        <f t="shared" si="21"/>
        <v>E</v>
      </c>
      <c r="CK20" s="102" t="str">
        <f t="shared" si="22"/>
        <v/>
      </c>
      <c r="CL20" s="47">
        <v>1</v>
      </c>
      <c r="CM20" s="47">
        <v>1</v>
      </c>
      <c r="CN20" s="43"/>
      <c r="CO20" s="48" t="str">
        <f t="shared" si="23"/>
        <v>0330</v>
      </c>
      <c r="CP20" s="48" t="str">
        <f t="shared" si="24"/>
        <v>0330</v>
      </c>
      <c r="CQ20" s="42" t="str">
        <f t="shared" si="25"/>
        <v/>
      </c>
      <c r="CR20" s="43">
        <v>1</v>
      </c>
      <c r="CS20" s="49" t="s">
        <v>505</v>
      </c>
      <c r="CT20" s="43" t="s">
        <v>36</v>
      </c>
      <c r="CU20" s="43">
        <v>2</v>
      </c>
      <c r="CV20" s="43">
        <v>42</v>
      </c>
      <c r="CW20" s="43">
        <v>10</v>
      </c>
      <c r="CX20" s="42">
        <f t="shared" si="26"/>
        <v>1</v>
      </c>
      <c r="CY20" s="42" t="str">
        <f>IFERROR(IF(INDEX(Estrutura_P01[],MATCH($C20,Estrutura_P01[txtMAKT-MAKTX],0),MATCH(CY$3,Estrutura_P01[#Headers],0))=0,"",IF(INDEX(Estrutura_P01[],MATCH($C20,Estrutura_P01[txtMAKT-MAKTX],0),MATCH(CY$3,Estrutura_P01[#Headers],0))="Industrializado","SUB_0582","")),"")</f>
        <v/>
      </c>
      <c r="CZ20" s="42" t="str">
        <f t="shared" ca="1" si="27"/>
        <v>24.05.2022</v>
      </c>
      <c r="DA20" s="42" t="str">
        <f t="shared" si="28"/>
        <v>31.12.9999</v>
      </c>
      <c r="DC20" s="43">
        <v>1</v>
      </c>
      <c r="DD20" s="43" t="s">
        <v>946</v>
      </c>
      <c r="DE20" s="43">
        <v>30</v>
      </c>
      <c r="DF20" s="43">
        <v>1</v>
      </c>
      <c r="DG20" s="42">
        <f t="shared" si="0"/>
        <v>0.01</v>
      </c>
      <c r="DH20" s="42" t="str">
        <f t="shared" si="1"/>
        <v>M</v>
      </c>
      <c r="DI20" s="42" t="str">
        <f t="shared" si="2"/>
        <v/>
      </c>
      <c r="DJ20" s="43">
        <v>1000</v>
      </c>
      <c r="DK20" s="69">
        <f t="shared" si="3"/>
        <v>1</v>
      </c>
      <c r="DL20" s="42">
        <f t="shared" si="29"/>
        <v>1000</v>
      </c>
      <c r="DM20" s="43">
        <v>1</v>
      </c>
      <c r="DN20" s="43">
        <v>0</v>
      </c>
      <c r="DO20" s="43" t="s">
        <v>759</v>
      </c>
      <c r="DP20" s="44">
        <v>0</v>
      </c>
      <c r="DQ20" s="43">
        <v>1000</v>
      </c>
      <c r="DR20" s="94" t="str">
        <f>IFERROR(IF(INDEX(Estrutura_P01[],MATCH($C20,Estrutura_P01[txtMAKT-MAKTX],0),MATCH(DR$3,Estrutura_P01[#Headers],0))=0,"",INDEX(Estrutura_P01[],MATCH($C20,Estrutura_P01[txtMAKT-MAKTX],0),MATCH(DR$3,Estrutura_P01[#Headers],0)))*DQ20,"")</f>
        <v/>
      </c>
      <c r="DS20" s="42" t="str">
        <f t="shared" ca="1" si="30"/>
        <v/>
      </c>
      <c r="DT20" s="58" t="s">
        <v>983</v>
      </c>
    </row>
    <row r="21" spans="1:124" x14ac:dyDescent="0.2">
      <c r="A21" s="7" t="str">
        <f t="shared" si="4"/>
        <v>Execução 17</v>
      </c>
      <c r="B21" s="76"/>
      <c r="C21" s="82"/>
      <c r="D21" s="69" t="str">
        <f t="shared" si="5"/>
        <v>0582</v>
      </c>
      <c r="E21" s="69" t="str">
        <f t="shared" si="6"/>
        <v/>
      </c>
      <c r="F21" s="42" t="str">
        <f>IFERROR(IF(INDEX(Estrutura_P01[],MATCH($C21,Estrutura_P01[txtMAKT-MAKTX],0),MATCH(F$3,Estrutura_P01[#Headers],0))=0,"",INDEX(Estrutura_P01[],MATCH($C21,Estrutura_P01[txtMAKT-MAKTX],0),MATCH(F$3,Estrutura_P01[#Headers],0))),"")</f>
        <v/>
      </c>
      <c r="G21" s="42" t="str">
        <f t="shared" si="7"/>
        <v/>
      </c>
      <c r="H21" s="43" t="s">
        <v>100</v>
      </c>
      <c r="I21" s="89" t="s">
        <v>9</v>
      </c>
      <c r="J21" s="89" t="s">
        <v>18</v>
      </c>
      <c r="K21" s="42" t="str">
        <f t="shared" si="8"/>
        <v>0582</v>
      </c>
      <c r="L21" s="89" t="s">
        <v>6</v>
      </c>
      <c r="M21" s="42" t="str">
        <f t="shared" si="9"/>
        <v>582</v>
      </c>
      <c r="O21" s="44" t="s">
        <v>101</v>
      </c>
      <c r="P21" s="44" t="s">
        <v>102</v>
      </c>
      <c r="Q21" s="44" t="s">
        <v>103</v>
      </c>
      <c r="R21" s="44" t="s">
        <v>104</v>
      </c>
      <c r="S21" s="44" t="s">
        <v>105</v>
      </c>
      <c r="T21" s="44" t="s">
        <v>106</v>
      </c>
      <c r="U21" s="44" t="s">
        <v>107</v>
      </c>
      <c r="V21" s="44" t="s">
        <v>109</v>
      </c>
      <c r="W21" s="44" t="s">
        <v>110</v>
      </c>
      <c r="X21" s="44"/>
      <c r="Y21" s="44"/>
      <c r="Z21" s="44" t="s">
        <v>112</v>
      </c>
      <c r="AA21" s="44" t="s">
        <v>113</v>
      </c>
      <c r="AB21" s="44" t="s">
        <v>114</v>
      </c>
      <c r="AC21" s="44" t="s">
        <v>115</v>
      </c>
      <c r="AD21" s="44" t="s">
        <v>117</v>
      </c>
      <c r="AE21" s="44" t="s">
        <v>118</v>
      </c>
      <c r="AF21" s="44" t="s">
        <v>119</v>
      </c>
      <c r="AG21" s="44"/>
      <c r="AH21" s="44"/>
      <c r="AI21" s="44" t="s">
        <v>122</v>
      </c>
      <c r="AJ21" s="44" t="s">
        <v>123</v>
      </c>
      <c r="AK21" s="44" t="s">
        <v>124</v>
      </c>
      <c r="AL21" s="44" t="s">
        <v>125</v>
      </c>
      <c r="AM21" s="44" t="s">
        <v>126</v>
      </c>
      <c r="AN21" s="44"/>
      <c r="AO21" s="44"/>
      <c r="AQ21" s="42" t="str">
        <f t="shared" si="10"/>
        <v>M</v>
      </c>
      <c r="AR21" s="42" t="str">
        <f>IFERROR(IF(INDEX(Estrutura_P01[],MATCH($C21,Estrutura_P01[txtMAKT-MAKTX],0),MATCH(AR$3,Estrutura_P01[#Headers],0))=0,"",INDEX(Estrutura_P01[],MATCH($C21,Estrutura_P01[txtMAKT-MAKTX],0),MATCH(AR$3,Estrutura_P01[#Headers],0))),"")</f>
        <v/>
      </c>
      <c r="AS21" s="44"/>
      <c r="AT21" s="47"/>
      <c r="AU21" s="42" t="str">
        <f>IFERROR(IF(INDEX(Estrutura_P01[],MATCH($C21,Estrutura_P01[txtMAKT-MAKTX],0),MATCH(AU$3,Estrutura_P01[#Headers],0))=0,"",INDEX(Estrutura_P01[],MATCH($C21,Estrutura_P01[txtMAKT-MAKTX],0),MATCH(AU$3,Estrutura_P01[#Headers],0))),"")</f>
        <v/>
      </c>
      <c r="AV21" s="44"/>
      <c r="AW21" s="45" t="str">
        <f t="shared" ca="1" si="11"/>
        <v/>
      </c>
      <c r="AX21" s="46" t="s">
        <v>738</v>
      </c>
      <c r="AY21" s="42" t="str">
        <f>IFERROR(IF(INDEX(Estrutura_P01[],MATCH($C21,Estrutura_P01[txtMAKT-MAKTX],0),MATCH(AY$3,Estrutura_P01[#Headers],0))=0,"",INDEX(Estrutura_P01[],MATCH($C21,Estrutura_P01[txtMAKT-MAKTX],0),MATCH(AY$3,Estrutura_P01[#Headers],0))),"")</f>
        <v/>
      </c>
      <c r="AZ21" s="42" t="str">
        <f t="shared" si="12"/>
        <v/>
      </c>
      <c r="BA21" s="47" t="s">
        <v>299</v>
      </c>
      <c r="BB21" s="47" t="s">
        <v>943</v>
      </c>
      <c r="BC21" s="42" t="str">
        <f>IFERROR(IF(INDEX(Estrutura_P01[],MATCH($C21,Estrutura_P01[txtMAKT-MAKTX],0),MATCH(BC$3,Estrutura_P01[#Headers],0))=0,"",INDEX(Estrutura_P01[],MATCH($C21,Estrutura_P01[txtMAKT-MAKTX],0),MATCH(BC$3,Estrutura_P01[#Headers],0))),"")</f>
        <v/>
      </c>
      <c r="BD21" s="42" t="str">
        <f t="shared" si="13"/>
        <v/>
      </c>
      <c r="BE21" s="42" t="str">
        <f t="shared" si="14"/>
        <v/>
      </c>
      <c r="BF21" s="42" t="str">
        <f t="shared" si="15"/>
        <v/>
      </c>
      <c r="BG21" s="42" t="str">
        <f t="shared" si="16"/>
        <v>M</v>
      </c>
      <c r="BI21" s="43" t="s">
        <v>944</v>
      </c>
      <c r="BJ21" s="43" t="s">
        <v>945</v>
      </c>
      <c r="BK21" s="42" t="str">
        <f>IFERROR(IF(INDEX(Estrutura_P01[],MATCH($C21,Estrutura_P01[txtMAKT-MAKTX],0),MATCH(BK$3,Estrutura_P01[#Headers],0))=0,"",INDEX(Estrutura_P01[],MATCH($C21,Estrutura_P01[txtMAKT-MAKTX],0),MATCH(BK$3,Estrutura_P01[#Headers],0))),"")</f>
        <v/>
      </c>
      <c r="BL21" s="42" t="str">
        <f>IFERROR(IF(INDEX(Estrutura_P01[],MATCH($C21,Estrutura_P01[txtMAKT-MAKTX],0),MATCH(BL19,Estrutura_P01[#Headers],0))=0,"",INDEX(Estrutura_P01[],MATCH($C21,Estrutura_P01[txtMAKT-MAKTX],0),MATCH(BL19,Estrutura_P01[#Headers],0))),"")</f>
        <v/>
      </c>
      <c r="BM21" s="42" t="str">
        <f>IFERROR(IF(INDEX(Estrutura_P01[],MATCH($C21,Estrutura_P01[txtMAKT-MAKTX],0),MATCH(BM19,Estrutura_P01[#Headers],0))=0,"",INDEX(Estrutura_P01[],MATCH($C21,Estrutura_P01[txtMAKT-MAKTX],0),MATCH(BM19,Estrutura_P01[#Headers],0))),"")</f>
        <v/>
      </c>
      <c r="BN21" s="42" t="str">
        <f>IFERROR(IF(INDEX(Estrutura_P01[],MATCH($C21,Estrutura_P01[txtMAKT-MAKTX],0),MATCH(BN19,Estrutura_P01[#Headers],0))=0,"",INDEX(Estrutura_P01[],MATCH($C21,Estrutura_P01[txtMAKT-MAKTX],0),MATCH(BN19,Estrutura_P01[#Headers],0))),"")</f>
        <v/>
      </c>
      <c r="BO21" s="42" t="str">
        <f>IFERROR(IF(INDEX(Estrutura_P01[],MATCH($C21,Estrutura_P01[txtMAKT-MAKTX],0),MATCH(BO19,Estrutura_P01[#Headers],0))=0,"",INDEX(Estrutura_P01[],MATCH($C21,Estrutura_P01[txtMAKT-MAKTX],0),MATCH(BO19,Estrutura_P01[#Headers],0))),"")</f>
        <v/>
      </c>
      <c r="BP21" s="42" t="str">
        <f>IFERROR(IF(OR(INDEX(Estrutura_P01[],MATCH($C21,Estrutura_P01[txtMAKT-MAKTX],0),MATCH(BP$3,Estrutura_P01[#Headers],0))=0,INDEX(Estrutura_P01[],MATCH($C21,Estrutura_P01[txtMAKT-MAKTX],0),MATCH(BP$3,Estrutura_P01[#Headers],0))=AQ21),"",INDEX(Estrutura_P01[],MATCH($C21,Estrutura_P01[txtMAKT-MAKTX],0),MATCH(BP$3,Estrutura_P01[#Headers],0))),"")</f>
        <v/>
      </c>
      <c r="BQ21" s="44">
        <v>99</v>
      </c>
      <c r="BR21" s="45" t="str">
        <f t="shared" ca="1" si="17"/>
        <v>24.05.2022</v>
      </c>
      <c r="BS21" s="48" t="str">
        <f t="shared" si="18"/>
        <v>0582</v>
      </c>
      <c r="BT21" s="49">
        <v>1</v>
      </c>
      <c r="BU21" s="49" t="s">
        <v>194</v>
      </c>
      <c r="BV21" s="102" t="str">
        <f t="shared" si="19"/>
        <v>01</v>
      </c>
      <c r="BW21" s="49" t="s">
        <v>738</v>
      </c>
      <c r="BX21" s="43">
        <v>1</v>
      </c>
      <c r="BY21" s="43" t="s">
        <v>366</v>
      </c>
      <c r="BZ21" s="49" t="s">
        <v>197</v>
      </c>
      <c r="CA21" s="49" t="s">
        <v>197</v>
      </c>
      <c r="CB21" s="47" t="s">
        <v>942</v>
      </c>
      <c r="CC21" s="43" t="s">
        <v>382</v>
      </c>
      <c r="CD21" s="49">
        <v>0</v>
      </c>
      <c r="CE21" s="44" t="s">
        <v>394</v>
      </c>
      <c r="CF21" s="44" t="s">
        <v>34</v>
      </c>
      <c r="CG21" s="42" t="str">
        <f t="shared" si="20"/>
        <v>582</v>
      </c>
      <c r="CH21" s="44" t="s">
        <v>420</v>
      </c>
      <c r="CI21" s="43">
        <v>0</v>
      </c>
      <c r="CJ21" s="42" t="str">
        <f t="shared" si="21"/>
        <v>E</v>
      </c>
      <c r="CK21" s="102" t="str">
        <f t="shared" si="22"/>
        <v/>
      </c>
      <c r="CL21" s="47">
        <v>1</v>
      </c>
      <c r="CM21" s="47">
        <v>1</v>
      </c>
      <c r="CN21" s="43"/>
      <c r="CO21" s="48" t="str">
        <f t="shared" si="23"/>
        <v>0330</v>
      </c>
      <c r="CP21" s="48" t="str">
        <f t="shared" si="24"/>
        <v>0330</v>
      </c>
      <c r="CQ21" s="42" t="str">
        <f t="shared" si="25"/>
        <v/>
      </c>
      <c r="CR21" s="43">
        <v>1</v>
      </c>
      <c r="CS21" s="49" t="s">
        <v>505</v>
      </c>
      <c r="CT21" s="43" t="s">
        <v>36</v>
      </c>
      <c r="CU21" s="43">
        <v>2</v>
      </c>
      <c r="CV21" s="43">
        <v>42</v>
      </c>
      <c r="CW21" s="43">
        <v>10</v>
      </c>
      <c r="CX21" s="42">
        <f t="shared" si="26"/>
        <v>1</v>
      </c>
      <c r="CY21" s="42" t="str">
        <f>IFERROR(IF(INDEX(Estrutura_P01[],MATCH($C21,Estrutura_P01[txtMAKT-MAKTX],0),MATCH(CY$3,Estrutura_P01[#Headers],0))=0,"",IF(INDEX(Estrutura_P01[],MATCH($C21,Estrutura_P01[txtMAKT-MAKTX],0),MATCH(CY$3,Estrutura_P01[#Headers],0))="Industrializado","SUB_0582","")),"")</f>
        <v/>
      </c>
      <c r="CZ21" s="42" t="str">
        <f t="shared" ca="1" si="27"/>
        <v>24.05.2022</v>
      </c>
      <c r="DA21" s="42" t="str">
        <f t="shared" si="28"/>
        <v>31.12.9999</v>
      </c>
      <c r="DC21" s="43">
        <v>1</v>
      </c>
      <c r="DD21" s="43" t="s">
        <v>946</v>
      </c>
      <c r="DE21" s="43">
        <v>30</v>
      </c>
      <c r="DF21" s="43">
        <v>1</v>
      </c>
      <c r="DG21" s="42">
        <f t="shared" si="0"/>
        <v>0.01</v>
      </c>
      <c r="DH21" s="42" t="str">
        <f t="shared" si="1"/>
        <v>M</v>
      </c>
      <c r="DI21" s="42" t="str">
        <f t="shared" si="2"/>
        <v/>
      </c>
      <c r="DJ21" s="43">
        <v>1000</v>
      </c>
      <c r="DK21" s="69">
        <f t="shared" si="3"/>
        <v>1</v>
      </c>
      <c r="DL21" s="42">
        <f t="shared" si="29"/>
        <v>1000</v>
      </c>
      <c r="DM21" s="43">
        <v>1</v>
      </c>
      <c r="DN21" s="43">
        <v>0</v>
      </c>
      <c r="DO21" s="43" t="s">
        <v>759</v>
      </c>
      <c r="DP21" s="44">
        <v>0</v>
      </c>
      <c r="DQ21" s="43">
        <v>1000</v>
      </c>
      <c r="DR21" s="94" t="str">
        <f>IFERROR(IF(INDEX(Estrutura_P01[],MATCH($C21,Estrutura_P01[txtMAKT-MAKTX],0),MATCH(DR$3,Estrutura_P01[#Headers],0))=0,"",INDEX(Estrutura_P01[],MATCH($C21,Estrutura_P01[txtMAKT-MAKTX],0),MATCH(DR$3,Estrutura_P01[#Headers],0)))*DQ21,"")</f>
        <v/>
      </c>
      <c r="DS21" s="42" t="str">
        <f t="shared" ca="1" si="30"/>
        <v/>
      </c>
      <c r="DT21" s="58" t="s">
        <v>983</v>
      </c>
    </row>
    <row r="22" spans="1:124" x14ac:dyDescent="0.2">
      <c r="A22" s="7" t="str">
        <f t="shared" si="4"/>
        <v>Execução 18</v>
      </c>
      <c r="B22" s="76"/>
      <c r="C22" s="82"/>
      <c r="D22" s="69" t="str">
        <f t="shared" si="5"/>
        <v>0582</v>
      </c>
      <c r="E22" s="69" t="str">
        <f t="shared" si="6"/>
        <v/>
      </c>
      <c r="F22" s="42" t="str">
        <f>IFERROR(IF(INDEX(Estrutura_P01[],MATCH($C22,Estrutura_P01[txtMAKT-MAKTX],0),MATCH(F$3,Estrutura_P01[#Headers],0))=0,"",INDEX(Estrutura_P01[],MATCH($C22,Estrutura_P01[txtMAKT-MAKTX],0),MATCH(F$3,Estrutura_P01[#Headers],0))),"")</f>
        <v/>
      </c>
      <c r="G22" s="42" t="str">
        <f t="shared" si="7"/>
        <v/>
      </c>
      <c r="H22" s="43" t="s">
        <v>100</v>
      </c>
      <c r="I22" s="89" t="s">
        <v>9</v>
      </c>
      <c r="J22" s="89" t="s">
        <v>18</v>
      </c>
      <c r="K22" s="42" t="str">
        <f t="shared" si="8"/>
        <v>0582</v>
      </c>
      <c r="L22" s="89" t="s">
        <v>6</v>
      </c>
      <c r="M22" s="42" t="str">
        <f t="shared" si="9"/>
        <v>582</v>
      </c>
      <c r="O22" s="44" t="s">
        <v>101</v>
      </c>
      <c r="P22" s="44" t="s">
        <v>102</v>
      </c>
      <c r="Q22" s="44" t="s">
        <v>103</v>
      </c>
      <c r="R22" s="44" t="s">
        <v>104</v>
      </c>
      <c r="S22" s="44" t="s">
        <v>105</v>
      </c>
      <c r="T22" s="44" t="s">
        <v>106</v>
      </c>
      <c r="U22" s="44" t="s">
        <v>107</v>
      </c>
      <c r="V22" s="44" t="s">
        <v>109</v>
      </c>
      <c r="W22" s="44" t="s">
        <v>110</v>
      </c>
      <c r="X22" s="44"/>
      <c r="Y22" s="44"/>
      <c r="Z22" s="44" t="s">
        <v>112</v>
      </c>
      <c r="AA22" s="44" t="s">
        <v>113</v>
      </c>
      <c r="AB22" s="44" t="s">
        <v>114</v>
      </c>
      <c r="AC22" s="44" t="s">
        <v>115</v>
      </c>
      <c r="AD22" s="44" t="s">
        <v>117</v>
      </c>
      <c r="AE22" s="44" t="s">
        <v>118</v>
      </c>
      <c r="AF22" s="44" t="s">
        <v>119</v>
      </c>
      <c r="AG22" s="44"/>
      <c r="AH22" s="44"/>
      <c r="AI22" s="44" t="s">
        <v>122</v>
      </c>
      <c r="AJ22" s="44" t="s">
        <v>123</v>
      </c>
      <c r="AK22" s="44" t="s">
        <v>124</v>
      </c>
      <c r="AL22" s="44" t="s">
        <v>125</v>
      </c>
      <c r="AM22" s="44" t="s">
        <v>126</v>
      </c>
      <c r="AN22" s="44"/>
      <c r="AO22" s="44"/>
      <c r="AQ22" s="42" t="str">
        <f t="shared" si="10"/>
        <v>M</v>
      </c>
      <c r="AR22" s="42" t="str">
        <f>IFERROR(IF(INDEX(Estrutura_P01[],MATCH($C22,Estrutura_P01[txtMAKT-MAKTX],0),MATCH(AR$3,Estrutura_P01[#Headers],0))=0,"",INDEX(Estrutura_P01[],MATCH($C22,Estrutura_P01[txtMAKT-MAKTX],0),MATCH(AR$3,Estrutura_P01[#Headers],0))),"")</f>
        <v/>
      </c>
      <c r="AS22" s="44"/>
      <c r="AT22" s="47"/>
      <c r="AU22" s="42" t="str">
        <f>IFERROR(IF(INDEX(Estrutura_P01[],MATCH($C22,Estrutura_P01[txtMAKT-MAKTX],0),MATCH(AU$3,Estrutura_P01[#Headers],0))=0,"",INDEX(Estrutura_P01[],MATCH($C22,Estrutura_P01[txtMAKT-MAKTX],0),MATCH(AU$3,Estrutura_P01[#Headers],0))),"")</f>
        <v/>
      </c>
      <c r="AV22" s="44"/>
      <c r="AW22" s="45" t="str">
        <f t="shared" ca="1" si="11"/>
        <v/>
      </c>
      <c r="AX22" s="46" t="s">
        <v>738</v>
      </c>
      <c r="AY22" s="42" t="str">
        <f>IFERROR(IF(INDEX(Estrutura_P01[],MATCH($C22,Estrutura_P01[txtMAKT-MAKTX],0),MATCH(AY$3,Estrutura_P01[#Headers],0))=0,"",INDEX(Estrutura_P01[],MATCH($C22,Estrutura_P01[txtMAKT-MAKTX],0),MATCH(AY$3,Estrutura_P01[#Headers],0))),"")</f>
        <v/>
      </c>
      <c r="AZ22" s="42" t="str">
        <f t="shared" si="12"/>
        <v/>
      </c>
      <c r="BA22" s="47" t="s">
        <v>299</v>
      </c>
      <c r="BB22" s="47" t="s">
        <v>943</v>
      </c>
      <c r="BC22" s="42" t="str">
        <f>IFERROR(IF(INDEX(Estrutura_P01[],MATCH($C22,Estrutura_P01[txtMAKT-MAKTX],0),MATCH(BC$3,Estrutura_P01[#Headers],0))=0,"",INDEX(Estrutura_P01[],MATCH($C22,Estrutura_P01[txtMAKT-MAKTX],0),MATCH(BC$3,Estrutura_P01[#Headers],0))),"")</f>
        <v/>
      </c>
      <c r="BD22" s="42" t="str">
        <f t="shared" si="13"/>
        <v/>
      </c>
      <c r="BE22" s="42" t="str">
        <f t="shared" si="14"/>
        <v/>
      </c>
      <c r="BF22" s="42" t="str">
        <f t="shared" si="15"/>
        <v/>
      </c>
      <c r="BG22" s="42" t="str">
        <f t="shared" si="16"/>
        <v>M</v>
      </c>
      <c r="BI22" s="43" t="s">
        <v>944</v>
      </c>
      <c r="BJ22" s="43" t="s">
        <v>945</v>
      </c>
      <c r="BK22" s="42" t="str">
        <f>IFERROR(IF(INDEX(Estrutura_P01[],MATCH($C22,Estrutura_P01[txtMAKT-MAKTX],0),MATCH(BK$3,Estrutura_P01[#Headers],0))=0,"",INDEX(Estrutura_P01[],MATCH($C22,Estrutura_P01[txtMAKT-MAKTX],0),MATCH(BK$3,Estrutura_P01[#Headers],0))),"")</f>
        <v/>
      </c>
      <c r="BL22" s="42" t="str">
        <f>IFERROR(IF(INDEX(Estrutura_P01[],MATCH($C22,Estrutura_P01[txtMAKT-MAKTX],0),MATCH(BL20,Estrutura_P01[#Headers],0))=0,"",INDEX(Estrutura_P01[],MATCH($C22,Estrutura_P01[txtMAKT-MAKTX],0),MATCH(BL20,Estrutura_P01[#Headers],0))),"")</f>
        <v/>
      </c>
      <c r="BM22" s="42" t="str">
        <f>IFERROR(IF(INDEX(Estrutura_P01[],MATCH($C22,Estrutura_P01[txtMAKT-MAKTX],0),MATCH(BM20,Estrutura_P01[#Headers],0))=0,"",INDEX(Estrutura_P01[],MATCH($C22,Estrutura_P01[txtMAKT-MAKTX],0),MATCH(BM20,Estrutura_P01[#Headers],0))),"")</f>
        <v/>
      </c>
      <c r="BN22" s="42" t="str">
        <f>IFERROR(IF(INDEX(Estrutura_P01[],MATCH($C22,Estrutura_P01[txtMAKT-MAKTX],0),MATCH(BN20,Estrutura_P01[#Headers],0))=0,"",INDEX(Estrutura_P01[],MATCH($C22,Estrutura_P01[txtMAKT-MAKTX],0),MATCH(BN20,Estrutura_P01[#Headers],0))),"")</f>
        <v/>
      </c>
      <c r="BO22" s="42" t="str">
        <f>IFERROR(IF(INDEX(Estrutura_P01[],MATCH($C22,Estrutura_P01[txtMAKT-MAKTX],0),MATCH(BO20,Estrutura_P01[#Headers],0))=0,"",INDEX(Estrutura_P01[],MATCH($C22,Estrutura_P01[txtMAKT-MAKTX],0),MATCH(BO20,Estrutura_P01[#Headers],0))),"")</f>
        <v/>
      </c>
      <c r="BP22" s="42" t="str">
        <f>IFERROR(IF(OR(INDEX(Estrutura_P01[],MATCH($C22,Estrutura_P01[txtMAKT-MAKTX],0),MATCH(BP$3,Estrutura_P01[#Headers],0))=0,INDEX(Estrutura_P01[],MATCH($C22,Estrutura_P01[txtMAKT-MAKTX],0),MATCH(BP$3,Estrutura_P01[#Headers],0))=AQ22),"",INDEX(Estrutura_P01[],MATCH($C22,Estrutura_P01[txtMAKT-MAKTX],0),MATCH(BP$3,Estrutura_P01[#Headers],0))),"")</f>
        <v/>
      </c>
      <c r="BQ22" s="44">
        <v>99</v>
      </c>
      <c r="BR22" s="45" t="str">
        <f t="shared" ca="1" si="17"/>
        <v>24.05.2022</v>
      </c>
      <c r="BS22" s="48" t="str">
        <f t="shared" si="18"/>
        <v>0582</v>
      </c>
      <c r="BT22" s="49">
        <v>1</v>
      </c>
      <c r="BU22" s="49" t="s">
        <v>194</v>
      </c>
      <c r="BV22" s="102" t="str">
        <f t="shared" si="19"/>
        <v>01</v>
      </c>
      <c r="BW22" s="49" t="s">
        <v>738</v>
      </c>
      <c r="BX22" s="43">
        <v>1</v>
      </c>
      <c r="BY22" s="43" t="s">
        <v>366</v>
      </c>
      <c r="BZ22" s="49" t="s">
        <v>197</v>
      </c>
      <c r="CA22" s="49" t="s">
        <v>197</v>
      </c>
      <c r="CB22" s="47" t="s">
        <v>942</v>
      </c>
      <c r="CC22" s="43" t="s">
        <v>382</v>
      </c>
      <c r="CD22" s="49">
        <v>0</v>
      </c>
      <c r="CE22" s="44" t="s">
        <v>394</v>
      </c>
      <c r="CF22" s="44" t="s">
        <v>34</v>
      </c>
      <c r="CG22" s="42" t="str">
        <f t="shared" si="20"/>
        <v>582</v>
      </c>
      <c r="CH22" s="44" t="s">
        <v>420</v>
      </c>
      <c r="CI22" s="43">
        <v>0</v>
      </c>
      <c r="CJ22" s="42" t="str">
        <f t="shared" si="21"/>
        <v>E</v>
      </c>
      <c r="CK22" s="102" t="str">
        <f t="shared" si="22"/>
        <v/>
      </c>
      <c r="CL22" s="47">
        <v>1</v>
      </c>
      <c r="CM22" s="47">
        <v>1</v>
      </c>
      <c r="CN22" s="43"/>
      <c r="CO22" s="48" t="str">
        <f t="shared" si="23"/>
        <v>0330</v>
      </c>
      <c r="CP22" s="48" t="str">
        <f t="shared" si="24"/>
        <v>0330</v>
      </c>
      <c r="CQ22" s="42" t="str">
        <f t="shared" si="25"/>
        <v/>
      </c>
      <c r="CR22" s="43">
        <v>1</v>
      </c>
      <c r="CS22" s="49" t="s">
        <v>505</v>
      </c>
      <c r="CT22" s="43" t="s">
        <v>36</v>
      </c>
      <c r="CU22" s="43">
        <v>2</v>
      </c>
      <c r="CV22" s="43">
        <v>42</v>
      </c>
      <c r="CW22" s="43">
        <v>10</v>
      </c>
      <c r="CX22" s="42">
        <f t="shared" si="26"/>
        <v>1</v>
      </c>
      <c r="CY22" s="42" t="str">
        <f>IFERROR(IF(INDEX(Estrutura_P01[],MATCH($C22,Estrutura_P01[txtMAKT-MAKTX],0),MATCH(CY$3,Estrutura_P01[#Headers],0))=0,"",IF(INDEX(Estrutura_P01[],MATCH($C22,Estrutura_P01[txtMAKT-MAKTX],0),MATCH(CY$3,Estrutura_P01[#Headers],0))="Industrializado","SUB_0582","")),"")</f>
        <v/>
      </c>
      <c r="CZ22" s="42" t="str">
        <f t="shared" ca="1" si="27"/>
        <v>24.05.2022</v>
      </c>
      <c r="DA22" s="42" t="str">
        <f t="shared" si="28"/>
        <v>31.12.9999</v>
      </c>
      <c r="DC22" s="43">
        <v>1</v>
      </c>
      <c r="DD22" s="43" t="s">
        <v>946</v>
      </c>
      <c r="DE22" s="43">
        <v>30</v>
      </c>
      <c r="DF22" s="43">
        <v>1</v>
      </c>
      <c r="DG22" s="42">
        <f t="shared" si="0"/>
        <v>0.01</v>
      </c>
      <c r="DH22" s="42" t="str">
        <f t="shared" si="1"/>
        <v>M</v>
      </c>
      <c r="DI22" s="42" t="str">
        <f t="shared" si="2"/>
        <v/>
      </c>
      <c r="DJ22" s="43">
        <v>1000</v>
      </c>
      <c r="DK22" s="69">
        <f t="shared" si="3"/>
        <v>1</v>
      </c>
      <c r="DL22" s="42">
        <f t="shared" si="29"/>
        <v>1000</v>
      </c>
      <c r="DM22" s="43">
        <v>1</v>
      </c>
      <c r="DN22" s="43">
        <v>0</v>
      </c>
      <c r="DO22" s="43" t="s">
        <v>759</v>
      </c>
      <c r="DP22" s="44">
        <v>0</v>
      </c>
      <c r="DQ22" s="43">
        <v>1000</v>
      </c>
      <c r="DR22" s="94" t="str">
        <f>IFERROR(IF(INDEX(Estrutura_P01[],MATCH($C22,Estrutura_P01[txtMAKT-MAKTX],0),MATCH(DR$3,Estrutura_P01[#Headers],0))=0,"",INDEX(Estrutura_P01[],MATCH($C22,Estrutura_P01[txtMAKT-MAKTX],0),MATCH(DR$3,Estrutura_P01[#Headers],0)))*DQ22,"")</f>
        <v/>
      </c>
      <c r="DS22" s="42" t="str">
        <f t="shared" ca="1" si="30"/>
        <v/>
      </c>
      <c r="DT22" s="58" t="s">
        <v>983</v>
      </c>
    </row>
    <row r="23" spans="1:124" x14ac:dyDescent="0.2">
      <c r="A23" s="7" t="str">
        <f t="shared" si="4"/>
        <v>Execução 19</v>
      </c>
      <c r="B23" s="76"/>
      <c r="C23" s="82"/>
      <c r="D23" s="69" t="str">
        <f t="shared" si="5"/>
        <v>0582</v>
      </c>
      <c r="E23" s="69" t="str">
        <f t="shared" si="6"/>
        <v/>
      </c>
      <c r="F23" s="42" t="str">
        <f>IFERROR(IF(INDEX(Estrutura_P01[],MATCH($C23,Estrutura_P01[txtMAKT-MAKTX],0),MATCH(F$3,Estrutura_P01[#Headers],0))=0,"",INDEX(Estrutura_P01[],MATCH($C23,Estrutura_P01[txtMAKT-MAKTX],0),MATCH(F$3,Estrutura_P01[#Headers],0))),"")</f>
        <v/>
      </c>
      <c r="G23" s="42" t="str">
        <f t="shared" si="7"/>
        <v/>
      </c>
      <c r="H23" s="43" t="s">
        <v>100</v>
      </c>
      <c r="I23" s="89" t="s">
        <v>9</v>
      </c>
      <c r="J23" s="89" t="s">
        <v>18</v>
      </c>
      <c r="K23" s="42" t="str">
        <f t="shared" si="8"/>
        <v>0582</v>
      </c>
      <c r="L23" s="89" t="s">
        <v>6</v>
      </c>
      <c r="M23" s="42" t="str">
        <f t="shared" si="9"/>
        <v>582</v>
      </c>
      <c r="O23" s="44" t="s">
        <v>101</v>
      </c>
      <c r="P23" s="44" t="s">
        <v>102</v>
      </c>
      <c r="Q23" s="44" t="s">
        <v>103</v>
      </c>
      <c r="R23" s="44" t="s">
        <v>104</v>
      </c>
      <c r="S23" s="44" t="s">
        <v>105</v>
      </c>
      <c r="T23" s="44" t="s">
        <v>106</v>
      </c>
      <c r="U23" s="44" t="s">
        <v>107</v>
      </c>
      <c r="V23" s="44" t="s">
        <v>109</v>
      </c>
      <c r="W23" s="44" t="s">
        <v>110</v>
      </c>
      <c r="X23" s="44"/>
      <c r="Y23" s="44"/>
      <c r="Z23" s="44" t="s">
        <v>112</v>
      </c>
      <c r="AA23" s="44" t="s">
        <v>113</v>
      </c>
      <c r="AB23" s="44" t="s">
        <v>114</v>
      </c>
      <c r="AC23" s="44" t="s">
        <v>115</v>
      </c>
      <c r="AD23" s="44" t="s">
        <v>117</v>
      </c>
      <c r="AE23" s="44" t="s">
        <v>118</v>
      </c>
      <c r="AF23" s="44" t="s">
        <v>119</v>
      </c>
      <c r="AG23" s="44"/>
      <c r="AH23" s="44"/>
      <c r="AI23" s="44" t="s">
        <v>122</v>
      </c>
      <c r="AJ23" s="44" t="s">
        <v>123</v>
      </c>
      <c r="AK23" s="44" t="s">
        <v>124</v>
      </c>
      <c r="AL23" s="44" t="s">
        <v>125</v>
      </c>
      <c r="AM23" s="44" t="s">
        <v>126</v>
      </c>
      <c r="AN23" s="44"/>
      <c r="AO23" s="44"/>
      <c r="AQ23" s="42" t="str">
        <f t="shared" si="10"/>
        <v>M</v>
      </c>
      <c r="AR23" s="42" t="str">
        <f>IFERROR(IF(INDEX(Estrutura_P01[],MATCH($C23,Estrutura_P01[txtMAKT-MAKTX],0),MATCH(AR$3,Estrutura_P01[#Headers],0))=0,"",INDEX(Estrutura_P01[],MATCH($C23,Estrutura_P01[txtMAKT-MAKTX],0),MATCH(AR$3,Estrutura_P01[#Headers],0))),"")</f>
        <v/>
      </c>
      <c r="AS23" s="44"/>
      <c r="AT23" s="47"/>
      <c r="AU23" s="42" t="str">
        <f>IFERROR(IF(INDEX(Estrutura_P01[],MATCH($C23,Estrutura_P01[txtMAKT-MAKTX],0),MATCH(AU$3,Estrutura_P01[#Headers],0))=0,"",INDEX(Estrutura_P01[],MATCH($C23,Estrutura_P01[txtMAKT-MAKTX],0),MATCH(AU$3,Estrutura_P01[#Headers],0))),"")</f>
        <v/>
      </c>
      <c r="AV23" s="44"/>
      <c r="AW23" s="45" t="str">
        <f t="shared" ca="1" si="11"/>
        <v/>
      </c>
      <c r="AX23" s="46" t="s">
        <v>738</v>
      </c>
      <c r="AY23" s="42" t="str">
        <f>IFERROR(IF(INDEX(Estrutura_P01[],MATCH($C23,Estrutura_P01[txtMAKT-MAKTX],0),MATCH(AY$3,Estrutura_P01[#Headers],0))=0,"",INDEX(Estrutura_P01[],MATCH($C23,Estrutura_P01[txtMAKT-MAKTX],0),MATCH(AY$3,Estrutura_P01[#Headers],0))),"")</f>
        <v/>
      </c>
      <c r="AZ23" s="42" t="str">
        <f t="shared" si="12"/>
        <v/>
      </c>
      <c r="BA23" s="47" t="s">
        <v>299</v>
      </c>
      <c r="BB23" s="47" t="s">
        <v>943</v>
      </c>
      <c r="BC23" s="42" t="str">
        <f>IFERROR(IF(INDEX(Estrutura_P01[],MATCH($C23,Estrutura_P01[txtMAKT-MAKTX],0),MATCH(BC$3,Estrutura_P01[#Headers],0))=0,"",INDEX(Estrutura_P01[],MATCH($C23,Estrutura_P01[txtMAKT-MAKTX],0),MATCH(BC$3,Estrutura_P01[#Headers],0))),"")</f>
        <v/>
      </c>
      <c r="BD23" s="42" t="str">
        <f t="shared" si="13"/>
        <v/>
      </c>
      <c r="BE23" s="42" t="str">
        <f t="shared" si="14"/>
        <v/>
      </c>
      <c r="BF23" s="42" t="str">
        <f t="shared" si="15"/>
        <v/>
      </c>
      <c r="BG23" s="42" t="str">
        <f t="shared" si="16"/>
        <v>M</v>
      </c>
      <c r="BI23" s="43" t="s">
        <v>944</v>
      </c>
      <c r="BJ23" s="43" t="s">
        <v>945</v>
      </c>
      <c r="BK23" s="42" t="str">
        <f>IFERROR(IF(INDEX(Estrutura_P01[],MATCH($C23,Estrutura_P01[txtMAKT-MAKTX],0),MATCH(BK$3,Estrutura_P01[#Headers],0))=0,"",INDEX(Estrutura_P01[],MATCH($C23,Estrutura_P01[txtMAKT-MAKTX],0),MATCH(BK$3,Estrutura_P01[#Headers],0))),"")</f>
        <v/>
      </c>
      <c r="BL23" s="42" t="str">
        <f>IFERROR(IF(INDEX(Estrutura_P01[],MATCH($C23,Estrutura_P01[txtMAKT-MAKTX],0),MATCH(BL21,Estrutura_P01[#Headers],0))=0,"",INDEX(Estrutura_P01[],MATCH($C23,Estrutura_P01[txtMAKT-MAKTX],0),MATCH(BL21,Estrutura_P01[#Headers],0))),"")</f>
        <v/>
      </c>
      <c r="BM23" s="42" t="str">
        <f>IFERROR(IF(INDEX(Estrutura_P01[],MATCH($C23,Estrutura_P01[txtMAKT-MAKTX],0),MATCH(BM21,Estrutura_P01[#Headers],0))=0,"",INDEX(Estrutura_P01[],MATCH($C23,Estrutura_P01[txtMAKT-MAKTX],0),MATCH(BM21,Estrutura_P01[#Headers],0))),"")</f>
        <v/>
      </c>
      <c r="BN23" s="42" t="str">
        <f>IFERROR(IF(INDEX(Estrutura_P01[],MATCH($C23,Estrutura_P01[txtMAKT-MAKTX],0),MATCH(BN21,Estrutura_P01[#Headers],0))=0,"",INDEX(Estrutura_P01[],MATCH($C23,Estrutura_P01[txtMAKT-MAKTX],0),MATCH(BN21,Estrutura_P01[#Headers],0))),"")</f>
        <v/>
      </c>
      <c r="BO23" s="42" t="str">
        <f>IFERROR(IF(INDEX(Estrutura_P01[],MATCH($C23,Estrutura_P01[txtMAKT-MAKTX],0),MATCH(BO21,Estrutura_P01[#Headers],0))=0,"",INDEX(Estrutura_P01[],MATCH($C23,Estrutura_P01[txtMAKT-MAKTX],0),MATCH(BO21,Estrutura_P01[#Headers],0))),"")</f>
        <v/>
      </c>
      <c r="BP23" s="42" t="str">
        <f>IFERROR(IF(OR(INDEX(Estrutura_P01[],MATCH($C23,Estrutura_P01[txtMAKT-MAKTX],0),MATCH(BP$3,Estrutura_P01[#Headers],0))=0,INDEX(Estrutura_P01[],MATCH($C23,Estrutura_P01[txtMAKT-MAKTX],0),MATCH(BP$3,Estrutura_P01[#Headers],0))=AQ23),"",INDEX(Estrutura_P01[],MATCH($C23,Estrutura_P01[txtMAKT-MAKTX],0),MATCH(BP$3,Estrutura_P01[#Headers],0))),"")</f>
        <v/>
      </c>
      <c r="BQ23" s="44">
        <v>99</v>
      </c>
      <c r="BR23" s="45" t="str">
        <f t="shared" ca="1" si="17"/>
        <v>24.05.2022</v>
      </c>
      <c r="BS23" s="48" t="str">
        <f t="shared" si="18"/>
        <v>0582</v>
      </c>
      <c r="BT23" s="49">
        <v>1</v>
      </c>
      <c r="BU23" s="49" t="s">
        <v>194</v>
      </c>
      <c r="BV23" s="102" t="str">
        <f t="shared" si="19"/>
        <v>01</v>
      </c>
      <c r="BW23" s="49" t="s">
        <v>738</v>
      </c>
      <c r="BX23" s="43">
        <v>1</v>
      </c>
      <c r="BY23" s="43" t="s">
        <v>366</v>
      </c>
      <c r="BZ23" s="49" t="s">
        <v>197</v>
      </c>
      <c r="CA23" s="49" t="s">
        <v>197</v>
      </c>
      <c r="CB23" s="47" t="s">
        <v>942</v>
      </c>
      <c r="CC23" s="43" t="s">
        <v>382</v>
      </c>
      <c r="CD23" s="49">
        <v>0</v>
      </c>
      <c r="CE23" s="44" t="s">
        <v>394</v>
      </c>
      <c r="CF23" s="44" t="s">
        <v>34</v>
      </c>
      <c r="CG23" s="42" t="str">
        <f t="shared" si="20"/>
        <v>582</v>
      </c>
      <c r="CH23" s="44" t="s">
        <v>420</v>
      </c>
      <c r="CI23" s="43">
        <v>0</v>
      </c>
      <c r="CJ23" s="42" t="str">
        <f t="shared" si="21"/>
        <v>E</v>
      </c>
      <c r="CK23" s="102" t="str">
        <f t="shared" si="22"/>
        <v/>
      </c>
      <c r="CL23" s="47">
        <v>1</v>
      </c>
      <c r="CM23" s="47">
        <v>1</v>
      </c>
      <c r="CN23" s="43"/>
      <c r="CO23" s="48" t="str">
        <f t="shared" si="23"/>
        <v>0330</v>
      </c>
      <c r="CP23" s="48" t="str">
        <f t="shared" si="24"/>
        <v>0330</v>
      </c>
      <c r="CQ23" s="42" t="str">
        <f t="shared" si="25"/>
        <v/>
      </c>
      <c r="CR23" s="43">
        <v>1</v>
      </c>
      <c r="CS23" s="49" t="s">
        <v>505</v>
      </c>
      <c r="CT23" s="43" t="s">
        <v>36</v>
      </c>
      <c r="CU23" s="43">
        <v>2</v>
      </c>
      <c r="CV23" s="43">
        <v>42</v>
      </c>
      <c r="CW23" s="43">
        <v>10</v>
      </c>
      <c r="CX23" s="42">
        <f t="shared" si="26"/>
        <v>1</v>
      </c>
      <c r="CY23" s="42" t="str">
        <f>IFERROR(IF(INDEX(Estrutura_P01[],MATCH($C23,Estrutura_P01[txtMAKT-MAKTX],0),MATCH(CY$3,Estrutura_P01[#Headers],0))=0,"",IF(INDEX(Estrutura_P01[],MATCH($C23,Estrutura_P01[txtMAKT-MAKTX],0),MATCH(CY$3,Estrutura_P01[#Headers],0))="Industrializado","SUB_0582","")),"")</f>
        <v/>
      </c>
      <c r="CZ23" s="42" t="str">
        <f t="shared" ca="1" si="27"/>
        <v>24.05.2022</v>
      </c>
      <c r="DA23" s="42" t="str">
        <f t="shared" si="28"/>
        <v>31.12.9999</v>
      </c>
      <c r="DC23" s="43">
        <v>1</v>
      </c>
      <c r="DD23" s="43" t="s">
        <v>946</v>
      </c>
      <c r="DE23" s="43">
        <v>30</v>
      </c>
      <c r="DF23" s="43">
        <v>1</v>
      </c>
      <c r="DG23" s="42">
        <f t="shared" si="0"/>
        <v>0.01</v>
      </c>
      <c r="DH23" s="42" t="str">
        <f t="shared" si="1"/>
        <v>M</v>
      </c>
      <c r="DI23" s="42" t="str">
        <f t="shared" si="2"/>
        <v/>
      </c>
      <c r="DJ23" s="43">
        <v>1000</v>
      </c>
      <c r="DK23" s="69">
        <f t="shared" si="3"/>
        <v>1</v>
      </c>
      <c r="DL23" s="42">
        <f t="shared" si="29"/>
        <v>1000</v>
      </c>
      <c r="DM23" s="43">
        <v>1</v>
      </c>
      <c r="DN23" s="43">
        <v>0</v>
      </c>
      <c r="DO23" s="43" t="s">
        <v>759</v>
      </c>
      <c r="DP23" s="44">
        <v>0</v>
      </c>
      <c r="DQ23" s="43">
        <v>1000</v>
      </c>
      <c r="DR23" s="94" t="str">
        <f>IFERROR(IF(INDEX(Estrutura_P01[],MATCH($C23,Estrutura_P01[txtMAKT-MAKTX],0),MATCH(DR$3,Estrutura_P01[#Headers],0))=0,"",INDEX(Estrutura_P01[],MATCH($C23,Estrutura_P01[txtMAKT-MAKTX],0),MATCH(DR$3,Estrutura_P01[#Headers],0)))*DQ23,"")</f>
        <v/>
      </c>
      <c r="DS23" s="42" t="str">
        <f t="shared" ca="1" si="30"/>
        <v/>
      </c>
      <c r="DT23" s="58" t="s">
        <v>983</v>
      </c>
    </row>
    <row r="24" spans="1:124" x14ac:dyDescent="0.2">
      <c r="A24" s="7" t="str">
        <f t="shared" si="4"/>
        <v>Execução 20</v>
      </c>
      <c r="B24" s="76"/>
      <c r="C24" s="82"/>
      <c r="D24" s="69" t="str">
        <f t="shared" si="5"/>
        <v>0582</v>
      </c>
      <c r="E24" s="69" t="str">
        <f t="shared" si="6"/>
        <v/>
      </c>
      <c r="F24" s="42" t="str">
        <f>IFERROR(IF(INDEX(Estrutura_P01[],MATCH($C24,Estrutura_P01[txtMAKT-MAKTX],0),MATCH(F$3,Estrutura_P01[#Headers],0))=0,"",INDEX(Estrutura_P01[],MATCH($C24,Estrutura_P01[txtMAKT-MAKTX],0),MATCH(F$3,Estrutura_P01[#Headers],0))),"")</f>
        <v/>
      </c>
      <c r="G24" s="42" t="str">
        <f t="shared" si="7"/>
        <v/>
      </c>
      <c r="H24" s="43" t="s">
        <v>100</v>
      </c>
      <c r="I24" s="89" t="s">
        <v>9</v>
      </c>
      <c r="J24" s="89" t="s">
        <v>18</v>
      </c>
      <c r="K24" s="42" t="str">
        <f t="shared" si="8"/>
        <v>0582</v>
      </c>
      <c r="L24" s="89" t="s">
        <v>6</v>
      </c>
      <c r="M24" s="42" t="str">
        <f t="shared" si="9"/>
        <v>582</v>
      </c>
      <c r="O24" s="44" t="s">
        <v>101</v>
      </c>
      <c r="P24" s="44" t="s">
        <v>102</v>
      </c>
      <c r="Q24" s="44" t="s">
        <v>103</v>
      </c>
      <c r="R24" s="44" t="s">
        <v>104</v>
      </c>
      <c r="S24" s="44" t="s">
        <v>105</v>
      </c>
      <c r="T24" s="44" t="s">
        <v>106</v>
      </c>
      <c r="U24" s="44" t="s">
        <v>107</v>
      </c>
      <c r="V24" s="44" t="s">
        <v>109</v>
      </c>
      <c r="W24" s="44" t="s">
        <v>110</v>
      </c>
      <c r="X24" s="44"/>
      <c r="Y24" s="44"/>
      <c r="Z24" s="44" t="s">
        <v>112</v>
      </c>
      <c r="AA24" s="44" t="s">
        <v>113</v>
      </c>
      <c r="AB24" s="44" t="s">
        <v>114</v>
      </c>
      <c r="AC24" s="44" t="s">
        <v>115</v>
      </c>
      <c r="AD24" s="44" t="s">
        <v>117</v>
      </c>
      <c r="AE24" s="44" t="s">
        <v>118</v>
      </c>
      <c r="AF24" s="44" t="s">
        <v>119</v>
      </c>
      <c r="AG24" s="44"/>
      <c r="AH24" s="44"/>
      <c r="AI24" s="44" t="s">
        <v>122</v>
      </c>
      <c r="AJ24" s="44" t="s">
        <v>123</v>
      </c>
      <c r="AK24" s="44" t="s">
        <v>124</v>
      </c>
      <c r="AL24" s="44" t="s">
        <v>125</v>
      </c>
      <c r="AM24" s="44" t="s">
        <v>126</v>
      </c>
      <c r="AN24" s="44"/>
      <c r="AO24" s="44"/>
      <c r="AQ24" s="42" t="str">
        <f t="shared" si="10"/>
        <v>M</v>
      </c>
      <c r="AR24" s="42" t="str">
        <f>IFERROR(IF(INDEX(Estrutura_P01[],MATCH($C24,Estrutura_P01[txtMAKT-MAKTX],0),MATCH(AR$3,Estrutura_P01[#Headers],0))=0,"",INDEX(Estrutura_P01[],MATCH($C24,Estrutura_P01[txtMAKT-MAKTX],0),MATCH(AR$3,Estrutura_P01[#Headers],0))),"")</f>
        <v/>
      </c>
      <c r="AS24" s="44"/>
      <c r="AT24" s="47"/>
      <c r="AU24" s="42" t="str">
        <f>IFERROR(IF(INDEX(Estrutura_P01[],MATCH($C24,Estrutura_P01[txtMAKT-MAKTX],0),MATCH(AU$3,Estrutura_P01[#Headers],0))=0,"",INDEX(Estrutura_P01[],MATCH($C24,Estrutura_P01[txtMAKT-MAKTX],0),MATCH(AU$3,Estrutura_P01[#Headers],0))),"")</f>
        <v/>
      </c>
      <c r="AV24" s="44"/>
      <c r="AW24" s="45" t="str">
        <f t="shared" ca="1" si="11"/>
        <v/>
      </c>
      <c r="AX24" s="46" t="s">
        <v>738</v>
      </c>
      <c r="AY24" s="42" t="str">
        <f>IFERROR(IF(INDEX(Estrutura_P01[],MATCH($C24,Estrutura_P01[txtMAKT-MAKTX],0),MATCH(AY$3,Estrutura_P01[#Headers],0))=0,"",INDEX(Estrutura_P01[],MATCH($C24,Estrutura_P01[txtMAKT-MAKTX],0),MATCH(AY$3,Estrutura_P01[#Headers],0))),"")</f>
        <v/>
      </c>
      <c r="AZ24" s="42" t="str">
        <f t="shared" si="12"/>
        <v/>
      </c>
      <c r="BA24" s="47" t="s">
        <v>299</v>
      </c>
      <c r="BB24" s="47" t="s">
        <v>943</v>
      </c>
      <c r="BC24" s="42" t="str">
        <f>IFERROR(IF(INDEX(Estrutura_P01[],MATCH($C24,Estrutura_P01[txtMAKT-MAKTX],0),MATCH(BC$3,Estrutura_P01[#Headers],0))=0,"",INDEX(Estrutura_P01[],MATCH($C24,Estrutura_P01[txtMAKT-MAKTX],0),MATCH(BC$3,Estrutura_P01[#Headers],0))),"")</f>
        <v/>
      </c>
      <c r="BD24" s="42" t="str">
        <f t="shared" si="13"/>
        <v/>
      </c>
      <c r="BE24" s="42" t="str">
        <f t="shared" si="14"/>
        <v/>
      </c>
      <c r="BF24" s="42" t="str">
        <f t="shared" si="15"/>
        <v/>
      </c>
      <c r="BG24" s="42" t="str">
        <f t="shared" si="16"/>
        <v>M</v>
      </c>
      <c r="BI24" s="43" t="s">
        <v>944</v>
      </c>
      <c r="BJ24" s="43" t="s">
        <v>945</v>
      </c>
      <c r="BK24" s="42" t="str">
        <f>IFERROR(IF(INDEX(Estrutura_P01[],MATCH($C24,Estrutura_P01[txtMAKT-MAKTX],0),MATCH(BK$3,Estrutura_P01[#Headers],0))=0,"",INDEX(Estrutura_P01[],MATCH($C24,Estrutura_P01[txtMAKT-MAKTX],0),MATCH(BK$3,Estrutura_P01[#Headers],0))),"")</f>
        <v/>
      </c>
      <c r="BL24" s="42" t="str">
        <f>IFERROR(IF(INDEX(Estrutura_P01[],MATCH($C24,Estrutura_P01[txtMAKT-MAKTX],0),MATCH(BL22,Estrutura_P01[#Headers],0))=0,"",INDEX(Estrutura_P01[],MATCH($C24,Estrutura_P01[txtMAKT-MAKTX],0),MATCH(BL22,Estrutura_P01[#Headers],0))),"")</f>
        <v/>
      </c>
      <c r="BM24" s="42" t="str">
        <f>IFERROR(IF(INDEX(Estrutura_P01[],MATCH($C24,Estrutura_P01[txtMAKT-MAKTX],0),MATCH(BM22,Estrutura_P01[#Headers],0))=0,"",INDEX(Estrutura_P01[],MATCH($C24,Estrutura_P01[txtMAKT-MAKTX],0),MATCH(BM22,Estrutura_P01[#Headers],0))),"")</f>
        <v/>
      </c>
      <c r="BN24" s="42" t="str">
        <f>IFERROR(IF(INDEX(Estrutura_P01[],MATCH($C24,Estrutura_P01[txtMAKT-MAKTX],0),MATCH(BN22,Estrutura_P01[#Headers],0))=0,"",INDEX(Estrutura_P01[],MATCH($C24,Estrutura_P01[txtMAKT-MAKTX],0),MATCH(BN22,Estrutura_P01[#Headers],0))),"")</f>
        <v/>
      </c>
      <c r="BO24" s="42" t="str">
        <f>IFERROR(IF(INDEX(Estrutura_P01[],MATCH($C24,Estrutura_P01[txtMAKT-MAKTX],0),MATCH(BO22,Estrutura_P01[#Headers],0))=0,"",INDEX(Estrutura_P01[],MATCH($C24,Estrutura_P01[txtMAKT-MAKTX],0),MATCH(BO22,Estrutura_P01[#Headers],0))),"")</f>
        <v/>
      </c>
      <c r="BP24" s="42" t="str">
        <f>IFERROR(IF(OR(INDEX(Estrutura_P01[],MATCH($C24,Estrutura_P01[txtMAKT-MAKTX],0),MATCH(BP$3,Estrutura_P01[#Headers],0))=0,INDEX(Estrutura_P01[],MATCH($C24,Estrutura_P01[txtMAKT-MAKTX],0),MATCH(BP$3,Estrutura_P01[#Headers],0))=AQ24),"",INDEX(Estrutura_P01[],MATCH($C24,Estrutura_P01[txtMAKT-MAKTX],0),MATCH(BP$3,Estrutura_P01[#Headers],0))),"")</f>
        <v/>
      </c>
      <c r="BQ24" s="44">
        <v>99</v>
      </c>
      <c r="BR24" s="45" t="str">
        <f t="shared" ca="1" si="17"/>
        <v>24.05.2022</v>
      </c>
      <c r="BS24" s="48" t="str">
        <f t="shared" si="18"/>
        <v>0582</v>
      </c>
      <c r="BT24" s="49">
        <v>1</v>
      </c>
      <c r="BU24" s="49" t="s">
        <v>194</v>
      </c>
      <c r="BV24" s="102" t="str">
        <f t="shared" si="19"/>
        <v>01</v>
      </c>
      <c r="BW24" s="49" t="s">
        <v>738</v>
      </c>
      <c r="BX24" s="43">
        <v>1</v>
      </c>
      <c r="BY24" s="43" t="s">
        <v>366</v>
      </c>
      <c r="BZ24" s="49" t="s">
        <v>197</v>
      </c>
      <c r="CA24" s="49" t="s">
        <v>197</v>
      </c>
      <c r="CB24" s="47" t="s">
        <v>942</v>
      </c>
      <c r="CC24" s="43" t="s">
        <v>382</v>
      </c>
      <c r="CD24" s="49">
        <v>0</v>
      </c>
      <c r="CE24" s="44" t="s">
        <v>394</v>
      </c>
      <c r="CF24" s="44" t="s">
        <v>34</v>
      </c>
      <c r="CG24" s="42" t="str">
        <f t="shared" si="20"/>
        <v>582</v>
      </c>
      <c r="CH24" s="44" t="s">
        <v>420</v>
      </c>
      <c r="CI24" s="43">
        <v>0</v>
      </c>
      <c r="CJ24" s="42" t="str">
        <f t="shared" si="21"/>
        <v>E</v>
      </c>
      <c r="CK24" s="102" t="str">
        <f t="shared" si="22"/>
        <v/>
      </c>
      <c r="CL24" s="47">
        <v>1</v>
      </c>
      <c r="CM24" s="47">
        <v>1</v>
      </c>
      <c r="CN24" s="43"/>
      <c r="CO24" s="48" t="str">
        <f t="shared" si="23"/>
        <v>0330</v>
      </c>
      <c r="CP24" s="48" t="str">
        <f t="shared" si="24"/>
        <v>0330</v>
      </c>
      <c r="CQ24" s="42" t="str">
        <f t="shared" si="25"/>
        <v/>
      </c>
      <c r="CR24" s="43">
        <v>1</v>
      </c>
      <c r="CS24" s="49" t="s">
        <v>505</v>
      </c>
      <c r="CT24" s="43" t="s">
        <v>36</v>
      </c>
      <c r="CU24" s="43">
        <v>2</v>
      </c>
      <c r="CV24" s="43">
        <v>42</v>
      </c>
      <c r="CW24" s="43">
        <v>10</v>
      </c>
      <c r="CX24" s="42">
        <f t="shared" si="26"/>
        <v>1</v>
      </c>
      <c r="CY24" s="42" t="str">
        <f>IFERROR(IF(INDEX(Estrutura_P01[],MATCH($C24,Estrutura_P01[txtMAKT-MAKTX],0),MATCH(CY$3,Estrutura_P01[#Headers],0))=0,"",IF(INDEX(Estrutura_P01[],MATCH($C24,Estrutura_P01[txtMAKT-MAKTX],0),MATCH(CY$3,Estrutura_P01[#Headers],0))="Industrializado","SUB_0582","")),"")</f>
        <v/>
      </c>
      <c r="CZ24" s="42" t="str">
        <f t="shared" ca="1" si="27"/>
        <v>24.05.2022</v>
      </c>
      <c r="DA24" s="42" t="str">
        <f t="shared" si="28"/>
        <v>31.12.9999</v>
      </c>
      <c r="DC24" s="43">
        <v>1</v>
      </c>
      <c r="DD24" s="43" t="s">
        <v>946</v>
      </c>
      <c r="DE24" s="43">
        <v>30</v>
      </c>
      <c r="DF24" s="43">
        <v>1</v>
      </c>
      <c r="DG24" s="42">
        <f t="shared" si="0"/>
        <v>0.01</v>
      </c>
      <c r="DH24" s="42" t="str">
        <f t="shared" si="1"/>
        <v>M</v>
      </c>
      <c r="DI24" s="42" t="str">
        <f t="shared" si="2"/>
        <v/>
      </c>
      <c r="DJ24" s="43">
        <v>1000</v>
      </c>
      <c r="DK24" s="69">
        <f t="shared" si="3"/>
        <v>1</v>
      </c>
      <c r="DL24" s="42">
        <f t="shared" si="29"/>
        <v>1000</v>
      </c>
      <c r="DM24" s="43">
        <v>1</v>
      </c>
      <c r="DN24" s="43">
        <v>0</v>
      </c>
      <c r="DO24" s="43" t="s">
        <v>759</v>
      </c>
      <c r="DP24" s="44">
        <v>0</v>
      </c>
      <c r="DQ24" s="43">
        <v>1000</v>
      </c>
      <c r="DR24" s="94" t="str">
        <f>IFERROR(IF(INDEX(Estrutura_P01[],MATCH($C24,Estrutura_P01[txtMAKT-MAKTX],0),MATCH(DR$3,Estrutura_P01[#Headers],0))=0,"",INDEX(Estrutura_P01[],MATCH($C24,Estrutura_P01[txtMAKT-MAKTX],0),MATCH(DR$3,Estrutura_P01[#Headers],0)))*DQ24,"")</f>
        <v/>
      </c>
      <c r="DS24" s="42" t="str">
        <f t="shared" ca="1" si="30"/>
        <v/>
      </c>
      <c r="DT24" s="58" t="s">
        <v>983</v>
      </c>
    </row>
    <row r="25" spans="1:124" x14ac:dyDescent="0.2">
      <c r="A25" s="7" t="str">
        <f t="shared" si="4"/>
        <v>Execução 21</v>
      </c>
      <c r="B25" s="76"/>
      <c r="C25" s="82"/>
      <c r="D25" s="69" t="str">
        <f t="shared" si="5"/>
        <v>0582</v>
      </c>
      <c r="E25" s="69" t="str">
        <f t="shared" si="6"/>
        <v/>
      </c>
      <c r="F25" s="42" t="str">
        <f>IFERROR(IF(INDEX(Estrutura_P01[],MATCH($C25,Estrutura_P01[txtMAKT-MAKTX],0),MATCH(F$3,Estrutura_P01[#Headers],0))=0,"",INDEX(Estrutura_P01[],MATCH($C25,Estrutura_P01[txtMAKT-MAKTX],0),MATCH(F$3,Estrutura_P01[#Headers],0))),"")</f>
        <v/>
      </c>
      <c r="G25" s="42" t="str">
        <f t="shared" si="7"/>
        <v/>
      </c>
      <c r="H25" s="43" t="s">
        <v>100</v>
      </c>
      <c r="I25" s="89" t="s">
        <v>9</v>
      </c>
      <c r="J25" s="89" t="s">
        <v>18</v>
      </c>
      <c r="K25" s="42" t="str">
        <f t="shared" si="8"/>
        <v>0582</v>
      </c>
      <c r="L25" s="89" t="s">
        <v>6</v>
      </c>
      <c r="M25" s="42" t="str">
        <f t="shared" si="9"/>
        <v>582</v>
      </c>
      <c r="O25" s="44" t="s">
        <v>101</v>
      </c>
      <c r="P25" s="44" t="s">
        <v>102</v>
      </c>
      <c r="Q25" s="44" t="s">
        <v>103</v>
      </c>
      <c r="R25" s="44" t="s">
        <v>104</v>
      </c>
      <c r="S25" s="44" t="s">
        <v>105</v>
      </c>
      <c r="T25" s="44" t="s">
        <v>106</v>
      </c>
      <c r="U25" s="44" t="s">
        <v>107</v>
      </c>
      <c r="V25" s="44" t="s">
        <v>109</v>
      </c>
      <c r="W25" s="44" t="s">
        <v>110</v>
      </c>
      <c r="X25" s="44"/>
      <c r="Y25" s="44"/>
      <c r="Z25" s="44" t="s">
        <v>112</v>
      </c>
      <c r="AA25" s="44" t="s">
        <v>113</v>
      </c>
      <c r="AB25" s="44" t="s">
        <v>114</v>
      </c>
      <c r="AC25" s="44" t="s">
        <v>115</v>
      </c>
      <c r="AD25" s="44" t="s">
        <v>117</v>
      </c>
      <c r="AE25" s="44" t="s">
        <v>118</v>
      </c>
      <c r="AF25" s="44" t="s">
        <v>119</v>
      </c>
      <c r="AG25" s="44"/>
      <c r="AH25" s="44"/>
      <c r="AI25" s="44" t="s">
        <v>122</v>
      </c>
      <c r="AJ25" s="44" t="s">
        <v>123</v>
      </c>
      <c r="AK25" s="44" t="s">
        <v>124</v>
      </c>
      <c r="AL25" s="44" t="s">
        <v>125</v>
      </c>
      <c r="AM25" s="44" t="s">
        <v>126</v>
      </c>
      <c r="AN25" s="44"/>
      <c r="AO25" s="44"/>
      <c r="AQ25" s="42" t="str">
        <f t="shared" si="10"/>
        <v>M</v>
      </c>
      <c r="AR25" s="42" t="str">
        <f>IFERROR(IF(INDEX(Estrutura_P01[],MATCH($C25,Estrutura_P01[txtMAKT-MAKTX],0),MATCH(AR$3,Estrutura_P01[#Headers],0))=0,"",INDEX(Estrutura_P01[],MATCH($C25,Estrutura_P01[txtMAKT-MAKTX],0),MATCH(AR$3,Estrutura_P01[#Headers],0))),"")</f>
        <v/>
      </c>
      <c r="AS25" s="44"/>
      <c r="AT25" s="47"/>
      <c r="AU25" s="42" t="str">
        <f>IFERROR(IF(INDEX(Estrutura_P01[],MATCH($C25,Estrutura_P01[txtMAKT-MAKTX],0),MATCH(AU$3,Estrutura_P01[#Headers],0))=0,"",INDEX(Estrutura_P01[],MATCH($C25,Estrutura_P01[txtMAKT-MAKTX],0),MATCH(AU$3,Estrutura_P01[#Headers],0))),"")</f>
        <v/>
      </c>
      <c r="AV25" s="44"/>
      <c r="AW25" s="45" t="str">
        <f t="shared" ca="1" si="11"/>
        <v/>
      </c>
      <c r="AX25" s="46" t="s">
        <v>738</v>
      </c>
      <c r="AY25" s="42" t="str">
        <f>IFERROR(IF(INDEX(Estrutura_P01[],MATCH($C25,Estrutura_P01[txtMAKT-MAKTX],0),MATCH(AY$3,Estrutura_P01[#Headers],0))=0,"",INDEX(Estrutura_P01[],MATCH($C25,Estrutura_P01[txtMAKT-MAKTX],0),MATCH(AY$3,Estrutura_P01[#Headers],0))),"")</f>
        <v/>
      </c>
      <c r="AZ25" s="42" t="str">
        <f t="shared" si="12"/>
        <v/>
      </c>
      <c r="BA25" s="47" t="s">
        <v>299</v>
      </c>
      <c r="BB25" s="47" t="s">
        <v>943</v>
      </c>
      <c r="BC25" s="42" t="str">
        <f>IFERROR(IF(INDEX(Estrutura_P01[],MATCH($C25,Estrutura_P01[txtMAKT-MAKTX],0),MATCH(BC$3,Estrutura_P01[#Headers],0))=0,"",INDEX(Estrutura_P01[],MATCH($C25,Estrutura_P01[txtMAKT-MAKTX],0),MATCH(BC$3,Estrutura_P01[#Headers],0))),"")</f>
        <v/>
      </c>
      <c r="BD25" s="42" t="str">
        <f t="shared" si="13"/>
        <v/>
      </c>
      <c r="BE25" s="42" t="str">
        <f t="shared" si="14"/>
        <v/>
      </c>
      <c r="BF25" s="42" t="str">
        <f t="shared" si="15"/>
        <v/>
      </c>
      <c r="BG25" s="42" t="str">
        <f t="shared" si="16"/>
        <v>M</v>
      </c>
      <c r="BI25" s="43" t="s">
        <v>944</v>
      </c>
      <c r="BJ25" s="43" t="s">
        <v>945</v>
      </c>
      <c r="BK25" s="42" t="str">
        <f>IFERROR(IF(INDEX(Estrutura_P01[],MATCH($C25,Estrutura_P01[txtMAKT-MAKTX],0),MATCH(BK$3,Estrutura_P01[#Headers],0))=0,"",INDEX(Estrutura_P01[],MATCH($C25,Estrutura_P01[txtMAKT-MAKTX],0),MATCH(BK$3,Estrutura_P01[#Headers],0))),"")</f>
        <v/>
      </c>
      <c r="BL25" s="42" t="str">
        <f>IFERROR(IF(INDEX(Estrutura_P01[],MATCH($C25,Estrutura_P01[txtMAKT-MAKTX],0),MATCH(BL23,Estrutura_P01[#Headers],0))=0,"",INDEX(Estrutura_P01[],MATCH($C25,Estrutura_P01[txtMAKT-MAKTX],0),MATCH(BL23,Estrutura_P01[#Headers],0))),"")</f>
        <v/>
      </c>
      <c r="BM25" s="42" t="str">
        <f>IFERROR(IF(INDEX(Estrutura_P01[],MATCH($C25,Estrutura_P01[txtMAKT-MAKTX],0),MATCH(BM23,Estrutura_P01[#Headers],0))=0,"",INDEX(Estrutura_P01[],MATCH($C25,Estrutura_P01[txtMAKT-MAKTX],0),MATCH(BM23,Estrutura_P01[#Headers],0))),"")</f>
        <v/>
      </c>
      <c r="BN25" s="42" t="str">
        <f>IFERROR(IF(INDEX(Estrutura_P01[],MATCH($C25,Estrutura_P01[txtMAKT-MAKTX],0),MATCH(BN23,Estrutura_P01[#Headers],0))=0,"",INDEX(Estrutura_P01[],MATCH($C25,Estrutura_P01[txtMAKT-MAKTX],0),MATCH(BN23,Estrutura_P01[#Headers],0))),"")</f>
        <v/>
      </c>
      <c r="BO25" s="42" t="str">
        <f>IFERROR(IF(INDEX(Estrutura_P01[],MATCH($C25,Estrutura_P01[txtMAKT-MAKTX],0),MATCH(BO23,Estrutura_P01[#Headers],0))=0,"",INDEX(Estrutura_P01[],MATCH($C25,Estrutura_P01[txtMAKT-MAKTX],0),MATCH(BO23,Estrutura_P01[#Headers],0))),"")</f>
        <v/>
      </c>
      <c r="BP25" s="42" t="str">
        <f>IFERROR(IF(OR(INDEX(Estrutura_P01[],MATCH($C25,Estrutura_P01[txtMAKT-MAKTX],0),MATCH(BP$3,Estrutura_P01[#Headers],0))=0,INDEX(Estrutura_P01[],MATCH($C25,Estrutura_P01[txtMAKT-MAKTX],0),MATCH(BP$3,Estrutura_P01[#Headers],0))=AQ25),"",INDEX(Estrutura_P01[],MATCH($C25,Estrutura_P01[txtMAKT-MAKTX],0),MATCH(BP$3,Estrutura_P01[#Headers],0))),"")</f>
        <v/>
      </c>
      <c r="BQ25" s="44">
        <v>99</v>
      </c>
      <c r="BR25" s="45" t="str">
        <f t="shared" ca="1" si="17"/>
        <v>24.05.2022</v>
      </c>
      <c r="BS25" s="48" t="str">
        <f t="shared" si="18"/>
        <v>0582</v>
      </c>
      <c r="BT25" s="49">
        <v>1</v>
      </c>
      <c r="BU25" s="49" t="s">
        <v>194</v>
      </c>
      <c r="BV25" s="102" t="str">
        <f t="shared" si="19"/>
        <v>01</v>
      </c>
      <c r="BW25" s="49" t="s">
        <v>738</v>
      </c>
      <c r="BX25" s="43">
        <v>1</v>
      </c>
      <c r="BY25" s="43" t="s">
        <v>366</v>
      </c>
      <c r="BZ25" s="49" t="s">
        <v>197</v>
      </c>
      <c r="CA25" s="49" t="s">
        <v>197</v>
      </c>
      <c r="CB25" s="47" t="s">
        <v>942</v>
      </c>
      <c r="CC25" s="43" t="s">
        <v>382</v>
      </c>
      <c r="CD25" s="49">
        <v>0</v>
      </c>
      <c r="CE25" s="44" t="s">
        <v>394</v>
      </c>
      <c r="CF25" s="44" t="s">
        <v>34</v>
      </c>
      <c r="CG25" s="42" t="str">
        <f t="shared" si="20"/>
        <v>582</v>
      </c>
      <c r="CH25" s="44" t="s">
        <v>420</v>
      </c>
      <c r="CI25" s="43">
        <v>0</v>
      </c>
      <c r="CJ25" s="42" t="str">
        <f t="shared" si="21"/>
        <v>E</v>
      </c>
      <c r="CK25" s="102" t="str">
        <f t="shared" si="22"/>
        <v/>
      </c>
      <c r="CL25" s="47">
        <v>1</v>
      </c>
      <c r="CM25" s="47">
        <v>1</v>
      </c>
      <c r="CN25" s="43"/>
      <c r="CO25" s="48" t="str">
        <f t="shared" si="23"/>
        <v>0330</v>
      </c>
      <c r="CP25" s="48" t="str">
        <f t="shared" si="24"/>
        <v>0330</v>
      </c>
      <c r="CQ25" s="42" t="str">
        <f t="shared" si="25"/>
        <v/>
      </c>
      <c r="CR25" s="43">
        <v>1</v>
      </c>
      <c r="CS25" s="49" t="s">
        <v>505</v>
      </c>
      <c r="CT25" s="43" t="s">
        <v>36</v>
      </c>
      <c r="CU25" s="43">
        <v>2</v>
      </c>
      <c r="CV25" s="43">
        <v>42</v>
      </c>
      <c r="CW25" s="43">
        <v>10</v>
      </c>
      <c r="CX25" s="42">
        <f t="shared" si="26"/>
        <v>1</v>
      </c>
      <c r="CY25" s="42" t="str">
        <f>IFERROR(IF(INDEX(Estrutura_P01[],MATCH($C25,Estrutura_P01[txtMAKT-MAKTX],0),MATCH(CY$3,Estrutura_P01[#Headers],0))=0,"",IF(INDEX(Estrutura_P01[],MATCH($C25,Estrutura_P01[txtMAKT-MAKTX],0),MATCH(CY$3,Estrutura_P01[#Headers],0))="Industrializado","SUB_0582","")),"")</f>
        <v/>
      </c>
      <c r="CZ25" s="42" t="str">
        <f t="shared" ca="1" si="27"/>
        <v>24.05.2022</v>
      </c>
      <c r="DA25" s="42" t="str">
        <f t="shared" si="28"/>
        <v>31.12.9999</v>
      </c>
      <c r="DC25" s="43">
        <v>1</v>
      </c>
      <c r="DD25" s="43" t="s">
        <v>946</v>
      </c>
      <c r="DE25" s="43">
        <v>30</v>
      </c>
      <c r="DF25" s="43">
        <v>1</v>
      </c>
      <c r="DG25" s="42">
        <f t="shared" si="0"/>
        <v>0.01</v>
      </c>
      <c r="DH25" s="42" t="str">
        <f t="shared" si="1"/>
        <v>M</v>
      </c>
      <c r="DI25" s="42" t="str">
        <f t="shared" si="2"/>
        <v/>
      </c>
      <c r="DJ25" s="43">
        <v>1000</v>
      </c>
      <c r="DK25" s="69">
        <f t="shared" si="3"/>
        <v>1</v>
      </c>
      <c r="DL25" s="42">
        <f t="shared" si="29"/>
        <v>1000</v>
      </c>
      <c r="DM25" s="43">
        <v>1</v>
      </c>
      <c r="DN25" s="43">
        <v>0</v>
      </c>
      <c r="DO25" s="43" t="s">
        <v>759</v>
      </c>
      <c r="DP25" s="44">
        <v>0</v>
      </c>
      <c r="DQ25" s="43">
        <v>1000</v>
      </c>
      <c r="DR25" s="94" t="str">
        <f>IFERROR(IF(INDEX(Estrutura_P01[],MATCH($C25,Estrutura_P01[txtMAKT-MAKTX],0),MATCH(DR$3,Estrutura_P01[#Headers],0))=0,"",INDEX(Estrutura_P01[],MATCH($C25,Estrutura_P01[txtMAKT-MAKTX],0),MATCH(DR$3,Estrutura_P01[#Headers],0)))*DQ25,"")</f>
        <v/>
      </c>
      <c r="DS25" s="42" t="str">
        <f t="shared" ca="1" si="30"/>
        <v/>
      </c>
      <c r="DT25" s="58" t="s">
        <v>983</v>
      </c>
    </row>
    <row r="26" spans="1:124" x14ac:dyDescent="0.2">
      <c r="A26" s="7" t="str">
        <f t="shared" si="4"/>
        <v>Execução 22</v>
      </c>
      <c r="B26" s="76"/>
      <c r="C26" s="82"/>
      <c r="D26" s="69" t="str">
        <f t="shared" si="5"/>
        <v>0582</v>
      </c>
      <c r="E26" s="69" t="str">
        <f t="shared" si="6"/>
        <v/>
      </c>
      <c r="F26" s="42" t="str">
        <f>IFERROR(IF(INDEX(Estrutura_P01[],MATCH($C26,Estrutura_P01[txtMAKT-MAKTX],0),MATCH(F$3,Estrutura_P01[#Headers],0))=0,"",INDEX(Estrutura_P01[],MATCH($C26,Estrutura_P01[txtMAKT-MAKTX],0),MATCH(F$3,Estrutura_P01[#Headers],0))),"")</f>
        <v/>
      </c>
      <c r="G26" s="42" t="str">
        <f t="shared" si="7"/>
        <v/>
      </c>
      <c r="H26" s="43" t="s">
        <v>100</v>
      </c>
      <c r="I26" s="89" t="s">
        <v>9</v>
      </c>
      <c r="J26" s="89" t="s">
        <v>18</v>
      </c>
      <c r="K26" s="42" t="str">
        <f t="shared" si="8"/>
        <v>0582</v>
      </c>
      <c r="L26" s="89" t="s">
        <v>6</v>
      </c>
      <c r="M26" s="42" t="str">
        <f t="shared" si="9"/>
        <v>582</v>
      </c>
      <c r="O26" s="44" t="s">
        <v>101</v>
      </c>
      <c r="P26" s="44" t="s">
        <v>102</v>
      </c>
      <c r="Q26" s="44" t="s">
        <v>103</v>
      </c>
      <c r="R26" s="44" t="s">
        <v>104</v>
      </c>
      <c r="S26" s="44" t="s">
        <v>105</v>
      </c>
      <c r="T26" s="44" t="s">
        <v>106</v>
      </c>
      <c r="U26" s="44" t="s">
        <v>107</v>
      </c>
      <c r="V26" s="44" t="s">
        <v>109</v>
      </c>
      <c r="W26" s="44" t="s">
        <v>110</v>
      </c>
      <c r="X26" s="44"/>
      <c r="Y26" s="44"/>
      <c r="Z26" s="44" t="s">
        <v>112</v>
      </c>
      <c r="AA26" s="44" t="s">
        <v>113</v>
      </c>
      <c r="AB26" s="44" t="s">
        <v>114</v>
      </c>
      <c r="AC26" s="44" t="s">
        <v>115</v>
      </c>
      <c r="AD26" s="44" t="s">
        <v>117</v>
      </c>
      <c r="AE26" s="44" t="s">
        <v>118</v>
      </c>
      <c r="AF26" s="44" t="s">
        <v>119</v>
      </c>
      <c r="AG26" s="44"/>
      <c r="AH26" s="44"/>
      <c r="AI26" s="44" t="s">
        <v>122</v>
      </c>
      <c r="AJ26" s="44" t="s">
        <v>123</v>
      </c>
      <c r="AK26" s="44" t="s">
        <v>124</v>
      </c>
      <c r="AL26" s="44" t="s">
        <v>125</v>
      </c>
      <c r="AM26" s="44" t="s">
        <v>126</v>
      </c>
      <c r="AN26" s="44"/>
      <c r="AO26" s="44"/>
      <c r="AQ26" s="42" t="str">
        <f t="shared" si="10"/>
        <v>M</v>
      </c>
      <c r="AR26" s="42" t="str">
        <f>IFERROR(IF(INDEX(Estrutura_P01[],MATCH($C26,Estrutura_P01[txtMAKT-MAKTX],0),MATCH(AR$3,Estrutura_P01[#Headers],0))=0,"",INDEX(Estrutura_P01[],MATCH($C26,Estrutura_P01[txtMAKT-MAKTX],0),MATCH(AR$3,Estrutura_P01[#Headers],0))),"")</f>
        <v/>
      </c>
      <c r="AS26" s="44"/>
      <c r="AT26" s="47"/>
      <c r="AU26" s="42" t="str">
        <f>IFERROR(IF(INDEX(Estrutura_P01[],MATCH($C26,Estrutura_P01[txtMAKT-MAKTX],0),MATCH(AU$3,Estrutura_P01[#Headers],0))=0,"",INDEX(Estrutura_P01[],MATCH($C26,Estrutura_P01[txtMAKT-MAKTX],0),MATCH(AU$3,Estrutura_P01[#Headers],0))),"")</f>
        <v/>
      </c>
      <c r="AV26" s="44"/>
      <c r="AW26" s="45" t="str">
        <f t="shared" ca="1" si="11"/>
        <v/>
      </c>
      <c r="AX26" s="46" t="s">
        <v>738</v>
      </c>
      <c r="AY26" s="42" t="str">
        <f>IFERROR(IF(INDEX(Estrutura_P01[],MATCH($C26,Estrutura_P01[txtMAKT-MAKTX],0),MATCH(AY$3,Estrutura_P01[#Headers],0))=0,"",INDEX(Estrutura_P01[],MATCH($C26,Estrutura_P01[txtMAKT-MAKTX],0),MATCH(AY$3,Estrutura_P01[#Headers],0))),"")</f>
        <v/>
      </c>
      <c r="AZ26" s="42" t="str">
        <f t="shared" si="12"/>
        <v/>
      </c>
      <c r="BA26" s="47" t="s">
        <v>299</v>
      </c>
      <c r="BB26" s="47" t="s">
        <v>943</v>
      </c>
      <c r="BC26" s="42" t="str">
        <f>IFERROR(IF(INDEX(Estrutura_P01[],MATCH($C26,Estrutura_P01[txtMAKT-MAKTX],0),MATCH(BC$3,Estrutura_P01[#Headers],0))=0,"",INDEX(Estrutura_P01[],MATCH($C26,Estrutura_P01[txtMAKT-MAKTX],0),MATCH(BC$3,Estrutura_P01[#Headers],0))),"")</f>
        <v/>
      </c>
      <c r="BD26" s="42" t="str">
        <f t="shared" si="13"/>
        <v/>
      </c>
      <c r="BE26" s="42" t="str">
        <f t="shared" si="14"/>
        <v/>
      </c>
      <c r="BF26" s="42" t="str">
        <f t="shared" si="15"/>
        <v/>
      </c>
      <c r="BG26" s="42" t="str">
        <f t="shared" si="16"/>
        <v>M</v>
      </c>
      <c r="BI26" s="43" t="s">
        <v>944</v>
      </c>
      <c r="BJ26" s="43" t="s">
        <v>945</v>
      </c>
      <c r="BK26" s="42" t="str">
        <f>IFERROR(IF(INDEX(Estrutura_P01[],MATCH($C26,Estrutura_P01[txtMAKT-MAKTX],0),MATCH(BK$3,Estrutura_P01[#Headers],0))=0,"",INDEX(Estrutura_P01[],MATCH($C26,Estrutura_P01[txtMAKT-MAKTX],0),MATCH(BK$3,Estrutura_P01[#Headers],0))),"")</f>
        <v/>
      </c>
      <c r="BL26" s="42" t="str">
        <f>IFERROR(IF(INDEX(Estrutura_P01[],MATCH($C26,Estrutura_P01[txtMAKT-MAKTX],0),MATCH(BL24,Estrutura_P01[#Headers],0))=0,"",INDEX(Estrutura_P01[],MATCH($C26,Estrutura_P01[txtMAKT-MAKTX],0),MATCH(BL24,Estrutura_P01[#Headers],0))),"")</f>
        <v/>
      </c>
      <c r="BM26" s="42" t="str">
        <f>IFERROR(IF(INDEX(Estrutura_P01[],MATCH($C26,Estrutura_P01[txtMAKT-MAKTX],0),MATCH(BM24,Estrutura_P01[#Headers],0))=0,"",INDEX(Estrutura_P01[],MATCH($C26,Estrutura_P01[txtMAKT-MAKTX],0),MATCH(BM24,Estrutura_P01[#Headers],0))),"")</f>
        <v/>
      </c>
      <c r="BN26" s="42" t="str">
        <f>IFERROR(IF(INDEX(Estrutura_P01[],MATCH($C26,Estrutura_P01[txtMAKT-MAKTX],0),MATCH(BN24,Estrutura_P01[#Headers],0))=0,"",INDEX(Estrutura_P01[],MATCH($C26,Estrutura_P01[txtMAKT-MAKTX],0),MATCH(BN24,Estrutura_P01[#Headers],0))),"")</f>
        <v/>
      </c>
      <c r="BO26" s="42" t="str">
        <f>IFERROR(IF(INDEX(Estrutura_P01[],MATCH($C26,Estrutura_P01[txtMAKT-MAKTX],0),MATCH(BO24,Estrutura_P01[#Headers],0))=0,"",INDEX(Estrutura_P01[],MATCH($C26,Estrutura_P01[txtMAKT-MAKTX],0),MATCH(BO24,Estrutura_P01[#Headers],0))),"")</f>
        <v/>
      </c>
      <c r="BP26" s="42" t="str">
        <f>IFERROR(IF(OR(INDEX(Estrutura_P01[],MATCH($C26,Estrutura_P01[txtMAKT-MAKTX],0),MATCH(BP$3,Estrutura_P01[#Headers],0))=0,INDEX(Estrutura_P01[],MATCH($C26,Estrutura_P01[txtMAKT-MAKTX],0),MATCH(BP$3,Estrutura_P01[#Headers],0))=AQ26),"",INDEX(Estrutura_P01[],MATCH($C26,Estrutura_P01[txtMAKT-MAKTX],0),MATCH(BP$3,Estrutura_P01[#Headers],0))),"")</f>
        <v/>
      </c>
      <c r="BQ26" s="44">
        <v>99</v>
      </c>
      <c r="BR26" s="45" t="str">
        <f t="shared" ca="1" si="17"/>
        <v>24.05.2022</v>
      </c>
      <c r="BS26" s="48" t="str">
        <f t="shared" si="18"/>
        <v>0582</v>
      </c>
      <c r="BT26" s="49">
        <v>1</v>
      </c>
      <c r="BU26" s="49" t="s">
        <v>194</v>
      </c>
      <c r="BV26" s="102" t="str">
        <f t="shared" si="19"/>
        <v>01</v>
      </c>
      <c r="BW26" s="49" t="s">
        <v>738</v>
      </c>
      <c r="BX26" s="43">
        <v>1</v>
      </c>
      <c r="BY26" s="43" t="s">
        <v>366</v>
      </c>
      <c r="BZ26" s="49" t="s">
        <v>197</v>
      </c>
      <c r="CA26" s="49" t="s">
        <v>197</v>
      </c>
      <c r="CB26" s="47" t="s">
        <v>942</v>
      </c>
      <c r="CC26" s="43" t="s">
        <v>382</v>
      </c>
      <c r="CD26" s="49">
        <v>0</v>
      </c>
      <c r="CE26" s="44" t="s">
        <v>394</v>
      </c>
      <c r="CF26" s="44" t="s">
        <v>34</v>
      </c>
      <c r="CG26" s="42" t="str">
        <f t="shared" si="20"/>
        <v>582</v>
      </c>
      <c r="CH26" s="44" t="s">
        <v>420</v>
      </c>
      <c r="CI26" s="43">
        <v>0</v>
      </c>
      <c r="CJ26" s="42" t="str">
        <f t="shared" si="21"/>
        <v>E</v>
      </c>
      <c r="CK26" s="102" t="str">
        <f t="shared" si="22"/>
        <v/>
      </c>
      <c r="CL26" s="47">
        <v>1</v>
      </c>
      <c r="CM26" s="47">
        <v>1</v>
      </c>
      <c r="CN26" s="43"/>
      <c r="CO26" s="48" t="str">
        <f t="shared" si="23"/>
        <v>0330</v>
      </c>
      <c r="CP26" s="48" t="str">
        <f t="shared" si="24"/>
        <v>0330</v>
      </c>
      <c r="CQ26" s="42" t="str">
        <f t="shared" si="25"/>
        <v/>
      </c>
      <c r="CR26" s="43">
        <v>1</v>
      </c>
      <c r="CS26" s="49" t="s">
        <v>505</v>
      </c>
      <c r="CT26" s="43" t="s">
        <v>36</v>
      </c>
      <c r="CU26" s="43">
        <v>2</v>
      </c>
      <c r="CV26" s="43">
        <v>42</v>
      </c>
      <c r="CW26" s="43">
        <v>10</v>
      </c>
      <c r="CX26" s="42">
        <f t="shared" si="26"/>
        <v>1</v>
      </c>
      <c r="CY26" s="42" t="str">
        <f>IFERROR(IF(INDEX(Estrutura_P01[],MATCH($C26,Estrutura_P01[txtMAKT-MAKTX],0),MATCH(CY$3,Estrutura_P01[#Headers],0))=0,"",IF(INDEX(Estrutura_P01[],MATCH($C26,Estrutura_P01[txtMAKT-MAKTX],0),MATCH(CY$3,Estrutura_P01[#Headers],0))="Industrializado","SUB_0582","")),"")</f>
        <v/>
      </c>
      <c r="CZ26" s="42" t="str">
        <f t="shared" ca="1" si="27"/>
        <v>24.05.2022</v>
      </c>
      <c r="DA26" s="42" t="str">
        <f t="shared" si="28"/>
        <v>31.12.9999</v>
      </c>
      <c r="DC26" s="43">
        <v>1</v>
      </c>
      <c r="DD26" s="43" t="s">
        <v>946</v>
      </c>
      <c r="DE26" s="43">
        <v>30</v>
      </c>
      <c r="DF26" s="43">
        <v>1</v>
      </c>
      <c r="DG26" s="42">
        <f t="shared" si="0"/>
        <v>0.01</v>
      </c>
      <c r="DH26" s="42" t="str">
        <f t="shared" si="1"/>
        <v>M</v>
      </c>
      <c r="DI26" s="42" t="str">
        <f t="shared" si="2"/>
        <v/>
      </c>
      <c r="DJ26" s="43">
        <v>1000</v>
      </c>
      <c r="DK26" s="69">
        <f t="shared" si="3"/>
        <v>1</v>
      </c>
      <c r="DL26" s="42">
        <f t="shared" si="29"/>
        <v>1000</v>
      </c>
      <c r="DM26" s="43">
        <v>1</v>
      </c>
      <c r="DN26" s="43">
        <v>0</v>
      </c>
      <c r="DO26" s="43" t="s">
        <v>759</v>
      </c>
      <c r="DP26" s="44">
        <v>0</v>
      </c>
      <c r="DQ26" s="43">
        <v>1000</v>
      </c>
      <c r="DR26" s="94" t="str">
        <f>IFERROR(IF(INDEX(Estrutura_P01[],MATCH($C26,Estrutura_P01[txtMAKT-MAKTX],0),MATCH(DR$3,Estrutura_P01[#Headers],0))=0,"",INDEX(Estrutura_P01[],MATCH($C26,Estrutura_P01[txtMAKT-MAKTX],0),MATCH(DR$3,Estrutura_P01[#Headers],0)))*DQ26,"")</f>
        <v/>
      </c>
      <c r="DS26" s="42" t="str">
        <f t="shared" ca="1" si="30"/>
        <v/>
      </c>
      <c r="DT26" s="58" t="s">
        <v>983</v>
      </c>
    </row>
    <row r="27" spans="1:124" x14ac:dyDescent="0.2">
      <c r="A27" s="7" t="str">
        <f t="shared" si="4"/>
        <v>Execução 23</v>
      </c>
      <c r="B27" s="76"/>
      <c r="C27" s="82"/>
      <c r="D27" s="69" t="str">
        <f t="shared" si="5"/>
        <v>0582</v>
      </c>
      <c r="E27" s="69" t="str">
        <f t="shared" si="6"/>
        <v/>
      </c>
      <c r="F27" s="42" t="str">
        <f>IFERROR(IF(INDEX(Estrutura_P01[],MATCH($C27,Estrutura_P01[txtMAKT-MAKTX],0),MATCH(F$3,Estrutura_P01[#Headers],0))=0,"",INDEX(Estrutura_P01[],MATCH($C27,Estrutura_P01[txtMAKT-MAKTX],0),MATCH(F$3,Estrutura_P01[#Headers],0))),"")</f>
        <v/>
      </c>
      <c r="G27" s="42" t="str">
        <f t="shared" si="7"/>
        <v/>
      </c>
      <c r="H27" s="43" t="s">
        <v>100</v>
      </c>
      <c r="I27" s="89" t="s">
        <v>9</v>
      </c>
      <c r="J27" s="89" t="s">
        <v>18</v>
      </c>
      <c r="K27" s="42" t="str">
        <f t="shared" si="8"/>
        <v>0582</v>
      </c>
      <c r="L27" s="89" t="s">
        <v>6</v>
      </c>
      <c r="M27" s="42" t="str">
        <f t="shared" si="9"/>
        <v>582</v>
      </c>
      <c r="O27" s="44" t="s">
        <v>101</v>
      </c>
      <c r="P27" s="44" t="s">
        <v>102</v>
      </c>
      <c r="Q27" s="44" t="s">
        <v>103</v>
      </c>
      <c r="R27" s="44" t="s">
        <v>104</v>
      </c>
      <c r="S27" s="44" t="s">
        <v>105</v>
      </c>
      <c r="T27" s="44" t="s">
        <v>106</v>
      </c>
      <c r="U27" s="44" t="s">
        <v>107</v>
      </c>
      <c r="V27" s="44" t="s">
        <v>109</v>
      </c>
      <c r="W27" s="44" t="s">
        <v>110</v>
      </c>
      <c r="X27" s="44"/>
      <c r="Y27" s="44"/>
      <c r="Z27" s="44" t="s">
        <v>112</v>
      </c>
      <c r="AA27" s="44" t="s">
        <v>113</v>
      </c>
      <c r="AB27" s="44" t="s">
        <v>114</v>
      </c>
      <c r="AC27" s="44" t="s">
        <v>115</v>
      </c>
      <c r="AD27" s="44" t="s">
        <v>117</v>
      </c>
      <c r="AE27" s="44" t="s">
        <v>118</v>
      </c>
      <c r="AF27" s="44" t="s">
        <v>119</v>
      </c>
      <c r="AG27" s="44"/>
      <c r="AH27" s="44"/>
      <c r="AI27" s="44" t="s">
        <v>122</v>
      </c>
      <c r="AJ27" s="44" t="s">
        <v>123</v>
      </c>
      <c r="AK27" s="44" t="s">
        <v>124</v>
      </c>
      <c r="AL27" s="44" t="s">
        <v>125</v>
      </c>
      <c r="AM27" s="44" t="s">
        <v>126</v>
      </c>
      <c r="AN27" s="44"/>
      <c r="AO27" s="44"/>
      <c r="AQ27" s="42" t="str">
        <f t="shared" si="10"/>
        <v>M</v>
      </c>
      <c r="AR27" s="42" t="str">
        <f>IFERROR(IF(INDEX(Estrutura_P01[],MATCH($C27,Estrutura_P01[txtMAKT-MAKTX],0),MATCH(AR$3,Estrutura_P01[#Headers],0))=0,"",INDEX(Estrutura_P01[],MATCH($C27,Estrutura_P01[txtMAKT-MAKTX],0),MATCH(AR$3,Estrutura_P01[#Headers],0))),"")</f>
        <v/>
      </c>
      <c r="AS27" s="44"/>
      <c r="AT27" s="47"/>
      <c r="AU27" s="42" t="str">
        <f>IFERROR(IF(INDEX(Estrutura_P01[],MATCH($C27,Estrutura_P01[txtMAKT-MAKTX],0),MATCH(AU$3,Estrutura_P01[#Headers],0))=0,"",INDEX(Estrutura_P01[],MATCH($C27,Estrutura_P01[txtMAKT-MAKTX],0),MATCH(AU$3,Estrutura_P01[#Headers],0))),"")</f>
        <v/>
      </c>
      <c r="AV27" s="44"/>
      <c r="AW27" s="45" t="str">
        <f t="shared" ca="1" si="11"/>
        <v/>
      </c>
      <c r="AX27" s="46" t="s">
        <v>738</v>
      </c>
      <c r="AY27" s="42" t="str">
        <f>IFERROR(IF(INDEX(Estrutura_P01[],MATCH($C27,Estrutura_P01[txtMAKT-MAKTX],0),MATCH(AY$3,Estrutura_P01[#Headers],0))=0,"",INDEX(Estrutura_P01[],MATCH($C27,Estrutura_P01[txtMAKT-MAKTX],0),MATCH(AY$3,Estrutura_P01[#Headers],0))),"")</f>
        <v/>
      </c>
      <c r="AZ27" s="42" t="str">
        <f t="shared" si="12"/>
        <v/>
      </c>
      <c r="BA27" s="47" t="s">
        <v>299</v>
      </c>
      <c r="BB27" s="47" t="s">
        <v>943</v>
      </c>
      <c r="BC27" s="42" t="str">
        <f>IFERROR(IF(INDEX(Estrutura_P01[],MATCH($C27,Estrutura_P01[txtMAKT-MAKTX],0),MATCH(BC$3,Estrutura_P01[#Headers],0))=0,"",INDEX(Estrutura_P01[],MATCH($C27,Estrutura_P01[txtMAKT-MAKTX],0),MATCH(BC$3,Estrutura_P01[#Headers],0))),"")</f>
        <v/>
      </c>
      <c r="BD27" s="42" t="str">
        <f t="shared" si="13"/>
        <v/>
      </c>
      <c r="BE27" s="42" t="str">
        <f t="shared" si="14"/>
        <v/>
      </c>
      <c r="BF27" s="42" t="str">
        <f t="shared" si="15"/>
        <v/>
      </c>
      <c r="BG27" s="42" t="str">
        <f t="shared" si="16"/>
        <v>M</v>
      </c>
      <c r="BI27" s="43" t="s">
        <v>944</v>
      </c>
      <c r="BJ27" s="43" t="s">
        <v>945</v>
      </c>
      <c r="BK27" s="42" t="str">
        <f>IFERROR(IF(INDEX(Estrutura_P01[],MATCH($C27,Estrutura_P01[txtMAKT-MAKTX],0),MATCH(BK$3,Estrutura_P01[#Headers],0))=0,"",INDEX(Estrutura_P01[],MATCH($C27,Estrutura_P01[txtMAKT-MAKTX],0),MATCH(BK$3,Estrutura_P01[#Headers],0))),"")</f>
        <v/>
      </c>
      <c r="BL27" s="42" t="str">
        <f>IFERROR(IF(INDEX(Estrutura_P01[],MATCH($C27,Estrutura_P01[txtMAKT-MAKTX],0),MATCH(BL25,Estrutura_P01[#Headers],0))=0,"",INDEX(Estrutura_P01[],MATCH($C27,Estrutura_P01[txtMAKT-MAKTX],0),MATCH(BL25,Estrutura_P01[#Headers],0))),"")</f>
        <v/>
      </c>
      <c r="BM27" s="42" t="str">
        <f>IFERROR(IF(INDEX(Estrutura_P01[],MATCH($C27,Estrutura_P01[txtMAKT-MAKTX],0),MATCH(BM25,Estrutura_P01[#Headers],0))=0,"",INDEX(Estrutura_P01[],MATCH($C27,Estrutura_P01[txtMAKT-MAKTX],0),MATCH(BM25,Estrutura_P01[#Headers],0))),"")</f>
        <v/>
      </c>
      <c r="BN27" s="42" t="str">
        <f>IFERROR(IF(INDEX(Estrutura_P01[],MATCH($C27,Estrutura_P01[txtMAKT-MAKTX],0),MATCH(BN25,Estrutura_P01[#Headers],0))=0,"",INDEX(Estrutura_P01[],MATCH($C27,Estrutura_P01[txtMAKT-MAKTX],0),MATCH(BN25,Estrutura_P01[#Headers],0))),"")</f>
        <v/>
      </c>
      <c r="BO27" s="42" t="str">
        <f>IFERROR(IF(INDEX(Estrutura_P01[],MATCH($C27,Estrutura_P01[txtMAKT-MAKTX],0),MATCH(BO25,Estrutura_P01[#Headers],0))=0,"",INDEX(Estrutura_P01[],MATCH($C27,Estrutura_P01[txtMAKT-MAKTX],0),MATCH(BO25,Estrutura_P01[#Headers],0))),"")</f>
        <v/>
      </c>
      <c r="BP27" s="42" t="str">
        <f>IFERROR(IF(OR(INDEX(Estrutura_P01[],MATCH($C27,Estrutura_P01[txtMAKT-MAKTX],0),MATCH(BP$3,Estrutura_P01[#Headers],0))=0,INDEX(Estrutura_P01[],MATCH($C27,Estrutura_P01[txtMAKT-MAKTX],0),MATCH(BP$3,Estrutura_P01[#Headers],0))=AQ27),"",INDEX(Estrutura_P01[],MATCH($C27,Estrutura_P01[txtMAKT-MAKTX],0),MATCH(BP$3,Estrutura_P01[#Headers],0))),"")</f>
        <v/>
      </c>
      <c r="BQ27" s="44">
        <v>99</v>
      </c>
      <c r="BR27" s="45" t="str">
        <f t="shared" ca="1" si="17"/>
        <v>24.05.2022</v>
      </c>
      <c r="BS27" s="48" t="str">
        <f t="shared" si="18"/>
        <v>0582</v>
      </c>
      <c r="BT27" s="49">
        <v>1</v>
      </c>
      <c r="BU27" s="49" t="s">
        <v>194</v>
      </c>
      <c r="BV27" s="102" t="str">
        <f t="shared" si="19"/>
        <v>01</v>
      </c>
      <c r="BW27" s="49" t="s">
        <v>738</v>
      </c>
      <c r="BX27" s="43">
        <v>1</v>
      </c>
      <c r="BY27" s="43" t="s">
        <v>366</v>
      </c>
      <c r="BZ27" s="49" t="s">
        <v>197</v>
      </c>
      <c r="CA27" s="49" t="s">
        <v>197</v>
      </c>
      <c r="CB27" s="47" t="s">
        <v>942</v>
      </c>
      <c r="CC27" s="43" t="s">
        <v>382</v>
      </c>
      <c r="CD27" s="49">
        <v>0</v>
      </c>
      <c r="CE27" s="44" t="s">
        <v>394</v>
      </c>
      <c r="CF27" s="44" t="s">
        <v>34</v>
      </c>
      <c r="CG27" s="42" t="str">
        <f t="shared" si="20"/>
        <v>582</v>
      </c>
      <c r="CH27" s="44" t="s">
        <v>420</v>
      </c>
      <c r="CI27" s="43">
        <v>0</v>
      </c>
      <c r="CJ27" s="42" t="str">
        <f t="shared" si="21"/>
        <v>E</v>
      </c>
      <c r="CK27" s="102" t="str">
        <f t="shared" si="22"/>
        <v/>
      </c>
      <c r="CL27" s="47">
        <v>1</v>
      </c>
      <c r="CM27" s="47">
        <v>1</v>
      </c>
      <c r="CN27" s="43"/>
      <c r="CO27" s="48" t="str">
        <f t="shared" si="23"/>
        <v>0330</v>
      </c>
      <c r="CP27" s="48" t="str">
        <f t="shared" si="24"/>
        <v>0330</v>
      </c>
      <c r="CQ27" s="42" t="str">
        <f t="shared" si="25"/>
        <v/>
      </c>
      <c r="CR27" s="43">
        <v>1</v>
      </c>
      <c r="CS27" s="49" t="s">
        <v>505</v>
      </c>
      <c r="CT27" s="43" t="s">
        <v>36</v>
      </c>
      <c r="CU27" s="43">
        <v>2</v>
      </c>
      <c r="CV27" s="43">
        <v>42</v>
      </c>
      <c r="CW27" s="43">
        <v>10</v>
      </c>
      <c r="CX27" s="42">
        <f t="shared" si="26"/>
        <v>1</v>
      </c>
      <c r="CY27" s="42" t="str">
        <f>IFERROR(IF(INDEX(Estrutura_P01[],MATCH($C27,Estrutura_P01[txtMAKT-MAKTX],0),MATCH(CY$3,Estrutura_P01[#Headers],0))=0,"",IF(INDEX(Estrutura_P01[],MATCH($C27,Estrutura_P01[txtMAKT-MAKTX],0),MATCH(CY$3,Estrutura_P01[#Headers],0))="Industrializado","SUB_0582","")),"")</f>
        <v/>
      </c>
      <c r="CZ27" s="42" t="str">
        <f t="shared" ca="1" si="27"/>
        <v>24.05.2022</v>
      </c>
      <c r="DA27" s="42" t="str">
        <f t="shared" si="28"/>
        <v>31.12.9999</v>
      </c>
      <c r="DC27" s="43">
        <v>1</v>
      </c>
      <c r="DD27" s="43" t="s">
        <v>946</v>
      </c>
      <c r="DE27" s="43">
        <v>30</v>
      </c>
      <c r="DF27" s="43">
        <v>1</v>
      </c>
      <c r="DG27" s="42">
        <f t="shared" si="0"/>
        <v>0.01</v>
      </c>
      <c r="DH27" s="42" t="str">
        <f t="shared" si="1"/>
        <v>M</v>
      </c>
      <c r="DI27" s="42" t="str">
        <f t="shared" si="2"/>
        <v/>
      </c>
      <c r="DJ27" s="43">
        <v>1000</v>
      </c>
      <c r="DK27" s="69">
        <f t="shared" si="3"/>
        <v>1</v>
      </c>
      <c r="DL27" s="42">
        <f t="shared" si="29"/>
        <v>1000</v>
      </c>
      <c r="DM27" s="43">
        <v>1</v>
      </c>
      <c r="DN27" s="43">
        <v>0</v>
      </c>
      <c r="DO27" s="43" t="s">
        <v>759</v>
      </c>
      <c r="DP27" s="44">
        <v>0</v>
      </c>
      <c r="DQ27" s="43">
        <v>1000</v>
      </c>
      <c r="DR27" s="94" t="str">
        <f>IFERROR(IF(INDEX(Estrutura_P01[],MATCH($C27,Estrutura_P01[txtMAKT-MAKTX],0),MATCH(DR$3,Estrutura_P01[#Headers],0))=0,"",INDEX(Estrutura_P01[],MATCH($C27,Estrutura_P01[txtMAKT-MAKTX],0),MATCH(DR$3,Estrutura_P01[#Headers],0)))*DQ27,"")</f>
        <v/>
      </c>
      <c r="DS27" s="42" t="str">
        <f t="shared" ca="1" si="30"/>
        <v/>
      </c>
      <c r="DT27" s="58" t="s">
        <v>983</v>
      </c>
    </row>
    <row r="28" spans="1:124" x14ac:dyDescent="0.2">
      <c r="A28" s="7" t="str">
        <f t="shared" si="4"/>
        <v>Execução 24</v>
      </c>
      <c r="B28" s="76"/>
      <c r="C28" s="82"/>
      <c r="D28" s="69" t="str">
        <f t="shared" si="5"/>
        <v>0582</v>
      </c>
      <c r="E28" s="69" t="str">
        <f t="shared" si="6"/>
        <v/>
      </c>
      <c r="F28" s="42" t="str">
        <f>IFERROR(IF(INDEX(Estrutura_P01[],MATCH($C28,Estrutura_P01[txtMAKT-MAKTX],0),MATCH(F$3,Estrutura_P01[#Headers],0))=0,"",INDEX(Estrutura_P01[],MATCH($C28,Estrutura_P01[txtMAKT-MAKTX],0),MATCH(F$3,Estrutura_P01[#Headers],0))),"")</f>
        <v/>
      </c>
      <c r="G28" s="42" t="str">
        <f t="shared" si="7"/>
        <v/>
      </c>
      <c r="H28" s="43" t="s">
        <v>100</v>
      </c>
      <c r="I28" s="89" t="s">
        <v>9</v>
      </c>
      <c r="J28" s="89" t="s">
        <v>18</v>
      </c>
      <c r="K28" s="42" t="str">
        <f t="shared" si="8"/>
        <v>0582</v>
      </c>
      <c r="L28" s="89" t="s">
        <v>6</v>
      </c>
      <c r="M28" s="42" t="str">
        <f t="shared" si="9"/>
        <v>582</v>
      </c>
      <c r="O28" s="44" t="s">
        <v>101</v>
      </c>
      <c r="P28" s="44" t="s">
        <v>102</v>
      </c>
      <c r="Q28" s="44" t="s">
        <v>103</v>
      </c>
      <c r="R28" s="44" t="s">
        <v>104</v>
      </c>
      <c r="S28" s="44" t="s">
        <v>105</v>
      </c>
      <c r="T28" s="44" t="s">
        <v>106</v>
      </c>
      <c r="U28" s="44" t="s">
        <v>107</v>
      </c>
      <c r="V28" s="44" t="s">
        <v>109</v>
      </c>
      <c r="W28" s="44" t="s">
        <v>110</v>
      </c>
      <c r="X28" s="44"/>
      <c r="Y28" s="44"/>
      <c r="Z28" s="44" t="s">
        <v>112</v>
      </c>
      <c r="AA28" s="44" t="s">
        <v>113</v>
      </c>
      <c r="AB28" s="44" t="s">
        <v>114</v>
      </c>
      <c r="AC28" s="44" t="s">
        <v>115</v>
      </c>
      <c r="AD28" s="44" t="s">
        <v>117</v>
      </c>
      <c r="AE28" s="44" t="s">
        <v>118</v>
      </c>
      <c r="AF28" s="44" t="s">
        <v>119</v>
      </c>
      <c r="AG28" s="44"/>
      <c r="AH28" s="44"/>
      <c r="AI28" s="44" t="s">
        <v>122</v>
      </c>
      <c r="AJ28" s="44" t="s">
        <v>123</v>
      </c>
      <c r="AK28" s="44" t="s">
        <v>124</v>
      </c>
      <c r="AL28" s="44" t="s">
        <v>125</v>
      </c>
      <c r="AM28" s="44" t="s">
        <v>126</v>
      </c>
      <c r="AN28" s="44"/>
      <c r="AO28" s="44"/>
      <c r="AQ28" s="42" t="str">
        <f t="shared" si="10"/>
        <v>M</v>
      </c>
      <c r="AR28" s="42" t="str">
        <f>IFERROR(IF(INDEX(Estrutura_P01[],MATCH($C28,Estrutura_P01[txtMAKT-MAKTX],0),MATCH(AR$3,Estrutura_P01[#Headers],0))=0,"",INDEX(Estrutura_P01[],MATCH($C28,Estrutura_P01[txtMAKT-MAKTX],0),MATCH(AR$3,Estrutura_P01[#Headers],0))),"")</f>
        <v/>
      </c>
      <c r="AS28" s="44"/>
      <c r="AT28" s="47"/>
      <c r="AU28" s="42" t="str">
        <f>IFERROR(IF(INDEX(Estrutura_P01[],MATCH($C28,Estrutura_P01[txtMAKT-MAKTX],0),MATCH(AU$3,Estrutura_P01[#Headers],0))=0,"",INDEX(Estrutura_P01[],MATCH($C28,Estrutura_P01[txtMAKT-MAKTX],0),MATCH(AU$3,Estrutura_P01[#Headers],0))),"")</f>
        <v/>
      </c>
      <c r="AV28" s="44"/>
      <c r="AW28" s="45" t="str">
        <f t="shared" ca="1" si="11"/>
        <v/>
      </c>
      <c r="AX28" s="46" t="s">
        <v>738</v>
      </c>
      <c r="AY28" s="42" t="str">
        <f>IFERROR(IF(INDEX(Estrutura_P01[],MATCH($C28,Estrutura_P01[txtMAKT-MAKTX],0),MATCH(AY$3,Estrutura_P01[#Headers],0))=0,"",INDEX(Estrutura_P01[],MATCH($C28,Estrutura_P01[txtMAKT-MAKTX],0),MATCH(AY$3,Estrutura_P01[#Headers],0))),"")</f>
        <v/>
      </c>
      <c r="AZ28" s="42" t="str">
        <f t="shared" si="12"/>
        <v/>
      </c>
      <c r="BA28" s="47" t="s">
        <v>299</v>
      </c>
      <c r="BB28" s="47" t="s">
        <v>943</v>
      </c>
      <c r="BC28" s="42" t="str">
        <f>IFERROR(IF(INDEX(Estrutura_P01[],MATCH($C28,Estrutura_P01[txtMAKT-MAKTX],0),MATCH(BC$3,Estrutura_P01[#Headers],0))=0,"",INDEX(Estrutura_P01[],MATCH($C28,Estrutura_P01[txtMAKT-MAKTX],0),MATCH(BC$3,Estrutura_P01[#Headers],0))),"")</f>
        <v/>
      </c>
      <c r="BD28" s="42" t="str">
        <f t="shared" si="13"/>
        <v/>
      </c>
      <c r="BE28" s="42" t="str">
        <f t="shared" si="14"/>
        <v/>
      </c>
      <c r="BF28" s="42" t="str">
        <f t="shared" si="15"/>
        <v/>
      </c>
      <c r="BG28" s="42" t="str">
        <f t="shared" si="16"/>
        <v>M</v>
      </c>
      <c r="BI28" s="43" t="s">
        <v>944</v>
      </c>
      <c r="BJ28" s="43" t="s">
        <v>945</v>
      </c>
      <c r="BK28" s="42" t="str">
        <f>IFERROR(IF(INDEX(Estrutura_P01[],MATCH($C28,Estrutura_P01[txtMAKT-MAKTX],0),MATCH(BK$3,Estrutura_P01[#Headers],0))=0,"",INDEX(Estrutura_P01[],MATCH($C28,Estrutura_P01[txtMAKT-MAKTX],0),MATCH(BK$3,Estrutura_P01[#Headers],0))),"")</f>
        <v/>
      </c>
      <c r="BL28" s="42" t="str">
        <f>IFERROR(IF(INDEX(Estrutura_P01[],MATCH($C28,Estrutura_P01[txtMAKT-MAKTX],0),MATCH(BL26,Estrutura_P01[#Headers],0))=0,"",INDEX(Estrutura_P01[],MATCH($C28,Estrutura_P01[txtMAKT-MAKTX],0),MATCH(BL26,Estrutura_P01[#Headers],0))),"")</f>
        <v/>
      </c>
      <c r="BM28" s="42" t="str">
        <f>IFERROR(IF(INDEX(Estrutura_P01[],MATCH($C28,Estrutura_P01[txtMAKT-MAKTX],0),MATCH(BM26,Estrutura_P01[#Headers],0))=0,"",INDEX(Estrutura_P01[],MATCH($C28,Estrutura_P01[txtMAKT-MAKTX],0),MATCH(BM26,Estrutura_P01[#Headers],0))),"")</f>
        <v/>
      </c>
      <c r="BN28" s="42" t="str">
        <f>IFERROR(IF(INDEX(Estrutura_P01[],MATCH($C28,Estrutura_P01[txtMAKT-MAKTX],0),MATCH(BN26,Estrutura_P01[#Headers],0))=0,"",INDEX(Estrutura_P01[],MATCH($C28,Estrutura_P01[txtMAKT-MAKTX],0),MATCH(BN26,Estrutura_P01[#Headers],0))),"")</f>
        <v/>
      </c>
      <c r="BO28" s="42" t="str">
        <f>IFERROR(IF(INDEX(Estrutura_P01[],MATCH($C28,Estrutura_P01[txtMAKT-MAKTX],0),MATCH(BO26,Estrutura_P01[#Headers],0))=0,"",INDEX(Estrutura_P01[],MATCH($C28,Estrutura_P01[txtMAKT-MAKTX],0),MATCH(BO26,Estrutura_P01[#Headers],0))),"")</f>
        <v/>
      </c>
      <c r="BP28" s="42" t="str">
        <f>IFERROR(IF(OR(INDEX(Estrutura_P01[],MATCH($C28,Estrutura_P01[txtMAKT-MAKTX],0),MATCH(BP$3,Estrutura_P01[#Headers],0))=0,INDEX(Estrutura_P01[],MATCH($C28,Estrutura_P01[txtMAKT-MAKTX],0),MATCH(BP$3,Estrutura_P01[#Headers],0))=AQ28),"",INDEX(Estrutura_P01[],MATCH($C28,Estrutura_P01[txtMAKT-MAKTX],0),MATCH(BP$3,Estrutura_P01[#Headers],0))),"")</f>
        <v/>
      </c>
      <c r="BQ28" s="44">
        <v>99</v>
      </c>
      <c r="BR28" s="45" t="str">
        <f t="shared" ca="1" si="17"/>
        <v>24.05.2022</v>
      </c>
      <c r="BS28" s="48" t="str">
        <f t="shared" si="18"/>
        <v>0582</v>
      </c>
      <c r="BT28" s="49">
        <v>1</v>
      </c>
      <c r="BU28" s="49" t="s">
        <v>194</v>
      </c>
      <c r="BV28" s="102" t="str">
        <f t="shared" si="19"/>
        <v>01</v>
      </c>
      <c r="BW28" s="49" t="s">
        <v>738</v>
      </c>
      <c r="BX28" s="43">
        <v>1</v>
      </c>
      <c r="BY28" s="43" t="s">
        <v>366</v>
      </c>
      <c r="BZ28" s="49" t="s">
        <v>197</v>
      </c>
      <c r="CA28" s="49" t="s">
        <v>197</v>
      </c>
      <c r="CB28" s="47" t="s">
        <v>942</v>
      </c>
      <c r="CC28" s="43" t="s">
        <v>382</v>
      </c>
      <c r="CD28" s="49">
        <v>0</v>
      </c>
      <c r="CE28" s="44" t="s">
        <v>394</v>
      </c>
      <c r="CF28" s="44" t="s">
        <v>34</v>
      </c>
      <c r="CG28" s="42" t="str">
        <f t="shared" si="20"/>
        <v>582</v>
      </c>
      <c r="CH28" s="44" t="s">
        <v>420</v>
      </c>
      <c r="CI28" s="43">
        <v>0</v>
      </c>
      <c r="CJ28" s="42" t="str">
        <f t="shared" si="21"/>
        <v>E</v>
      </c>
      <c r="CK28" s="102" t="str">
        <f t="shared" si="22"/>
        <v/>
      </c>
      <c r="CL28" s="47">
        <v>1</v>
      </c>
      <c r="CM28" s="47">
        <v>1</v>
      </c>
      <c r="CN28" s="43"/>
      <c r="CO28" s="48" t="str">
        <f t="shared" si="23"/>
        <v>0330</v>
      </c>
      <c r="CP28" s="48" t="str">
        <f t="shared" si="24"/>
        <v>0330</v>
      </c>
      <c r="CQ28" s="42" t="str">
        <f t="shared" si="25"/>
        <v/>
      </c>
      <c r="CR28" s="43">
        <v>1</v>
      </c>
      <c r="CS28" s="49" t="s">
        <v>505</v>
      </c>
      <c r="CT28" s="43" t="s">
        <v>36</v>
      </c>
      <c r="CU28" s="43">
        <v>2</v>
      </c>
      <c r="CV28" s="43">
        <v>42</v>
      </c>
      <c r="CW28" s="43">
        <v>10</v>
      </c>
      <c r="CX28" s="42">
        <f t="shared" si="26"/>
        <v>1</v>
      </c>
      <c r="CY28" s="42" t="str">
        <f>IFERROR(IF(INDEX(Estrutura_P01[],MATCH($C28,Estrutura_P01[txtMAKT-MAKTX],0),MATCH(CY$3,Estrutura_P01[#Headers],0))=0,"",IF(INDEX(Estrutura_P01[],MATCH($C28,Estrutura_P01[txtMAKT-MAKTX],0),MATCH(CY$3,Estrutura_P01[#Headers],0))="Industrializado","SUB_0582","")),"")</f>
        <v/>
      </c>
      <c r="CZ28" s="42" t="str">
        <f t="shared" ca="1" si="27"/>
        <v>24.05.2022</v>
      </c>
      <c r="DA28" s="42" t="str">
        <f t="shared" si="28"/>
        <v>31.12.9999</v>
      </c>
      <c r="DC28" s="43">
        <v>1</v>
      </c>
      <c r="DD28" s="43" t="s">
        <v>946</v>
      </c>
      <c r="DE28" s="43">
        <v>30</v>
      </c>
      <c r="DF28" s="43">
        <v>1</v>
      </c>
      <c r="DG28" s="42">
        <f t="shared" si="0"/>
        <v>0.01</v>
      </c>
      <c r="DH28" s="42" t="str">
        <f t="shared" si="1"/>
        <v>M</v>
      </c>
      <c r="DI28" s="42" t="str">
        <f t="shared" si="2"/>
        <v/>
      </c>
      <c r="DJ28" s="43">
        <v>1000</v>
      </c>
      <c r="DK28" s="69">
        <f t="shared" si="3"/>
        <v>1</v>
      </c>
      <c r="DL28" s="42">
        <f t="shared" si="29"/>
        <v>1000</v>
      </c>
      <c r="DM28" s="43">
        <v>1</v>
      </c>
      <c r="DN28" s="43">
        <v>0</v>
      </c>
      <c r="DO28" s="43" t="s">
        <v>759</v>
      </c>
      <c r="DP28" s="44">
        <v>0</v>
      </c>
      <c r="DQ28" s="43">
        <v>1000</v>
      </c>
      <c r="DR28" s="94" t="str">
        <f>IFERROR(IF(INDEX(Estrutura_P01[],MATCH($C28,Estrutura_P01[txtMAKT-MAKTX],0),MATCH(DR$3,Estrutura_P01[#Headers],0))=0,"",INDEX(Estrutura_P01[],MATCH($C28,Estrutura_P01[txtMAKT-MAKTX],0),MATCH(DR$3,Estrutura_P01[#Headers],0)))*DQ28,"")</f>
        <v/>
      </c>
      <c r="DS28" s="42" t="str">
        <f t="shared" ca="1" si="30"/>
        <v/>
      </c>
      <c r="DT28" s="58" t="s">
        <v>983</v>
      </c>
    </row>
    <row r="29" spans="1:124" x14ac:dyDescent="0.2">
      <c r="A29" s="7" t="str">
        <f t="shared" si="4"/>
        <v>Execução 25</v>
      </c>
      <c r="B29" s="76"/>
      <c r="C29" s="82"/>
      <c r="D29" s="69" t="str">
        <f t="shared" si="5"/>
        <v>0582</v>
      </c>
      <c r="E29" s="69" t="str">
        <f t="shared" si="6"/>
        <v/>
      </c>
      <c r="F29" s="42" t="str">
        <f>IFERROR(IF(INDEX(Estrutura_P01[],MATCH($C29,Estrutura_P01[txtMAKT-MAKTX],0),MATCH(F$3,Estrutura_P01[#Headers],0))=0,"",INDEX(Estrutura_P01[],MATCH($C29,Estrutura_P01[txtMAKT-MAKTX],0),MATCH(F$3,Estrutura_P01[#Headers],0))),"")</f>
        <v/>
      </c>
      <c r="G29" s="42" t="str">
        <f t="shared" si="7"/>
        <v/>
      </c>
      <c r="H29" s="43" t="s">
        <v>100</v>
      </c>
      <c r="I29" s="89" t="s">
        <v>9</v>
      </c>
      <c r="J29" s="89" t="s">
        <v>18</v>
      </c>
      <c r="K29" s="42" t="str">
        <f t="shared" si="8"/>
        <v>0582</v>
      </c>
      <c r="L29" s="89" t="s">
        <v>6</v>
      </c>
      <c r="M29" s="42" t="str">
        <f t="shared" si="9"/>
        <v>582</v>
      </c>
      <c r="O29" s="44" t="s">
        <v>101</v>
      </c>
      <c r="P29" s="44" t="s">
        <v>102</v>
      </c>
      <c r="Q29" s="44" t="s">
        <v>103</v>
      </c>
      <c r="R29" s="44" t="s">
        <v>104</v>
      </c>
      <c r="S29" s="44" t="s">
        <v>105</v>
      </c>
      <c r="T29" s="44" t="s">
        <v>106</v>
      </c>
      <c r="U29" s="44" t="s">
        <v>107</v>
      </c>
      <c r="V29" s="44" t="s">
        <v>109</v>
      </c>
      <c r="W29" s="44" t="s">
        <v>110</v>
      </c>
      <c r="X29" s="44"/>
      <c r="Y29" s="44"/>
      <c r="Z29" s="44" t="s">
        <v>112</v>
      </c>
      <c r="AA29" s="44" t="s">
        <v>113</v>
      </c>
      <c r="AB29" s="44" t="s">
        <v>114</v>
      </c>
      <c r="AC29" s="44" t="s">
        <v>115</v>
      </c>
      <c r="AD29" s="44" t="s">
        <v>117</v>
      </c>
      <c r="AE29" s="44" t="s">
        <v>118</v>
      </c>
      <c r="AF29" s="44" t="s">
        <v>119</v>
      </c>
      <c r="AG29" s="44"/>
      <c r="AH29" s="44"/>
      <c r="AI29" s="44" t="s">
        <v>122</v>
      </c>
      <c r="AJ29" s="44" t="s">
        <v>123</v>
      </c>
      <c r="AK29" s="44" t="s">
        <v>124</v>
      </c>
      <c r="AL29" s="44" t="s">
        <v>125</v>
      </c>
      <c r="AM29" s="44" t="s">
        <v>126</v>
      </c>
      <c r="AN29" s="44"/>
      <c r="AO29" s="44"/>
      <c r="AQ29" s="42" t="str">
        <f t="shared" si="10"/>
        <v>M</v>
      </c>
      <c r="AR29" s="42" t="str">
        <f>IFERROR(IF(INDEX(Estrutura_P01[],MATCH($C29,Estrutura_P01[txtMAKT-MAKTX],0),MATCH(AR$3,Estrutura_P01[#Headers],0))=0,"",INDEX(Estrutura_P01[],MATCH($C29,Estrutura_P01[txtMAKT-MAKTX],0),MATCH(AR$3,Estrutura_P01[#Headers],0))),"")</f>
        <v/>
      </c>
      <c r="AS29" s="44"/>
      <c r="AT29" s="47"/>
      <c r="AU29" s="42" t="str">
        <f>IFERROR(IF(INDEX(Estrutura_P01[],MATCH($C29,Estrutura_P01[txtMAKT-MAKTX],0),MATCH(AU$3,Estrutura_P01[#Headers],0))=0,"",INDEX(Estrutura_P01[],MATCH($C29,Estrutura_P01[txtMAKT-MAKTX],0),MATCH(AU$3,Estrutura_P01[#Headers],0))),"")</f>
        <v/>
      </c>
      <c r="AV29" s="44"/>
      <c r="AW29" s="45" t="str">
        <f t="shared" ca="1" si="11"/>
        <v/>
      </c>
      <c r="AX29" s="46" t="s">
        <v>738</v>
      </c>
      <c r="AY29" s="42" t="str">
        <f>IFERROR(IF(INDEX(Estrutura_P01[],MATCH($C29,Estrutura_P01[txtMAKT-MAKTX],0),MATCH(AY$3,Estrutura_P01[#Headers],0))=0,"",INDEX(Estrutura_P01[],MATCH($C29,Estrutura_P01[txtMAKT-MAKTX],0),MATCH(AY$3,Estrutura_P01[#Headers],0))),"")</f>
        <v/>
      </c>
      <c r="AZ29" s="42" t="str">
        <f t="shared" si="12"/>
        <v/>
      </c>
      <c r="BA29" s="47" t="s">
        <v>299</v>
      </c>
      <c r="BB29" s="47" t="s">
        <v>943</v>
      </c>
      <c r="BC29" s="42" t="str">
        <f>IFERROR(IF(INDEX(Estrutura_P01[],MATCH($C29,Estrutura_P01[txtMAKT-MAKTX],0),MATCH(BC$3,Estrutura_P01[#Headers],0))=0,"",INDEX(Estrutura_P01[],MATCH($C29,Estrutura_P01[txtMAKT-MAKTX],0),MATCH(BC$3,Estrutura_P01[#Headers],0))),"")</f>
        <v/>
      </c>
      <c r="BD29" s="42" t="str">
        <f t="shared" si="13"/>
        <v/>
      </c>
      <c r="BE29" s="42" t="str">
        <f t="shared" si="14"/>
        <v/>
      </c>
      <c r="BF29" s="42" t="str">
        <f t="shared" si="15"/>
        <v/>
      </c>
      <c r="BG29" s="42" t="str">
        <f t="shared" si="16"/>
        <v>M</v>
      </c>
      <c r="BI29" s="43" t="s">
        <v>944</v>
      </c>
      <c r="BJ29" s="43" t="s">
        <v>945</v>
      </c>
      <c r="BK29" s="42" t="str">
        <f>IFERROR(IF(INDEX(Estrutura_P01[],MATCH($C29,Estrutura_P01[txtMAKT-MAKTX],0),MATCH(BK$3,Estrutura_P01[#Headers],0))=0,"",INDEX(Estrutura_P01[],MATCH($C29,Estrutura_P01[txtMAKT-MAKTX],0),MATCH(BK$3,Estrutura_P01[#Headers],0))),"")</f>
        <v/>
      </c>
      <c r="BL29" s="42" t="str">
        <f>IFERROR(IF(INDEX(Estrutura_P01[],MATCH($C29,Estrutura_P01[txtMAKT-MAKTX],0),MATCH(BL27,Estrutura_P01[#Headers],0))=0,"",INDEX(Estrutura_P01[],MATCH($C29,Estrutura_P01[txtMAKT-MAKTX],0),MATCH(BL27,Estrutura_P01[#Headers],0))),"")</f>
        <v/>
      </c>
      <c r="BM29" s="42" t="str">
        <f>IFERROR(IF(INDEX(Estrutura_P01[],MATCH($C29,Estrutura_P01[txtMAKT-MAKTX],0),MATCH(BM27,Estrutura_P01[#Headers],0))=0,"",INDEX(Estrutura_P01[],MATCH($C29,Estrutura_P01[txtMAKT-MAKTX],0),MATCH(BM27,Estrutura_P01[#Headers],0))),"")</f>
        <v/>
      </c>
      <c r="BN29" s="42" t="str">
        <f>IFERROR(IF(INDEX(Estrutura_P01[],MATCH($C29,Estrutura_P01[txtMAKT-MAKTX],0),MATCH(BN27,Estrutura_P01[#Headers],0))=0,"",INDEX(Estrutura_P01[],MATCH($C29,Estrutura_P01[txtMAKT-MAKTX],0),MATCH(BN27,Estrutura_P01[#Headers],0))),"")</f>
        <v/>
      </c>
      <c r="BO29" s="42" t="str">
        <f>IFERROR(IF(INDEX(Estrutura_P01[],MATCH($C29,Estrutura_P01[txtMAKT-MAKTX],0),MATCH(BO27,Estrutura_P01[#Headers],0))=0,"",INDEX(Estrutura_P01[],MATCH($C29,Estrutura_P01[txtMAKT-MAKTX],0),MATCH(BO27,Estrutura_P01[#Headers],0))),"")</f>
        <v/>
      </c>
      <c r="BP29" s="42" t="str">
        <f>IFERROR(IF(OR(INDEX(Estrutura_P01[],MATCH($C29,Estrutura_P01[txtMAKT-MAKTX],0),MATCH(BP$3,Estrutura_P01[#Headers],0))=0,INDEX(Estrutura_P01[],MATCH($C29,Estrutura_P01[txtMAKT-MAKTX],0),MATCH(BP$3,Estrutura_P01[#Headers],0))=AQ29),"",INDEX(Estrutura_P01[],MATCH($C29,Estrutura_P01[txtMAKT-MAKTX],0),MATCH(BP$3,Estrutura_P01[#Headers],0))),"")</f>
        <v/>
      </c>
      <c r="BQ29" s="44">
        <v>99</v>
      </c>
      <c r="BR29" s="45" t="str">
        <f t="shared" ca="1" si="17"/>
        <v>24.05.2022</v>
      </c>
      <c r="BS29" s="48" t="str">
        <f t="shared" si="18"/>
        <v>0582</v>
      </c>
      <c r="BT29" s="49">
        <v>1</v>
      </c>
      <c r="BU29" s="49" t="s">
        <v>194</v>
      </c>
      <c r="BV29" s="102" t="str">
        <f t="shared" si="19"/>
        <v>01</v>
      </c>
      <c r="BW29" s="49" t="s">
        <v>738</v>
      </c>
      <c r="BX29" s="43">
        <v>1</v>
      </c>
      <c r="BY29" s="43" t="s">
        <v>366</v>
      </c>
      <c r="BZ29" s="49" t="s">
        <v>197</v>
      </c>
      <c r="CA29" s="49" t="s">
        <v>197</v>
      </c>
      <c r="CB29" s="47" t="s">
        <v>942</v>
      </c>
      <c r="CC29" s="43" t="s">
        <v>382</v>
      </c>
      <c r="CD29" s="49">
        <v>0</v>
      </c>
      <c r="CE29" s="44" t="s">
        <v>394</v>
      </c>
      <c r="CF29" s="44" t="s">
        <v>34</v>
      </c>
      <c r="CG29" s="42" t="str">
        <f t="shared" si="20"/>
        <v>582</v>
      </c>
      <c r="CH29" s="44" t="s">
        <v>420</v>
      </c>
      <c r="CI29" s="43">
        <v>0</v>
      </c>
      <c r="CJ29" s="42" t="str">
        <f t="shared" si="21"/>
        <v>E</v>
      </c>
      <c r="CK29" s="102" t="str">
        <f t="shared" si="22"/>
        <v/>
      </c>
      <c r="CL29" s="47">
        <v>1</v>
      </c>
      <c r="CM29" s="47">
        <v>1</v>
      </c>
      <c r="CN29" s="43"/>
      <c r="CO29" s="48" t="str">
        <f t="shared" si="23"/>
        <v>0330</v>
      </c>
      <c r="CP29" s="48" t="str">
        <f t="shared" si="24"/>
        <v>0330</v>
      </c>
      <c r="CQ29" s="42" t="str">
        <f t="shared" si="25"/>
        <v/>
      </c>
      <c r="CR29" s="43">
        <v>1</v>
      </c>
      <c r="CS29" s="49" t="s">
        <v>505</v>
      </c>
      <c r="CT29" s="43" t="s">
        <v>36</v>
      </c>
      <c r="CU29" s="43">
        <v>2</v>
      </c>
      <c r="CV29" s="43">
        <v>42</v>
      </c>
      <c r="CW29" s="43">
        <v>10</v>
      </c>
      <c r="CX29" s="42">
        <f t="shared" si="26"/>
        <v>1</v>
      </c>
      <c r="CY29" s="42" t="str">
        <f>IFERROR(IF(INDEX(Estrutura_P01[],MATCH($C29,Estrutura_P01[txtMAKT-MAKTX],0),MATCH(CY$3,Estrutura_P01[#Headers],0))=0,"",IF(INDEX(Estrutura_P01[],MATCH($C29,Estrutura_P01[txtMAKT-MAKTX],0),MATCH(CY$3,Estrutura_P01[#Headers],0))="Industrializado","SUB_0582","")),"")</f>
        <v/>
      </c>
      <c r="CZ29" s="42" t="str">
        <f t="shared" ca="1" si="27"/>
        <v>24.05.2022</v>
      </c>
      <c r="DA29" s="42" t="str">
        <f t="shared" si="28"/>
        <v>31.12.9999</v>
      </c>
      <c r="DC29" s="43">
        <v>1</v>
      </c>
      <c r="DD29" s="43" t="s">
        <v>946</v>
      </c>
      <c r="DE29" s="43">
        <v>30</v>
      </c>
      <c r="DF29" s="43">
        <v>1</v>
      </c>
      <c r="DG29" s="42">
        <f t="shared" si="0"/>
        <v>0.01</v>
      </c>
      <c r="DH29" s="42" t="str">
        <f t="shared" si="1"/>
        <v>M</v>
      </c>
      <c r="DI29" s="42" t="str">
        <f t="shared" si="2"/>
        <v/>
      </c>
      <c r="DJ29" s="43">
        <v>1000</v>
      </c>
      <c r="DK29" s="69">
        <f t="shared" si="3"/>
        <v>1</v>
      </c>
      <c r="DL29" s="42">
        <f t="shared" si="29"/>
        <v>1000</v>
      </c>
      <c r="DM29" s="43">
        <v>1</v>
      </c>
      <c r="DN29" s="43">
        <v>0</v>
      </c>
      <c r="DO29" s="43" t="s">
        <v>759</v>
      </c>
      <c r="DP29" s="44">
        <v>0</v>
      </c>
      <c r="DQ29" s="43">
        <v>1000</v>
      </c>
      <c r="DR29" s="94" t="str">
        <f>IFERROR(IF(INDEX(Estrutura_P01[],MATCH($C29,Estrutura_P01[txtMAKT-MAKTX],0),MATCH(DR$3,Estrutura_P01[#Headers],0))=0,"",INDEX(Estrutura_P01[],MATCH($C29,Estrutura_P01[txtMAKT-MAKTX],0),MATCH(DR$3,Estrutura_P01[#Headers],0)))*DQ29,"")</f>
        <v/>
      </c>
      <c r="DS29" s="42" t="str">
        <f t="shared" ca="1" si="30"/>
        <v/>
      </c>
      <c r="DT29" s="58" t="s">
        <v>983</v>
      </c>
    </row>
    <row r="30" spans="1:124" x14ac:dyDescent="0.2">
      <c r="A30" s="7" t="str">
        <f t="shared" si="4"/>
        <v>Execução 26</v>
      </c>
      <c r="B30" s="76"/>
      <c r="C30" s="82"/>
      <c r="D30" s="69" t="str">
        <f t="shared" si="5"/>
        <v>0582</v>
      </c>
      <c r="E30" s="69" t="str">
        <f t="shared" si="6"/>
        <v/>
      </c>
      <c r="F30" s="42" t="str">
        <f>IFERROR(IF(INDEX(Estrutura_P01[],MATCH($C30,Estrutura_P01[txtMAKT-MAKTX],0),MATCH(F$3,Estrutura_P01[#Headers],0))=0,"",INDEX(Estrutura_P01[],MATCH($C30,Estrutura_P01[txtMAKT-MAKTX],0),MATCH(F$3,Estrutura_P01[#Headers],0))),"")</f>
        <v/>
      </c>
      <c r="G30" s="42" t="str">
        <f t="shared" si="7"/>
        <v/>
      </c>
      <c r="H30" s="43" t="s">
        <v>100</v>
      </c>
      <c r="I30" s="89" t="s">
        <v>9</v>
      </c>
      <c r="J30" s="89" t="s">
        <v>18</v>
      </c>
      <c r="K30" s="42" t="str">
        <f t="shared" si="8"/>
        <v>0582</v>
      </c>
      <c r="L30" s="89" t="s">
        <v>6</v>
      </c>
      <c r="M30" s="42" t="str">
        <f t="shared" si="9"/>
        <v>582</v>
      </c>
      <c r="O30" s="44" t="s">
        <v>101</v>
      </c>
      <c r="P30" s="44" t="s">
        <v>102</v>
      </c>
      <c r="Q30" s="44" t="s">
        <v>103</v>
      </c>
      <c r="R30" s="44" t="s">
        <v>104</v>
      </c>
      <c r="S30" s="44" t="s">
        <v>105</v>
      </c>
      <c r="T30" s="44" t="s">
        <v>106</v>
      </c>
      <c r="U30" s="44" t="s">
        <v>107</v>
      </c>
      <c r="V30" s="44" t="s">
        <v>109</v>
      </c>
      <c r="W30" s="44" t="s">
        <v>110</v>
      </c>
      <c r="X30" s="44"/>
      <c r="Y30" s="44"/>
      <c r="Z30" s="44" t="s">
        <v>112</v>
      </c>
      <c r="AA30" s="44" t="s">
        <v>113</v>
      </c>
      <c r="AB30" s="44" t="s">
        <v>114</v>
      </c>
      <c r="AC30" s="44" t="s">
        <v>115</v>
      </c>
      <c r="AD30" s="44" t="s">
        <v>117</v>
      </c>
      <c r="AE30" s="44" t="s">
        <v>118</v>
      </c>
      <c r="AF30" s="44" t="s">
        <v>119</v>
      </c>
      <c r="AG30" s="44"/>
      <c r="AH30" s="44"/>
      <c r="AI30" s="44" t="s">
        <v>122</v>
      </c>
      <c r="AJ30" s="44" t="s">
        <v>123</v>
      </c>
      <c r="AK30" s="44" t="s">
        <v>124</v>
      </c>
      <c r="AL30" s="44" t="s">
        <v>125</v>
      </c>
      <c r="AM30" s="44" t="s">
        <v>126</v>
      </c>
      <c r="AN30" s="44"/>
      <c r="AO30" s="44"/>
      <c r="AQ30" s="42" t="str">
        <f t="shared" si="10"/>
        <v>M</v>
      </c>
      <c r="AR30" s="42" t="str">
        <f>IFERROR(IF(INDEX(Estrutura_P01[],MATCH($C30,Estrutura_P01[txtMAKT-MAKTX],0),MATCH(AR$3,Estrutura_P01[#Headers],0))=0,"",INDEX(Estrutura_P01[],MATCH($C30,Estrutura_P01[txtMAKT-MAKTX],0),MATCH(AR$3,Estrutura_P01[#Headers],0))),"")</f>
        <v/>
      </c>
      <c r="AS30" s="44"/>
      <c r="AT30" s="47"/>
      <c r="AU30" s="42" t="str">
        <f>IFERROR(IF(INDEX(Estrutura_P01[],MATCH($C30,Estrutura_P01[txtMAKT-MAKTX],0),MATCH(AU$3,Estrutura_P01[#Headers],0))=0,"",INDEX(Estrutura_P01[],MATCH($C30,Estrutura_P01[txtMAKT-MAKTX],0),MATCH(AU$3,Estrutura_P01[#Headers],0))),"")</f>
        <v/>
      </c>
      <c r="AV30" s="44"/>
      <c r="AW30" s="45" t="str">
        <f t="shared" ca="1" si="11"/>
        <v/>
      </c>
      <c r="AX30" s="46" t="s">
        <v>738</v>
      </c>
      <c r="AY30" s="42" t="str">
        <f>IFERROR(IF(INDEX(Estrutura_P01[],MATCH($C30,Estrutura_P01[txtMAKT-MAKTX],0),MATCH(AY$3,Estrutura_P01[#Headers],0))=0,"",INDEX(Estrutura_P01[],MATCH($C30,Estrutura_P01[txtMAKT-MAKTX],0),MATCH(AY$3,Estrutura_P01[#Headers],0))),"")</f>
        <v/>
      </c>
      <c r="AZ30" s="42" t="str">
        <f t="shared" si="12"/>
        <v/>
      </c>
      <c r="BA30" s="47" t="s">
        <v>299</v>
      </c>
      <c r="BB30" s="47" t="s">
        <v>943</v>
      </c>
      <c r="BC30" s="42" t="str">
        <f>IFERROR(IF(INDEX(Estrutura_P01[],MATCH($C30,Estrutura_P01[txtMAKT-MAKTX],0),MATCH(BC$3,Estrutura_P01[#Headers],0))=0,"",INDEX(Estrutura_P01[],MATCH($C30,Estrutura_P01[txtMAKT-MAKTX],0),MATCH(BC$3,Estrutura_P01[#Headers],0))),"")</f>
        <v/>
      </c>
      <c r="BD30" s="42" t="str">
        <f t="shared" si="13"/>
        <v/>
      </c>
      <c r="BE30" s="42" t="str">
        <f t="shared" si="14"/>
        <v/>
      </c>
      <c r="BF30" s="42" t="str">
        <f t="shared" si="15"/>
        <v/>
      </c>
      <c r="BG30" s="42" t="str">
        <f t="shared" si="16"/>
        <v>M</v>
      </c>
      <c r="BI30" s="43" t="s">
        <v>944</v>
      </c>
      <c r="BJ30" s="43" t="s">
        <v>945</v>
      </c>
      <c r="BK30" s="42" t="str">
        <f>IFERROR(IF(INDEX(Estrutura_P01[],MATCH($C30,Estrutura_P01[txtMAKT-MAKTX],0),MATCH(BK$3,Estrutura_P01[#Headers],0))=0,"",INDEX(Estrutura_P01[],MATCH($C30,Estrutura_P01[txtMAKT-MAKTX],0),MATCH(BK$3,Estrutura_P01[#Headers],0))),"")</f>
        <v/>
      </c>
      <c r="BL30" s="42" t="str">
        <f>IFERROR(IF(INDEX(Estrutura_P01[],MATCH($C30,Estrutura_P01[txtMAKT-MAKTX],0),MATCH(BL28,Estrutura_P01[#Headers],0))=0,"",INDEX(Estrutura_P01[],MATCH($C30,Estrutura_P01[txtMAKT-MAKTX],0),MATCH(BL28,Estrutura_P01[#Headers],0))),"")</f>
        <v/>
      </c>
      <c r="BM30" s="42" t="str">
        <f>IFERROR(IF(INDEX(Estrutura_P01[],MATCH($C30,Estrutura_P01[txtMAKT-MAKTX],0),MATCH(BM28,Estrutura_P01[#Headers],0))=0,"",INDEX(Estrutura_P01[],MATCH($C30,Estrutura_P01[txtMAKT-MAKTX],0),MATCH(BM28,Estrutura_P01[#Headers],0))),"")</f>
        <v/>
      </c>
      <c r="BN30" s="42" t="str">
        <f>IFERROR(IF(INDEX(Estrutura_P01[],MATCH($C30,Estrutura_P01[txtMAKT-MAKTX],0),MATCH(BN28,Estrutura_P01[#Headers],0))=0,"",INDEX(Estrutura_P01[],MATCH($C30,Estrutura_P01[txtMAKT-MAKTX],0),MATCH(BN28,Estrutura_P01[#Headers],0))),"")</f>
        <v/>
      </c>
      <c r="BO30" s="42" t="str">
        <f>IFERROR(IF(INDEX(Estrutura_P01[],MATCH($C30,Estrutura_P01[txtMAKT-MAKTX],0),MATCH(BO28,Estrutura_P01[#Headers],0))=0,"",INDEX(Estrutura_P01[],MATCH($C30,Estrutura_P01[txtMAKT-MAKTX],0),MATCH(BO28,Estrutura_P01[#Headers],0))),"")</f>
        <v/>
      </c>
      <c r="BP30" s="42" t="str">
        <f>IFERROR(IF(OR(INDEX(Estrutura_P01[],MATCH($C30,Estrutura_P01[txtMAKT-MAKTX],0),MATCH(BP$3,Estrutura_P01[#Headers],0))=0,INDEX(Estrutura_P01[],MATCH($C30,Estrutura_P01[txtMAKT-MAKTX],0),MATCH(BP$3,Estrutura_P01[#Headers],0))=AQ30),"",INDEX(Estrutura_P01[],MATCH($C30,Estrutura_P01[txtMAKT-MAKTX],0),MATCH(BP$3,Estrutura_P01[#Headers],0))),"")</f>
        <v/>
      </c>
      <c r="BQ30" s="44">
        <v>99</v>
      </c>
      <c r="BR30" s="45" t="str">
        <f t="shared" ca="1" si="17"/>
        <v>24.05.2022</v>
      </c>
      <c r="BS30" s="48" t="str">
        <f t="shared" si="18"/>
        <v>0582</v>
      </c>
      <c r="BT30" s="49">
        <v>1</v>
      </c>
      <c r="BU30" s="49" t="s">
        <v>194</v>
      </c>
      <c r="BV30" s="102" t="str">
        <f t="shared" si="19"/>
        <v>01</v>
      </c>
      <c r="BW30" s="49" t="s">
        <v>738</v>
      </c>
      <c r="BX30" s="43">
        <v>1</v>
      </c>
      <c r="BY30" s="43" t="s">
        <v>366</v>
      </c>
      <c r="BZ30" s="49" t="s">
        <v>197</v>
      </c>
      <c r="CA30" s="49" t="s">
        <v>197</v>
      </c>
      <c r="CB30" s="47" t="s">
        <v>942</v>
      </c>
      <c r="CC30" s="43" t="s">
        <v>382</v>
      </c>
      <c r="CD30" s="49">
        <v>0</v>
      </c>
      <c r="CE30" s="44" t="s">
        <v>394</v>
      </c>
      <c r="CF30" s="44" t="s">
        <v>34</v>
      </c>
      <c r="CG30" s="42" t="str">
        <f t="shared" si="20"/>
        <v>582</v>
      </c>
      <c r="CH30" s="44" t="s">
        <v>420</v>
      </c>
      <c r="CI30" s="43">
        <v>0</v>
      </c>
      <c r="CJ30" s="42" t="str">
        <f t="shared" si="21"/>
        <v>E</v>
      </c>
      <c r="CK30" s="102" t="str">
        <f t="shared" si="22"/>
        <v/>
      </c>
      <c r="CL30" s="47">
        <v>1</v>
      </c>
      <c r="CM30" s="47">
        <v>1</v>
      </c>
      <c r="CN30" s="43"/>
      <c r="CO30" s="48" t="str">
        <f t="shared" si="23"/>
        <v>0330</v>
      </c>
      <c r="CP30" s="48" t="str">
        <f t="shared" si="24"/>
        <v>0330</v>
      </c>
      <c r="CQ30" s="42" t="str">
        <f t="shared" si="25"/>
        <v/>
      </c>
      <c r="CR30" s="43">
        <v>1</v>
      </c>
      <c r="CS30" s="49" t="s">
        <v>505</v>
      </c>
      <c r="CT30" s="43" t="s">
        <v>36</v>
      </c>
      <c r="CU30" s="43">
        <v>2</v>
      </c>
      <c r="CV30" s="43">
        <v>42</v>
      </c>
      <c r="CW30" s="43">
        <v>10</v>
      </c>
      <c r="CX30" s="42">
        <f t="shared" si="26"/>
        <v>1</v>
      </c>
      <c r="CY30" s="42" t="str">
        <f>IFERROR(IF(INDEX(Estrutura_P01[],MATCH($C30,Estrutura_P01[txtMAKT-MAKTX],0),MATCH(CY$3,Estrutura_P01[#Headers],0))=0,"",IF(INDEX(Estrutura_P01[],MATCH($C30,Estrutura_P01[txtMAKT-MAKTX],0),MATCH(CY$3,Estrutura_P01[#Headers],0))="Industrializado","SUB_0582","")),"")</f>
        <v/>
      </c>
      <c r="CZ30" s="42" t="str">
        <f t="shared" ca="1" si="27"/>
        <v>24.05.2022</v>
      </c>
      <c r="DA30" s="42" t="str">
        <f t="shared" si="28"/>
        <v>31.12.9999</v>
      </c>
      <c r="DC30" s="43">
        <v>1</v>
      </c>
      <c r="DD30" s="43" t="s">
        <v>946</v>
      </c>
      <c r="DE30" s="43">
        <v>30</v>
      </c>
      <c r="DF30" s="43">
        <v>1</v>
      </c>
      <c r="DG30" s="42">
        <f t="shared" si="0"/>
        <v>0.01</v>
      </c>
      <c r="DH30" s="42" t="str">
        <f t="shared" si="1"/>
        <v>M</v>
      </c>
      <c r="DI30" s="42" t="str">
        <f t="shared" si="2"/>
        <v/>
      </c>
      <c r="DJ30" s="43">
        <v>1000</v>
      </c>
      <c r="DK30" s="69">
        <f t="shared" si="3"/>
        <v>1</v>
      </c>
      <c r="DL30" s="42">
        <f t="shared" si="29"/>
        <v>1000</v>
      </c>
      <c r="DM30" s="43">
        <v>1</v>
      </c>
      <c r="DN30" s="43">
        <v>0</v>
      </c>
      <c r="DO30" s="43" t="s">
        <v>759</v>
      </c>
      <c r="DP30" s="44">
        <v>0</v>
      </c>
      <c r="DQ30" s="43">
        <v>1000</v>
      </c>
      <c r="DR30" s="94" t="str">
        <f>IFERROR(IF(INDEX(Estrutura_P01[],MATCH($C30,Estrutura_P01[txtMAKT-MAKTX],0),MATCH(DR$3,Estrutura_P01[#Headers],0))=0,"",INDEX(Estrutura_P01[],MATCH($C30,Estrutura_P01[txtMAKT-MAKTX],0),MATCH(DR$3,Estrutura_P01[#Headers],0)))*DQ30,"")</f>
        <v/>
      </c>
      <c r="DS30" s="42" t="str">
        <f t="shared" ca="1" si="30"/>
        <v/>
      </c>
      <c r="DT30" s="58" t="s">
        <v>983</v>
      </c>
    </row>
  </sheetData>
  <sortState ref="B5:B61">
    <sortCondition ref="B5"/>
  </sortState>
  <mergeCells count="6">
    <mergeCell ref="DB1:DB2"/>
    <mergeCell ref="BI1:BI2"/>
    <mergeCell ref="O3:AO3"/>
    <mergeCell ref="AP1:AP2"/>
    <mergeCell ref="N1:N2"/>
    <mergeCell ref="BH1:BH2"/>
  </mergeCells>
  <conditionalFormatting sqref="B5 D5:E5">
    <cfRule type="beginsWith" dxfId="192" priority="261" operator="beginsWith" text="L">
      <formula>LEFT(B5,LEN("L"))="L"</formula>
    </cfRule>
  </conditionalFormatting>
  <conditionalFormatting sqref="F5">
    <cfRule type="beginsWith" dxfId="191" priority="177" operator="beginsWith" text="L">
      <formula>LEFT(F5,LEN("L"))="L"</formula>
    </cfRule>
  </conditionalFormatting>
  <conditionalFormatting sqref="DT1:DT5 DT31:DT1048576">
    <cfRule type="containsText" dxfId="190" priority="178" operator="containsText" text="criadas">
      <formula>NOT(ISERROR(SEARCH("criadas",DT1)))</formula>
    </cfRule>
    <cfRule type="containsText" dxfId="189" priority="180" operator="containsText" text="é gravado">
      <formula>NOT(ISERROR(SEARCH("é gravado",DT1)))</formula>
    </cfRule>
    <cfRule type="containsText" dxfId="188" priority="181" operator="containsText" text="é modificado">
      <formula>NOT(ISERROR(SEARCH("é modificado",DT1)))</formula>
    </cfRule>
    <cfRule type="containsText" dxfId="187" priority="182" operator="containsText" text="Error">
      <formula>NOT(ISERROR(SEARCH("Error",DT1)))</formula>
    </cfRule>
    <cfRule type="containsText" dxfId="186" priority="183" operator="containsText" text="é criado">
      <formula>NOT(ISERROR(SEARCH("é criado",DT1)))</formula>
    </cfRule>
  </conditionalFormatting>
  <conditionalFormatting sqref="CB5">
    <cfRule type="beginsWith" dxfId="185" priority="170" operator="beginsWith" text="L">
      <formula>LEFT(CB5,LEN("L"))="L"</formula>
    </cfRule>
  </conditionalFormatting>
  <conditionalFormatting sqref="L5">
    <cfRule type="beginsWith" dxfId="184" priority="163" operator="beginsWith" text="L">
      <formula>LEFT(L5,LEN("L"))="L"</formula>
    </cfRule>
  </conditionalFormatting>
  <conditionalFormatting sqref="M5">
    <cfRule type="beginsWith" dxfId="183" priority="161" operator="beginsWith" text="L">
      <formula>LEFT(M5,LEN("L"))="L"</formula>
    </cfRule>
  </conditionalFormatting>
  <conditionalFormatting sqref="C5">
    <cfRule type="beginsWith" dxfId="182" priority="160" operator="beginsWith" text="L">
      <formula>LEFT(C5,LEN("L"))="L"</formula>
    </cfRule>
  </conditionalFormatting>
  <conditionalFormatting sqref="I5">
    <cfRule type="beginsWith" dxfId="181" priority="165" operator="beginsWith" text="L">
      <formula>LEFT(I5,LEN("L"))="L"</formula>
    </cfRule>
  </conditionalFormatting>
  <conditionalFormatting sqref="J5">
    <cfRule type="beginsWith" dxfId="180" priority="164" operator="beginsWith" text="L">
      <formula>LEFT(J5,LEN("L"))="L"</formula>
    </cfRule>
  </conditionalFormatting>
  <conditionalFormatting sqref="K5">
    <cfRule type="beginsWith" dxfId="179" priority="162" operator="beginsWith" text="L">
      <formula>LEFT(K5,LEN("L"))="L"</formula>
    </cfRule>
  </conditionalFormatting>
  <conditionalFormatting sqref="AT5">
    <cfRule type="beginsWith" dxfId="178" priority="159" operator="beginsWith" text="L">
      <formula>LEFT(AT5,LEN("L"))="L"</formula>
    </cfRule>
  </conditionalFormatting>
  <conditionalFormatting sqref="BP5">
    <cfRule type="beginsWith" dxfId="177" priority="62" operator="beginsWith" text="L">
      <formula>LEFT(BP5,LEN("L"))="L"</formula>
    </cfRule>
  </conditionalFormatting>
  <conditionalFormatting sqref="AR5">
    <cfRule type="beginsWith" dxfId="176" priority="32" operator="beginsWith" text="L">
      <formula>LEFT(AR5,LEN("L"))="L"</formula>
    </cfRule>
  </conditionalFormatting>
  <conditionalFormatting sqref="AU5">
    <cfRule type="beginsWith" dxfId="175" priority="31" operator="beginsWith" text="L">
      <formula>LEFT(AU5,LEN("L"))="L"</formula>
    </cfRule>
  </conditionalFormatting>
  <conditionalFormatting sqref="AY5">
    <cfRule type="beginsWith" dxfId="174" priority="30" operator="beginsWith" text="L">
      <formula>LEFT(AY5,LEN("L"))="L"</formula>
    </cfRule>
  </conditionalFormatting>
  <conditionalFormatting sqref="DR5:DR30">
    <cfRule type="beginsWith" dxfId="173" priority="28" operator="beginsWith" text="L">
      <formula>LEFT(DR5,LEN("L"))="L"</formula>
    </cfRule>
  </conditionalFormatting>
  <conditionalFormatting sqref="B6:B30 D6:E30">
    <cfRule type="beginsWith" dxfId="172" priority="27" operator="beginsWith" text="L">
      <formula>LEFT(B6,LEN("L"))="L"</formula>
    </cfRule>
  </conditionalFormatting>
  <conditionalFormatting sqref="F6:F30">
    <cfRule type="beginsWith" dxfId="171" priority="21" operator="beginsWith" text="L">
      <formula>LEFT(F6,LEN("L"))="L"</formula>
    </cfRule>
  </conditionalFormatting>
  <conditionalFormatting sqref="DT6:DT30">
    <cfRule type="containsText" dxfId="170" priority="22" operator="containsText" text="criadas">
      <formula>NOT(ISERROR(SEARCH("criadas",DT6)))</formula>
    </cfRule>
    <cfRule type="containsText" dxfId="169" priority="23" operator="containsText" text="é gravado">
      <formula>NOT(ISERROR(SEARCH("é gravado",DT6)))</formula>
    </cfRule>
    <cfRule type="containsText" dxfId="168" priority="24" operator="containsText" text="é modificado">
      <formula>NOT(ISERROR(SEARCH("é modificado",DT6)))</formula>
    </cfRule>
    <cfRule type="containsText" dxfId="167" priority="25" operator="containsText" text="Error">
      <formula>NOT(ISERROR(SEARCH("Error",DT6)))</formula>
    </cfRule>
    <cfRule type="containsText" dxfId="166" priority="26" operator="containsText" text="é criado">
      <formula>NOT(ISERROR(SEARCH("é criado",DT6)))</formula>
    </cfRule>
  </conditionalFormatting>
  <conditionalFormatting sqref="CB6:CB30">
    <cfRule type="beginsWith" dxfId="165" priority="20" operator="beginsWith" text="L">
      <formula>LEFT(CB6,LEN("L"))="L"</formula>
    </cfRule>
  </conditionalFormatting>
  <conditionalFormatting sqref="L6:L30">
    <cfRule type="beginsWith" dxfId="164" priority="17" operator="beginsWith" text="L">
      <formula>LEFT(L6,LEN("L"))="L"</formula>
    </cfRule>
  </conditionalFormatting>
  <conditionalFormatting sqref="M6:M30">
    <cfRule type="beginsWith" dxfId="163" priority="15" operator="beginsWith" text="L">
      <formula>LEFT(M6,LEN("L"))="L"</formula>
    </cfRule>
  </conditionalFormatting>
  <conditionalFormatting sqref="C6:C30">
    <cfRule type="beginsWith" dxfId="162" priority="14" operator="beginsWith" text="L">
      <formula>LEFT(C6,LEN("L"))="L"</formula>
    </cfRule>
  </conditionalFormatting>
  <conditionalFormatting sqref="I6:I30">
    <cfRule type="beginsWith" dxfId="161" priority="19" operator="beginsWith" text="L">
      <formula>LEFT(I6,LEN("L"))="L"</formula>
    </cfRule>
  </conditionalFormatting>
  <conditionalFormatting sqref="J6:J30">
    <cfRule type="beginsWith" dxfId="160" priority="18" operator="beginsWith" text="L">
      <formula>LEFT(J6,LEN("L"))="L"</formula>
    </cfRule>
  </conditionalFormatting>
  <conditionalFormatting sqref="K6:K30">
    <cfRule type="beginsWith" dxfId="159" priority="16" operator="beginsWith" text="L">
      <formula>LEFT(K6,LEN("L"))="L"</formula>
    </cfRule>
  </conditionalFormatting>
  <conditionalFormatting sqref="AT6:AT30">
    <cfRule type="beginsWith" dxfId="158" priority="13" operator="beginsWith" text="L">
      <formula>LEFT(AT6,LEN("L"))="L"</formula>
    </cfRule>
  </conditionalFormatting>
  <conditionalFormatting sqref="CL6:CM30">
    <cfRule type="expression" dxfId="157" priority="12">
      <formula>(CK6="F")</formula>
    </cfRule>
  </conditionalFormatting>
  <conditionalFormatting sqref="BP6:BP30">
    <cfRule type="beginsWith" dxfId="156" priority="9" operator="beginsWith" text="L">
      <formula>LEFT(BP6,LEN("L"))="L"</formula>
    </cfRule>
  </conditionalFormatting>
  <conditionalFormatting sqref="AR6:AR30">
    <cfRule type="beginsWith" dxfId="155" priority="8" operator="beginsWith" text="L">
      <formula>LEFT(AR6,LEN("L"))="L"</formula>
    </cfRule>
  </conditionalFormatting>
  <conditionalFormatting sqref="AU6:AU30">
    <cfRule type="beginsWith" dxfId="154" priority="7" operator="beginsWith" text="L">
      <formula>LEFT(AU6,LEN("L"))="L"</formula>
    </cfRule>
  </conditionalFormatting>
  <conditionalFormatting sqref="AY6:AY30">
    <cfRule type="beginsWith" dxfId="153" priority="6" operator="beginsWith" text="L">
      <formula>LEFT(AY6,LEN("L"))="L"</formula>
    </cfRule>
  </conditionalFormatting>
  <conditionalFormatting sqref="BL6:BO30">
    <cfRule type="beginsWith" dxfId="152" priority="5" operator="beginsWith" text="L">
      <formula>LEFT(BL6,LEN("L"))="L"</formula>
    </cfRule>
  </conditionalFormatting>
  <conditionalFormatting sqref="BC5:BC30">
    <cfRule type="beginsWith" dxfId="151" priority="3" operator="beginsWith" text="L">
      <formula>LEFT(BC5,LEN("L"))="L"</formula>
    </cfRule>
  </conditionalFormatting>
  <conditionalFormatting sqref="BK5:BO5 BK6:BK30">
    <cfRule type="beginsWith" dxfId="150" priority="2" operator="beginsWith" text="L">
      <formula>LEFT(BK5,LEN("L"))="L"</formula>
    </cfRule>
  </conditionalFormatting>
  <conditionalFormatting sqref="CY5:CY30">
    <cfRule type="beginsWith" dxfId="149" priority="1" operator="beginsWith" text="L">
      <formula>LEFT(CY5,LEN("L"))="L"</formula>
    </cfRule>
  </conditionalFormatting>
  <dataValidations count="2">
    <dataValidation type="list" allowBlank="1" showInputMessage="1" showErrorMessage="1" sqref="CI5:CI30 BX5:BX30">
      <formula1>"0,1"</formula1>
    </dataValidation>
    <dataValidation type="list" allowBlank="1" showInputMessage="1" showErrorMessage="1" sqref="DP5:DP30 DC5:DC30">
      <formula1>"1,0"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'Listas de Dados'!$J$4:$J$29</xm:f>
          </x14:formula1>
          <xm:sqref>O5:AO30</xm:sqref>
        </x14:dataValidation>
        <x14:dataValidation type="list" allowBlank="1" showInputMessage="1" showErrorMessage="1">
          <x14:formula1>
            <xm:f>'Listas de Dados'!$AA$4:$AA$5</xm:f>
          </x14:formula1>
          <xm:sqref>BQ5:BQ30 AV5:AV30</xm:sqref>
        </x14:dataValidation>
        <x14:dataValidation type="list" allowBlank="1" showInputMessage="1" showErrorMessage="1">
          <x14:formula1>
            <xm:f>'Listas de Dados'!$AI$4:$AI$11</xm:f>
          </x14:formula1>
          <xm:sqref>BY5:BY30</xm:sqref>
        </x14:dataValidation>
        <x14:dataValidation type="list" allowBlank="1" showInputMessage="1" showErrorMessage="1">
          <x14:formula1>
            <xm:f>'Listas de Dados'!$AL$4:$AL$10</xm:f>
          </x14:formula1>
          <xm:sqref>CE5:CE30</xm:sqref>
        </x14:dataValidation>
        <x14:dataValidation type="list" allowBlank="1" showInputMessage="1" showErrorMessage="1">
          <x14:formula1>
            <xm:f>'Listas de Dados'!$AO$4:$AO$32</xm:f>
          </x14:formula1>
          <xm:sqref>CF5:CF30</xm:sqref>
        </x14:dataValidation>
        <x14:dataValidation type="list" allowBlank="1" showInputMessage="1" showErrorMessage="1">
          <x14:formula1>
            <xm:f>'Listas de Dados'!$AU$4:$AU$35</xm:f>
          </x14:formula1>
          <xm:sqref>CH5:CH30</xm:sqref>
        </x14:dataValidation>
        <x14:dataValidation type="list" allowBlank="1" showInputMessage="1" showErrorMessage="1">
          <x14:formula1>
            <xm:f>'Listas de Dados'!$AR$4:$AR$11</xm:f>
          </x14:formula1>
          <xm:sqref>CG5:CG30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>
    <tabColor theme="4" tint="0.79998168889431442"/>
  </sheetPr>
  <dimension ref="A1:I30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H5" sqref="H5:H16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45.7109375" style="6" customWidth="1"/>
    <col min="4" max="4" width="19.28515625" style="6" customWidth="1"/>
    <col min="5" max="5" width="20.140625" style="6" customWidth="1"/>
    <col min="6" max="6" width="21.7109375" style="6" customWidth="1"/>
    <col min="7" max="7" width="20.85546875" style="6" customWidth="1"/>
    <col min="8" max="8" width="81.5703125" style="1" customWidth="1"/>
    <col min="9" max="9" width="22" style="1" hidden="1" customWidth="1"/>
    <col min="10" max="16384" width="9.140625" style="1"/>
  </cols>
  <sheetData>
    <row r="1" spans="1:9" s="91" customFormat="1" x14ac:dyDescent="0.2">
      <c r="A1" s="7" t="s">
        <v>28</v>
      </c>
    </row>
    <row r="2" spans="1:9" s="40" customFormat="1" x14ac:dyDescent="0.2">
      <c r="A2" s="7"/>
      <c r="B2" s="39"/>
      <c r="C2" s="39"/>
      <c r="D2" s="39"/>
      <c r="E2" s="39"/>
      <c r="F2" s="39"/>
      <c r="G2" s="39"/>
    </row>
    <row r="3" spans="1:9" s="91" customFormat="1" ht="15" customHeight="1" x14ac:dyDescent="0.2">
      <c r="A3" s="7" t="s">
        <v>29</v>
      </c>
      <c r="B3" s="4" t="s">
        <v>970</v>
      </c>
      <c r="C3" s="90"/>
      <c r="D3" s="90" t="s">
        <v>964</v>
      </c>
      <c r="E3" s="90" t="s">
        <v>965</v>
      </c>
      <c r="F3" s="90" t="s">
        <v>966</v>
      </c>
      <c r="G3" s="90" t="s">
        <v>843</v>
      </c>
      <c r="H3" s="91" t="s">
        <v>32</v>
      </c>
    </row>
    <row r="4" spans="1:9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967</v>
      </c>
      <c r="E4" s="14" t="s">
        <v>95</v>
      </c>
      <c r="F4" s="14" t="s">
        <v>968</v>
      </c>
      <c r="G4" s="14" t="s">
        <v>969</v>
      </c>
      <c r="H4" s="5" t="s">
        <v>832</v>
      </c>
      <c r="I4" s="5" t="s">
        <v>937</v>
      </c>
    </row>
    <row r="5" spans="1:9" x14ac:dyDescent="0.2">
      <c r="A5" s="7" t="str">
        <f>"Execução "&amp;ROW()-4</f>
        <v>Execução 1</v>
      </c>
      <c r="B5" s="41"/>
      <c r="C5" s="81" t="str">
        <f>IFERROR(VLOOKUP(B5,'ZM01'!B:C,2,0),"")</f>
        <v/>
      </c>
      <c r="D5" s="43">
        <v>1</v>
      </c>
      <c r="E5" s="42" t="str">
        <f>IF(B5&lt;&gt;"",B5,"")</f>
        <v/>
      </c>
      <c r="F5" s="43">
        <v>300</v>
      </c>
      <c r="G5" s="43" t="s">
        <v>945</v>
      </c>
      <c r="H5" s="58"/>
      <c r="I5" s="42" t="str">
        <f>IFERROR(VALUE(MID(H5,FIND("5",H5),8)),"")</f>
        <v/>
      </c>
    </row>
    <row r="6" spans="1:9" x14ac:dyDescent="0.2">
      <c r="A6" s="7" t="str">
        <f t="shared" ref="A6:A30" si="0">"Execução "&amp;ROW()-4</f>
        <v>Execução 2</v>
      </c>
      <c r="B6" s="41"/>
      <c r="C6" s="81" t="str">
        <f>IFERROR(VLOOKUP(B6,'ZM01'!B:C,2,0),"")</f>
        <v/>
      </c>
      <c r="D6" s="43">
        <v>1</v>
      </c>
      <c r="E6" s="42" t="str">
        <f t="shared" ref="E6:E30" si="1">IF(B6&lt;&gt;"",B6,"")</f>
        <v/>
      </c>
      <c r="F6" s="43">
        <v>300</v>
      </c>
      <c r="G6" s="43" t="s">
        <v>945</v>
      </c>
      <c r="H6" s="58"/>
      <c r="I6" s="42" t="str">
        <f t="shared" ref="I6:I30" si="2">IFERROR(VALUE(MID(H6,FIND("5",H6),8)),"")</f>
        <v/>
      </c>
    </row>
    <row r="7" spans="1:9" x14ac:dyDescent="0.2">
      <c r="A7" s="7" t="str">
        <f t="shared" si="0"/>
        <v>Execução 3</v>
      </c>
      <c r="B7" s="41"/>
      <c r="C7" s="81" t="str">
        <f>IFERROR(VLOOKUP(B7,'ZM01'!B:C,2,0),"")</f>
        <v/>
      </c>
      <c r="D7" s="43">
        <v>1</v>
      </c>
      <c r="E7" s="42" t="str">
        <f t="shared" si="1"/>
        <v/>
      </c>
      <c r="F7" s="43">
        <v>300</v>
      </c>
      <c r="G7" s="43" t="s">
        <v>945</v>
      </c>
      <c r="H7" s="58"/>
      <c r="I7" s="42" t="str">
        <f t="shared" si="2"/>
        <v/>
      </c>
    </row>
    <row r="8" spans="1:9" x14ac:dyDescent="0.2">
      <c r="A8" s="7" t="str">
        <f t="shared" si="0"/>
        <v>Execução 4</v>
      </c>
      <c r="B8" s="41"/>
      <c r="C8" s="81" t="str">
        <f>IFERROR(VLOOKUP(B8,'ZM01'!B:C,2,0),"")</f>
        <v/>
      </c>
      <c r="D8" s="43">
        <v>1</v>
      </c>
      <c r="E8" s="42" t="str">
        <f t="shared" si="1"/>
        <v/>
      </c>
      <c r="F8" s="43">
        <v>300</v>
      </c>
      <c r="G8" s="43" t="s">
        <v>945</v>
      </c>
      <c r="H8" s="58"/>
      <c r="I8" s="42" t="str">
        <f t="shared" si="2"/>
        <v/>
      </c>
    </row>
    <row r="9" spans="1:9" x14ac:dyDescent="0.2">
      <c r="A9" s="7" t="str">
        <f t="shared" si="0"/>
        <v>Execução 5</v>
      </c>
      <c r="B9" s="41"/>
      <c r="C9" s="81" t="str">
        <f>IFERROR(VLOOKUP(B9,'ZM01'!B:C,2,0),"")</f>
        <v/>
      </c>
      <c r="D9" s="43">
        <v>1</v>
      </c>
      <c r="E9" s="42" t="str">
        <f t="shared" si="1"/>
        <v/>
      </c>
      <c r="F9" s="43">
        <v>300</v>
      </c>
      <c r="G9" s="43" t="s">
        <v>945</v>
      </c>
      <c r="H9" s="58"/>
      <c r="I9" s="42" t="str">
        <f t="shared" si="2"/>
        <v/>
      </c>
    </row>
    <row r="10" spans="1:9" x14ac:dyDescent="0.2">
      <c r="A10" s="7" t="str">
        <f t="shared" si="0"/>
        <v>Execução 6</v>
      </c>
      <c r="B10" s="41"/>
      <c r="C10" s="81" t="str">
        <f>IFERROR(VLOOKUP(B10,'ZM01'!B:C,2,0),"")</f>
        <v/>
      </c>
      <c r="D10" s="43">
        <v>1</v>
      </c>
      <c r="E10" s="42" t="str">
        <f t="shared" si="1"/>
        <v/>
      </c>
      <c r="F10" s="43">
        <v>300</v>
      </c>
      <c r="G10" s="43" t="s">
        <v>945</v>
      </c>
      <c r="H10" s="58"/>
      <c r="I10" s="42" t="str">
        <f t="shared" si="2"/>
        <v/>
      </c>
    </row>
    <row r="11" spans="1:9" x14ac:dyDescent="0.2">
      <c r="A11" s="7" t="str">
        <f t="shared" si="0"/>
        <v>Execução 7</v>
      </c>
      <c r="B11" s="41"/>
      <c r="C11" s="81" t="str">
        <f>IFERROR(VLOOKUP(B11,'ZM01'!B:C,2,0),"")</f>
        <v/>
      </c>
      <c r="D11" s="43">
        <v>1</v>
      </c>
      <c r="E11" s="42" t="str">
        <f t="shared" si="1"/>
        <v/>
      </c>
      <c r="F11" s="43">
        <v>300</v>
      </c>
      <c r="G11" s="43" t="s">
        <v>945</v>
      </c>
      <c r="H11" s="58"/>
      <c r="I11" s="42" t="str">
        <f t="shared" si="2"/>
        <v/>
      </c>
    </row>
    <row r="12" spans="1:9" x14ac:dyDescent="0.2">
      <c r="A12" s="7" t="str">
        <f t="shared" si="0"/>
        <v>Execução 8</v>
      </c>
      <c r="B12" s="41"/>
      <c r="C12" s="81" t="str">
        <f>IFERROR(VLOOKUP(B12,'ZM01'!B:C,2,0),"")</f>
        <v/>
      </c>
      <c r="D12" s="43">
        <v>1</v>
      </c>
      <c r="E12" s="42" t="str">
        <f t="shared" si="1"/>
        <v/>
      </c>
      <c r="F12" s="43">
        <v>300</v>
      </c>
      <c r="G12" s="43" t="s">
        <v>945</v>
      </c>
      <c r="H12" s="58"/>
      <c r="I12" s="42" t="str">
        <f t="shared" si="2"/>
        <v/>
      </c>
    </row>
    <row r="13" spans="1:9" x14ac:dyDescent="0.2">
      <c r="A13" s="7" t="str">
        <f t="shared" si="0"/>
        <v>Execução 9</v>
      </c>
      <c r="B13" s="41"/>
      <c r="C13" s="81" t="str">
        <f>IFERROR(VLOOKUP(B13,'ZM01'!B:C,2,0),"")</f>
        <v/>
      </c>
      <c r="D13" s="43">
        <v>1</v>
      </c>
      <c r="E13" s="42" t="str">
        <f t="shared" si="1"/>
        <v/>
      </c>
      <c r="F13" s="43">
        <v>300</v>
      </c>
      <c r="G13" s="43" t="s">
        <v>945</v>
      </c>
      <c r="H13" s="58"/>
      <c r="I13" s="42" t="str">
        <f t="shared" si="2"/>
        <v/>
      </c>
    </row>
    <row r="14" spans="1:9" x14ac:dyDescent="0.2">
      <c r="A14" s="7" t="str">
        <f t="shared" si="0"/>
        <v>Execução 10</v>
      </c>
      <c r="B14" s="41"/>
      <c r="C14" s="81" t="str">
        <f>IFERROR(VLOOKUP(B14,'ZM01'!B:C,2,0),"")</f>
        <v/>
      </c>
      <c r="D14" s="43">
        <v>1</v>
      </c>
      <c r="E14" s="42" t="str">
        <f t="shared" si="1"/>
        <v/>
      </c>
      <c r="F14" s="43">
        <v>300</v>
      </c>
      <c r="G14" s="43" t="s">
        <v>945</v>
      </c>
      <c r="H14" s="58"/>
      <c r="I14" s="42" t="str">
        <f t="shared" si="2"/>
        <v/>
      </c>
    </row>
    <row r="15" spans="1:9" x14ac:dyDescent="0.2">
      <c r="A15" s="7" t="str">
        <f t="shared" si="0"/>
        <v>Execução 11</v>
      </c>
      <c r="B15" s="41"/>
      <c r="C15" s="81" t="str">
        <f>IFERROR(VLOOKUP(B15,'ZM01'!B:C,2,0),"")</f>
        <v/>
      </c>
      <c r="D15" s="43">
        <v>1</v>
      </c>
      <c r="E15" s="42" t="str">
        <f t="shared" si="1"/>
        <v/>
      </c>
      <c r="F15" s="43">
        <v>300</v>
      </c>
      <c r="G15" s="43" t="s">
        <v>945</v>
      </c>
      <c r="H15" s="58"/>
      <c r="I15" s="42" t="str">
        <f t="shared" si="2"/>
        <v/>
      </c>
    </row>
    <row r="16" spans="1:9" x14ac:dyDescent="0.2">
      <c r="A16" s="7" t="str">
        <f t="shared" si="0"/>
        <v>Execução 12</v>
      </c>
      <c r="B16" s="41"/>
      <c r="C16" s="81" t="str">
        <f>IFERROR(VLOOKUP(B16,'ZM01'!B:C,2,0),"")</f>
        <v/>
      </c>
      <c r="D16" s="43">
        <v>1</v>
      </c>
      <c r="E16" s="42" t="str">
        <f t="shared" si="1"/>
        <v/>
      </c>
      <c r="F16" s="43">
        <v>300</v>
      </c>
      <c r="G16" s="43" t="s">
        <v>945</v>
      </c>
      <c r="H16" s="58"/>
      <c r="I16" s="42" t="str">
        <f t="shared" si="2"/>
        <v/>
      </c>
    </row>
    <row r="17" spans="1:9" x14ac:dyDescent="0.2">
      <c r="A17" s="7" t="str">
        <f t="shared" si="0"/>
        <v>Execução 13</v>
      </c>
      <c r="B17" s="41"/>
      <c r="C17" s="81" t="str">
        <f>IFERROR(VLOOKUP(B17,'ZM01'!B:C,2,0),"")</f>
        <v/>
      </c>
      <c r="D17" s="43">
        <v>1</v>
      </c>
      <c r="E17" s="42" t="str">
        <f t="shared" si="1"/>
        <v/>
      </c>
      <c r="F17" s="43">
        <v>300</v>
      </c>
      <c r="G17" s="43" t="s">
        <v>945</v>
      </c>
      <c r="H17" s="58"/>
      <c r="I17" s="42" t="str">
        <f t="shared" si="2"/>
        <v/>
      </c>
    </row>
    <row r="18" spans="1:9" x14ac:dyDescent="0.2">
      <c r="A18" s="7" t="str">
        <f t="shared" si="0"/>
        <v>Execução 14</v>
      </c>
      <c r="B18" s="41"/>
      <c r="C18" s="81" t="str">
        <f>IFERROR(VLOOKUP(B18,'ZM01'!B:C,2,0),"")</f>
        <v/>
      </c>
      <c r="D18" s="43">
        <v>1</v>
      </c>
      <c r="E18" s="42" t="str">
        <f t="shared" si="1"/>
        <v/>
      </c>
      <c r="F18" s="43">
        <v>300</v>
      </c>
      <c r="G18" s="43" t="s">
        <v>945</v>
      </c>
      <c r="H18" s="58"/>
      <c r="I18" s="42" t="str">
        <f t="shared" si="2"/>
        <v/>
      </c>
    </row>
    <row r="19" spans="1:9" x14ac:dyDescent="0.2">
      <c r="A19" s="7" t="str">
        <f t="shared" si="0"/>
        <v>Execução 15</v>
      </c>
      <c r="B19" s="41"/>
      <c r="C19" s="81" t="str">
        <f>IFERROR(VLOOKUP(B19,'ZM01'!B:C,2,0),"")</f>
        <v/>
      </c>
      <c r="D19" s="43">
        <v>1</v>
      </c>
      <c r="E19" s="42" t="str">
        <f t="shared" si="1"/>
        <v/>
      </c>
      <c r="F19" s="43">
        <v>300</v>
      </c>
      <c r="G19" s="43" t="s">
        <v>945</v>
      </c>
      <c r="H19" s="58"/>
      <c r="I19" s="42" t="str">
        <f t="shared" si="2"/>
        <v/>
      </c>
    </row>
    <row r="20" spans="1:9" x14ac:dyDescent="0.2">
      <c r="A20" s="7" t="str">
        <f t="shared" si="0"/>
        <v>Execução 16</v>
      </c>
      <c r="B20" s="41"/>
      <c r="C20" s="81" t="str">
        <f>IFERROR(VLOOKUP(B20,'ZM01'!B:C,2,0),"")</f>
        <v/>
      </c>
      <c r="D20" s="43">
        <v>1</v>
      </c>
      <c r="E20" s="42" t="str">
        <f t="shared" si="1"/>
        <v/>
      </c>
      <c r="F20" s="43">
        <v>300</v>
      </c>
      <c r="G20" s="43" t="s">
        <v>945</v>
      </c>
      <c r="H20" s="58"/>
      <c r="I20" s="42" t="str">
        <f t="shared" si="2"/>
        <v/>
      </c>
    </row>
    <row r="21" spans="1:9" x14ac:dyDescent="0.2">
      <c r="A21" s="7" t="str">
        <f t="shared" si="0"/>
        <v>Execução 17</v>
      </c>
      <c r="B21" s="41"/>
      <c r="C21" s="81" t="str">
        <f>IFERROR(VLOOKUP(B21,'ZM01'!B:C,2,0),"")</f>
        <v/>
      </c>
      <c r="D21" s="43">
        <v>1</v>
      </c>
      <c r="E21" s="42" t="str">
        <f t="shared" si="1"/>
        <v/>
      </c>
      <c r="F21" s="43">
        <v>300</v>
      </c>
      <c r="G21" s="43" t="s">
        <v>945</v>
      </c>
      <c r="H21" s="58"/>
      <c r="I21" s="42" t="str">
        <f t="shared" si="2"/>
        <v/>
      </c>
    </row>
    <row r="22" spans="1:9" x14ac:dyDescent="0.2">
      <c r="A22" s="7" t="str">
        <f t="shared" si="0"/>
        <v>Execução 18</v>
      </c>
      <c r="B22" s="41"/>
      <c r="C22" s="81" t="str">
        <f>IFERROR(VLOOKUP(B22,'ZM01'!B:C,2,0),"")</f>
        <v/>
      </c>
      <c r="D22" s="43">
        <v>1</v>
      </c>
      <c r="E22" s="42" t="str">
        <f t="shared" si="1"/>
        <v/>
      </c>
      <c r="F22" s="43">
        <v>300</v>
      </c>
      <c r="G22" s="43" t="s">
        <v>945</v>
      </c>
      <c r="H22" s="58"/>
      <c r="I22" s="42" t="str">
        <f t="shared" si="2"/>
        <v/>
      </c>
    </row>
    <row r="23" spans="1:9" x14ac:dyDescent="0.2">
      <c r="A23" s="7" t="str">
        <f t="shared" si="0"/>
        <v>Execução 19</v>
      </c>
      <c r="B23" s="41"/>
      <c r="C23" s="81" t="str">
        <f>IFERROR(VLOOKUP(B23,'ZM01'!B:C,2,0),"")</f>
        <v/>
      </c>
      <c r="D23" s="43">
        <v>1</v>
      </c>
      <c r="E23" s="42" t="str">
        <f t="shared" si="1"/>
        <v/>
      </c>
      <c r="F23" s="43">
        <v>300</v>
      </c>
      <c r="G23" s="43" t="s">
        <v>945</v>
      </c>
      <c r="H23" s="58"/>
      <c r="I23" s="42" t="str">
        <f t="shared" si="2"/>
        <v/>
      </c>
    </row>
    <row r="24" spans="1:9" x14ac:dyDescent="0.2">
      <c r="A24" s="7" t="str">
        <f t="shared" si="0"/>
        <v>Execução 20</v>
      </c>
      <c r="B24" s="41"/>
      <c r="C24" s="81" t="str">
        <f>IFERROR(VLOOKUP(B24,'ZM01'!B:C,2,0),"")</f>
        <v/>
      </c>
      <c r="D24" s="43">
        <v>1</v>
      </c>
      <c r="E24" s="42" t="str">
        <f t="shared" si="1"/>
        <v/>
      </c>
      <c r="F24" s="43">
        <v>300</v>
      </c>
      <c r="G24" s="43" t="s">
        <v>945</v>
      </c>
      <c r="H24" s="58"/>
      <c r="I24" s="42" t="str">
        <f t="shared" si="2"/>
        <v/>
      </c>
    </row>
    <row r="25" spans="1:9" x14ac:dyDescent="0.2">
      <c r="A25" s="7" t="str">
        <f t="shared" si="0"/>
        <v>Execução 21</v>
      </c>
      <c r="B25" s="41"/>
      <c r="C25" s="81" t="str">
        <f>IFERROR(VLOOKUP(B25,'ZM01'!B:C,2,0),"")</f>
        <v/>
      </c>
      <c r="D25" s="43">
        <v>1</v>
      </c>
      <c r="E25" s="42" t="str">
        <f t="shared" si="1"/>
        <v/>
      </c>
      <c r="F25" s="43">
        <v>300</v>
      </c>
      <c r="G25" s="43" t="s">
        <v>945</v>
      </c>
      <c r="H25" s="58"/>
      <c r="I25" s="42" t="str">
        <f t="shared" si="2"/>
        <v/>
      </c>
    </row>
    <row r="26" spans="1:9" x14ac:dyDescent="0.2">
      <c r="A26" s="7" t="str">
        <f t="shared" si="0"/>
        <v>Execução 22</v>
      </c>
      <c r="B26" s="41"/>
      <c r="C26" s="81" t="str">
        <f>IFERROR(VLOOKUP(B26,'ZM01'!B:C,2,0),"")</f>
        <v/>
      </c>
      <c r="D26" s="43">
        <v>1</v>
      </c>
      <c r="E26" s="42" t="str">
        <f t="shared" si="1"/>
        <v/>
      </c>
      <c r="F26" s="43">
        <v>300</v>
      </c>
      <c r="G26" s="43" t="s">
        <v>945</v>
      </c>
      <c r="H26" s="58"/>
      <c r="I26" s="42" t="str">
        <f t="shared" si="2"/>
        <v/>
      </c>
    </row>
    <row r="27" spans="1:9" x14ac:dyDescent="0.2">
      <c r="A27" s="7" t="str">
        <f t="shared" si="0"/>
        <v>Execução 23</v>
      </c>
      <c r="B27" s="41"/>
      <c r="C27" s="81" t="str">
        <f>IFERROR(VLOOKUP(B27,'ZM01'!B:C,2,0),"")</f>
        <v/>
      </c>
      <c r="D27" s="43">
        <v>1</v>
      </c>
      <c r="E27" s="42" t="str">
        <f t="shared" si="1"/>
        <v/>
      </c>
      <c r="F27" s="43">
        <v>300</v>
      </c>
      <c r="G27" s="43" t="s">
        <v>945</v>
      </c>
      <c r="H27" s="58"/>
      <c r="I27" s="42" t="str">
        <f t="shared" si="2"/>
        <v/>
      </c>
    </row>
    <row r="28" spans="1:9" x14ac:dyDescent="0.2">
      <c r="A28" s="7" t="str">
        <f t="shared" si="0"/>
        <v>Execução 24</v>
      </c>
      <c r="B28" s="41"/>
      <c r="C28" s="81" t="str">
        <f>IFERROR(VLOOKUP(B28,'ZM01'!B:C,2,0),"")</f>
        <v/>
      </c>
      <c r="D28" s="43">
        <v>1</v>
      </c>
      <c r="E28" s="42" t="str">
        <f t="shared" si="1"/>
        <v/>
      </c>
      <c r="F28" s="43">
        <v>300</v>
      </c>
      <c r="G28" s="43" t="s">
        <v>945</v>
      </c>
      <c r="H28" s="58"/>
      <c r="I28" s="42" t="str">
        <f t="shared" si="2"/>
        <v/>
      </c>
    </row>
    <row r="29" spans="1:9" x14ac:dyDescent="0.2">
      <c r="A29" s="7" t="str">
        <f t="shared" si="0"/>
        <v>Execução 25</v>
      </c>
      <c r="B29" s="41"/>
      <c r="C29" s="81" t="str">
        <f>IFERROR(VLOOKUP(B29,'ZM01'!B:C,2,0),"")</f>
        <v/>
      </c>
      <c r="D29" s="43">
        <v>1</v>
      </c>
      <c r="E29" s="42" t="str">
        <f t="shared" si="1"/>
        <v/>
      </c>
      <c r="F29" s="43">
        <v>300</v>
      </c>
      <c r="G29" s="43" t="s">
        <v>945</v>
      </c>
      <c r="H29" s="58"/>
      <c r="I29" s="42" t="str">
        <f t="shared" si="2"/>
        <v/>
      </c>
    </row>
    <row r="30" spans="1:9" x14ac:dyDescent="0.2">
      <c r="A30" s="7" t="str">
        <f t="shared" si="0"/>
        <v>Execução 26</v>
      </c>
      <c r="B30" s="41"/>
      <c r="C30" s="81" t="str">
        <f>IFERROR(VLOOKUP(B30,'ZM01'!B:C,2,0),"")</f>
        <v/>
      </c>
      <c r="D30" s="43">
        <v>1</v>
      </c>
      <c r="E30" s="42" t="str">
        <f t="shared" si="1"/>
        <v/>
      </c>
      <c r="F30" s="43">
        <v>300</v>
      </c>
      <c r="G30" s="43" t="s">
        <v>945</v>
      </c>
      <c r="H30" s="58"/>
      <c r="I30" s="42" t="str">
        <f t="shared" si="2"/>
        <v/>
      </c>
    </row>
  </sheetData>
  <conditionalFormatting sqref="B5:C5">
    <cfRule type="beginsWith" dxfId="148" priority="29" operator="beginsWith" text="L">
      <formula>LEFT(B5,LEN("L"))="L"</formula>
    </cfRule>
  </conditionalFormatting>
  <conditionalFormatting sqref="H1:H5 H31:H1048576">
    <cfRule type="containsText" dxfId="147" priority="22" operator="containsText" text="criadas">
      <formula>NOT(ISERROR(SEARCH("criadas",H1)))</formula>
    </cfRule>
    <cfRule type="containsText" dxfId="146" priority="23" operator="containsText" text="é gravado">
      <formula>NOT(ISERROR(SEARCH("é gravado",H1)))</formula>
    </cfRule>
    <cfRule type="containsText" dxfId="145" priority="24" operator="containsText" text="é modificado">
      <formula>NOT(ISERROR(SEARCH("é modificado",H1)))</formula>
    </cfRule>
    <cfRule type="containsText" dxfId="144" priority="25" operator="containsText" text="Error">
      <formula>NOT(ISERROR(SEARCH("Error",H1)))</formula>
    </cfRule>
    <cfRule type="containsText" dxfId="143" priority="26" operator="containsText" text="é criado">
      <formula>NOT(ISERROR(SEARCH("é criado",H1)))</formula>
    </cfRule>
  </conditionalFormatting>
  <conditionalFormatting sqref="I5">
    <cfRule type="beginsWith" dxfId="142" priority="16" operator="beginsWith" text="L">
      <formula>LEFT(I5,LEN("L"))="L"</formula>
    </cfRule>
  </conditionalFormatting>
  <conditionalFormatting sqref="G5">
    <cfRule type="beginsWith" dxfId="141" priority="15" operator="beginsWith" text="L">
      <formula>LEFT(G5,LEN("L"))="L"</formula>
    </cfRule>
  </conditionalFormatting>
  <conditionalFormatting sqref="F5">
    <cfRule type="beginsWith" dxfId="140" priority="14" operator="beginsWith" text="L">
      <formula>LEFT(F5,LEN("L"))="L"</formula>
    </cfRule>
  </conditionalFormatting>
  <conditionalFormatting sqref="E5">
    <cfRule type="beginsWith" dxfId="139" priority="13" operator="beginsWith" text="L">
      <formula>LEFT(E5,LEN("L"))="L"</formula>
    </cfRule>
  </conditionalFormatting>
  <conditionalFormatting sqref="D5">
    <cfRule type="beginsWith" dxfId="138" priority="12" operator="beginsWith" text="L">
      <formula>LEFT(D5,LEN("L"))="L"</formula>
    </cfRule>
  </conditionalFormatting>
  <conditionalFormatting sqref="B6:C30">
    <cfRule type="beginsWith" dxfId="137" priority="11" operator="beginsWith" text="L">
      <formula>LEFT(B6,LEN("L"))="L"</formula>
    </cfRule>
  </conditionalFormatting>
  <conditionalFormatting sqref="H6:H30">
    <cfRule type="containsText" dxfId="136" priority="6" operator="containsText" text="criadas">
      <formula>NOT(ISERROR(SEARCH("criadas",H6)))</formula>
    </cfRule>
    <cfRule type="containsText" dxfId="135" priority="7" operator="containsText" text="é gravado">
      <formula>NOT(ISERROR(SEARCH("é gravado",H6)))</formula>
    </cfRule>
    <cfRule type="containsText" dxfId="134" priority="8" operator="containsText" text="é modificado">
      <formula>NOT(ISERROR(SEARCH("é modificado",H6)))</formula>
    </cfRule>
    <cfRule type="containsText" dxfId="133" priority="9" operator="containsText" text="Error">
      <formula>NOT(ISERROR(SEARCH("Error",H6)))</formula>
    </cfRule>
    <cfRule type="containsText" dxfId="132" priority="10" operator="containsText" text="é criado">
      <formula>NOT(ISERROR(SEARCH("é criado",H6)))</formula>
    </cfRule>
  </conditionalFormatting>
  <conditionalFormatting sqref="I6:I30">
    <cfRule type="beginsWith" dxfId="131" priority="5" operator="beginsWith" text="L">
      <formula>LEFT(I6,LEN("L"))="L"</formula>
    </cfRule>
  </conditionalFormatting>
  <conditionalFormatting sqref="G6:G30">
    <cfRule type="beginsWith" dxfId="130" priority="4" operator="beginsWith" text="L">
      <formula>LEFT(G6,LEN("L"))="L"</formula>
    </cfRule>
  </conditionalFormatting>
  <conditionalFormatting sqref="F6:F30">
    <cfRule type="beginsWith" dxfId="129" priority="3" operator="beginsWith" text="L">
      <formula>LEFT(F6,LEN("L"))="L"</formula>
    </cfRule>
  </conditionalFormatting>
  <conditionalFormatting sqref="E6:E30">
    <cfRule type="beginsWith" dxfId="128" priority="2" operator="beginsWith" text="L">
      <formula>LEFT(E6,LEN("L"))="L"</formula>
    </cfRule>
  </conditionalFormatting>
  <conditionalFormatting sqref="D6:D30">
    <cfRule type="beginsWith" dxfId="127" priority="1" operator="beginsWith" text="L">
      <formula>LEFT(D6,LEN("L"))="L"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>
    <tabColor theme="4" tint="0.79998168889431442"/>
  </sheetPr>
  <dimension ref="A1:F30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E5" sqref="E5:E14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45.7109375" style="6" customWidth="1"/>
    <col min="4" max="4" width="20.85546875" style="6" customWidth="1"/>
    <col min="5" max="5" width="81.5703125" style="1" customWidth="1"/>
    <col min="6" max="6" width="22" style="1" hidden="1" customWidth="1"/>
    <col min="7" max="16384" width="9.140625" style="1"/>
  </cols>
  <sheetData>
    <row r="1" spans="1:6" s="91" customFormat="1" x14ac:dyDescent="0.2">
      <c r="A1" s="7" t="s">
        <v>28</v>
      </c>
    </row>
    <row r="2" spans="1:6" s="40" customFormat="1" x14ac:dyDescent="0.2">
      <c r="A2" s="7"/>
      <c r="B2" s="39"/>
      <c r="C2" s="39"/>
      <c r="D2" s="39"/>
    </row>
    <row r="3" spans="1:6" s="91" customFormat="1" ht="15" customHeight="1" x14ac:dyDescent="0.2">
      <c r="A3" s="7" t="s">
        <v>29</v>
      </c>
      <c r="B3" s="4" t="s">
        <v>971</v>
      </c>
      <c r="C3" s="92">
        <v>0</v>
      </c>
      <c r="D3" s="90" t="s">
        <v>843</v>
      </c>
      <c r="E3" s="91" t="s">
        <v>32</v>
      </c>
    </row>
    <row r="4" spans="1:6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969</v>
      </c>
      <c r="E4" s="5" t="s">
        <v>832</v>
      </c>
      <c r="F4" s="5" t="s">
        <v>937</v>
      </c>
    </row>
    <row r="5" spans="1:6" x14ac:dyDescent="0.2">
      <c r="A5" s="7" t="str">
        <f>"Execução "&amp;ROW()-4</f>
        <v>Execução 1</v>
      </c>
      <c r="B5" s="41"/>
      <c r="C5" s="81" t="str">
        <f>IFERROR(VLOOKUP(B5,'ZM01'!B:C,2,0),"")</f>
        <v/>
      </c>
      <c r="D5" s="43" t="s">
        <v>945</v>
      </c>
      <c r="E5" s="63"/>
      <c r="F5" s="42" t="str">
        <f>IFERROR(VALUE(MID(E5,FIND("5",E5),8)),"")</f>
        <v/>
      </c>
    </row>
    <row r="6" spans="1:6" x14ac:dyDescent="0.2">
      <c r="A6" s="7" t="str">
        <f t="shared" ref="A6:A30" si="0">"Execução "&amp;ROW()-4</f>
        <v>Execução 2</v>
      </c>
      <c r="B6" s="41"/>
      <c r="C6" s="81" t="str">
        <f>IFERROR(VLOOKUP(B6,'ZM01'!B:C,2,0),"")</f>
        <v/>
      </c>
      <c r="D6" s="43" t="s">
        <v>945</v>
      </c>
      <c r="E6" s="63"/>
      <c r="F6" s="42" t="str">
        <f t="shared" ref="F6:F30" si="1">IFERROR(VALUE(MID(E6,FIND("5",E6),8)),"")</f>
        <v/>
      </c>
    </row>
    <row r="7" spans="1:6" x14ac:dyDescent="0.2">
      <c r="A7" s="7" t="str">
        <f t="shared" si="0"/>
        <v>Execução 3</v>
      </c>
      <c r="B7" s="41"/>
      <c r="C7" s="81" t="str">
        <f>IFERROR(VLOOKUP(B7,'ZM01'!B:C,2,0),"")</f>
        <v/>
      </c>
      <c r="D7" s="43" t="s">
        <v>945</v>
      </c>
      <c r="E7" s="63"/>
      <c r="F7" s="42" t="str">
        <f t="shared" si="1"/>
        <v/>
      </c>
    </row>
    <row r="8" spans="1:6" x14ac:dyDescent="0.2">
      <c r="A8" s="7" t="str">
        <f t="shared" si="0"/>
        <v>Execução 4</v>
      </c>
      <c r="B8" s="41"/>
      <c r="C8" s="81" t="str">
        <f>IFERROR(VLOOKUP(B8,'ZM01'!B:C,2,0),"")</f>
        <v/>
      </c>
      <c r="D8" s="43" t="s">
        <v>945</v>
      </c>
      <c r="E8" s="63"/>
      <c r="F8" s="42" t="str">
        <f t="shared" si="1"/>
        <v/>
      </c>
    </row>
    <row r="9" spans="1:6" x14ac:dyDescent="0.2">
      <c r="A9" s="7" t="str">
        <f t="shared" si="0"/>
        <v>Execução 5</v>
      </c>
      <c r="B9" s="41"/>
      <c r="C9" s="81" t="str">
        <f>IFERROR(VLOOKUP(B9,'ZM01'!B:C,2,0),"")</f>
        <v/>
      </c>
      <c r="D9" s="43" t="s">
        <v>945</v>
      </c>
      <c r="E9" s="63"/>
      <c r="F9" s="42" t="str">
        <f t="shared" si="1"/>
        <v/>
      </c>
    </row>
    <row r="10" spans="1:6" x14ac:dyDescent="0.2">
      <c r="A10" s="7" t="str">
        <f t="shared" si="0"/>
        <v>Execução 6</v>
      </c>
      <c r="B10" s="41"/>
      <c r="C10" s="81" t="str">
        <f>IFERROR(VLOOKUP(B10,'ZM01'!B:C,2,0),"")</f>
        <v/>
      </c>
      <c r="D10" s="43" t="s">
        <v>945</v>
      </c>
      <c r="E10" s="63"/>
      <c r="F10" s="42" t="str">
        <f t="shared" si="1"/>
        <v/>
      </c>
    </row>
    <row r="11" spans="1:6" x14ac:dyDescent="0.2">
      <c r="A11" s="7" t="str">
        <f t="shared" si="0"/>
        <v>Execução 7</v>
      </c>
      <c r="B11" s="41"/>
      <c r="C11" s="81" t="str">
        <f>IFERROR(VLOOKUP(B11,'ZM01'!B:C,2,0),"")</f>
        <v/>
      </c>
      <c r="D11" s="43" t="s">
        <v>945</v>
      </c>
      <c r="E11" s="63"/>
      <c r="F11" s="42" t="str">
        <f t="shared" si="1"/>
        <v/>
      </c>
    </row>
    <row r="12" spans="1:6" x14ac:dyDescent="0.2">
      <c r="A12" s="7" t="str">
        <f t="shared" si="0"/>
        <v>Execução 8</v>
      </c>
      <c r="B12" s="41"/>
      <c r="C12" s="81" t="str">
        <f>IFERROR(VLOOKUP(B12,'ZM01'!B:C,2,0),"")</f>
        <v/>
      </c>
      <c r="D12" s="43" t="s">
        <v>945</v>
      </c>
      <c r="E12" s="63"/>
      <c r="F12" s="42" t="str">
        <f t="shared" si="1"/>
        <v/>
      </c>
    </row>
    <row r="13" spans="1:6" x14ac:dyDescent="0.2">
      <c r="A13" s="7" t="str">
        <f t="shared" si="0"/>
        <v>Execução 9</v>
      </c>
      <c r="B13" s="41"/>
      <c r="C13" s="81" t="str">
        <f>IFERROR(VLOOKUP(B13,'ZM01'!B:C,2,0),"")</f>
        <v/>
      </c>
      <c r="D13" s="43" t="s">
        <v>945</v>
      </c>
      <c r="E13" s="63"/>
      <c r="F13" s="42" t="str">
        <f t="shared" si="1"/>
        <v/>
      </c>
    </row>
    <row r="14" spans="1:6" x14ac:dyDescent="0.2">
      <c r="A14" s="7" t="str">
        <f t="shared" si="0"/>
        <v>Execução 10</v>
      </c>
      <c r="B14" s="41"/>
      <c r="C14" s="81" t="str">
        <f>IFERROR(VLOOKUP(B14,'ZM01'!B:C,2,0),"")</f>
        <v/>
      </c>
      <c r="D14" s="43" t="s">
        <v>945</v>
      </c>
      <c r="E14" s="63"/>
      <c r="F14" s="42" t="str">
        <f t="shared" si="1"/>
        <v/>
      </c>
    </row>
    <row r="15" spans="1:6" x14ac:dyDescent="0.2">
      <c r="A15" s="7" t="str">
        <f t="shared" si="0"/>
        <v>Execução 11</v>
      </c>
      <c r="B15" s="41"/>
      <c r="C15" s="81" t="str">
        <f>IFERROR(VLOOKUP(B15,'ZM01'!B:C,2,0),"")</f>
        <v/>
      </c>
      <c r="D15" s="43" t="s">
        <v>945</v>
      </c>
      <c r="E15" s="63"/>
      <c r="F15" s="42" t="str">
        <f t="shared" si="1"/>
        <v/>
      </c>
    </row>
    <row r="16" spans="1:6" x14ac:dyDescent="0.2">
      <c r="A16" s="7" t="str">
        <f t="shared" si="0"/>
        <v>Execução 12</v>
      </c>
      <c r="B16" s="41"/>
      <c r="C16" s="81" t="str">
        <f>IFERROR(VLOOKUP(B16,'ZM01'!B:C,2,0),"")</f>
        <v/>
      </c>
      <c r="D16" s="43" t="s">
        <v>945</v>
      </c>
      <c r="E16" s="63"/>
      <c r="F16" s="42" t="str">
        <f t="shared" si="1"/>
        <v/>
      </c>
    </row>
    <row r="17" spans="1:6" x14ac:dyDescent="0.2">
      <c r="A17" s="7" t="str">
        <f t="shared" si="0"/>
        <v>Execução 13</v>
      </c>
      <c r="B17" s="41"/>
      <c r="C17" s="81" t="str">
        <f>IFERROR(VLOOKUP(B17,'ZM01'!B:C,2,0),"")</f>
        <v/>
      </c>
      <c r="D17" s="43" t="s">
        <v>945</v>
      </c>
      <c r="E17" s="63"/>
      <c r="F17" s="42" t="str">
        <f t="shared" si="1"/>
        <v/>
      </c>
    </row>
    <row r="18" spans="1:6" x14ac:dyDescent="0.2">
      <c r="A18" s="7" t="str">
        <f t="shared" si="0"/>
        <v>Execução 14</v>
      </c>
      <c r="B18" s="41"/>
      <c r="C18" s="81" t="str">
        <f>IFERROR(VLOOKUP(B18,'ZM01'!B:C,2,0),"")</f>
        <v/>
      </c>
      <c r="D18" s="43" t="s">
        <v>945</v>
      </c>
      <c r="E18" s="63"/>
      <c r="F18" s="42" t="str">
        <f t="shared" si="1"/>
        <v/>
      </c>
    </row>
    <row r="19" spans="1:6" x14ac:dyDescent="0.2">
      <c r="A19" s="7" t="str">
        <f t="shared" si="0"/>
        <v>Execução 15</v>
      </c>
      <c r="B19" s="41"/>
      <c r="C19" s="81" t="str">
        <f>IFERROR(VLOOKUP(B19,'ZM01'!B:C,2,0),"")</f>
        <v/>
      </c>
      <c r="D19" s="43" t="s">
        <v>945</v>
      </c>
      <c r="E19" s="63"/>
      <c r="F19" s="42" t="str">
        <f t="shared" si="1"/>
        <v/>
      </c>
    </row>
    <row r="20" spans="1:6" x14ac:dyDescent="0.2">
      <c r="A20" s="7" t="str">
        <f t="shared" si="0"/>
        <v>Execução 16</v>
      </c>
      <c r="B20" s="41"/>
      <c r="C20" s="81" t="str">
        <f>IFERROR(VLOOKUP(B20,'ZM01'!B:C,2,0),"")</f>
        <v/>
      </c>
      <c r="D20" s="43" t="s">
        <v>945</v>
      </c>
      <c r="E20" s="63"/>
      <c r="F20" s="42" t="str">
        <f t="shared" si="1"/>
        <v/>
      </c>
    </row>
    <row r="21" spans="1:6" x14ac:dyDescent="0.2">
      <c r="A21" s="7" t="str">
        <f t="shared" si="0"/>
        <v>Execução 17</v>
      </c>
      <c r="B21" s="41"/>
      <c r="C21" s="81" t="str">
        <f>IFERROR(VLOOKUP(B21,'ZM01'!B:C,2,0),"")</f>
        <v/>
      </c>
      <c r="D21" s="43" t="s">
        <v>945</v>
      </c>
      <c r="E21" s="63"/>
      <c r="F21" s="42" t="str">
        <f t="shared" si="1"/>
        <v/>
      </c>
    </row>
    <row r="22" spans="1:6" x14ac:dyDescent="0.2">
      <c r="A22" s="7" t="str">
        <f t="shared" si="0"/>
        <v>Execução 18</v>
      </c>
      <c r="B22" s="41"/>
      <c r="C22" s="81" t="str">
        <f>IFERROR(VLOOKUP(B22,'ZM01'!B:C,2,0),"")</f>
        <v/>
      </c>
      <c r="D22" s="43" t="s">
        <v>945</v>
      </c>
      <c r="E22" s="63"/>
      <c r="F22" s="42" t="str">
        <f t="shared" si="1"/>
        <v/>
      </c>
    </row>
    <row r="23" spans="1:6" x14ac:dyDescent="0.2">
      <c r="A23" s="7" t="str">
        <f t="shared" si="0"/>
        <v>Execução 19</v>
      </c>
      <c r="B23" s="41"/>
      <c r="C23" s="81" t="str">
        <f>IFERROR(VLOOKUP(B23,'ZM01'!B:C,2,0),"")</f>
        <v/>
      </c>
      <c r="D23" s="43" t="s">
        <v>945</v>
      </c>
      <c r="E23" s="63"/>
      <c r="F23" s="42" t="str">
        <f t="shared" si="1"/>
        <v/>
      </c>
    </row>
    <row r="24" spans="1:6" x14ac:dyDescent="0.2">
      <c r="A24" s="7" t="str">
        <f t="shared" si="0"/>
        <v>Execução 20</v>
      </c>
      <c r="B24" s="41"/>
      <c r="C24" s="81" t="str">
        <f>IFERROR(VLOOKUP(B24,'ZM01'!B:C,2,0),"")</f>
        <v/>
      </c>
      <c r="D24" s="43" t="s">
        <v>945</v>
      </c>
      <c r="E24" s="63"/>
      <c r="F24" s="42" t="str">
        <f t="shared" si="1"/>
        <v/>
      </c>
    </row>
    <row r="25" spans="1:6" x14ac:dyDescent="0.2">
      <c r="A25" s="7" t="str">
        <f t="shared" si="0"/>
        <v>Execução 21</v>
      </c>
      <c r="B25" s="41"/>
      <c r="C25" s="81" t="str">
        <f>IFERROR(VLOOKUP(B25,'ZM01'!B:C,2,0),"")</f>
        <v/>
      </c>
      <c r="D25" s="43" t="s">
        <v>945</v>
      </c>
      <c r="E25" s="63"/>
      <c r="F25" s="42" t="str">
        <f t="shared" si="1"/>
        <v/>
      </c>
    </row>
    <row r="26" spans="1:6" x14ac:dyDescent="0.2">
      <c r="A26" s="7" t="str">
        <f t="shared" si="0"/>
        <v>Execução 22</v>
      </c>
      <c r="B26" s="41"/>
      <c r="C26" s="81" t="str">
        <f>IFERROR(VLOOKUP(B26,'ZM01'!B:C,2,0),"")</f>
        <v/>
      </c>
      <c r="D26" s="43" t="s">
        <v>945</v>
      </c>
      <c r="E26" s="63"/>
      <c r="F26" s="42" t="str">
        <f t="shared" si="1"/>
        <v/>
      </c>
    </row>
    <row r="27" spans="1:6" x14ac:dyDescent="0.2">
      <c r="A27" s="7" t="str">
        <f t="shared" si="0"/>
        <v>Execução 23</v>
      </c>
      <c r="B27" s="41"/>
      <c r="C27" s="81" t="str">
        <f>IFERROR(VLOOKUP(B27,'ZM01'!B:C,2,0),"")</f>
        <v/>
      </c>
      <c r="D27" s="43" t="s">
        <v>945</v>
      </c>
      <c r="E27" s="63"/>
      <c r="F27" s="42" t="str">
        <f t="shared" si="1"/>
        <v/>
      </c>
    </row>
    <row r="28" spans="1:6" x14ac:dyDescent="0.2">
      <c r="A28" s="7" t="str">
        <f t="shared" si="0"/>
        <v>Execução 24</v>
      </c>
      <c r="B28" s="41"/>
      <c r="C28" s="81" t="str">
        <f>IFERROR(VLOOKUP(B28,'ZM01'!B:C,2,0),"")</f>
        <v/>
      </c>
      <c r="D28" s="43" t="s">
        <v>945</v>
      </c>
      <c r="E28" s="63"/>
      <c r="F28" s="42" t="str">
        <f t="shared" si="1"/>
        <v/>
      </c>
    </row>
    <row r="29" spans="1:6" x14ac:dyDescent="0.2">
      <c r="A29" s="7" t="str">
        <f t="shared" si="0"/>
        <v>Execução 25</v>
      </c>
      <c r="B29" s="41"/>
      <c r="C29" s="81" t="str">
        <f>IFERROR(VLOOKUP(B29,'ZM01'!B:C,2,0),"")</f>
        <v/>
      </c>
      <c r="D29" s="43" t="s">
        <v>945</v>
      </c>
      <c r="E29" s="63"/>
      <c r="F29" s="42" t="str">
        <f t="shared" si="1"/>
        <v/>
      </c>
    </row>
    <row r="30" spans="1:6" x14ac:dyDescent="0.2">
      <c r="A30" s="7" t="str">
        <f t="shared" si="0"/>
        <v>Execução 26</v>
      </c>
      <c r="B30" s="41"/>
      <c r="C30" s="81" t="str">
        <f>IFERROR(VLOOKUP(B30,'ZM01'!B:C,2,0),"")</f>
        <v/>
      </c>
      <c r="D30" s="43" t="s">
        <v>945</v>
      </c>
      <c r="E30" s="63"/>
      <c r="F30" s="42" t="str">
        <f t="shared" si="1"/>
        <v/>
      </c>
    </row>
  </sheetData>
  <conditionalFormatting sqref="B5:C5">
    <cfRule type="beginsWith" dxfId="126" priority="19" operator="beginsWith" text="L">
      <formula>LEFT(B5,LEN("L"))="L"</formula>
    </cfRule>
  </conditionalFormatting>
  <conditionalFormatting sqref="E1:E5 E31:E1048576">
    <cfRule type="containsText" dxfId="125" priority="14" operator="containsText" text="criadas">
      <formula>NOT(ISERROR(SEARCH("criadas",E1)))</formula>
    </cfRule>
    <cfRule type="containsText" dxfId="124" priority="15" operator="containsText" text="é gravado">
      <formula>NOT(ISERROR(SEARCH("é gravado",E1)))</formula>
    </cfRule>
    <cfRule type="containsText" dxfId="123" priority="16" operator="containsText" text="é modificado">
      <formula>NOT(ISERROR(SEARCH("é modificado",E1)))</formula>
    </cfRule>
    <cfRule type="containsText" dxfId="122" priority="17" operator="containsText" text="Error">
      <formula>NOT(ISERROR(SEARCH("Error",E1)))</formula>
    </cfRule>
    <cfRule type="containsText" dxfId="121" priority="18" operator="containsText" text="é criado">
      <formula>NOT(ISERROR(SEARCH("é criado",E1)))</formula>
    </cfRule>
  </conditionalFormatting>
  <conditionalFormatting sqref="F5">
    <cfRule type="beginsWith" dxfId="120" priority="13" operator="beginsWith" text="L">
      <formula>LEFT(F5,LEN("L"))="L"</formula>
    </cfRule>
  </conditionalFormatting>
  <conditionalFormatting sqref="D5">
    <cfRule type="beginsWith" dxfId="119" priority="12" operator="beginsWith" text="L">
      <formula>LEFT(D5,LEN("L"))="L"</formula>
    </cfRule>
  </conditionalFormatting>
  <conditionalFormatting sqref="B6:C30">
    <cfRule type="beginsWith" dxfId="118" priority="8" operator="beginsWith" text="L">
      <formula>LEFT(B6,LEN("L"))="L"</formula>
    </cfRule>
  </conditionalFormatting>
  <conditionalFormatting sqref="E6:E30">
    <cfRule type="containsText" dxfId="117" priority="4" operator="containsText" text="é gravado">
      <formula>NOT(ISERROR(SEARCH("é gravado",E6)))</formula>
    </cfRule>
    <cfRule type="containsText" dxfId="116" priority="5" operator="containsText" text="é modificado">
      <formula>NOT(ISERROR(SEARCH("é modificado",E6)))</formula>
    </cfRule>
    <cfRule type="containsText" dxfId="115" priority="6" operator="containsText" text="Error">
      <formula>NOT(ISERROR(SEARCH("Error",E6)))</formula>
    </cfRule>
    <cfRule type="containsText" dxfId="114" priority="7" operator="containsText" text="é criado">
      <formula>NOT(ISERROR(SEARCH("é criado",E6)))</formula>
    </cfRule>
  </conditionalFormatting>
  <conditionalFormatting sqref="F6:F30">
    <cfRule type="beginsWith" dxfId="113" priority="2" operator="beginsWith" text="L">
      <formula>LEFT(F6,LEN("L"))="L"</formula>
    </cfRule>
  </conditionalFormatting>
  <conditionalFormatting sqref="D6:D30">
    <cfRule type="beginsWith" dxfId="112" priority="1" operator="beginsWith" text="L">
      <formula>LEFT(D6,LEN("L"))="L"</formula>
    </cfRule>
  </conditionalFormatting>
  <conditionalFormatting sqref="E5:E30">
    <cfRule type="containsText" dxfId="111" priority="3" operator="containsText" text="gravados">
      <formula>NOT(ISERROR(SEARCH("gravados",E5)))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theme="4" tint="0.79998168889431442"/>
  </sheetPr>
  <dimension ref="A1:M54"/>
  <sheetViews>
    <sheetView showGridLines="0" showRowColHeaders="0" workbookViewId="0">
      <pane xSplit="2" ySplit="4" topLeftCell="E5" activePane="bottomRight" state="frozen"/>
      <selection pane="topRight" activeCell="D1" sqref="D1"/>
      <selection pane="bottomLeft" activeCell="A5" sqref="A5"/>
      <selection pane="bottomRight" activeCell="B10" sqref="B5:B10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45.7109375" style="6" customWidth="1"/>
    <col min="4" max="4" width="17.5703125" style="6" customWidth="1"/>
    <col min="5" max="5" width="21" style="6" customWidth="1"/>
    <col min="6" max="6" width="21.85546875" style="6" customWidth="1"/>
    <col min="7" max="8" width="21.85546875" style="6" hidden="1" customWidth="1"/>
    <col min="9" max="11" width="21.85546875" style="6" customWidth="1"/>
    <col min="12" max="12" width="110.7109375" style="1" customWidth="1"/>
    <col min="13" max="13" width="22" style="1" hidden="1" customWidth="1"/>
    <col min="14" max="16384" width="9.140625" style="1"/>
  </cols>
  <sheetData>
    <row r="1" spans="1:13" s="36" customFormat="1" x14ac:dyDescent="0.2">
      <c r="A1" s="7" t="s">
        <v>28</v>
      </c>
      <c r="C1" s="71"/>
      <c r="E1" s="71"/>
      <c r="G1" s="77"/>
      <c r="H1" s="77"/>
      <c r="I1" s="77"/>
      <c r="J1" s="77"/>
      <c r="K1" s="77"/>
      <c r="L1" s="56"/>
    </row>
    <row r="2" spans="1:13" s="40" customFormat="1" x14ac:dyDescent="0.2">
      <c r="A2" s="7"/>
      <c r="B2" s="39"/>
      <c r="C2" s="39"/>
      <c r="D2" s="36"/>
      <c r="E2" s="71"/>
      <c r="F2" s="36"/>
      <c r="G2" s="77"/>
      <c r="H2" s="77"/>
      <c r="I2" s="77"/>
      <c r="J2" s="77"/>
      <c r="K2" s="77"/>
    </row>
    <row r="3" spans="1:13" s="36" customFormat="1" ht="15" customHeight="1" x14ac:dyDescent="0.2">
      <c r="A3" s="7" t="s">
        <v>29</v>
      </c>
      <c r="B3" s="4" t="s">
        <v>889</v>
      </c>
      <c r="C3" s="72"/>
      <c r="D3" s="35" t="s">
        <v>890</v>
      </c>
      <c r="E3" s="72" t="s">
        <v>891</v>
      </c>
      <c r="F3" s="35" t="s">
        <v>892</v>
      </c>
      <c r="G3" s="78" t="s">
        <v>895</v>
      </c>
      <c r="H3" s="78" t="s">
        <v>898</v>
      </c>
      <c r="I3" s="78" t="s">
        <v>900</v>
      </c>
      <c r="J3" s="78" t="s">
        <v>905</v>
      </c>
      <c r="K3" s="78" t="s">
        <v>902</v>
      </c>
      <c r="L3" s="56" t="s">
        <v>32</v>
      </c>
    </row>
    <row r="4" spans="1:13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0</v>
      </c>
      <c r="E4" s="14" t="s">
        <v>894</v>
      </c>
      <c r="F4" s="14" t="s">
        <v>893</v>
      </c>
      <c r="G4" s="14" t="s">
        <v>896</v>
      </c>
      <c r="H4" s="14" t="s">
        <v>899</v>
      </c>
      <c r="I4" s="14" t="s">
        <v>901</v>
      </c>
      <c r="J4" s="14" t="s">
        <v>906</v>
      </c>
      <c r="K4" s="14" t="s">
        <v>903</v>
      </c>
      <c r="L4" s="5" t="s">
        <v>832</v>
      </c>
      <c r="M4" s="5" t="s">
        <v>937</v>
      </c>
    </row>
    <row r="5" spans="1:13" x14ac:dyDescent="0.2">
      <c r="A5" s="7" t="str">
        <f>"Execução "&amp;ROW()-4</f>
        <v>Execução 1</v>
      </c>
      <c r="B5" s="41"/>
      <c r="C5" s="81" t="str">
        <f>IFERROR(VLOOKUP(B5,'ZM01'!B:C,2,0),"")</f>
        <v/>
      </c>
      <c r="D5" s="48" t="str">
        <f>IFERROR(VLOOKUP(B5,'ZM01'!B:I,8,0),"")</f>
        <v/>
      </c>
      <c r="E5" s="42" t="str">
        <f>IFERROR(INDEX('Listas de Dados'!$BU:$BU,MATCH(INDEX('ZM01'!CY:CY,MATCH(B5,'ZM01'!B:B,0)),'Listas de Dados'!$BW:$BW,0)),"")</f>
        <v/>
      </c>
      <c r="F5" s="42" t="str">
        <f>IFERROR(INDEX('ZM01'!CY:CY,MATCH(B5,'ZM01'!B:B,0)),"")</f>
        <v/>
      </c>
      <c r="G5" s="43" t="s">
        <v>897</v>
      </c>
      <c r="H5" s="43">
        <v>1000</v>
      </c>
      <c r="I5" s="103">
        <v>1</v>
      </c>
      <c r="J5" s="103">
        <v>1</v>
      </c>
      <c r="K5" s="43" t="s">
        <v>904</v>
      </c>
      <c r="L5" s="58"/>
      <c r="M5" s="42" t="str">
        <f>IFERROR(VALUE(MID(L5,FIND("5",L5),8)),"")</f>
        <v/>
      </c>
    </row>
    <row r="6" spans="1:13" x14ac:dyDescent="0.2">
      <c r="A6" s="7" t="str">
        <f t="shared" ref="A6:A54" si="0">"Execução "&amp;ROW()-4</f>
        <v>Execução 2</v>
      </c>
      <c r="B6" s="41"/>
      <c r="C6" s="81" t="str">
        <f>IFERROR(VLOOKUP(B6,'ZM01'!B:C,2,0),"")</f>
        <v/>
      </c>
      <c r="D6" s="48" t="str">
        <f>IFERROR(VLOOKUP(B6,'ZM01'!B:I,8,0),"")</f>
        <v/>
      </c>
      <c r="E6" s="42" t="str">
        <f>IFERROR(INDEX('Listas de Dados'!$BU:$BU,MATCH(INDEX('ZM01'!CY:CY,MATCH(B6,'ZM01'!B:B,0)),'Listas de Dados'!$BW:$BW,0)),"")</f>
        <v/>
      </c>
      <c r="F6" s="42" t="str">
        <f>IFERROR(INDEX('ZM01'!CY:CY,MATCH(B6,'ZM01'!B:B,0)),"")</f>
        <v/>
      </c>
      <c r="G6" s="43" t="s">
        <v>897</v>
      </c>
      <c r="H6" s="43">
        <v>1000</v>
      </c>
      <c r="I6" s="103">
        <v>1</v>
      </c>
      <c r="J6" s="103">
        <v>1</v>
      </c>
      <c r="K6" s="43" t="s">
        <v>904</v>
      </c>
      <c r="L6" s="59"/>
      <c r="M6" s="42" t="str">
        <f t="shared" ref="M6:M54" si="1">IFERROR(VALUE(MID(L6,FIND("5",L6),8)),"")</f>
        <v/>
      </c>
    </row>
    <row r="7" spans="1:13" x14ac:dyDescent="0.2">
      <c r="A7" s="7" t="str">
        <f t="shared" si="0"/>
        <v>Execução 3</v>
      </c>
      <c r="B7" s="41"/>
      <c r="C7" s="81" t="str">
        <f>IFERROR(VLOOKUP(B7,'ZM01'!B:C,2,0),"")</f>
        <v/>
      </c>
      <c r="D7" s="48" t="str">
        <f>IFERROR(VLOOKUP(B7,'ZM01'!B:I,8,0),"")</f>
        <v/>
      </c>
      <c r="E7" s="42" t="str">
        <f>IFERROR(INDEX('Listas de Dados'!$BU:$BU,MATCH(INDEX('ZM01'!CY:CY,MATCH(B7,'ZM01'!B:B,0)),'Listas de Dados'!$BW:$BW,0)),"")</f>
        <v/>
      </c>
      <c r="F7" s="42" t="str">
        <f>IFERROR(INDEX('ZM01'!CY:CY,MATCH(B7,'ZM01'!B:B,0)),"")</f>
        <v/>
      </c>
      <c r="G7" s="43" t="s">
        <v>897</v>
      </c>
      <c r="H7" s="43">
        <v>1000</v>
      </c>
      <c r="I7" s="103">
        <v>1</v>
      </c>
      <c r="J7" s="103">
        <v>1</v>
      </c>
      <c r="K7" s="43" t="s">
        <v>904</v>
      </c>
      <c r="L7" s="59"/>
      <c r="M7" s="42" t="str">
        <f t="shared" si="1"/>
        <v/>
      </c>
    </row>
    <row r="8" spans="1:13" x14ac:dyDescent="0.2">
      <c r="A8" s="7" t="str">
        <f t="shared" si="0"/>
        <v>Execução 4</v>
      </c>
      <c r="B8" s="41"/>
      <c r="C8" s="81" t="str">
        <f>IFERROR(VLOOKUP(B8,'ZM01'!B:C,2,0),"")</f>
        <v/>
      </c>
      <c r="D8" s="48" t="str">
        <f>IFERROR(VLOOKUP(B8,'ZM01'!B:I,8,0),"")</f>
        <v/>
      </c>
      <c r="E8" s="42" t="str">
        <f>IFERROR(INDEX('Listas de Dados'!$BU:$BU,MATCH(INDEX('ZM01'!CY:CY,MATCH(B8,'ZM01'!B:B,0)),'Listas de Dados'!$BW:$BW,0)),"")</f>
        <v/>
      </c>
      <c r="F8" s="42" t="str">
        <f>IFERROR(INDEX('ZM01'!CY:CY,MATCH(B8,'ZM01'!B:B,0)),"")</f>
        <v/>
      </c>
      <c r="G8" s="43" t="s">
        <v>897</v>
      </c>
      <c r="H8" s="43">
        <v>1000</v>
      </c>
      <c r="I8" s="103">
        <v>1</v>
      </c>
      <c r="J8" s="103">
        <v>1</v>
      </c>
      <c r="K8" s="43" t="s">
        <v>904</v>
      </c>
      <c r="L8" s="59"/>
      <c r="M8" s="42" t="str">
        <f t="shared" si="1"/>
        <v/>
      </c>
    </row>
    <row r="9" spans="1:13" x14ac:dyDescent="0.2">
      <c r="A9" s="7" t="str">
        <f t="shared" si="0"/>
        <v>Execução 5</v>
      </c>
      <c r="B9" s="41"/>
      <c r="C9" s="81" t="str">
        <f>IFERROR(VLOOKUP(B9,'ZM01'!B:C,2,0),"")</f>
        <v/>
      </c>
      <c r="D9" s="48" t="str">
        <f>IFERROR(VLOOKUP(B9,'ZM01'!B:I,8,0),"")</f>
        <v/>
      </c>
      <c r="E9" s="42" t="str">
        <f>IFERROR(INDEX('Listas de Dados'!$BU:$BU,MATCH(INDEX('ZM01'!CY:CY,MATCH(B9,'ZM01'!B:B,0)),'Listas de Dados'!$BW:$BW,0)),"")</f>
        <v/>
      </c>
      <c r="F9" s="42" t="str">
        <f>IFERROR(INDEX('ZM01'!CY:CY,MATCH(B9,'ZM01'!B:B,0)),"")</f>
        <v/>
      </c>
      <c r="G9" s="43" t="s">
        <v>897</v>
      </c>
      <c r="H9" s="43">
        <v>1000</v>
      </c>
      <c r="I9" s="103">
        <v>1</v>
      </c>
      <c r="J9" s="103">
        <v>1</v>
      </c>
      <c r="K9" s="43" t="s">
        <v>904</v>
      </c>
      <c r="L9" s="59"/>
      <c r="M9" s="42" t="str">
        <f t="shared" si="1"/>
        <v/>
      </c>
    </row>
    <row r="10" spans="1:13" x14ac:dyDescent="0.2">
      <c r="A10" s="7" t="str">
        <f t="shared" si="0"/>
        <v>Execução 6</v>
      </c>
      <c r="B10" s="41"/>
      <c r="C10" s="81" t="str">
        <f>IFERROR(VLOOKUP(B10,'ZM01'!B:C,2,0),"")</f>
        <v/>
      </c>
      <c r="D10" s="48" t="str">
        <f>IFERROR(VLOOKUP(B10,'ZM01'!B:I,8,0),"")</f>
        <v/>
      </c>
      <c r="E10" s="42" t="str">
        <f>IFERROR(INDEX('Listas de Dados'!$BU:$BU,MATCH(INDEX('ZM01'!CY:CY,MATCH(B10,'ZM01'!B:B,0)),'Listas de Dados'!$BW:$BW,0)),"")</f>
        <v/>
      </c>
      <c r="F10" s="42" t="str">
        <f>IFERROR(INDEX('ZM01'!CY:CY,MATCH(B10,'ZM01'!B:B,0)),"")</f>
        <v/>
      </c>
      <c r="G10" s="43" t="s">
        <v>897</v>
      </c>
      <c r="H10" s="43">
        <v>1000</v>
      </c>
      <c r="I10" s="103">
        <v>1</v>
      </c>
      <c r="J10" s="103">
        <v>1</v>
      </c>
      <c r="K10" s="43" t="s">
        <v>904</v>
      </c>
      <c r="L10" s="59"/>
      <c r="M10" s="42" t="str">
        <f t="shared" si="1"/>
        <v/>
      </c>
    </row>
    <row r="11" spans="1:13" x14ac:dyDescent="0.2">
      <c r="A11" s="7" t="str">
        <f t="shared" si="0"/>
        <v>Execução 7</v>
      </c>
      <c r="B11" s="41"/>
      <c r="C11" s="81" t="str">
        <f>IFERROR(VLOOKUP(B11,'ZM01'!B:C,2,0),"")</f>
        <v/>
      </c>
      <c r="D11" s="48" t="str">
        <f>IFERROR(VLOOKUP(B11,'ZM01'!B:I,8,0),"")</f>
        <v/>
      </c>
      <c r="E11" s="42" t="str">
        <f>IFERROR(INDEX('Listas de Dados'!$BU:$BU,MATCH(INDEX('ZM01'!CY:CY,MATCH(B11,'ZM01'!B:B,0)),'Listas de Dados'!$BW:$BW,0)),"")</f>
        <v/>
      </c>
      <c r="F11" s="42" t="str">
        <f>IFERROR(INDEX('ZM01'!CY:CY,MATCH(B11,'ZM01'!B:B,0)),"")</f>
        <v/>
      </c>
      <c r="G11" s="43" t="s">
        <v>897</v>
      </c>
      <c r="H11" s="43">
        <v>1000</v>
      </c>
      <c r="I11" s="103">
        <v>1</v>
      </c>
      <c r="J11" s="103">
        <v>1</v>
      </c>
      <c r="K11" s="43" t="s">
        <v>904</v>
      </c>
      <c r="L11" s="59"/>
      <c r="M11" s="42" t="str">
        <f t="shared" si="1"/>
        <v/>
      </c>
    </row>
    <row r="12" spans="1:13" x14ac:dyDescent="0.2">
      <c r="A12" s="7" t="str">
        <f t="shared" si="0"/>
        <v>Execução 8</v>
      </c>
      <c r="B12" s="41"/>
      <c r="C12" s="81" t="str">
        <f>IFERROR(VLOOKUP(B12,'ZM01'!B:C,2,0),"")</f>
        <v/>
      </c>
      <c r="D12" s="48" t="str">
        <f>IFERROR(VLOOKUP(B12,'ZM01'!B:I,8,0),"")</f>
        <v/>
      </c>
      <c r="E12" s="42" t="str">
        <f>IFERROR(INDEX('Listas de Dados'!$BU:$BU,MATCH(INDEX('ZM01'!CY:CY,MATCH(B12,'ZM01'!B:B,0)),'Listas de Dados'!$BW:$BW,0)),"")</f>
        <v/>
      </c>
      <c r="F12" s="42" t="str">
        <f>IFERROR(INDEX('ZM01'!CY:CY,MATCH(B12,'ZM01'!B:B,0)),"")</f>
        <v/>
      </c>
      <c r="G12" s="43" t="s">
        <v>897</v>
      </c>
      <c r="H12" s="43">
        <v>1000</v>
      </c>
      <c r="I12" s="103">
        <v>1</v>
      </c>
      <c r="J12" s="103">
        <v>1</v>
      </c>
      <c r="K12" s="43" t="s">
        <v>904</v>
      </c>
      <c r="L12" s="59"/>
      <c r="M12" s="42" t="str">
        <f t="shared" si="1"/>
        <v/>
      </c>
    </row>
    <row r="13" spans="1:13" x14ac:dyDescent="0.2">
      <c r="A13" s="7" t="str">
        <f t="shared" si="0"/>
        <v>Execução 9</v>
      </c>
      <c r="B13" s="41"/>
      <c r="C13" s="81" t="str">
        <f>IFERROR(VLOOKUP(B13,'ZM01'!B:C,2,0),"")</f>
        <v/>
      </c>
      <c r="D13" s="48" t="str">
        <f>IFERROR(VLOOKUP(B13,'ZM01'!B:I,8,0),"")</f>
        <v/>
      </c>
      <c r="E13" s="42" t="str">
        <f>IFERROR(INDEX('Listas de Dados'!$BU:$BU,MATCH(INDEX('ZM01'!CY:CY,MATCH(B13,'ZM01'!B:B,0)),'Listas de Dados'!$BW:$BW,0)),"")</f>
        <v/>
      </c>
      <c r="F13" s="42" t="str">
        <f>IFERROR(INDEX('ZM01'!CY:CY,MATCH(B13,'ZM01'!B:B,0)),"")</f>
        <v/>
      </c>
      <c r="G13" s="43" t="s">
        <v>897</v>
      </c>
      <c r="H13" s="43">
        <v>1000</v>
      </c>
      <c r="I13" s="103">
        <v>1</v>
      </c>
      <c r="J13" s="103">
        <v>1</v>
      </c>
      <c r="K13" s="43" t="s">
        <v>904</v>
      </c>
      <c r="L13" s="59"/>
      <c r="M13" s="42" t="str">
        <f t="shared" si="1"/>
        <v/>
      </c>
    </row>
    <row r="14" spans="1:13" x14ac:dyDescent="0.2">
      <c r="A14" s="7" t="str">
        <f t="shared" si="0"/>
        <v>Execução 10</v>
      </c>
      <c r="B14" s="41"/>
      <c r="C14" s="81" t="str">
        <f>IFERROR(VLOOKUP(B14,'ZM01'!B:C,2,0),"")</f>
        <v/>
      </c>
      <c r="D14" s="48" t="str">
        <f>IFERROR(VLOOKUP(B14,'ZM01'!B:I,8,0),"")</f>
        <v/>
      </c>
      <c r="E14" s="42" t="str">
        <f>IFERROR(INDEX('Listas de Dados'!$BU:$BU,MATCH(INDEX('ZM01'!CY:CY,MATCH(B14,'ZM01'!B:B,0)),'Listas de Dados'!$BW:$BW,0)),"")</f>
        <v/>
      </c>
      <c r="F14" s="42" t="str">
        <f>IFERROR(INDEX('ZM01'!CY:CY,MATCH(B14,'ZM01'!B:B,0)),"")</f>
        <v/>
      </c>
      <c r="G14" s="43" t="s">
        <v>897</v>
      </c>
      <c r="H14" s="43">
        <v>1000</v>
      </c>
      <c r="I14" s="103">
        <v>1</v>
      </c>
      <c r="J14" s="103">
        <v>1</v>
      </c>
      <c r="K14" s="43" t="s">
        <v>904</v>
      </c>
      <c r="L14" s="59"/>
      <c r="M14" s="42" t="str">
        <f t="shared" si="1"/>
        <v/>
      </c>
    </row>
    <row r="15" spans="1:13" x14ac:dyDescent="0.2">
      <c r="A15" s="7" t="str">
        <f t="shared" si="0"/>
        <v>Execução 11</v>
      </c>
      <c r="B15" s="41"/>
      <c r="C15" s="81" t="str">
        <f>IFERROR(VLOOKUP(B15,'ZM01'!B:C,2,0),"")</f>
        <v/>
      </c>
      <c r="D15" s="48" t="str">
        <f>IFERROR(VLOOKUP(B15,'ZM01'!B:I,8,0),"")</f>
        <v/>
      </c>
      <c r="E15" s="42" t="str">
        <f>IFERROR(INDEX('Listas de Dados'!$BU:$BU,MATCH(INDEX('ZM01'!CY:CY,MATCH(B15,'ZM01'!B:B,0)),'Listas de Dados'!$BW:$BW,0)),"")</f>
        <v/>
      </c>
      <c r="F15" s="42" t="str">
        <f>IFERROR(INDEX('ZM01'!CY:CY,MATCH(B15,'ZM01'!B:B,0)),"")</f>
        <v/>
      </c>
      <c r="G15" s="43" t="s">
        <v>897</v>
      </c>
      <c r="H15" s="43">
        <v>1000</v>
      </c>
      <c r="I15" s="103">
        <v>1</v>
      </c>
      <c r="J15" s="103">
        <v>1</v>
      </c>
      <c r="K15" s="43" t="s">
        <v>904</v>
      </c>
      <c r="L15" s="59"/>
      <c r="M15" s="42" t="str">
        <f t="shared" si="1"/>
        <v/>
      </c>
    </row>
    <row r="16" spans="1:13" x14ac:dyDescent="0.2">
      <c r="A16" s="7" t="str">
        <f t="shared" si="0"/>
        <v>Execução 12</v>
      </c>
      <c r="B16" s="41"/>
      <c r="C16" s="81" t="str">
        <f>IFERROR(VLOOKUP(B16,'ZM01'!B:C,2,0),"")</f>
        <v/>
      </c>
      <c r="D16" s="48" t="str">
        <f>IFERROR(VLOOKUP(B16,'ZM01'!B:I,8,0),"")</f>
        <v/>
      </c>
      <c r="E16" s="42" t="str">
        <f>IFERROR(INDEX('Listas de Dados'!$BU:$BU,MATCH(INDEX('ZM01'!CY:CY,MATCH(B16,'ZM01'!B:B,0)),'Listas de Dados'!$BW:$BW,0)),"")</f>
        <v/>
      </c>
      <c r="F16" s="42" t="str">
        <f>IFERROR(INDEX('ZM01'!CY:CY,MATCH(B16,'ZM01'!B:B,0)),"")</f>
        <v/>
      </c>
      <c r="G16" s="43" t="s">
        <v>897</v>
      </c>
      <c r="H16" s="43">
        <v>1000</v>
      </c>
      <c r="I16" s="103">
        <v>1</v>
      </c>
      <c r="J16" s="103">
        <v>1</v>
      </c>
      <c r="K16" s="43" t="s">
        <v>904</v>
      </c>
      <c r="L16" s="59"/>
      <c r="M16" s="42" t="str">
        <f t="shared" si="1"/>
        <v/>
      </c>
    </row>
    <row r="17" spans="1:13" x14ac:dyDescent="0.2">
      <c r="A17" s="7" t="str">
        <f t="shared" si="0"/>
        <v>Execução 13</v>
      </c>
      <c r="B17" s="41"/>
      <c r="C17" s="81" t="str">
        <f>IFERROR(VLOOKUP(B17,'ZM01'!B:C,2,0),"")</f>
        <v/>
      </c>
      <c r="D17" s="48" t="str">
        <f>IFERROR(VLOOKUP(B17,'ZM01'!B:I,8,0),"")</f>
        <v/>
      </c>
      <c r="E17" s="42" t="str">
        <f>IFERROR(INDEX('Listas de Dados'!$BU:$BU,MATCH(INDEX('ZM01'!CY:CY,MATCH(B17,'ZM01'!B:B,0)),'Listas de Dados'!$BW:$BW,0)),"")</f>
        <v/>
      </c>
      <c r="F17" s="42" t="str">
        <f>IFERROR(INDEX('ZM01'!CY:CY,MATCH(B17,'ZM01'!B:B,0)),"")</f>
        <v/>
      </c>
      <c r="G17" s="43" t="s">
        <v>897</v>
      </c>
      <c r="H17" s="43">
        <v>1000</v>
      </c>
      <c r="I17" s="103">
        <v>1</v>
      </c>
      <c r="J17" s="103">
        <v>1</v>
      </c>
      <c r="K17" s="43" t="s">
        <v>904</v>
      </c>
      <c r="L17" s="59"/>
      <c r="M17" s="42" t="str">
        <f t="shared" si="1"/>
        <v/>
      </c>
    </row>
    <row r="18" spans="1:13" x14ac:dyDescent="0.2">
      <c r="A18" s="7" t="str">
        <f t="shared" si="0"/>
        <v>Execução 14</v>
      </c>
      <c r="B18" s="41"/>
      <c r="C18" s="81" t="str">
        <f>IFERROR(VLOOKUP(B18,'ZM01'!B:C,2,0),"")</f>
        <v/>
      </c>
      <c r="D18" s="48" t="str">
        <f>IFERROR(VLOOKUP(B18,'ZM01'!B:I,8,0),"")</f>
        <v/>
      </c>
      <c r="E18" s="42" t="str">
        <f>IFERROR(INDEX('Listas de Dados'!$BU:$BU,MATCH(INDEX('ZM01'!CY:CY,MATCH(B18,'ZM01'!B:B,0)),'Listas de Dados'!$BW:$BW,0)),"")</f>
        <v/>
      </c>
      <c r="F18" s="42" t="str">
        <f>IFERROR(INDEX('ZM01'!CY:CY,MATCH(B18,'ZM01'!B:B,0)),"")</f>
        <v/>
      </c>
      <c r="G18" s="43" t="s">
        <v>897</v>
      </c>
      <c r="H18" s="43">
        <v>1000</v>
      </c>
      <c r="I18" s="103">
        <v>1</v>
      </c>
      <c r="J18" s="103">
        <v>1</v>
      </c>
      <c r="K18" s="43" t="s">
        <v>904</v>
      </c>
      <c r="L18" s="59"/>
      <c r="M18" s="42" t="str">
        <f t="shared" si="1"/>
        <v/>
      </c>
    </row>
    <row r="19" spans="1:13" x14ac:dyDescent="0.2">
      <c r="A19" s="7" t="str">
        <f t="shared" si="0"/>
        <v>Execução 15</v>
      </c>
      <c r="B19" s="41"/>
      <c r="C19" s="81" t="str">
        <f>IFERROR(VLOOKUP(B19,'ZM01'!B:C,2,0),"")</f>
        <v/>
      </c>
      <c r="D19" s="48" t="str">
        <f>IFERROR(VLOOKUP(B19,'ZM01'!B:I,8,0),"")</f>
        <v/>
      </c>
      <c r="E19" s="42" t="str">
        <f>IFERROR(INDEX('Listas de Dados'!$BU:$BU,MATCH(INDEX('ZM01'!CY:CY,MATCH(B19,'ZM01'!B:B,0)),'Listas de Dados'!$BW:$BW,0)),"")</f>
        <v/>
      </c>
      <c r="F19" s="42" t="str">
        <f>IFERROR(INDEX('ZM01'!CY:CY,MATCH(B19,'ZM01'!B:B,0)),"")</f>
        <v/>
      </c>
      <c r="G19" s="43" t="s">
        <v>897</v>
      </c>
      <c r="H19" s="43">
        <v>1000</v>
      </c>
      <c r="I19" s="103">
        <v>1</v>
      </c>
      <c r="J19" s="103">
        <v>1</v>
      </c>
      <c r="K19" s="43" t="s">
        <v>904</v>
      </c>
      <c r="L19" s="59"/>
      <c r="M19" s="42" t="str">
        <f t="shared" si="1"/>
        <v/>
      </c>
    </row>
    <row r="20" spans="1:13" x14ac:dyDescent="0.2">
      <c r="A20" s="7" t="str">
        <f t="shared" si="0"/>
        <v>Execução 16</v>
      </c>
      <c r="B20" s="41"/>
      <c r="C20" s="81" t="str">
        <f>IFERROR(VLOOKUP(B20,'ZM01'!B:C,2,0),"")</f>
        <v/>
      </c>
      <c r="D20" s="48" t="str">
        <f>IFERROR(VLOOKUP(B20,'ZM01'!B:I,8,0),"")</f>
        <v/>
      </c>
      <c r="E20" s="42" t="str">
        <f>IFERROR(INDEX('Listas de Dados'!$BU:$BU,MATCH(INDEX('ZM01'!CY:CY,MATCH(B20,'ZM01'!B:B,0)),'Listas de Dados'!$BW:$BW,0)),"")</f>
        <v/>
      </c>
      <c r="F20" s="42" t="str">
        <f>IFERROR(INDEX('ZM01'!CY:CY,MATCH(B20,'ZM01'!B:B,0)),"")</f>
        <v/>
      </c>
      <c r="G20" s="43" t="s">
        <v>897</v>
      </c>
      <c r="H20" s="43">
        <v>1000</v>
      </c>
      <c r="I20" s="103">
        <v>1</v>
      </c>
      <c r="J20" s="103">
        <v>1</v>
      </c>
      <c r="K20" s="43" t="s">
        <v>904</v>
      </c>
      <c r="L20" s="59"/>
      <c r="M20" s="42" t="str">
        <f t="shared" si="1"/>
        <v/>
      </c>
    </row>
    <row r="21" spans="1:13" x14ac:dyDescent="0.2">
      <c r="A21" s="7" t="str">
        <f t="shared" si="0"/>
        <v>Execução 17</v>
      </c>
      <c r="B21" s="41"/>
      <c r="C21" s="81" t="str">
        <f>IFERROR(VLOOKUP(B21,'ZM01'!B:C,2,0),"")</f>
        <v/>
      </c>
      <c r="D21" s="48" t="str">
        <f>IFERROR(VLOOKUP(B21,'ZM01'!B:I,8,0),"")</f>
        <v/>
      </c>
      <c r="E21" s="42" t="str">
        <f>IFERROR(INDEX('Listas de Dados'!$BU:$BU,MATCH(INDEX('ZM01'!CY:CY,MATCH(B21,'ZM01'!B:B,0)),'Listas de Dados'!$BW:$BW,0)),"")</f>
        <v/>
      </c>
      <c r="F21" s="42" t="str">
        <f>IFERROR(INDEX('ZM01'!CY:CY,MATCH(B21,'ZM01'!B:B,0)),"")</f>
        <v/>
      </c>
      <c r="G21" s="43" t="s">
        <v>897</v>
      </c>
      <c r="H21" s="43">
        <v>1000</v>
      </c>
      <c r="I21" s="103">
        <v>1</v>
      </c>
      <c r="J21" s="103">
        <v>1</v>
      </c>
      <c r="K21" s="43" t="s">
        <v>904</v>
      </c>
      <c r="L21" s="59"/>
      <c r="M21" s="42" t="str">
        <f t="shared" si="1"/>
        <v/>
      </c>
    </row>
    <row r="22" spans="1:13" x14ac:dyDescent="0.2">
      <c r="A22" s="7" t="str">
        <f t="shared" si="0"/>
        <v>Execução 18</v>
      </c>
      <c r="B22" s="41"/>
      <c r="C22" s="81" t="str">
        <f>IFERROR(VLOOKUP(B22,'ZM01'!B:C,2,0),"")</f>
        <v/>
      </c>
      <c r="D22" s="48" t="str">
        <f>IFERROR(VLOOKUP(B22,'ZM01'!B:I,8,0),"")</f>
        <v/>
      </c>
      <c r="E22" s="42" t="str">
        <f>IFERROR(INDEX('Listas de Dados'!$BU:$BU,MATCH(INDEX('ZM01'!CY:CY,MATCH(B22,'ZM01'!B:B,0)),'Listas de Dados'!$BW:$BW,0)),"")</f>
        <v/>
      </c>
      <c r="F22" s="42" t="str">
        <f>IFERROR(INDEX('ZM01'!CY:CY,MATCH(B22,'ZM01'!B:B,0)),"")</f>
        <v/>
      </c>
      <c r="G22" s="43" t="s">
        <v>897</v>
      </c>
      <c r="H22" s="43">
        <v>1000</v>
      </c>
      <c r="I22" s="103">
        <v>1</v>
      </c>
      <c r="J22" s="103">
        <v>1</v>
      </c>
      <c r="K22" s="43" t="s">
        <v>904</v>
      </c>
      <c r="L22" s="59"/>
      <c r="M22" s="42" t="str">
        <f t="shared" si="1"/>
        <v/>
      </c>
    </row>
    <row r="23" spans="1:13" x14ac:dyDescent="0.2">
      <c r="A23" s="7" t="str">
        <f t="shared" si="0"/>
        <v>Execução 19</v>
      </c>
      <c r="B23" s="41"/>
      <c r="C23" s="81" t="str">
        <f>IFERROR(VLOOKUP(B23,'ZM01'!B:C,2,0),"")</f>
        <v/>
      </c>
      <c r="D23" s="48" t="str">
        <f>IFERROR(VLOOKUP(B23,'ZM01'!B:I,8,0),"")</f>
        <v/>
      </c>
      <c r="E23" s="42" t="str">
        <f>IFERROR(INDEX('Listas de Dados'!$BU:$BU,MATCH(INDEX('ZM01'!CY:CY,MATCH(B23,'ZM01'!B:B,0)),'Listas de Dados'!$BW:$BW,0)),"")</f>
        <v/>
      </c>
      <c r="F23" s="42" t="str">
        <f>IFERROR(INDEX('ZM01'!CY:CY,MATCH(B23,'ZM01'!B:B,0)),"")</f>
        <v/>
      </c>
      <c r="G23" s="43" t="s">
        <v>897</v>
      </c>
      <c r="H23" s="43">
        <v>1000</v>
      </c>
      <c r="I23" s="103">
        <v>1</v>
      </c>
      <c r="J23" s="103">
        <v>1</v>
      </c>
      <c r="K23" s="43" t="s">
        <v>904</v>
      </c>
      <c r="L23" s="59"/>
      <c r="M23" s="42" t="str">
        <f t="shared" si="1"/>
        <v/>
      </c>
    </row>
    <row r="24" spans="1:13" x14ac:dyDescent="0.2">
      <c r="A24" s="7" t="str">
        <f t="shared" si="0"/>
        <v>Execução 20</v>
      </c>
      <c r="B24" s="41"/>
      <c r="C24" s="81" t="str">
        <f>IFERROR(VLOOKUP(B24,'ZM01'!B:C,2,0),"")</f>
        <v/>
      </c>
      <c r="D24" s="48" t="str">
        <f>IFERROR(VLOOKUP(B24,'ZM01'!B:I,8,0),"")</f>
        <v/>
      </c>
      <c r="E24" s="42" t="str">
        <f>IFERROR(INDEX('Listas de Dados'!$BU:$BU,MATCH(INDEX('ZM01'!CY:CY,MATCH(B24,'ZM01'!B:B,0)),'Listas de Dados'!$BW:$BW,0)),"")</f>
        <v/>
      </c>
      <c r="F24" s="42" t="str">
        <f>IFERROR(INDEX('ZM01'!CY:CY,MATCH(B24,'ZM01'!B:B,0)),"")</f>
        <v/>
      </c>
      <c r="G24" s="43" t="s">
        <v>897</v>
      </c>
      <c r="H24" s="43">
        <v>1000</v>
      </c>
      <c r="I24" s="103">
        <v>1</v>
      </c>
      <c r="J24" s="103">
        <v>1</v>
      </c>
      <c r="K24" s="43" t="s">
        <v>904</v>
      </c>
      <c r="L24" s="59"/>
      <c r="M24" s="42" t="str">
        <f t="shared" si="1"/>
        <v/>
      </c>
    </row>
    <row r="25" spans="1:13" x14ac:dyDescent="0.2">
      <c r="A25" s="7" t="str">
        <f t="shared" si="0"/>
        <v>Execução 21</v>
      </c>
      <c r="B25" s="41"/>
      <c r="C25" s="81" t="str">
        <f>IFERROR(VLOOKUP(B25,'ZM01'!B:C,2,0),"")</f>
        <v/>
      </c>
      <c r="D25" s="48" t="str">
        <f>IFERROR(VLOOKUP(B25,'ZM01'!B:I,8,0),"")</f>
        <v/>
      </c>
      <c r="E25" s="42" t="str">
        <f>IFERROR(INDEX('Listas de Dados'!$BU:$BU,MATCH(INDEX('ZM01'!CY:CY,MATCH(B25,'ZM01'!B:B,0)),'Listas de Dados'!$BW:$BW,0)),"")</f>
        <v/>
      </c>
      <c r="F25" s="42" t="str">
        <f>IFERROR(INDEX('ZM01'!CY:CY,MATCH(B25,'ZM01'!B:B,0)),"")</f>
        <v/>
      </c>
      <c r="G25" s="43" t="s">
        <v>897</v>
      </c>
      <c r="H25" s="43">
        <v>1000</v>
      </c>
      <c r="I25" s="103">
        <v>1</v>
      </c>
      <c r="J25" s="103">
        <v>1</v>
      </c>
      <c r="K25" s="43" t="s">
        <v>904</v>
      </c>
      <c r="L25" s="59"/>
      <c r="M25" s="42" t="str">
        <f t="shared" si="1"/>
        <v/>
      </c>
    </row>
    <row r="26" spans="1:13" x14ac:dyDescent="0.2">
      <c r="A26" s="7" t="str">
        <f t="shared" si="0"/>
        <v>Execução 22</v>
      </c>
      <c r="B26" s="41"/>
      <c r="C26" s="81" t="str">
        <f>IFERROR(VLOOKUP(B26,'ZM01'!B:C,2,0),"")</f>
        <v/>
      </c>
      <c r="D26" s="48" t="str">
        <f>IFERROR(VLOOKUP(B26,'ZM01'!B:I,8,0),"")</f>
        <v/>
      </c>
      <c r="E26" s="42" t="str">
        <f>IFERROR(INDEX('Listas de Dados'!$BU:$BU,MATCH(INDEX('ZM01'!CY:CY,MATCH(B26,'ZM01'!B:B,0)),'Listas de Dados'!$BW:$BW,0)),"")</f>
        <v/>
      </c>
      <c r="F26" s="42" t="str">
        <f>IFERROR(INDEX('ZM01'!CY:CY,MATCH(B26,'ZM01'!B:B,0)),"")</f>
        <v/>
      </c>
      <c r="G26" s="43" t="s">
        <v>897</v>
      </c>
      <c r="H26" s="43">
        <v>1000</v>
      </c>
      <c r="I26" s="103">
        <v>1</v>
      </c>
      <c r="J26" s="103">
        <v>1</v>
      </c>
      <c r="K26" s="43" t="s">
        <v>904</v>
      </c>
      <c r="L26" s="59"/>
      <c r="M26" s="42" t="str">
        <f t="shared" si="1"/>
        <v/>
      </c>
    </row>
    <row r="27" spans="1:13" x14ac:dyDescent="0.2">
      <c r="A27" s="7" t="str">
        <f t="shared" si="0"/>
        <v>Execução 23</v>
      </c>
      <c r="B27" s="41"/>
      <c r="C27" s="81" t="str">
        <f>IFERROR(VLOOKUP(B27,'ZM01'!B:C,2,0),"")</f>
        <v/>
      </c>
      <c r="D27" s="48" t="str">
        <f>IFERROR(VLOOKUP(B27,'ZM01'!B:I,8,0),"")</f>
        <v/>
      </c>
      <c r="E27" s="42" t="str">
        <f>IFERROR(INDEX('Listas de Dados'!$BU:$BU,MATCH(INDEX('ZM01'!CY:CY,MATCH(B27,'ZM01'!B:B,0)),'Listas de Dados'!$BW:$BW,0)),"")</f>
        <v/>
      </c>
      <c r="F27" s="42" t="str">
        <f>IFERROR(INDEX('ZM01'!CY:CY,MATCH(B27,'ZM01'!B:B,0)),"")</f>
        <v/>
      </c>
      <c r="G27" s="43" t="s">
        <v>897</v>
      </c>
      <c r="H27" s="43">
        <v>1000</v>
      </c>
      <c r="I27" s="103">
        <v>1</v>
      </c>
      <c r="J27" s="103">
        <v>1</v>
      </c>
      <c r="K27" s="43" t="s">
        <v>904</v>
      </c>
      <c r="L27" s="59"/>
      <c r="M27" s="42" t="str">
        <f t="shared" si="1"/>
        <v/>
      </c>
    </row>
    <row r="28" spans="1:13" x14ac:dyDescent="0.2">
      <c r="A28" s="7" t="str">
        <f t="shared" si="0"/>
        <v>Execução 24</v>
      </c>
      <c r="B28" s="41"/>
      <c r="C28" s="81" t="str">
        <f>IFERROR(VLOOKUP(B28,'ZM01'!B:C,2,0),"")</f>
        <v/>
      </c>
      <c r="D28" s="48" t="str">
        <f>IFERROR(VLOOKUP(B28,'ZM01'!B:I,8,0),"")</f>
        <v/>
      </c>
      <c r="E28" s="42" t="str">
        <f>IFERROR(INDEX('Listas de Dados'!$BU:$BU,MATCH(INDEX('ZM01'!CY:CY,MATCH(B28,'ZM01'!B:B,0)),'Listas de Dados'!$BW:$BW,0)),"")</f>
        <v/>
      </c>
      <c r="F28" s="42" t="str">
        <f>IFERROR(INDEX('ZM01'!CY:CY,MATCH(B28,'ZM01'!B:B,0)),"")</f>
        <v/>
      </c>
      <c r="G28" s="43" t="s">
        <v>897</v>
      </c>
      <c r="H28" s="43">
        <v>1000</v>
      </c>
      <c r="I28" s="103">
        <v>1</v>
      </c>
      <c r="J28" s="103">
        <v>1</v>
      </c>
      <c r="K28" s="43" t="s">
        <v>904</v>
      </c>
      <c r="L28" s="59"/>
      <c r="M28" s="42" t="str">
        <f t="shared" si="1"/>
        <v/>
      </c>
    </row>
    <row r="29" spans="1:13" x14ac:dyDescent="0.2">
      <c r="A29" s="7" t="str">
        <f t="shared" si="0"/>
        <v>Execução 25</v>
      </c>
      <c r="B29" s="41"/>
      <c r="C29" s="81" t="str">
        <f>IFERROR(VLOOKUP(B29,'ZM01'!B:C,2,0),"")</f>
        <v/>
      </c>
      <c r="D29" s="48" t="str">
        <f>IFERROR(VLOOKUP(B29,'ZM01'!B:I,8,0),"")</f>
        <v/>
      </c>
      <c r="E29" s="42" t="str">
        <f>IFERROR(INDEX('Listas de Dados'!$BU:$BU,MATCH(INDEX('ZM01'!CY:CY,MATCH(B29,'ZM01'!B:B,0)),'Listas de Dados'!$BW:$BW,0)),"")</f>
        <v/>
      </c>
      <c r="F29" s="42" t="str">
        <f>IFERROR(INDEX('ZM01'!CY:CY,MATCH(B29,'ZM01'!B:B,0)),"")</f>
        <v/>
      </c>
      <c r="G29" s="43" t="s">
        <v>897</v>
      </c>
      <c r="H29" s="43">
        <v>1000</v>
      </c>
      <c r="I29" s="103">
        <v>1</v>
      </c>
      <c r="J29" s="103">
        <v>1</v>
      </c>
      <c r="K29" s="43" t="s">
        <v>904</v>
      </c>
      <c r="L29" s="59"/>
      <c r="M29" s="42" t="str">
        <f t="shared" si="1"/>
        <v/>
      </c>
    </row>
    <row r="30" spans="1:13" x14ac:dyDescent="0.2">
      <c r="A30" s="7" t="str">
        <f t="shared" si="0"/>
        <v>Execução 26</v>
      </c>
      <c r="B30" s="41"/>
      <c r="C30" s="81" t="str">
        <f>IFERROR(VLOOKUP(B30,'ZM01'!B:C,2,0),"")</f>
        <v/>
      </c>
      <c r="D30" s="48" t="str">
        <f>IFERROR(VLOOKUP(B30,'ZM01'!B:I,8,0),"")</f>
        <v/>
      </c>
      <c r="E30" s="42" t="str">
        <f>IFERROR(INDEX('Listas de Dados'!$BU:$BU,MATCH(INDEX('ZM01'!CY:CY,MATCH(B30,'ZM01'!B:B,0)),'Listas de Dados'!$BW:$BW,0)),"")</f>
        <v/>
      </c>
      <c r="F30" s="42" t="str">
        <f>IFERROR(INDEX('ZM01'!CY:CY,MATCH(B30,'ZM01'!B:B,0)),"")</f>
        <v/>
      </c>
      <c r="G30" s="43" t="s">
        <v>897</v>
      </c>
      <c r="H30" s="43">
        <v>1000</v>
      </c>
      <c r="I30" s="103">
        <v>1</v>
      </c>
      <c r="J30" s="103">
        <v>1</v>
      </c>
      <c r="K30" s="43" t="s">
        <v>904</v>
      </c>
      <c r="L30" s="59"/>
      <c r="M30" s="42" t="str">
        <f t="shared" si="1"/>
        <v/>
      </c>
    </row>
    <row r="31" spans="1:13" x14ac:dyDescent="0.2">
      <c r="A31" s="7" t="str">
        <f t="shared" si="0"/>
        <v>Execução 27</v>
      </c>
      <c r="B31" s="41"/>
      <c r="C31" s="81" t="str">
        <f>IFERROR(VLOOKUP(B31,'ZM01'!B:C,2,0),"")</f>
        <v/>
      </c>
      <c r="D31" s="48" t="str">
        <f>IFERROR(VLOOKUP(B31,'ZM01'!B:I,8,0),"")</f>
        <v/>
      </c>
      <c r="E31" s="42" t="str">
        <f>IFERROR(INDEX('Listas de Dados'!$BU:$BU,MATCH(INDEX('ZM01'!CY:CY,MATCH(B31,'ZM01'!B:B,0)),'Listas de Dados'!$BW:$BW,0)),"")</f>
        <v/>
      </c>
      <c r="F31" s="42" t="str">
        <f>IFERROR(INDEX('ZM01'!CY:CY,MATCH(B31,'ZM01'!B:B,0)),"")</f>
        <v/>
      </c>
      <c r="G31" s="43" t="s">
        <v>897</v>
      </c>
      <c r="H31" s="43">
        <v>1000</v>
      </c>
      <c r="I31" s="103">
        <v>1</v>
      </c>
      <c r="J31" s="103">
        <v>1</v>
      </c>
      <c r="K31" s="43" t="s">
        <v>904</v>
      </c>
      <c r="L31" s="59"/>
      <c r="M31" s="42" t="str">
        <f t="shared" si="1"/>
        <v/>
      </c>
    </row>
    <row r="32" spans="1:13" x14ac:dyDescent="0.2">
      <c r="A32" s="7" t="str">
        <f t="shared" si="0"/>
        <v>Execução 28</v>
      </c>
      <c r="B32" s="41"/>
      <c r="C32" s="81" t="str">
        <f>IFERROR(VLOOKUP(B32,'ZM01'!B:C,2,0),"")</f>
        <v/>
      </c>
      <c r="D32" s="48" t="str">
        <f>IFERROR(VLOOKUP(B32,'ZM01'!B:I,8,0),"")</f>
        <v/>
      </c>
      <c r="E32" s="42" t="str">
        <f>IFERROR(INDEX('Listas de Dados'!$BU:$BU,MATCH(INDEX('ZM01'!CY:CY,MATCH(B32,'ZM01'!B:B,0)),'Listas de Dados'!$BW:$BW,0)),"")</f>
        <v/>
      </c>
      <c r="F32" s="42" t="str">
        <f>IFERROR(INDEX('ZM01'!CY:CY,MATCH(B32,'ZM01'!B:B,0)),"")</f>
        <v/>
      </c>
      <c r="G32" s="43" t="s">
        <v>897</v>
      </c>
      <c r="H32" s="43">
        <v>1000</v>
      </c>
      <c r="I32" s="103">
        <v>1</v>
      </c>
      <c r="J32" s="103">
        <v>1</v>
      </c>
      <c r="K32" s="43" t="s">
        <v>904</v>
      </c>
      <c r="L32" s="59"/>
      <c r="M32" s="42" t="str">
        <f t="shared" si="1"/>
        <v/>
      </c>
    </row>
    <row r="33" spans="1:13" x14ac:dyDescent="0.2">
      <c r="A33" s="7" t="str">
        <f t="shared" si="0"/>
        <v>Execução 29</v>
      </c>
      <c r="B33" s="41"/>
      <c r="C33" s="81" t="str">
        <f>IFERROR(VLOOKUP(B33,'ZM01'!B:C,2,0),"")</f>
        <v/>
      </c>
      <c r="D33" s="48" t="str">
        <f>IFERROR(VLOOKUP(B33,'ZM01'!B:I,8,0),"")</f>
        <v/>
      </c>
      <c r="E33" s="42" t="str">
        <f>IFERROR(INDEX('Listas de Dados'!$BU:$BU,MATCH(INDEX('ZM01'!CY:CY,MATCH(B33,'ZM01'!B:B,0)),'Listas de Dados'!$BW:$BW,0)),"")</f>
        <v/>
      </c>
      <c r="F33" s="42" t="str">
        <f>IFERROR(INDEX('ZM01'!CY:CY,MATCH(B33,'ZM01'!B:B,0)),"")</f>
        <v/>
      </c>
      <c r="G33" s="43" t="s">
        <v>897</v>
      </c>
      <c r="H33" s="43">
        <v>1000</v>
      </c>
      <c r="I33" s="103">
        <v>1</v>
      </c>
      <c r="J33" s="103">
        <v>1</v>
      </c>
      <c r="K33" s="43" t="s">
        <v>904</v>
      </c>
      <c r="L33" s="59"/>
      <c r="M33" s="42" t="str">
        <f t="shared" si="1"/>
        <v/>
      </c>
    </row>
    <row r="34" spans="1:13" x14ac:dyDescent="0.2">
      <c r="A34" s="7" t="str">
        <f t="shared" si="0"/>
        <v>Execução 30</v>
      </c>
      <c r="B34" s="41"/>
      <c r="C34" s="81" t="str">
        <f>IFERROR(VLOOKUP(B34,'ZM01'!B:C,2,0),"")</f>
        <v/>
      </c>
      <c r="D34" s="48" t="str">
        <f>IFERROR(VLOOKUP(B34,'ZM01'!B:I,8,0),"")</f>
        <v/>
      </c>
      <c r="E34" s="42" t="str">
        <f>IFERROR(INDEX('Listas de Dados'!$BU:$BU,MATCH(INDEX('ZM01'!CY:CY,MATCH(B34,'ZM01'!B:B,0)),'Listas de Dados'!$BW:$BW,0)),"")</f>
        <v/>
      </c>
      <c r="F34" s="42" t="str">
        <f>IFERROR(INDEX('ZM01'!CY:CY,MATCH(B34,'ZM01'!B:B,0)),"")</f>
        <v/>
      </c>
      <c r="G34" s="43" t="s">
        <v>897</v>
      </c>
      <c r="H34" s="43">
        <v>1000</v>
      </c>
      <c r="I34" s="103">
        <v>1</v>
      </c>
      <c r="J34" s="103">
        <v>1</v>
      </c>
      <c r="K34" s="43" t="s">
        <v>904</v>
      </c>
      <c r="L34" s="59"/>
      <c r="M34" s="42" t="str">
        <f t="shared" si="1"/>
        <v/>
      </c>
    </row>
    <row r="35" spans="1:13" x14ac:dyDescent="0.2">
      <c r="A35" s="7" t="str">
        <f t="shared" si="0"/>
        <v>Execução 31</v>
      </c>
      <c r="B35" s="41"/>
      <c r="C35" s="81" t="str">
        <f>IFERROR(VLOOKUP(B35,'ZM01'!B:C,2,0),"")</f>
        <v/>
      </c>
      <c r="D35" s="48" t="str">
        <f>IFERROR(VLOOKUP(B35,'ZM01'!B:I,8,0),"")</f>
        <v/>
      </c>
      <c r="E35" s="42" t="str">
        <f>IFERROR(INDEX('Listas de Dados'!$BU:$BU,MATCH(INDEX('ZM01'!CY:CY,MATCH(B35,'ZM01'!B:B,0)),'Listas de Dados'!$BW:$BW,0)),"")</f>
        <v/>
      </c>
      <c r="F35" s="42" t="str">
        <f>IFERROR(INDEX('ZM01'!CY:CY,MATCH(B35,'ZM01'!B:B,0)),"")</f>
        <v/>
      </c>
      <c r="G35" s="43" t="s">
        <v>897</v>
      </c>
      <c r="H35" s="43">
        <v>1000</v>
      </c>
      <c r="I35" s="103">
        <v>1</v>
      </c>
      <c r="J35" s="103">
        <v>1</v>
      </c>
      <c r="K35" s="43" t="s">
        <v>904</v>
      </c>
      <c r="L35" s="59"/>
      <c r="M35" s="42" t="str">
        <f t="shared" si="1"/>
        <v/>
      </c>
    </row>
    <row r="36" spans="1:13" x14ac:dyDescent="0.2">
      <c r="A36" s="7" t="str">
        <f t="shared" si="0"/>
        <v>Execução 32</v>
      </c>
      <c r="B36" s="41"/>
      <c r="C36" s="81" t="str">
        <f>IFERROR(VLOOKUP(B36,'ZM01'!B:C,2,0),"")</f>
        <v/>
      </c>
      <c r="D36" s="48" t="str">
        <f>IFERROR(VLOOKUP(B36,'ZM01'!B:I,8,0),"")</f>
        <v/>
      </c>
      <c r="E36" s="42" t="str">
        <f>IFERROR(INDEX('Listas de Dados'!$BU:$BU,MATCH(INDEX('ZM01'!CY:CY,MATCH(B36,'ZM01'!B:B,0)),'Listas de Dados'!$BW:$BW,0)),"")</f>
        <v/>
      </c>
      <c r="F36" s="42" t="str">
        <f>IFERROR(INDEX('ZM01'!CY:CY,MATCH(B36,'ZM01'!B:B,0)),"")</f>
        <v/>
      </c>
      <c r="G36" s="43" t="s">
        <v>897</v>
      </c>
      <c r="H36" s="43">
        <v>1000</v>
      </c>
      <c r="I36" s="103">
        <v>1</v>
      </c>
      <c r="J36" s="103">
        <v>1</v>
      </c>
      <c r="K36" s="43" t="s">
        <v>904</v>
      </c>
      <c r="L36" s="59"/>
      <c r="M36" s="42" t="str">
        <f t="shared" si="1"/>
        <v/>
      </c>
    </row>
    <row r="37" spans="1:13" x14ac:dyDescent="0.2">
      <c r="A37" s="7" t="str">
        <f t="shared" si="0"/>
        <v>Execução 33</v>
      </c>
      <c r="B37" s="41"/>
      <c r="C37" s="81" t="str">
        <f>IFERROR(VLOOKUP(B37,'ZM01'!B:C,2,0),"")</f>
        <v/>
      </c>
      <c r="D37" s="48" t="str">
        <f>IFERROR(VLOOKUP(B37,'ZM01'!B:I,8,0),"")</f>
        <v/>
      </c>
      <c r="E37" s="42" t="str">
        <f>IFERROR(INDEX('Listas de Dados'!$BU:$BU,MATCH(INDEX('ZM01'!CY:CY,MATCH(B37,'ZM01'!B:B,0)),'Listas de Dados'!$BW:$BW,0)),"")</f>
        <v/>
      </c>
      <c r="F37" s="42" t="str">
        <f>IFERROR(INDEX('ZM01'!CY:CY,MATCH(B37,'ZM01'!B:B,0)),"")</f>
        <v/>
      </c>
      <c r="G37" s="43" t="s">
        <v>897</v>
      </c>
      <c r="H37" s="43">
        <v>1000</v>
      </c>
      <c r="I37" s="103">
        <v>1</v>
      </c>
      <c r="J37" s="103">
        <v>1</v>
      </c>
      <c r="K37" s="43" t="s">
        <v>904</v>
      </c>
      <c r="L37" s="59"/>
      <c r="M37" s="42" t="str">
        <f t="shared" si="1"/>
        <v/>
      </c>
    </row>
    <row r="38" spans="1:13" x14ac:dyDescent="0.2">
      <c r="A38" s="7" t="str">
        <f t="shared" si="0"/>
        <v>Execução 34</v>
      </c>
      <c r="B38" s="41"/>
      <c r="C38" s="81" t="str">
        <f>IFERROR(VLOOKUP(B38,'ZM01'!B:C,2,0),"")</f>
        <v/>
      </c>
      <c r="D38" s="48" t="str">
        <f>IFERROR(VLOOKUP(B38,'ZM01'!B:I,8,0),"")</f>
        <v/>
      </c>
      <c r="E38" s="42" t="str">
        <f>IFERROR(INDEX('Listas de Dados'!$BU:$BU,MATCH(INDEX('ZM01'!CY:CY,MATCH(B38,'ZM01'!B:B,0)),'Listas de Dados'!$BW:$BW,0)),"")</f>
        <v/>
      </c>
      <c r="F38" s="42" t="str">
        <f>IFERROR(INDEX('ZM01'!CY:CY,MATCH(B38,'ZM01'!B:B,0)),"")</f>
        <v/>
      </c>
      <c r="G38" s="43" t="s">
        <v>897</v>
      </c>
      <c r="H38" s="43">
        <v>1000</v>
      </c>
      <c r="I38" s="103">
        <v>1</v>
      </c>
      <c r="J38" s="103">
        <v>1</v>
      </c>
      <c r="K38" s="43" t="s">
        <v>904</v>
      </c>
      <c r="L38" s="59"/>
      <c r="M38" s="42" t="str">
        <f t="shared" si="1"/>
        <v/>
      </c>
    </row>
    <row r="39" spans="1:13" x14ac:dyDescent="0.2">
      <c r="A39" s="7" t="str">
        <f t="shared" si="0"/>
        <v>Execução 35</v>
      </c>
      <c r="B39" s="41"/>
      <c r="C39" s="81" t="str">
        <f>IFERROR(VLOOKUP(B39,'ZM01'!B:C,2,0),"")</f>
        <v/>
      </c>
      <c r="D39" s="48" t="str">
        <f>IFERROR(VLOOKUP(B39,'ZM01'!B:I,8,0),"")</f>
        <v/>
      </c>
      <c r="E39" s="42" t="str">
        <f>IFERROR(INDEX('Listas de Dados'!$BU:$BU,MATCH(INDEX('ZM01'!CY:CY,MATCH(B39,'ZM01'!B:B,0)),'Listas de Dados'!$BW:$BW,0)),"")</f>
        <v/>
      </c>
      <c r="F39" s="42" t="str">
        <f>IFERROR(INDEX('ZM01'!CY:CY,MATCH(B39,'ZM01'!B:B,0)),"")</f>
        <v/>
      </c>
      <c r="G39" s="43" t="s">
        <v>897</v>
      </c>
      <c r="H39" s="43">
        <v>1000</v>
      </c>
      <c r="I39" s="103">
        <v>1</v>
      </c>
      <c r="J39" s="103">
        <v>1</v>
      </c>
      <c r="K39" s="43" t="s">
        <v>904</v>
      </c>
      <c r="L39" s="59"/>
      <c r="M39" s="42" t="str">
        <f t="shared" si="1"/>
        <v/>
      </c>
    </row>
    <row r="40" spans="1:13" x14ac:dyDescent="0.2">
      <c r="A40" s="7" t="str">
        <f t="shared" si="0"/>
        <v>Execução 36</v>
      </c>
      <c r="B40" s="41"/>
      <c r="C40" s="81" t="str">
        <f>IFERROR(VLOOKUP(B40,'ZM01'!B:C,2,0),"")</f>
        <v/>
      </c>
      <c r="D40" s="48" t="str">
        <f>IFERROR(VLOOKUP(B40,'ZM01'!B:I,8,0),"")</f>
        <v/>
      </c>
      <c r="E40" s="42" t="str">
        <f>IFERROR(INDEX('Listas de Dados'!$BU:$BU,MATCH(INDEX('ZM01'!CY:CY,MATCH(B40,'ZM01'!B:B,0)),'Listas de Dados'!$BW:$BW,0)),"")</f>
        <v/>
      </c>
      <c r="F40" s="42" t="str">
        <f>IFERROR(INDEX('ZM01'!CY:CY,MATCH(B40,'ZM01'!B:B,0)),"")</f>
        <v/>
      </c>
      <c r="G40" s="43" t="s">
        <v>897</v>
      </c>
      <c r="H40" s="43">
        <v>1000</v>
      </c>
      <c r="I40" s="103">
        <v>1</v>
      </c>
      <c r="J40" s="103">
        <v>1</v>
      </c>
      <c r="K40" s="43" t="s">
        <v>904</v>
      </c>
      <c r="L40" s="59"/>
      <c r="M40" s="42" t="str">
        <f t="shared" si="1"/>
        <v/>
      </c>
    </row>
    <row r="41" spans="1:13" x14ac:dyDescent="0.2">
      <c r="A41" s="7" t="str">
        <f t="shared" si="0"/>
        <v>Execução 37</v>
      </c>
      <c r="B41" s="41"/>
      <c r="C41" s="81" t="str">
        <f>IFERROR(VLOOKUP(B41,'ZM01'!B:C,2,0),"")</f>
        <v/>
      </c>
      <c r="D41" s="48" t="str">
        <f>IFERROR(VLOOKUP(B41,'ZM01'!B:I,8,0),"")</f>
        <v/>
      </c>
      <c r="E41" s="42" t="str">
        <f>IFERROR(INDEX('Listas de Dados'!$BU:$BU,MATCH(INDEX('ZM01'!CY:CY,MATCH(B41,'ZM01'!B:B,0)),'Listas de Dados'!$BW:$BW,0)),"")</f>
        <v/>
      </c>
      <c r="F41" s="42" t="str">
        <f>IFERROR(INDEX('ZM01'!CY:CY,MATCH(B41,'ZM01'!B:B,0)),"")</f>
        <v/>
      </c>
      <c r="G41" s="43" t="s">
        <v>897</v>
      </c>
      <c r="H41" s="43">
        <v>1000</v>
      </c>
      <c r="I41" s="103">
        <v>1</v>
      </c>
      <c r="J41" s="103">
        <v>1</v>
      </c>
      <c r="K41" s="43" t="s">
        <v>904</v>
      </c>
      <c r="L41" s="59"/>
      <c r="M41" s="42" t="str">
        <f t="shared" si="1"/>
        <v/>
      </c>
    </row>
    <row r="42" spans="1:13" x14ac:dyDescent="0.2">
      <c r="A42" s="7" t="str">
        <f t="shared" si="0"/>
        <v>Execução 38</v>
      </c>
      <c r="B42" s="41"/>
      <c r="C42" s="81" t="str">
        <f>IFERROR(VLOOKUP(B42,'ZM01'!B:C,2,0),"")</f>
        <v/>
      </c>
      <c r="D42" s="48" t="str">
        <f>IFERROR(VLOOKUP(B42,'ZM01'!B:I,8,0),"")</f>
        <v/>
      </c>
      <c r="E42" s="42" t="str">
        <f>IFERROR(INDEX('Listas de Dados'!$BU:$BU,MATCH(INDEX('ZM01'!CY:CY,MATCH(B42,'ZM01'!B:B,0)),'Listas de Dados'!$BW:$BW,0)),"")</f>
        <v/>
      </c>
      <c r="F42" s="42" t="str">
        <f>IFERROR(INDEX('ZM01'!CY:CY,MATCH(B42,'ZM01'!B:B,0)),"")</f>
        <v/>
      </c>
      <c r="G42" s="43" t="s">
        <v>897</v>
      </c>
      <c r="H42" s="43">
        <v>1000</v>
      </c>
      <c r="I42" s="103">
        <v>1</v>
      </c>
      <c r="J42" s="103">
        <v>1</v>
      </c>
      <c r="K42" s="43" t="s">
        <v>904</v>
      </c>
      <c r="L42" s="59"/>
      <c r="M42" s="42" t="str">
        <f t="shared" si="1"/>
        <v/>
      </c>
    </row>
    <row r="43" spans="1:13" x14ac:dyDescent="0.2">
      <c r="A43" s="7" t="str">
        <f t="shared" si="0"/>
        <v>Execução 39</v>
      </c>
      <c r="B43" s="41"/>
      <c r="C43" s="81" t="str">
        <f>IFERROR(VLOOKUP(B43,'ZM01'!B:C,2,0),"")</f>
        <v/>
      </c>
      <c r="D43" s="48" t="str">
        <f>IFERROR(VLOOKUP(B43,'ZM01'!B:I,8,0),"")</f>
        <v/>
      </c>
      <c r="E43" s="42" t="str">
        <f>IFERROR(INDEX('Listas de Dados'!$BU:$BU,MATCH(INDEX('ZM01'!CY:CY,MATCH(B43,'ZM01'!B:B,0)),'Listas de Dados'!$BW:$BW,0)),"")</f>
        <v/>
      </c>
      <c r="F43" s="42" t="str">
        <f>IFERROR(INDEX('ZM01'!CY:CY,MATCH(B43,'ZM01'!B:B,0)),"")</f>
        <v/>
      </c>
      <c r="G43" s="43" t="s">
        <v>897</v>
      </c>
      <c r="H43" s="43">
        <v>1000</v>
      </c>
      <c r="I43" s="103">
        <v>1</v>
      </c>
      <c r="J43" s="103">
        <v>1</v>
      </c>
      <c r="K43" s="43" t="s">
        <v>904</v>
      </c>
      <c r="L43" s="59"/>
      <c r="M43" s="42" t="str">
        <f t="shared" si="1"/>
        <v/>
      </c>
    </row>
    <row r="44" spans="1:13" x14ac:dyDescent="0.2">
      <c r="A44" s="7" t="str">
        <f t="shared" si="0"/>
        <v>Execução 40</v>
      </c>
      <c r="B44" s="41"/>
      <c r="C44" s="81" t="str">
        <f>IFERROR(VLOOKUP(B44,'ZM01'!B:C,2,0),"")</f>
        <v/>
      </c>
      <c r="D44" s="48" t="str">
        <f>IFERROR(VLOOKUP(B44,'ZM01'!B:I,8,0),"")</f>
        <v/>
      </c>
      <c r="E44" s="42" t="str">
        <f>IFERROR(INDEX('Listas de Dados'!$BU:$BU,MATCH(INDEX('ZM01'!CY:CY,MATCH(B44,'ZM01'!B:B,0)),'Listas de Dados'!$BW:$BW,0)),"")</f>
        <v/>
      </c>
      <c r="F44" s="42" t="str">
        <f>IFERROR(INDEX('ZM01'!CY:CY,MATCH(B44,'ZM01'!B:B,0)),"")</f>
        <v/>
      </c>
      <c r="G44" s="43" t="s">
        <v>897</v>
      </c>
      <c r="H44" s="43">
        <v>1000</v>
      </c>
      <c r="I44" s="103">
        <v>1</v>
      </c>
      <c r="J44" s="103">
        <v>1</v>
      </c>
      <c r="K44" s="43" t="s">
        <v>904</v>
      </c>
      <c r="L44" s="59"/>
      <c r="M44" s="42" t="str">
        <f t="shared" si="1"/>
        <v/>
      </c>
    </row>
    <row r="45" spans="1:13" x14ac:dyDescent="0.2">
      <c r="A45" s="7" t="str">
        <f t="shared" si="0"/>
        <v>Execução 41</v>
      </c>
      <c r="B45" s="41"/>
      <c r="C45" s="81" t="str">
        <f>IFERROR(VLOOKUP(B45,'ZM01'!B:C,2,0),"")</f>
        <v/>
      </c>
      <c r="D45" s="48" t="str">
        <f>IFERROR(VLOOKUP(B45,'ZM01'!B:I,8,0),"")</f>
        <v/>
      </c>
      <c r="E45" s="42" t="str">
        <f>IFERROR(INDEX('Listas de Dados'!$BU:$BU,MATCH(INDEX('ZM01'!CY:CY,MATCH(B45,'ZM01'!B:B,0)),'Listas de Dados'!$BW:$BW,0)),"")</f>
        <v/>
      </c>
      <c r="F45" s="42" t="str">
        <f>IFERROR(INDEX('ZM01'!CY:CY,MATCH(B45,'ZM01'!B:B,0)),"")</f>
        <v/>
      </c>
      <c r="G45" s="43" t="s">
        <v>897</v>
      </c>
      <c r="H45" s="43">
        <v>1000</v>
      </c>
      <c r="I45" s="103">
        <v>1</v>
      </c>
      <c r="J45" s="103">
        <v>1</v>
      </c>
      <c r="K45" s="43" t="s">
        <v>904</v>
      </c>
      <c r="L45" s="59"/>
      <c r="M45" s="42" t="str">
        <f t="shared" si="1"/>
        <v/>
      </c>
    </row>
    <row r="46" spans="1:13" x14ac:dyDescent="0.2">
      <c r="A46" s="7" t="str">
        <f t="shared" si="0"/>
        <v>Execução 42</v>
      </c>
      <c r="B46" s="41"/>
      <c r="C46" s="81" t="str">
        <f>IFERROR(VLOOKUP(B46,'ZM01'!B:C,2,0),"")</f>
        <v/>
      </c>
      <c r="D46" s="48" t="str">
        <f>IFERROR(VLOOKUP(B46,'ZM01'!B:I,8,0),"")</f>
        <v/>
      </c>
      <c r="E46" s="42" t="str">
        <f>IFERROR(INDEX('Listas de Dados'!$BU:$BU,MATCH(INDEX('ZM01'!CY:CY,MATCH(B46,'ZM01'!B:B,0)),'Listas de Dados'!$BW:$BW,0)),"")</f>
        <v/>
      </c>
      <c r="F46" s="42" t="str">
        <f>IFERROR(INDEX('ZM01'!CY:CY,MATCH(B46,'ZM01'!B:B,0)),"")</f>
        <v/>
      </c>
      <c r="G46" s="43" t="s">
        <v>897</v>
      </c>
      <c r="H46" s="43">
        <v>1000</v>
      </c>
      <c r="I46" s="103">
        <v>1</v>
      </c>
      <c r="J46" s="103">
        <v>1</v>
      </c>
      <c r="K46" s="43" t="s">
        <v>904</v>
      </c>
      <c r="L46" s="59"/>
      <c r="M46" s="42" t="str">
        <f t="shared" si="1"/>
        <v/>
      </c>
    </row>
    <row r="47" spans="1:13" x14ac:dyDescent="0.2">
      <c r="A47" s="7" t="str">
        <f t="shared" si="0"/>
        <v>Execução 43</v>
      </c>
      <c r="B47" s="41"/>
      <c r="C47" s="81" t="str">
        <f>IFERROR(VLOOKUP(B47,'ZM01'!B:C,2,0),"")</f>
        <v/>
      </c>
      <c r="D47" s="48" t="str">
        <f>IFERROR(VLOOKUP(B47,'ZM01'!B:I,8,0),"")</f>
        <v/>
      </c>
      <c r="E47" s="42" t="str">
        <f>IFERROR(INDEX('Listas de Dados'!$BU:$BU,MATCH(INDEX('ZM01'!CY:CY,MATCH(B47,'ZM01'!B:B,0)),'Listas de Dados'!$BW:$BW,0)),"")</f>
        <v/>
      </c>
      <c r="F47" s="42" t="str">
        <f>IFERROR(INDEX('ZM01'!CY:CY,MATCH(B47,'ZM01'!B:B,0)),"")</f>
        <v/>
      </c>
      <c r="G47" s="43" t="s">
        <v>897</v>
      </c>
      <c r="H47" s="43">
        <v>1000</v>
      </c>
      <c r="I47" s="103">
        <v>1</v>
      </c>
      <c r="J47" s="103">
        <v>1</v>
      </c>
      <c r="K47" s="43" t="s">
        <v>904</v>
      </c>
      <c r="L47" s="59"/>
      <c r="M47" s="42" t="str">
        <f t="shared" si="1"/>
        <v/>
      </c>
    </row>
    <row r="48" spans="1:13" x14ac:dyDescent="0.2">
      <c r="A48" s="7" t="str">
        <f t="shared" si="0"/>
        <v>Execução 44</v>
      </c>
      <c r="B48" s="41"/>
      <c r="C48" s="81" t="str">
        <f>IFERROR(VLOOKUP(B48,'ZM01'!B:C,2,0),"")</f>
        <v/>
      </c>
      <c r="D48" s="48" t="str">
        <f>IFERROR(VLOOKUP(B48,'ZM01'!B:I,8,0),"")</f>
        <v/>
      </c>
      <c r="E48" s="42" t="str">
        <f>IFERROR(INDEX('Listas de Dados'!$BU:$BU,MATCH(INDEX('ZM01'!CY:CY,MATCH(B48,'ZM01'!B:B,0)),'Listas de Dados'!$BW:$BW,0)),"")</f>
        <v/>
      </c>
      <c r="F48" s="42" t="str">
        <f>IFERROR(INDEX('ZM01'!CY:CY,MATCH(B48,'ZM01'!B:B,0)),"")</f>
        <v/>
      </c>
      <c r="G48" s="43" t="s">
        <v>897</v>
      </c>
      <c r="H48" s="43">
        <v>1000</v>
      </c>
      <c r="I48" s="103">
        <v>1</v>
      </c>
      <c r="J48" s="103">
        <v>1</v>
      </c>
      <c r="K48" s="43" t="s">
        <v>904</v>
      </c>
      <c r="L48" s="59"/>
      <c r="M48" s="42" t="str">
        <f t="shared" si="1"/>
        <v/>
      </c>
    </row>
    <row r="49" spans="1:13" x14ac:dyDescent="0.2">
      <c r="A49" s="7" t="str">
        <f t="shared" si="0"/>
        <v>Execução 45</v>
      </c>
      <c r="B49" s="41"/>
      <c r="C49" s="81" t="str">
        <f>IFERROR(VLOOKUP(B49,'ZM01'!B:C,2,0),"")</f>
        <v/>
      </c>
      <c r="D49" s="48" t="str">
        <f>IFERROR(VLOOKUP(B49,'ZM01'!B:I,8,0),"")</f>
        <v/>
      </c>
      <c r="E49" s="42" t="str">
        <f>IFERROR(INDEX('Listas de Dados'!$BU:$BU,MATCH(INDEX('ZM01'!CY:CY,MATCH(B49,'ZM01'!B:B,0)),'Listas de Dados'!$BW:$BW,0)),"")</f>
        <v/>
      </c>
      <c r="F49" s="42" t="str">
        <f>IFERROR(INDEX('ZM01'!CY:CY,MATCH(B49,'ZM01'!B:B,0)),"")</f>
        <v/>
      </c>
      <c r="G49" s="43" t="s">
        <v>897</v>
      </c>
      <c r="H49" s="43">
        <v>1000</v>
      </c>
      <c r="I49" s="103">
        <v>1</v>
      </c>
      <c r="J49" s="103">
        <v>1</v>
      </c>
      <c r="K49" s="43" t="s">
        <v>904</v>
      </c>
      <c r="L49" s="59"/>
      <c r="M49" s="42" t="str">
        <f t="shared" si="1"/>
        <v/>
      </c>
    </row>
    <row r="50" spans="1:13" x14ac:dyDescent="0.2">
      <c r="A50" s="7" t="str">
        <f t="shared" si="0"/>
        <v>Execução 46</v>
      </c>
      <c r="B50" s="41"/>
      <c r="C50" s="81" t="str">
        <f>IFERROR(VLOOKUP(B50,'ZM01'!B:C,2,0),"")</f>
        <v/>
      </c>
      <c r="D50" s="48" t="str">
        <f>IFERROR(VLOOKUP(B50,'ZM01'!B:I,8,0),"")</f>
        <v/>
      </c>
      <c r="E50" s="42" t="str">
        <f>IFERROR(INDEX('Listas de Dados'!$BU:$BU,MATCH(INDEX('ZM01'!CY:CY,MATCH(B50,'ZM01'!B:B,0)),'Listas de Dados'!$BW:$BW,0)),"")</f>
        <v/>
      </c>
      <c r="F50" s="42" t="str">
        <f>IFERROR(INDEX('ZM01'!CY:CY,MATCH(B50,'ZM01'!B:B,0)),"")</f>
        <v/>
      </c>
      <c r="G50" s="43" t="s">
        <v>897</v>
      </c>
      <c r="H50" s="43">
        <v>1000</v>
      </c>
      <c r="I50" s="103">
        <v>1</v>
      </c>
      <c r="J50" s="103">
        <v>1</v>
      </c>
      <c r="K50" s="43" t="s">
        <v>904</v>
      </c>
      <c r="L50" s="59"/>
      <c r="M50" s="42" t="str">
        <f t="shared" si="1"/>
        <v/>
      </c>
    </row>
    <row r="51" spans="1:13" x14ac:dyDescent="0.2">
      <c r="A51" s="7" t="str">
        <f t="shared" si="0"/>
        <v>Execução 47</v>
      </c>
      <c r="B51" s="41"/>
      <c r="C51" s="81" t="str">
        <f>IFERROR(VLOOKUP(B51,'ZM01'!B:C,2,0),"")</f>
        <v/>
      </c>
      <c r="D51" s="48" t="str">
        <f>IFERROR(VLOOKUP(B51,'ZM01'!B:I,8,0),"")</f>
        <v/>
      </c>
      <c r="E51" s="42" t="str">
        <f>IFERROR(INDEX('Listas de Dados'!$BU:$BU,MATCH(INDEX('ZM01'!CY:CY,MATCH(B51,'ZM01'!B:B,0)),'Listas de Dados'!$BW:$BW,0)),"")</f>
        <v/>
      </c>
      <c r="F51" s="42" t="str">
        <f>IFERROR(INDEX('ZM01'!CY:CY,MATCH(B51,'ZM01'!B:B,0)),"")</f>
        <v/>
      </c>
      <c r="G51" s="43" t="s">
        <v>897</v>
      </c>
      <c r="H51" s="43">
        <v>1000</v>
      </c>
      <c r="I51" s="103">
        <v>1</v>
      </c>
      <c r="J51" s="103">
        <v>1</v>
      </c>
      <c r="K51" s="43" t="s">
        <v>904</v>
      </c>
      <c r="L51" s="59"/>
      <c r="M51" s="42" t="str">
        <f t="shared" si="1"/>
        <v/>
      </c>
    </row>
    <row r="52" spans="1:13" x14ac:dyDescent="0.2">
      <c r="A52" s="7" t="str">
        <f t="shared" si="0"/>
        <v>Execução 48</v>
      </c>
      <c r="B52" s="41"/>
      <c r="C52" s="81" t="str">
        <f>IFERROR(VLOOKUP(B52,'ZM01'!B:C,2,0),"")</f>
        <v/>
      </c>
      <c r="D52" s="48" t="str">
        <f>IFERROR(VLOOKUP(B52,'ZM01'!B:I,8,0),"")</f>
        <v/>
      </c>
      <c r="E52" s="42" t="str">
        <f>IFERROR(INDEX('Listas de Dados'!$BU:$BU,MATCH(INDEX('ZM01'!CY:CY,MATCH(B52,'ZM01'!B:B,0)),'Listas de Dados'!$BW:$BW,0)),"")</f>
        <v/>
      </c>
      <c r="F52" s="42" t="str">
        <f>IFERROR(INDEX('ZM01'!CY:CY,MATCH(B52,'ZM01'!B:B,0)),"")</f>
        <v/>
      </c>
      <c r="G52" s="43" t="s">
        <v>897</v>
      </c>
      <c r="H52" s="43">
        <v>1000</v>
      </c>
      <c r="I52" s="103">
        <v>1</v>
      </c>
      <c r="J52" s="103">
        <v>1</v>
      </c>
      <c r="K52" s="43" t="s">
        <v>904</v>
      </c>
      <c r="L52" s="59"/>
      <c r="M52" s="42" t="str">
        <f t="shared" si="1"/>
        <v/>
      </c>
    </row>
    <row r="53" spans="1:13" x14ac:dyDescent="0.2">
      <c r="A53" s="7" t="str">
        <f t="shared" si="0"/>
        <v>Execução 49</v>
      </c>
      <c r="B53" s="41"/>
      <c r="C53" s="81" t="str">
        <f>IFERROR(VLOOKUP(B53,'ZM01'!B:C,2,0),"")</f>
        <v/>
      </c>
      <c r="D53" s="48" t="str">
        <f>IFERROR(VLOOKUP(B53,'ZM01'!B:I,8,0),"")</f>
        <v/>
      </c>
      <c r="E53" s="42" t="str">
        <f>IFERROR(INDEX('Listas de Dados'!$BU:$BU,MATCH(INDEX('ZM01'!CY:CY,MATCH(B53,'ZM01'!B:B,0)),'Listas de Dados'!$BW:$BW,0)),"")</f>
        <v/>
      </c>
      <c r="F53" s="42" t="str">
        <f>IFERROR(INDEX('ZM01'!CY:CY,MATCH(B53,'ZM01'!B:B,0)),"")</f>
        <v/>
      </c>
      <c r="G53" s="43" t="s">
        <v>897</v>
      </c>
      <c r="H53" s="43">
        <v>1000</v>
      </c>
      <c r="I53" s="103">
        <v>1</v>
      </c>
      <c r="J53" s="103">
        <v>1</v>
      </c>
      <c r="K53" s="43" t="s">
        <v>904</v>
      </c>
      <c r="L53" s="59"/>
      <c r="M53" s="42" t="str">
        <f t="shared" si="1"/>
        <v/>
      </c>
    </row>
    <row r="54" spans="1:13" x14ac:dyDescent="0.2">
      <c r="A54" s="7" t="str">
        <f t="shared" si="0"/>
        <v>Execução 50</v>
      </c>
      <c r="B54" s="41"/>
      <c r="C54" s="81" t="str">
        <f>IFERROR(VLOOKUP(B54,'ZM01'!B:C,2,0),"")</f>
        <v/>
      </c>
      <c r="D54" s="48" t="str">
        <f>IFERROR(VLOOKUP(B54,'ZM01'!B:I,8,0),"")</f>
        <v/>
      </c>
      <c r="E54" s="42" t="str">
        <f>IFERROR(INDEX('Listas de Dados'!$BU:$BU,MATCH(INDEX('ZM01'!CY:CY,MATCH(B54,'ZM01'!B:B,0)),'Listas de Dados'!$BW:$BW,0)),"")</f>
        <v/>
      </c>
      <c r="F54" s="42" t="str">
        <f>IFERROR(INDEX('ZM01'!CY:CY,MATCH(B54,'ZM01'!B:B,0)),"")</f>
        <v/>
      </c>
      <c r="G54" s="43" t="s">
        <v>897</v>
      </c>
      <c r="H54" s="43">
        <v>1000</v>
      </c>
      <c r="I54" s="103">
        <v>1</v>
      </c>
      <c r="J54" s="103">
        <v>1</v>
      </c>
      <c r="K54" s="43" t="s">
        <v>904</v>
      </c>
      <c r="L54" s="60"/>
      <c r="M54" s="42" t="str">
        <f t="shared" si="1"/>
        <v/>
      </c>
    </row>
  </sheetData>
  <conditionalFormatting sqref="B5:C5 C6:C54">
    <cfRule type="beginsWith" dxfId="110" priority="68" operator="beginsWith" text="L">
      <formula>LEFT(B5,LEN("L"))="L"</formula>
    </cfRule>
  </conditionalFormatting>
  <conditionalFormatting sqref="B6:B14">
    <cfRule type="beginsWith" dxfId="109" priority="52" operator="beginsWith" text="L">
      <formula>LEFT(B6,LEN("L"))="L"</formula>
    </cfRule>
  </conditionalFormatting>
  <conditionalFormatting sqref="B15:B54">
    <cfRule type="beginsWith" dxfId="108" priority="38" operator="beginsWith" text="L">
      <formula>LEFT(B15,LEN("L"))="L"</formula>
    </cfRule>
  </conditionalFormatting>
  <conditionalFormatting sqref="L1:L1048576">
    <cfRule type="containsText" dxfId="107" priority="13" operator="containsText" text="criadas">
      <formula>NOT(ISERROR(SEARCH("criadas",L1)))</formula>
    </cfRule>
    <cfRule type="containsText" dxfId="106" priority="14" operator="containsText" text="é gravado">
      <formula>NOT(ISERROR(SEARCH("é gravado",L1)))</formula>
    </cfRule>
    <cfRule type="containsText" dxfId="105" priority="15" operator="containsText" text="é modificado">
      <formula>NOT(ISERROR(SEARCH("é modificado",L1)))</formula>
    </cfRule>
    <cfRule type="containsText" dxfId="104" priority="16" operator="containsText" text="Error">
      <formula>NOT(ISERROR(SEARCH("Error",L1)))</formula>
    </cfRule>
    <cfRule type="containsText" dxfId="103" priority="17" operator="containsText" text="é criado">
      <formula>NOT(ISERROR(SEARCH("é criado",L1)))</formula>
    </cfRule>
  </conditionalFormatting>
  <conditionalFormatting sqref="G5:G54">
    <cfRule type="beginsWith" dxfId="102" priority="12" operator="beginsWith" text="L">
      <formula>LEFT(G5,LEN("L"))="L"</formula>
    </cfRule>
  </conditionalFormatting>
  <conditionalFormatting sqref="H5:H54">
    <cfRule type="beginsWith" dxfId="101" priority="11" operator="beginsWith" text="L">
      <formula>LEFT(H5,LEN("L"))="L"</formula>
    </cfRule>
  </conditionalFormatting>
  <conditionalFormatting sqref="K5:K54">
    <cfRule type="beginsWith" dxfId="100" priority="9" operator="beginsWith" text="L">
      <formula>LEFT(K5,LEN("L"))="L"</formula>
    </cfRule>
  </conditionalFormatting>
  <conditionalFormatting sqref="I5:I54">
    <cfRule type="beginsWith" dxfId="99" priority="6" operator="beginsWith" text="L">
      <formula>LEFT(I5,LEN("L"))="L"</formula>
    </cfRule>
  </conditionalFormatting>
  <conditionalFormatting sqref="J5:J54">
    <cfRule type="beginsWith" dxfId="98" priority="2" operator="beginsWith" text="L">
      <formula>LEFT(J5,LEN("L"))="L"</formula>
    </cfRule>
  </conditionalFormatting>
  <conditionalFormatting sqref="M5:M54">
    <cfRule type="beginsWith" dxfId="97" priority="1" operator="beginsWith" text="L">
      <formula>LEFT(M5,LEN("L"))="L"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D5:D54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>
    <tabColor theme="4" tint="0.79998168889431442"/>
  </sheetPr>
  <dimension ref="A1:L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45.7109375" style="6" customWidth="1"/>
    <col min="4" max="4" width="17.5703125" style="6" customWidth="1"/>
    <col min="5" max="5" width="21.85546875" style="6" hidden="1" customWidth="1"/>
    <col min="6" max="6" width="23.42578125" style="6" hidden="1" customWidth="1"/>
    <col min="7" max="7" width="21" style="6" customWidth="1"/>
    <col min="8" max="8" width="20.7109375" style="6" customWidth="1"/>
    <col min="9" max="11" width="20.28515625" style="6" customWidth="1"/>
    <col min="12" max="12" width="75.7109375" style="1" customWidth="1"/>
    <col min="13" max="13" width="22" style="1" customWidth="1"/>
    <col min="14" max="16384" width="9.140625" style="1"/>
  </cols>
  <sheetData>
    <row r="1" spans="1:12" s="77" customFormat="1" x14ac:dyDescent="0.2">
      <c r="A1" s="7" t="s">
        <v>28</v>
      </c>
    </row>
    <row r="2" spans="1:12" s="40" customFormat="1" x14ac:dyDescent="0.2">
      <c r="A2" s="7"/>
      <c r="B2" s="39"/>
      <c r="C2" s="39"/>
      <c r="D2" s="77"/>
      <c r="E2" s="77"/>
      <c r="F2" s="77"/>
      <c r="G2" s="77" t="s">
        <v>522</v>
      </c>
      <c r="H2" s="77"/>
      <c r="I2" s="77"/>
      <c r="J2" s="77"/>
      <c r="K2" s="77"/>
    </row>
    <row r="3" spans="1:12" s="77" customFormat="1" ht="15" customHeight="1" x14ac:dyDescent="0.2">
      <c r="A3" s="7" t="s">
        <v>29</v>
      </c>
      <c r="B3" s="4" t="s">
        <v>907</v>
      </c>
      <c r="C3" s="78"/>
      <c r="D3" s="78" t="s">
        <v>908</v>
      </c>
      <c r="E3" s="78" t="s">
        <v>909</v>
      </c>
      <c r="F3" s="78" t="s">
        <v>911</v>
      </c>
      <c r="G3" s="78" t="s">
        <v>914</v>
      </c>
      <c r="H3" s="78" t="s">
        <v>916</v>
      </c>
      <c r="I3" s="78" t="s">
        <v>917</v>
      </c>
      <c r="J3" s="78"/>
      <c r="K3" s="78" t="s">
        <v>919</v>
      </c>
      <c r="L3" s="77" t="s">
        <v>32</v>
      </c>
    </row>
    <row r="4" spans="1:12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0</v>
      </c>
      <c r="E4" s="14" t="s">
        <v>910</v>
      </c>
      <c r="F4" s="14" t="s">
        <v>912</v>
      </c>
      <c r="G4" s="14" t="s">
        <v>915</v>
      </c>
      <c r="H4" s="14" t="s">
        <v>922</v>
      </c>
      <c r="I4" s="14" t="s">
        <v>918</v>
      </c>
      <c r="J4" s="14" t="s">
        <v>923</v>
      </c>
      <c r="K4" s="14" t="s">
        <v>920</v>
      </c>
      <c r="L4" s="5" t="s">
        <v>832</v>
      </c>
    </row>
    <row r="5" spans="1:12" x14ac:dyDescent="0.2">
      <c r="A5" s="7" t="str">
        <f>"Execução "&amp;ROW()-4</f>
        <v>Execução 1</v>
      </c>
      <c r="B5" s="41"/>
      <c r="C5" s="81" t="str">
        <f>IFERROR(VLOOKUP(B5,'ZM01'!B:C,2,0),"")</f>
        <v/>
      </c>
      <c r="D5" s="48" t="str">
        <f>IFERROR(VLOOKUP(B5,'ZM01'!B:I,8,0),"")</f>
        <v/>
      </c>
      <c r="E5" s="43">
        <v>1</v>
      </c>
      <c r="F5" s="43" t="s">
        <v>913</v>
      </c>
      <c r="G5" s="42" t="str">
        <f>IFERROR(IF(INDEX(Estrutura_P01[],MATCH($C5,Estrutura_P01[txtMAKT-MAKTX],0),MATCH(G$3,Estrutura_P01[#Headers],0))=0,"",INDEX(Estrutura_P01[],MATCH($C5,Estrutura_P01[txtMAKT-MAKTX],0),MATCH(G$3,Estrutura_P01[#Headers],0))),"")</f>
        <v/>
      </c>
      <c r="H5" s="43" t="s">
        <v>921</v>
      </c>
      <c r="I5" s="103">
        <v>1000</v>
      </c>
      <c r="J5" s="103" t="s">
        <v>299</v>
      </c>
      <c r="K5" s="103" t="s">
        <v>1017</v>
      </c>
      <c r="L5" s="58" t="s">
        <v>939</v>
      </c>
    </row>
    <row r="6" spans="1:12" x14ac:dyDescent="0.2">
      <c r="A6" s="7" t="str">
        <f t="shared" ref="A6:A54" si="0">"Execução "&amp;ROW()-4</f>
        <v>Execução 2</v>
      </c>
      <c r="B6" s="41"/>
      <c r="C6" s="81" t="str">
        <f>IFERROR(VLOOKUP(B6,'ZM01'!B:C,2,0),"")</f>
        <v/>
      </c>
      <c r="D6" s="48" t="str">
        <f>IFERROR(VLOOKUP(B6,'ZM01'!B:I,8,0),"")</f>
        <v/>
      </c>
      <c r="E6" s="43">
        <v>1</v>
      </c>
      <c r="F6" s="43" t="s">
        <v>913</v>
      </c>
      <c r="G6" s="42" t="str">
        <f>IFERROR(IF(INDEX(Estrutura_P01[],MATCH($C6,Estrutura_P01[txtMAKT-MAKTX],0),MATCH(G$3,Estrutura_P01[#Headers],0))=0,"",INDEX(Estrutura_P01[],MATCH($C6,Estrutura_P01[txtMAKT-MAKTX],0),MATCH(G$3,Estrutura_P01[#Headers],0))),"")</f>
        <v/>
      </c>
      <c r="H6" s="43" t="s">
        <v>921</v>
      </c>
      <c r="I6" s="103">
        <v>1000</v>
      </c>
      <c r="J6" s="103" t="s">
        <v>299</v>
      </c>
      <c r="K6" s="103" t="s">
        <v>1017</v>
      </c>
      <c r="L6" s="59" t="s">
        <v>940</v>
      </c>
    </row>
    <row r="7" spans="1:12" x14ac:dyDescent="0.2">
      <c r="A7" s="7" t="str">
        <f t="shared" si="0"/>
        <v>Execução 3</v>
      </c>
      <c r="B7" s="41"/>
      <c r="C7" s="81" t="str">
        <f>IFERROR(VLOOKUP(B7,'ZM01'!B:C,2,0),"")</f>
        <v/>
      </c>
      <c r="D7" s="48" t="str">
        <f>IFERROR(VLOOKUP(B7,'ZM01'!B:I,8,0),"")</f>
        <v/>
      </c>
      <c r="E7" s="43">
        <v>1</v>
      </c>
      <c r="F7" s="43" t="s">
        <v>913</v>
      </c>
      <c r="G7" s="42" t="str">
        <f>IFERROR(IF(INDEX(Estrutura_P01[],MATCH($C7,Estrutura_P01[txtMAKT-MAKTX],0),MATCH(G$3,Estrutura_P01[#Headers],0))=0,"",INDEX(Estrutura_P01[],MATCH($C7,Estrutura_P01[txtMAKT-MAKTX],0),MATCH(G$3,Estrutura_P01[#Headers],0))),"")</f>
        <v/>
      </c>
      <c r="H7" s="43" t="s">
        <v>921</v>
      </c>
      <c r="I7" s="103">
        <v>1000</v>
      </c>
      <c r="J7" s="103" t="s">
        <v>299</v>
      </c>
      <c r="K7" s="103" t="s">
        <v>1017</v>
      </c>
      <c r="L7" s="59" t="s">
        <v>941</v>
      </c>
    </row>
    <row r="8" spans="1:12" x14ac:dyDescent="0.2">
      <c r="A8" s="7" t="str">
        <f t="shared" si="0"/>
        <v>Execução 4</v>
      </c>
      <c r="B8" s="41"/>
      <c r="C8" s="81" t="str">
        <f>IFERROR(VLOOKUP(B8,'ZM01'!B:C,2,0),"")</f>
        <v/>
      </c>
      <c r="D8" s="48" t="str">
        <f>IFERROR(VLOOKUP(B8,'ZM01'!B:I,8,0),"")</f>
        <v/>
      </c>
      <c r="E8" s="43">
        <v>1</v>
      </c>
      <c r="F8" s="43" t="s">
        <v>913</v>
      </c>
      <c r="G8" s="42" t="str">
        <f>IFERROR(IF(INDEX(Estrutura_P01[],MATCH($C8,Estrutura_P01[txtMAKT-MAKTX],0),MATCH(G$3,Estrutura_P01[#Headers],0))=0,"",INDEX(Estrutura_P01[],MATCH($C8,Estrutura_P01[txtMAKT-MAKTX],0),MATCH(G$3,Estrutura_P01[#Headers],0))),"")</f>
        <v/>
      </c>
      <c r="H8" s="43" t="s">
        <v>921</v>
      </c>
      <c r="I8" s="103">
        <v>1000</v>
      </c>
      <c r="J8" s="103" t="s">
        <v>299</v>
      </c>
      <c r="K8" s="103" t="s">
        <v>1017</v>
      </c>
      <c r="L8" s="59"/>
    </row>
    <row r="9" spans="1:12" x14ac:dyDescent="0.2">
      <c r="A9" s="7" t="str">
        <f t="shared" si="0"/>
        <v>Execução 5</v>
      </c>
      <c r="B9" s="41"/>
      <c r="C9" s="81" t="str">
        <f>IFERROR(VLOOKUP(B9,'ZM01'!B:C,2,0),"")</f>
        <v/>
      </c>
      <c r="D9" s="48" t="str">
        <f>IFERROR(VLOOKUP(B9,'ZM01'!B:I,8,0),"")</f>
        <v/>
      </c>
      <c r="E9" s="43">
        <v>1</v>
      </c>
      <c r="F9" s="43" t="s">
        <v>913</v>
      </c>
      <c r="G9" s="42" t="str">
        <f>IFERROR(IF(INDEX(Estrutura_P01[],MATCH($C9,Estrutura_P01[txtMAKT-MAKTX],0),MATCH(G$3,Estrutura_P01[#Headers],0))=0,"",INDEX(Estrutura_P01[],MATCH($C9,Estrutura_P01[txtMAKT-MAKTX],0),MATCH(G$3,Estrutura_P01[#Headers],0))),"")</f>
        <v/>
      </c>
      <c r="H9" s="43" t="s">
        <v>921</v>
      </c>
      <c r="I9" s="103">
        <v>1000</v>
      </c>
      <c r="J9" s="103" t="s">
        <v>299</v>
      </c>
      <c r="K9" s="103" t="s">
        <v>1017</v>
      </c>
      <c r="L9" s="59"/>
    </row>
    <row r="10" spans="1:12" x14ac:dyDescent="0.2">
      <c r="A10" s="7" t="str">
        <f t="shared" si="0"/>
        <v>Execução 6</v>
      </c>
      <c r="B10" s="41"/>
      <c r="C10" s="81" t="str">
        <f>IFERROR(VLOOKUP(B10,'ZM01'!B:C,2,0),"")</f>
        <v/>
      </c>
      <c r="D10" s="48" t="str">
        <f>IFERROR(VLOOKUP(B10,'ZM01'!B:I,8,0),"")</f>
        <v/>
      </c>
      <c r="E10" s="43">
        <v>1</v>
      </c>
      <c r="F10" s="43" t="s">
        <v>913</v>
      </c>
      <c r="G10" s="42" t="str">
        <f>IFERROR(IF(INDEX(Estrutura_P01[],MATCH($C10,Estrutura_P01[txtMAKT-MAKTX],0),MATCH(G$3,Estrutura_P01[#Headers],0))=0,"",INDEX(Estrutura_P01[],MATCH($C10,Estrutura_P01[txtMAKT-MAKTX],0),MATCH(G$3,Estrutura_P01[#Headers],0))),"")</f>
        <v/>
      </c>
      <c r="H10" s="43" t="s">
        <v>921</v>
      </c>
      <c r="I10" s="103">
        <v>1000</v>
      </c>
      <c r="J10" s="103" t="s">
        <v>299</v>
      </c>
      <c r="K10" s="103" t="s">
        <v>1017</v>
      </c>
      <c r="L10" s="59"/>
    </row>
    <row r="11" spans="1:12" x14ac:dyDescent="0.2">
      <c r="A11" s="7" t="str">
        <f t="shared" si="0"/>
        <v>Execução 7</v>
      </c>
      <c r="B11" s="41"/>
      <c r="C11" s="81" t="str">
        <f>IFERROR(VLOOKUP(B11,'ZM01'!B:C,2,0),"")</f>
        <v/>
      </c>
      <c r="D11" s="48" t="str">
        <f>IFERROR(VLOOKUP(B11,'ZM01'!B:I,8,0),"")</f>
        <v/>
      </c>
      <c r="E11" s="43">
        <v>1</v>
      </c>
      <c r="F11" s="43" t="s">
        <v>913</v>
      </c>
      <c r="G11" s="42" t="str">
        <f>IFERROR(IF(INDEX(Estrutura_P01[],MATCH($C11,Estrutura_P01[txtMAKT-MAKTX],0),MATCH(G$3,Estrutura_P01[#Headers],0))=0,"",INDEX(Estrutura_P01[],MATCH($C11,Estrutura_P01[txtMAKT-MAKTX],0),MATCH(G$3,Estrutura_P01[#Headers],0))),"")</f>
        <v/>
      </c>
      <c r="H11" s="43" t="s">
        <v>921</v>
      </c>
      <c r="I11" s="103">
        <v>1000</v>
      </c>
      <c r="J11" s="103" t="s">
        <v>299</v>
      </c>
      <c r="K11" s="103" t="s">
        <v>1017</v>
      </c>
      <c r="L11" s="59"/>
    </row>
    <row r="12" spans="1:12" x14ac:dyDescent="0.2">
      <c r="A12" s="7" t="str">
        <f t="shared" si="0"/>
        <v>Execução 8</v>
      </c>
      <c r="B12" s="41"/>
      <c r="C12" s="81" t="str">
        <f>IFERROR(VLOOKUP(B12,'ZM01'!B:C,2,0),"")</f>
        <v/>
      </c>
      <c r="D12" s="48" t="str">
        <f>IFERROR(VLOOKUP(B12,'ZM01'!B:I,8,0),"")</f>
        <v/>
      </c>
      <c r="E12" s="43">
        <v>1</v>
      </c>
      <c r="F12" s="43" t="s">
        <v>913</v>
      </c>
      <c r="G12" s="42" t="str">
        <f>IFERROR(IF(INDEX(Estrutura_P01[],MATCH($C12,Estrutura_P01[txtMAKT-MAKTX],0),MATCH(G$3,Estrutura_P01[#Headers],0))=0,"",INDEX(Estrutura_P01[],MATCH($C12,Estrutura_P01[txtMAKT-MAKTX],0),MATCH(G$3,Estrutura_P01[#Headers],0))),"")</f>
        <v/>
      </c>
      <c r="H12" s="43" t="s">
        <v>921</v>
      </c>
      <c r="I12" s="103">
        <v>1000</v>
      </c>
      <c r="J12" s="103" t="s">
        <v>299</v>
      </c>
      <c r="K12" s="103" t="s">
        <v>1017</v>
      </c>
      <c r="L12" s="59"/>
    </row>
    <row r="13" spans="1:12" x14ac:dyDescent="0.2">
      <c r="A13" s="7" t="str">
        <f t="shared" si="0"/>
        <v>Execução 9</v>
      </c>
      <c r="B13" s="41"/>
      <c r="C13" s="81" t="str">
        <f>IFERROR(VLOOKUP(B13,'ZM01'!B:C,2,0),"")</f>
        <v/>
      </c>
      <c r="D13" s="48" t="str">
        <f>IFERROR(VLOOKUP(B13,'ZM01'!B:I,8,0),"")</f>
        <v/>
      </c>
      <c r="E13" s="43">
        <v>1</v>
      </c>
      <c r="F13" s="43" t="s">
        <v>913</v>
      </c>
      <c r="G13" s="42" t="str">
        <f>IFERROR(IF(INDEX(Estrutura_P01[],MATCH($C13,Estrutura_P01[txtMAKT-MAKTX],0),MATCH(G$3,Estrutura_P01[#Headers],0))=0,"",INDEX(Estrutura_P01[],MATCH($C13,Estrutura_P01[txtMAKT-MAKTX],0),MATCH(G$3,Estrutura_P01[#Headers],0))),"")</f>
        <v/>
      </c>
      <c r="H13" s="43" t="s">
        <v>921</v>
      </c>
      <c r="I13" s="103">
        <v>1000</v>
      </c>
      <c r="J13" s="103" t="s">
        <v>299</v>
      </c>
      <c r="K13" s="103" t="s">
        <v>1017</v>
      </c>
      <c r="L13" s="59"/>
    </row>
    <row r="14" spans="1:12" x14ac:dyDescent="0.2">
      <c r="A14" s="7" t="str">
        <f t="shared" si="0"/>
        <v>Execução 10</v>
      </c>
      <c r="B14" s="41"/>
      <c r="C14" s="81" t="str">
        <f>IFERROR(VLOOKUP(B14,'ZM01'!B:C,2,0),"")</f>
        <v/>
      </c>
      <c r="D14" s="48" t="str">
        <f>IFERROR(VLOOKUP(B14,'ZM01'!B:I,8,0),"")</f>
        <v/>
      </c>
      <c r="E14" s="43">
        <v>1</v>
      </c>
      <c r="F14" s="43" t="s">
        <v>913</v>
      </c>
      <c r="G14" s="42" t="str">
        <f>IFERROR(IF(INDEX(Estrutura_P01[],MATCH($C14,Estrutura_P01[txtMAKT-MAKTX],0),MATCH(G$3,Estrutura_P01[#Headers],0))=0,"",INDEX(Estrutura_P01[],MATCH($C14,Estrutura_P01[txtMAKT-MAKTX],0),MATCH(G$3,Estrutura_P01[#Headers],0))),"")</f>
        <v/>
      </c>
      <c r="H14" s="43" t="s">
        <v>921</v>
      </c>
      <c r="I14" s="103">
        <v>1000</v>
      </c>
      <c r="J14" s="103" t="s">
        <v>299</v>
      </c>
      <c r="K14" s="103" t="s">
        <v>1017</v>
      </c>
      <c r="L14" s="59"/>
    </row>
    <row r="15" spans="1:12" x14ac:dyDescent="0.2">
      <c r="A15" s="7" t="str">
        <f t="shared" si="0"/>
        <v>Execução 11</v>
      </c>
      <c r="B15" s="41"/>
      <c r="C15" s="81" t="str">
        <f>IFERROR(VLOOKUP(B15,'ZM01'!B:C,2,0),"")</f>
        <v/>
      </c>
      <c r="D15" s="48" t="str">
        <f>IFERROR(VLOOKUP(B15,'ZM01'!B:I,8,0),"")</f>
        <v/>
      </c>
      <c r="E15" s="43">
        <v>1</v>
      </c>
      <c r="F15" s="43" t="s">
        <v>913</v>
      </c>
      <c r="G15" s="42" t="str">
        <f>IFERROR(IF(INDEX(Estrutura_P01[],MATCH($C15,Estrutura_P01[txtMAKT-MAKTX],0),MATCH(G$3,Estrutura_P01[#Headers],0))=0,"",INDEX(Estrutura_P01[],MATCH($C15,Estrutura_P01[txtMAKT-MAKTX],0),MATCH(G$3,Estrutura_P01[#Headers],0))),"")</f>
        <v/>
      </c>
      <c r="H15" s="43" t="s">
        <v>921</v>
      </c>
      <c r="I15" s="103">
        <v>1000</v>
      </c>
      <c r="J15" s="103" t="s">
        <v>299</v>
      </c>
      <c r="K15" s="103" t="s">
        <v>1017</v>
      </c>
      <c r="L15" s="59"/>
    </row>
    <row r="16" spans="1:12" x14ac:dyDescent="0.2">
      <c r="A16" s="7" t="str">
        <f t="shared" si="0"/>
        <v>Execução 12</v>
      </c>
      <c r="B16" s="41"/>
      <c r="C16" s="81" t="str">
        <f>IFERROR(VLOOKUP(B16,'ZM01'!B:C,2,0),"")</f>
        <v/>
      </c>
      <c r="D16" s="48" t="str">
        <f>IFERROR(VLOOKUP(B16,'ZM01'!B:I,8,0),"")</f>
        <v/>
      </c>
      <c r="E16" s="43">
        <v>1</v>
      </c>
      <c r="F16" s="43" t="s">
        <v>913</v>
      </c>
      <c r="G16" s="42" t="str">
        <f>IFERROR(IF(INDEX(Estrutura_P01[],MATCH($C16,Estrutura_P01[txtMAKT-MAKTX],0),MATCH(G$3,Estrutura_P01[#Headers],0))=0,"",INDEX(Estrutura_P01[],MATCH($C16,Estrutura_P01[txtMAKT-MAKTX],0),MATCH(G$3,Estrutura_P01[#Headers],0))),"")</f>
        <v/>
      </c>
      <c r="H16" s="43" t="s">
        <v>921</v>
      </c>
      <c r="I16" s="103">
        <v>1000</v>
      </c>
      <c r="J16" s="103" t="s">
        <v>299</v>
      </c>
      <c r="K16" s="103" t="s">
        <v>1017</v>
      </c>
      <c r="L16" s="59"/>
    </row>
    <row r="17" spans="1:12" x14ac:dyDescent="0.2">
      <c r="A17" s="7" t="str">
        <f t="shared" si="0"/>
        <v>Execução 13</v>
      </c>
      <c r="B17" s="41"/>
      <c r="C17" s="81" t="str">
        <f>IFERROR(VLOOKUP(B17,'ZM01'!B:C,2,0),"")</f>
        <v/>
      </c>
      <c r="D17" s="48" t="str">
        <f>IFERROR(VLOOKUP(B17,'ZM01'!B:I,8,0),"")</f>
        <v/>
      </c>
      <c r="E17" s="43">
        <v>1</v>
      </c>
      <c r="F17" s="43" t="s">
        <v>913</v>
      </c>
      <c r="G17" s="42" t="str">
        <f>IFERROR(IF(INDEX(Estrutura_P01[],MATCH($C17,Estrutura_P01[txtMAKT-MAKTX],0),MATCH(G$3,Estrutura_P01[#Headers],0))=0,"",INDEX(Estrutura_P01[],MATCH($C17,Estrutura_P01[txtMAKT-MAKTX],0),MATCH(G$3,Estrutura_P01[#Headers],0))),"")</f>
        <v/>
      </c>
      <c r="H17" s="43" t="s">
        <v>921</v>
      </c>
      <c r="I17" s="103">
        <v>1000</v>
      </c>
      <c r="J17" s="103" t="s">
        <v>299</v>
      </c>
      <c r="K17" s="103" t="s">
        <v>1017</v>
      </c>
      <c r="L17" s="59"/>
    </row>
    <row r="18" spans="1:12" x14ac:dyDescent="0.2">
      <c r="A18" s="7" t="str">
        <f t="shared" si="0"/>
        <v>Execução 14</v>
      </c>
      <c r="B18" s="41"/>
      <c r="C18" s="81" t="str">
        <f>IFERROR(VLOOKUP(B18,'ZM01'!B:C,2,0),"")</f>
        <v/>
      </c>
      <c r="D18" s="48" t="str">
        <f>IFERROR(VLOOKUP(B18,'ZM01'!B:I,8,0),"")</f>
        <v/>
      </c>
      <c r="E18" s="43">
        <v>1</v>
      </c>
      <c r="F18" s="43" t="s">
        <v>913</v>
      </c>
      <c r="G18" s="42" t="str">
        <f>IFERROR(IF(INDEX(Estrutura_P01[],MATCH($C18,Estrutura_P01[txtMAKT-MAKTX],0),MATCH(G$3,Estrutura_P01[#Headers],0))=0,"",INDEX(Estrutura_P01[],MATCH($C18,Estrutura_P01[txtMAKT-MAKTX],0),MATCH(G$3,Estrutura_P01[#Headers],0))),"")</f>
        <v/>
      </c>
      <c r="H18" s="43" t="s">
        <v>921</v>
      </c>
      <c r="I18" s="103">
        <v>1000</v>
      </c>
      <c r="J18" s="103" t="s">
        <v>299</v>
      </c>
      <c r="K18" s="103" t="s">
        <v>1017</v>
      </c>
      <c r="L18" s="59"/>
    </row>
    <row r="19" spans="1:12" x14ac:dyDescent="0.2">
      <c r="A19" s="7" t="str">
        <f t="shared" si="0"/>
        <v>Execução 15</v>
      </c>
      <c r="B19" s="41"/>
      <c r="C19" s="81" t="str">
        <f>IFERROR(VLOOKUP(B19,'ZM01'!B:C,2,0),"")</f>
        <v/>
      </c>
      <c r="D19" s="48" t="str">
        <f>IFERROR(VLOOKUP(B19,'ZM01'!B:I,8,0),"")</f>
        <v/>
      </c>
      <c r="E19" s="43">
        <v>1</v>
      </c>
      <c r="F19" s="43" t="s">
        <v>913</v>
      </c>
      <c r="G19" s="42" t="str">
        <f>IFERROR(IF(INDEX(Estrutura_P01[],MATCH($C19,Estrutura_P01[txtMAKT-MAKTX],0),MATCH(G$3,Estrutura_P01[#Headers],0))=0,"",INDEX(Estrutura_P01[],MATCH($C19,Estrutura_P01[txtMAKT-MAKTX],0),MATCH(G$3,Estrutura_P01[#Headers],0))),"")</f>
        <v/>
      </c>
      <c r="H19" s="43" t="s">
        <v>921</v>
      </c>
      <c r="I19" s="103">
        <v>1000</v>
      </c>
      <c r="J19" s="103" t="s">
        <v>299</v>
      </c>
      <c r="K19" s="103" t="s">
        <v>1017</v>
      </c>
      <c r="L19" s="59"/>
    </row>
    <row r="20" spans="1:12" x14ac:dyDescent="0.2">
      <c r="A20" s="7" t="str">
        <f t="shared" si="0"/>
        <v>Execução 16</v>
      </c>
      <c r="B20" s="41"/>
      <c r="C20" s="81" t="str">
        <f>IFERROR(VLOOKUP(B20,'ZM01'!B:C,2,0),"")</f>
        <v/>
      </c>
      <c r="D20" s="48" t="str">
        <f>IFERROR(VLOOKUP(B20,'ZM01'!B:I,8,0),"")</f>
        <v/>
      </c>
      <c r="E20" s="43">
        <v>1</v>
      </c>
      <c r="F20" s="43" t="s">
        <v>913</v>
      </c>
      <c r="G20" s="42" t="str">
        <f>IFERROR(IF(INDEX(Estrutura_P01[],MATCH($C20,Estrutura_P01[txtMAKT-MAKTX],0),MATCH(G$3,Estrutura_P01[#Headers],0))=0,"",INDEX(Estrutura_P01[],MATCH($C20,Estrutura_P01[txtMAKT-MAKTX],0),MATCH(G$3,Estrutura_P01[#Headers],0))),"")</f>
        <v/>
      </c>
      <c r="H20" s="43" t="s">
        <v>921</v>
      </c>
      <c r="I20" s="103">
        <v>1000</v>
      </c>
      <c r="J20" s="103" t="s">
        <v>299</v>
      </c>
      <c r="K20" s="103" t="s">
        <v>1017</v>
      </c>
      <c r="L20" s="59"/>
    </row>
    <row r="21" spans="1:12" x14ac:dyDescent="0.2">
      <c r="A21" s="7" t="str">
        <f t="shared" si="0"/>
        <v>Execução 17</v>
      </c>
      <c r="B21" s="41"/>
      <c r="C21" s="81" t="str">
        <f>IFERROR(VLOOKUP(B21,'ZM01'!B:C,2,0),"")</f>
        <v/>
      </c>
      <c r="D21" s="48" t="str">
        <f>IFERROR(VLOOKUP(B21,'ZM01'!B:I,8,0),"")</f>
        <v/>
      </c>
      <c r="E21" s="43">
        <v>1</v>
      </c>
      <c r="F21" s="43" t="s">
        <v>913</v>
      </c>
      <c r="G21" s="42" t="str">
        <f>IFERROR(IF(INDEX(Estrutura_P01[],MATCH($C21,Estrutura_P01[txtMAKT-MAKTX],0),MATCH(G$3,Estrutura_P01[#Headers],0))=0,"",INDEX(Estrutura_P01[],MATCH($C21,Estrutura_P01[txtMAKT-MAKTX],0),MATCH(G$3,Estrutura_P01[#Headers],0))),"")</f>
        <v/>
      </c>
      <c r="H21" s="43" t="s">
        <v>921</v>
      </c>
      <c r="I21" s="103">
        <v>1000</v>
      </c>
      <c r="J21" s="103" t="s">
        <v>299</v>
      </c>
      <c r="K21" s="103" t="s">
        <v>1017</v>
      </c>
      <c r="L21" s="59"/>
    </row>
    <row r="22" spans="1:12" x14ac:dyDescent="0.2">
      <c r="A22" s="7" t="str">
        <f t="shared" si="0"/>
        <v>Execução 18</v>
      </c>
      <c r="B22" s="41"/>
      <c r="C22" s="81" t="str">
        <f>IFERROR(VLOOKUP(B22,'ZM01'!B:C,2,0),"")</f>
        <v/>
      </c>
      <c r="D22" s="48" t="str">
        <f>IFERROR(VLOOKUP(B22,'ZM01'!B:I,8,0),"")</f>
        <v/>
      </c>
      <c r="E22" s="43">
        <v>1</v>
      </c>
      <c r="F22" s="43" t="s">
        <v>913</v>
      </c>
      <c r="G22" s="42" t="str">
        <f>IFERROR(IF(INDEX(Estrutura_P01[],MATCH($C22,Estrutura_P01[txtMAKT-MAKTX],0),MATCH(G$3,Estrutura_P01[#Headers],0))=0,"",INDEX(Estrutura_P01[],MATCH($C22,Estrutura_P01[txtMAKT-MAKTX],0),MATCH(G$3,Estrutura_P01[#Headers],0))),"")</f>
        <v/>
      </c>
      <c r="H22" s="43" t="s">
        <v>921</v>
      </c>
      <c r="I22" s="103">
        <v>1000</v>
      </c>
      <c r="J22" s="103" t="s">
        <v>299</v>
      </c>
      <c r="K22" s="103" t="s">
        <v>1017</v>
      </c>
      <c r="L22" s="59"/>
    </row>
    <row r="23" spans="1:12" x14ac:dyDescent="0.2">
      <c r="A23" s="7" t="str">
        <f t="shared" si="0"/>
        <v>Execução 19</v>
      </c>
      <c r="B23" s="41"/>
      <c r="C23" s="81" t="str">
        <f>IFERROR(VLOOKUP(B23,'ZM01'!B:C,2,0),"")</f>
        <v/>
      </c>
      <c r="D23" s="48" t="str">
        <f>IFERROR(VLOOKUP(B23,'ZM01'!B:I,8,0),"")</f>
        <v/>
      </c>
      <c r="E23" s="43">
        <v>1</v>
      </c>
      <c r="F23" s="43" t="s">
        <v>913</v>
      </c>
      <c r="G23" s="42" t="str">
        <f>IFERROR(IF(INDEX(Estrutura_P01[],MATCH($C23,Estrutura_P01[txtMAKT-MAKTX],0),MATCH(G$3,Estrutura_P01[#Headers],0))=0,"",INDEX(Estrutura_P01[],MATCH($C23,Estrutura_P01[txtMAKT-MAKTX],0),MATCH(G$3,Estrutura_P01[#Headers],0))),"")</f>
        <v/>
      </c>
      <c r="H23" s="43" t="s">
        <v>921</v>
      </c>
      <c r="I23" s="103">
        <v>1000</v>
      </c>
      <c r="J23" s="103" t="s">
        <v>299</v>
      </c>
      <c r="K23" s="103" t="s">
        <v>1017</v>
      </c>
      <c r="L23" s="59"/>
    </row>
    <row r="24" spans="1:12" x14ac:dyDescent="0.2">
      <c r="A24" s="7" t="str">
        <f t="shared" si="0"/>
        <v>Execução 20</v>
      </c>
      <c r="B24" s="41"/>
      <c r="C24" s="81" t="str">
        <f>IFERROR(VLOOKUP(B24,'ZM01'!B:C,2,0),"")</f>
        <v/>
      </c>
      <c r="D24" s="48" t="str">
        <f>IFERROR(VLOOKUP(B24,'ZM01'!B:I,8,0),"")</f>
        <v/>
      </c>
      <c r="E24" s="43">
        <v>1</v>
      </c>
      <c r="F24" s="43" t="s">
        <v>913</v>
      </c>
      <c r="G24" s="42" t="str">
        <f>IFERROR(IF(INDEX(Estrutura_P01[],MATCH($C24,Estrutura_P01[txtMAKT-MAKTX],0),MATCH(G$3,Estrutura_P01[#Headers],0))=0,"",INDEX(Estrutura_P01[],MATCH($C24,Estrutura_P01[txtMAKT-MAKTX],0),MATCH(G$3,Estrutura_P01[#Headers],0))),"")</f>
        <v/>
      </c>
      <c r="H24" s="43" t="s">
        <v>921</v>
      </c>
      <c r="I24" s="103">
        <v>1000</v>
      </c>
      <c r="J24" s="103" t="s">
        <v>299</v>
      </c>
      <c r="K24" s="103" t="s">
        <v>1017</v>
      </c>
      <c r="L24" s="59"/>
    </row>
    <row r="25" spans="1:12" x14ac:dyDescent="0.2">
      <c r="A25" s="7" t="str">
        <f t="shared" si="0"/>
        <v>Execução 21</v>
      </c>
      <c r="B25" s="41"/>
      <c r="C25" s="81" t="str">
        <f>IFERROR(VLOOKUP(B25,'ZM01'!B:C,2,0),"")</f>
        <v/>
      </c>
      <c r="D25" s="48" t="str">
        <f>IFERROR(VLOOKUP(B25,'ZM01'!B:I,8,0),"")</f>
        <v/>
      </c>
      <c r="E25" s="43">
        <v>1</v>
      </c>
      <c r="F25" s="43" t="s">
        <v>913</v>
      </c>
      <c r="G25" s="42" t="str">
        <f>IFERROR(IF(INDEX(Estrutura_P01[],MATCH($C25,Estrutura_P01[txtMAKT-MAKTX],0),MATCH(G$3,Estrutura_P01[#Headers],0))=0,"",INDEX(Estrutura_P01[],MATCH($C25,Estrutura_P01[txtMAKT-MAKTX],0),MATCH(G$3,Estrutura_P01[#Headers],0))),"")</f>
        <v/>
      </c>
      <c r="H25" s="43" t="s">
        <v>921</v>
      </c>
      <c r="I25" s="103">
        <v>1000</v>
      </c>
      <c r="J25" s="103" t="s">
        <v>299</v>
      </c>
      <c r="K25" s="103" t="s">
        <v>1017</v>
      </c>
      <c r="L25" s="59"/>
    </row>
    <row r="26" spans="1:12" x14ac:dyDescent="0.2">
      <c r="A26" s="7" t="str">
        <f t="shared" si="0"/>
        <v>Execução 22</v>
      </c>
      <c r="B26" s="41"/>
      <c r="C26" s="81" t="str">
        <f>IFERROR(VLOOKUP(B26,'ZM01'!B:C,2,0),"")</f>
        <v/>
      </c>
      <c r="D26" s="48" t="str">
        <f>IFERROR(VLOOKUP(B26,'ZM01'!B:I,8,0),"")</f>
        <v/>
      </c>
      <c r="E26" s="43">
        <v>1</v>
      </c>
      <c r="F26" s="43" t="s">
        <v>913</v>
      </c>
      <c r="G26" s="42" t="str">
        <f>IFERROR(IF(INDEX(Estrutura_P01[],MATCH($C26,Estrutura_P01[txtMAKT-MAKTX],0),MATCH(G$3,Estrutura_P01[#Headers],0))=0,"",INDEX(Estrutura_P01[],MATCH($C26,Estrutura_P01[txtMAKT-MAKTX],0),MATCH(G$3,Estrutura_P01[#Headers],0))),"")</f>
        <v/>
      </c>
      <c r="H26" s="43" t="s">
        <v>921</v>
      </c>
      <c r="I26" s="103">
        <v>1000</v>
      </c>
      <c r="J26" s="103" t="s">
        <v>299</v>
      </c>
      <c r="K26" s="103" t="s">
        <v>1017</v>
      </c>
      <c r="L26" s="59"/>
    </row>
    <row r="27" spans="1:12" x14ac:dyDescent="0.2">
      <c r="A27" s="7" t="str">
        <f t="shared" si="0"/>
        <v>Execução 23</v>
      </c>
      <c r="B27" s="41"/>
      <c r="C27" s="81" t="str">
        <f>IFERROR(VLOOKUP(B27,'ZM01'!B:C,2,0),"")</f>
        <v/>
      </c>
      <c r="D27" s="48" t="str">
        <f>IFERROR(VLOOKUP(B27,'ZM01'!B:I,8,0),"")</f>
        <v/>
      </c>
      <c r="E27" s="43">
        <v>1</v>
      </c>
      <c r="F27" s="43" t="s">
        <v>913</v>
      </c>
      <c r="G27" s="42" t="str">
        <f>IFERROR(IF(INDEX(Estrutura_P01[],MATCH($C27,Estrutura_P01[txtMAKT-MAKTX],0),MATCH(G$3,Estrutura_P01[#Headers],0))=0,"",INDEX(Estrutura_P01[],MATCH($C27,Estrutura_P01[txtMAKT-MAKTX],0),MATCH(G$3,Estrutura_P01[#Headers],0))),"")</f>
        <v/>
      </c>
      <c r="H27" s="43" t="s">
        <v>921</v>
      </c>
      <c r="I27" s="103">
        <v>1000</v>
      </c>
      <c r="J27" s="103" t="s">
        <v>299</v>
      </c>
      <c r="K27" s="103" t="s">
        <v>1017</v>
      </c>
      <c r="L27" s="59"/>
    </row>
    <row r="28" spans="1:12" x14ac:dyDescent="0.2">
      <c r="A28" s="7" t="str">
        <f t="shared" si="0"/>
        <v>Execução 24</v>
      </c>
      <c r="B28" s="41"/>
      <c r="C28" s="81" t="str">
        <f>IFERROR(VLOOKUP(B28,'ZM01'!B:C,2,0),"")</f>
        <v/>
      </c>
      <c r="D28" s="48" t="str">
        <f>IFERROR(VLOOKUP(B28,'ZM01'!B:I,8,0),"")</f>
        <v/>
      </c>
      <c r="E28" s="43">
        <v>1</v>
      </c>
      <c r="F28" s="43" t="s">
        <v>913</v>
      </c>
      <c r="G28" s="42" t="str">
        <f>IFERROR(IF(INDEX(Estrutura_P01[],MATCH($C28,Estrutura_P01[txtMAKT-MAKTX],0),MATCH(G$3,Estrutura_P01[#Headers],0))=0,"",INDEX(Estrutura_P01[],MATCH($C28,Estrutura_P01[txtMAKT-MAKTX],0),MATCH(G$3,Estrutura_P01[#Headers],0))),"")</f>
        <v/>
      </c>
      <c r="H28" s="43" t="s">
        <v>921</v>
      </c>
      <c r="I28" s="103">
        <v>1000</v>
      </c>
      <c r="J28" s="103" t="s">
        <v>299</v>
      </c>
      <c r="K28" s="103" t="s">
        <v>1017</v>
      </c>
      <c r="L28" s="59"/>
    </row>
    <row r="29" spans="1:12" x14ac:dyDescent="0.2">
      <c r="A29" s="7" t="str">
        <f t="shared" si="0"/>
        <v>Execução 25</v>
      </c>
      <c r="B29" s="41"/>
      <c r="C29" s="81" t="str">
        <f>IFERROR(VLOOKUP(B29,'ZM01'!B:C,2,0),"")</f>
        <v/>
      </c>
      <c r="D29" s="48" t="str">
        <f>IFERROR(VLOOKUP(B29,'ZM01'!B:I,8,0),"")</f>
        <v/>
      </c>
      <c r="E29" s="43">
        <v>1</v>
      </c>
      <c r="F29" s="43" t="s">
        <v>913</v>
      </c>
      <c r="G29" s="42" t="str">
        <f>IFERROR(IF(INDEX(Estrutura_P01[],MATCH($C29,Estrutura_P01[txtMAKT-MAKTX],0),MATCH(G$3,Estrutura_P01[#Headers],0))=0,"",INDEX(Estrutura_P01[],MATCH($C29,Estrutura_P01[txtMAKT-MAKTX],0),MATCH(G$3,Estrutura_P01[#Headers],0))),"")</f>
        <v/>
      </c>
      <c r="H29" s="43" t="s">
        <v>921</v>
      </c>
      <c r="I29" s="103">
        <v>1000</v>
      </c>
      <c r="J29" s="103" t="s">
        <v>299</v>
      </c>
      <c r="K29" s="103" t="s">
        <v>1017</v>
      </c>
      <c r="L29" s="59"/>
    </row>
    <row r="30" spans="1:12" x14ac:dyDescent="0.2">
      <c r="A30" s="7" t="str">
        <f t="shared" si="0"/>
        <v>Execução 26</v>
      </c>
      <c r="B30" s="41"/>
      <c r="C30" s="81" t="str">
        <f>IFERROR(VLOOKUP(B30,'ZM01'!B:C,2,0),"")</f>
        <v/>
      </c>
      <c r="D30" s="48" t="str">
        <f>IFERROR(VLOOKUP(B30,'ZM01'!B:I,8,0),"")</f>
        <v/>
      </c>
      <c r="E30" s="43">
        <v>1</v>
      </c>
      <c r="F30" s="43" t="s">
        <v>913</v>
      </c>
      <c r="G30" s="42" t="str">
        <f>IFERROR(IF(INDEX(Estrutura_P01[],MATCH($C30,Estrutura_P01[txtMAKT-MAKTX],0),MATCH(G$3,Estrutura_P01[#Headers],0))=0,"",INDEX(Estrutura_P01[],MATCH($C30,Estrutura_P01[txtMAKT-MAKTX],0),MATCH(G$3,Estrutura_P01[#Headers],0))),"")</f>
        <v/>
      </c>
      <c r="H30" s="43" t="s">
        <v>921</v>
      </c>
      <c r="I30" s="103">
        <v>1000</v>
      </c>
      <c r="J30" s="103" t="s">
        <v>299</v>
      </c>
      <c r="K30" s="103" t="s">
        <v>1017</v>
      </c>
      <c r="L30" s="59"/>
    </row>
    <row r="31" spans="1:12" x14ac:dyDescent="0.2">
      <c r="A31" s="7" t="str">
        <f t="shared" si="0"/>
        <v>Execução 27</v>
      </c>
      <c r="B31" s="41"/>
      <c r="C31" s="81" t="str">
        <f>IFERROR(VLOOKUP(B31,'ZM01'!B:C,2,0),"")</f>
        <v/>
      </c>
      <c r="D31" s="48" t="str">
        <f>IFERROR(VLOOKUP(B31,'ZM01'!B:I,8,0),"")</f>
        <v/>
      </c>
      <c r="E31" s="43">
        <v>1</v>
      </c>
      <c r="F31" s="43" t="s">
        <v>913</v>
      </c>
      <c r="G31" s="42" t="str">
        <f>IFERROR(IF(INDEX(Estrutura_P01[],MATCH($C31,Estrutura_P01[txtMAKT-MAKTX],0),MATCH(G$3,Estrutura_P01[#Headers],0))=0,"",INDEX(Estrutura_P01[],MATCH($C31,Estrutura_P01[txtMAKT-MAKTX],0),MATCH(G$3,Estrutura_P01[#Headers],0))),"")</f>
        <v/>
      </c>
      <c r="H31" s="43" t="s">
        <v>921</v>
      </c>
      <c r="I31" s="103">
        <v>1000</v>
      </c>
      <c r="J31" s="103" t="s">
        <v>299</v>
      </c>
      <c r="K31" s="103" t="s">
        <v>1017</v>
      </c>
      <c r="L31" s="59"/>
    </row>
    <row r="32" spans="1:12" x14ac:dyDescent="0.2">
      <c r="A32" s="7" t="str">
        <f t="shared" si="0"/>
        <v>Execução 28</v>
      </c>
      <c r="B32" s="41"/>
      <c r="C32" s="81" t="str">
        <f>IFERROR(VLOOKUP(B32,'ZM01'!B:C,2,0),"")</f>
        <v/>
      </c>
      <c r="D32" s="48" t="str">
        <f>IFERROR(VLOOKUP(B32,'ZM01'!B:I,8,0),"")</f>
        <v/>
      </c>
      <c r="E32" s="43">
        <v>1</v>
      </c>
      <c r="F32" s="43" t="s">
        <v>913</v>
      </c>
      <c r="G32" s="42" t="str">
        <f>IFERROR(IF(INDEX(Estrutura_P01[],MATCH($C32,Estrutura_P01[txtMAKT-MAKTX],0),MATCH(G$3,Estrutura_P01[#Headers],0))=0,"",INDEX(Estrutura_P01[],MATCH($C32,Estrutura_P01[txtMAKT-MAKTX],0),MATCH(G$3,Estrutura_P01[#Headers],0))),"")</f>
        <v/>
      </c>
      <c r="H32" s="43" t="s">
        <v>921</v>
      </c>
      <c r="I32" s="103">
        <v>1000</v>
      </c>
      <c r="J32" s="103" t="s">
        <v>299</v>
      </c>
      <c r="K32" s="103" t="s">
        <v>1017</v>
      </c>
      <c r="L32" s="59"/>
    </row>
    <row r="33" spans="1:12" x14ac:dyDescent="0.2">
      <c r="A33" s="7" t="str">
        <f t="shared" si="0"/>
        <v>Execução 29</v>
      </c>
      <c r="B33" s="41"/>
      <c r="C33" s="81" t="str">
        <f>IFERROR(VLOOKUP(B33,'ZM01'!B:C,2,0),"")</f>
        <v/>
      </c>
      <c r="D33" s="48" t="str">
        <f>IFERROR(VLOOKUP(B33,'ZM01'!B:I,8,0),"")</f>
        <v/>
      </c>
      <c r="E33" s="43">
        <v>1</v>
      </c>
      <c r="F33" s="43" t="s">
        <v>913</v>
      </c>
      <c r="G33" s="42" t="str">
        <f>IFERROR(IF(INDEX(Estrutura_P01[],MATCH($C33,Estrutura_P01[txtMAKT-MAKTX],0),MATCH(G$3,Estrutura_P01[#Headers],0))=0,"",INDEX(Estrutura_P01[],MATCH($C33,Estrutura_P01[txtMAKT-MAKTX],0),MATCH(G$3,Estrutura_P01[#Headers],0))),"")</f>
        <v/>
      </c>
      <c r="H33" s="43" t="s">
        <v>921</v>
      </c>
      <c r="I33" s="103">
        <v>1000</v>
      </c>
      <c r="J33" s="103" t="s">
        <v>299</v>
      </c>
      <c r="K33" s="103" t="s">
        <v>1017</v>
      </c>
      <c r="L33" s="59"/>
    </row>
    <row r="34" spans="1:12" x14ac:dyDescent="0.2">
      <c r="A34" s="7" t="str">
        <f t="shared" si="0"/>
        <v>Execução 30</v>
      </c>
      <c r="B34" s="41"/>
      <c r="C34" s="81" t="str">
        <f>IFERROR(VLOOKUP(B34,'ZM01'!B:C,2,0),"")</f>
        <v/>
      </c>
      <c r="D34" s="48" t="str">
        <f>IFERROR(VLOOKUP(B34,'ZM01'!B:I,8,0),"")</f>
        <v/>
      </c>
      <c r="E34" s="43">
        <v>1</v>
      </c>
      <c r="F34" s="43" t="s">
        <v>913</v>
      </c>
      <c r="G34" s="42" t="str">
        <f>IFERROR(IF(INDEX(Estrutura_P01[],MATCH($C34,Estrutura_P01[txtMAKT-MAKTX],0),MATCH(G$3,Estrutura_P01[#Headers],0))=0,"",INDEX(Estrutura_P01[],MATCH($C34,Estrutura_P01[txtMAKT-MAKTX],0),MATCH(G$3,Estrutura_P01[#Headers],0))),"")</f>
        <v/>
      </c>
      <c r="H34" s="43" t="s">
        <v>921</v>
      </c>
      <c r="I34" s="103">
        <v>1000</v>
      </c>
      <c r="J34" s="103" t="s">
        <v>299</v>
      </c>
      <c r="K34" s="103" t="s">
        <v>1017</v>
      </c>
      <c r="L34" s="59"/>
    </row>
    <row r="35" spans="1:12" x14ac:dyDescent="0.2">
      <c r="A35" s="7" t="str">
        <f t="shared" si="0"/>
        <v>Execução 31</v>
      </c>
      <c r="B35" s="41"/>
      <c r="C35" s="81" t="str">
        <f>IFERROR(VLOOKUP(B35,'ZM01'!B:C,2,0),"")</f>
        <v/>
      </c>
      <c r="D35" s="48" t="str">
        <f>IFERROR(VLOOKUP(B35,'ZM01'!B:I,8,0),"")</f>
        <v/>
      </c>
      <c r="E35" s="43">
        <v>1</v>
      </c>
      <c r="F35" s="43" t="s">
        <v>913</v>
      </c>
      <c r="G35" s="42" t="str">
        <f>IFERROR(IF(INDEX(Estrutura_P01[],MATCH($C35,Estrutura_P01[txtMAKT-MAKTX],0),MATCH(G$3,Estrutura_P01[#Headers],0))=0,"",INDEX(Estrutura_P01[],MATCH($C35,Estrutura_P01[txtMAKT-MAKTX],0),MATCH(G$3,Estrutura_P01[#Headers],0))),"")</f>
        <v/>
      </c>
      <c r="H35" s="43" t="s">
        <v>921</v>
      </c>
      <c r="I35" s="103">
        <v>1000</v>
      </c>
      <c r="J35" s="103" t="s">
        <v>299</v>
      </c>
      <c r="K35" s="103" t="s">
        <v>1017</v>
      </c>
      <c r="L35" s="59"/>
    </row>
    <row r="36" spans="1:12" x14ac:dyDescent="0.2">
      <c r="A36" s="7" t="str">
        <f t="shared" si="0"/>
        <v>Execução 32</v>
      </c>
      <c r="B36" s="41"/>
      <c r="C36" s="81" t="str">
        <f>IFERROR(VLOOKUP(B36,'ZM01'!B:C,2,0),"")</f>
        <v/>
      </c>
      <c r="D36" s="48" t="str">
        <f>IFERROR(VLOOKUP(B36,'ZM01'!B:I,8,0),"")</f>
        <v/>
      </c>
      <c r="E36" s="43">
        <v>1</v>
      </c>
      <c r="F36" s="43" t="s">
        <v>913</v>
      </c>
      <c r="G36" s="42" t="str">
        <f>IFERROR(IF(INDEX(Estrutura_P01[],MATCH($C36,Estrutura_P01[txtMAKT-MAKTX],0),MATCH(G$3,Estrutura_P01[#Headers],0))=0,"",INDEX(Estrutura_P01[],MATCH($C36,Estrutura_P01[txtMAKT-MAKTX],0),MATCH(G$3,Estrutura_P01[#Headers],0))),"")</f>
        <v/>
      </c>
      <c r="H36" s="43" t="s">
        <v>921</v>
      </c>
      <c r="I36" s="103">
        <v>1000</v>
      </c>
      <c r="J36" s="103" t="s">
        <v>299</v>
      </c>
      <c r="K36" s="103" t="s">
        <v>1017</v>
      </c>
      <c r="L36" s="59"/>
    </row>
    <row r="37" spans="1:12" x14ac:dyDescent="0.2">
      <c r="A37" s="7" t="str">
        <f t="shared" si="0"/>
        <v>Execução 33</v>
      </c>
      <c r="B37" s="41"/>
      <c r="C37" s="81" t="str">
        <f>IFERROR(VLOOKUP(B37,'ZM01'!B:C,2,0),"")</f>
        <v/>
      </c>
      <c r="D37" s="48" t="str">
        <f>IFERROR(VLOOKUP(B37,'ZM01'!B:I,8,0),"")</f>
        <v/>
      </c>
      <c r="E37" s="43">
        <v>1</v>
      </c>
      <c r="F37" s="43" t="s">
        <v>913</v>
      </c>
      <c r="G37" s="42" t="str">
        <f>IFERROR(IF(INDEX(Estrutura_P01[],MATCH($C37,Estrutura_P01[txtMAKT-MAKTX],0),MATCH(G$3,Estrutura_P01[#Headers],0))=0,"",INDEX(Estrutura_P01[],MATCH($C37,Estrutura_P01[txtMAKT-MAKTX],0),MATCH(G$3,Estrutura_P01[#Headers],0))),"")</f>
        <v/>
      </c>
      <c r="H37" s="43" t="s">
        <v>921</v>
      </c>
      <c r="I37" s="103">
        <v>1000</v>
      </c>
      <c r="J37" s="103" t="s">
        <v>299</v>
      </c>
      <c r="K37" s="103" t="s">
        <v>1017</v>
      </c>
      <c r="L37" s="59"/>
    </row>
    <row r="38" spans="1:12" x14ac:dyDescent="0.2">
      <c r="A38" s="7" t="str">
        <f t="shared" si="0"/>
        <v>Execução 34</v>
      </c>
      <c r="B38" s="41"/>
      <c r="C38" s="81" t="str">
        <f>IFERROR(VLOOKUP(B38,'ZM01'!B:C,2,0),"")</f>
        <v/>
      </c>
      <c r="D38" s="48" t="str">
        <f>IFERROR(VLOOKUP(B38,'ZM01'!B:I,8,0),"")</f>
        <v/>
      </c>
      <c r="E38" s="43">
        <v>1</v>
      </c>
      <c r="F38" s="43" t="s">
        <v>913</v>
      </c>
      <c r="G38" s="42" t="str">
        <f>IFERROR(IF(INDEX(Estrutura_P01[],MATCH($C38,Estrutura_P01[txtMAKT-MAKTX],0),MATCH(G$3,Estrutura_P01[#Headers],0))=0,"",INDEX(Estrutura_P01[],MATCH($C38,Estrutura_P01[txtMAKT-MAKTX],0),MATCH(G$3,Estrutura_P01[#Headers],0))),"")</f>
        <v/>
      </c>
      <c r="H38" s="43" t="s">
        <v>921</v>
      </c>
      <c r="I38" s="103">
        <v>1000</v>
      </c>
      <c r="J38" s="103" t="s">
        <v>299</v>
      </c>
      <c r="K38" s="103" t="s">
        <v>1017</v>
      </c>
      <c r="L38" s="59"/>
    </row>
    <row r="39" spans="1:12" x14ac:dyDescent="0.2">
      <c r="A39" s="7" t="str">
        <f t="shared" si="0"/>
        <v>Execução 35</v>
      </c>
      <c r="B39" s="41"/>
      <c r="C39" s="81" t="str">
        <f>IFERROR(VLOOKUP(B39,'ZM01'!B:C,2,0),"")</f>
        <v/>
      </c>
      <c r="D39" s="48" t="str">
        <f>IFERROR(VLOOKUP(B39,'ZM01'!B:I,8,0),"")</f>
        <v/>
      </c>
      <c r="E39" s="43">
        <v>1</v>
      </c>
      <c r="F39" s="43" t="s">
        <v>913</v>
      </c>
      <c r="G39" s="42" t="str">
        <f>IFERROR(IF(INDEX(Estrutura_P01[],MATCH($C39,Estrutura_P01[txtMAKT-MAKTX],0),MATCH(G$3,Estrutura_P01[#Headers],0))=0,"",INDEX(Estrutura_P01[],MATCH($C39,Estrutura_P01[txtMAKT-MAKTX],0),MATCH(G$3,Estrutura_P01[#Headers],0))),"")</f>
        <v/>
      </c>
      <c r="H39" s="43" t="s">
        <v>921</v>
      </c>
      <c r="I39" s="103">
        <v>1000</v>
      </c>
      <c r="J39" s="103" t="s">
        <v>299</v>
      </c>
      <c r="K39" s="103" t="s">
        <v>1017</v>
      </c>
      <c r="L39" s="59"/>
    </row>
    <row r="40" spans="1:12" x14ac:dyDescent="0.2">
      <c r="A40" s="7" t="str">
        <f t="shared" si="0"/>
        <v>Execução 36</v>
      </c>
      <c r="B40" s="41"/>
      <c r="C40" s="81" t="str">
        <f>IFERROR(VLOOKUP(B40,'ZM01'!B:C,2,0),"")</f>
        <v/>
      </c>
      <c r="D40" s="48" t="str">
        <f>IFERROR(VLOOKUP(B40,'ZM01'!B:I,8,0),"")</f>
        <v/>
      </c>
      <c r="E40" s="43">
        <v>1</v>
      </c>
      <c r="F40" s="43" t="s">
        <v>913</v>
      </c>
      <c r="G40" s="42" t="str">
        <f>IFERROR(IF(INDEX(Estrutura_P01[],MATCH($C40,Estrutura_P01[txtMAKT-MAKTX],0),MATCH(G$3,Estrutura_P01[#Headers],0))=0,"",INDEX(Estrutura_P01[],MATCH($C40,Estrutura_P01[txtMAKT-MAKTX],0),MATCH(G$3,Estrutura_P01[#Headers],0))),"")</f>
        <v/>
      </c>
      <c r="H40" s="43" t="s">
        <v>921</v>
      </c>
      <c r="I40" s="103">
        <v>1000</v>
      </c>
      <c r="J40" s="103" t="s">
        <v>299</v>
      </c>
      <c r="K40" s="103" t="s">
        <v>1017</v>
      </c>
      <c r="L40" s="59"/>
    </row>
    <row r="41" spans="1:12" x14ac:dyDescent="0.2">
      <c r="A41" s="7" t="str">
        <f t="shared" si="0"/>
        <v>Execução 37</v>
      </c>
      <c r="B41" s="41"/>
      <c r="C41" s="81" t="str">
        <f>IFERROR(VLOOKUP(B41,'ZM01'!B:C,2,0),"")</f>
        <v/>
      </c>
      <c r="D41" s="48" t="str">
        <f>IFERROR(VLOOKUP(B41,'ZM01'!B:I,8,0),"")</f>
        <v/>
      </c>
      <c r="E41" s="43">
        <v>1</v>
      </c>
      <c r="F41" s="43" t="s">
        <v>913</v>
      </c>
      <c r="G41" s="42" t="str">
        <f>IFERROR(IF(INDEX(Estrutura_P01[],MATCH($C41,Estrutura_P01[txtMAKT-MAKTX],0),MATCH(G$3,Estrutura_P01[#Headers],0))=0,"",INDEX(Estrutura_P01[],MATCH($C41,Estrutura_P01[txtMAKT-MAKTX],0),MATCH(G$3,Estrutura_P01[#Headers],0))),"")</f>
        <v/>
      </c>
      <c r="H41" s="43" t="s">
        <v>921</v>
      </c>
      <c r="I41" s="103">
        <v>1000</v>
      </c>
      <c r="J41" s="103" t="s">
        <v>299</v>
      </c>
      <c r="K41" s="103" t="s">
        <v>1017</v>
      </c>
      <c r="L41" s="59"/>
    </row>
    <row r="42" spans="1:12" x14ac:dyDescent="0.2">
      <c r="A42" s="7" t="str">
        <f t="shared" si="0"/>
        <v>Execução 38</v>
      </c>
      <c r="B42" s="41"/>
      <c r="C42" s="81" t="str">
        <f>IFERROR(VLOOKUP(B42,'ZM01'!B:C,2,0),"")</f>
        <v/>
      </c>
      <c r="D42" s="48" t="str">
        <f>IFERROR(VLOOKUP(B42,'ZM01'!B:I,8,0),"")</f>
        <v/>
      </c>
      <c r="E42" s="43">
        <v>1</v>
      </c>
      <c r="F42" s="43" t="s">
        <v>913</v>
      </c>
      <c r="G42" s="42" t="str">
        <f>IFERROR(IF(INDEX(Estrutura_P01[],MATCH($C42,Estrutura_P01[txtMAKT-MAKTX],0),MATCH(G$3,Estrutura_P01[#Headers],0))=0,"",INDEX(Estrutura_P01[],MATCH($C42,Estrutura_P01[txtMAKT-MAKTX],0),MATCH(G$3,Estrutura_P01[#Headers],0))),"")</f>
        <v/>
      </c>
      <c r="H42" s="43" t="s">
        <v>921</v>
      </c>
      <c r="I42" s="103">
        <v>1000</v>
      </c>
      <c r="J42" s="103" t="s">
        <v>299</v>
      </c>
      <c r="K42" s="103" t="s">
        <v>1017</v>
      </c>
      <c r="L42" s="59"/>
    </row>
    <row r="43" spans="1:12" x14ac:dyDescent="0.2">
      <c r="A43" s="7" t="str">
        <f t="shared" si="0"/>
        <v>Execução 39</v>
      </c>
      <c r="B43" s="41"/>
      <c r="C43" s="81" t="str">
        <f>IFERROR(VLOOKUP(B43,'ZM01'!B:C,2,0),"")</f>
        <v/>
      </c>
      <c r="D43" s="48" t="str">
        <f>IFERROR(VLOOKUP(B43,'ZM01'!B:I,8,0),"")</f>
        <v/>
      </c>
      <c r="E43" s="43">
        <v>1</v>
      </c>
      <c r="F43" s="43" t="s">
        <v>913</v>
      </c>
      <c r="G43" s="42" t="str">
        <f>IFERROR(IF(INDEX(Estrutura_P01[],MATCH($C43,Estrutura_P01[txtMAKT-MAKTX],0),MATCH(G$3,Estrutura_P01[#Headers],0))=0,"",INDEX(Estrutura_P01[],MATCH($C43,Estrutura_P01[txtMAKT-MAKTX],0),MATCH(G$3,Estrutura_P01[#Headers],0))),"")</f>
        <v/>
      </c>
      <c r="H43" s="43" t="s">
        <v>921</v>
      </c>
      <c r="I43" s="103">
        <v>1000</v>
      </c>
      <c r="J43" s="103" t="s">
        <v>299</v>
      </c>
      <c r="K43" s="103" t="s">
        <v>1017</v>
      </c>
      <c r="L43" s="59"/>
    </row>
    <row r="44" spans="1:12" x14ac:dyDescent="0.2">
      <c r="A44" s="7" t="str">
        <f t="shared" si="0"/>
        <v>Execução 40</v>
      </c>
      <c r="B44" s="41"/>
      <c r="C44" s="81" t="str">
        <f>IFERROR(VLOOKUP(B44,'ZM01'!B:C,2,0),"")</f>
        <v/>
      </c>
      <c r="D44" s="48" t="str">
        <f>IFERROR(VLOOKUP(B44,'ZM01'!B:I,8,0),"")</f>
        <v/>
      </c>
      <c r="E44" s="43">
        <v>1</v>
      </c>
      <c r="F44" s="43" t="s">
        <v>913</v>
      </c>
      <c r="G44" s="42" t="str">
        <f>IFERROR(IF(INDEX(Estrutura_P01[],MATCH($C44,Estrutura_P01[txtMAKT-MAKTX],0),MATCH(G$3,Estrutura_P01[#Headers],0))=0,"",INDEX(Estrutura_P01[],MATCH($C44,Estrutura_P01[txtMAKT-MAKTX],0),MATCH(G$3,Estrutura_P01[#Headers],0))),"")</f>
        <v/>
      </c>
      <c r="H44" s="43" t="s">
        <v>921</v>
      </c>
      <c r="I44" s="103">
        <v>1000</v>
      </c>
      <c r="J44" s="103" t="s">
        <v>299</v>
      </c>
      <c r="K44" s="103" t="s">
        <v>1017</v>
      </c>
      <c r="L44" s="59"/>
    </row>
    <row r="45" spans="1:12" x14ac:dyDescent="0.2">
      <c r="A45" s="7" t="str">
        <f t="shared" si="0"/>
        <v>Execução 41</v>
      </c>
      <c r="B45" s="41"/>
      <c r="C45" s="81" t="str">
        <f>IFERROR(VLOOKUP(B45,'ZM01'!B:C,2,0),"")</f>
        <v/>
      </c>
      <c r="D45" s="48" t="str">
        <f>IFERROR(VLOOKUP(B45,'ZM01'!B:I,8,0),"")</f>
        <v/>
      </c>
      <c r="E45" s="43">
        <v>1</v>
      </c>
      <c r="F45" s="43" t="s">
        <v>913</v>
      </c>
      <c r="G45" s="42" t="str">
        <f>IFERROR(IF(INDEX(Estrutura_P01[],MATCH($C45,Estrutura_P01[txtMAKT-MAKTX],0),MATCH(G$3,Estrutura_P01[#Headers],0))=0,"",INDEX(Estrutura_P01[],MATCH($C45,Estrutura_P01[txtMAKT-MAKTX],0),MATCH(G$3,Estrutura_P01[#Headers],0))),"")</f>
        <v/>
      </c>
      <c r="H45" s="43" t="s">
        <v>921</v>
      </c>
      <c r="I45" s="103">
        <v>1000</v>
      </c>
      <c r="J45" s="103" t="s">
        <v>299</v>
      </c>
      <c r="K45" s="103" t="s">
        <v>1017</v>
      </c>
      <c r="L45" s="59"/>
    </row>
    <row r="46" spans="1:12" x14ac:dyDescent="0.2">
      <c r="A46" s="7" t="str">
        <f t="shared" si="0"/>
        <v>Execução 42</v>
      </c>
      <c r="B46" s="41"/>
      <c r="C46" s="81" t="str">
        <f>IFERROR(VLOOKUP(B46,'ZM01'!B:C,2,0),"")</f>
        <v/>
      </c>
      <c r="D46" s="48" t="str">
        <f>IFERROR(VLOOKUP(B46,'ZM01'!B:I,8,0),"")</f>
        <v/>
      </c>
      <c r="E46" s="43">
        <v>1</v>
      </c>
      <c r="F46" s="43" t="s">
        <v>913</v>
      </c>
      <c r="G46" s="42" t="str">
        <f>IFERROR(IF(INDEX(Estrutura_P01[],MATCH($C46,Estrutura_P01[txtMAKT-MAKTX],0),MATCH(G$3,Estrutura_P01[#Headers],0))=0,"",INDEX(Estrutura_P01[],MATCH($C46,Estrutura_P01[txtMAKT-MAKTX],0),MATCH(G$3,Estrutura_P01[#Headers],0))),"")</f>
        <v/>
      </c>
      <c r="H46" s="43" t="s">
        <v>921</v>
      </c>
      <c r="I46" s="103">
        <v>1000</v>
      </c>
      <c r="J46" s="103" t="s">
        <v>299</v>
      </c>
      <c r="K46" s="103" t="s">
        <v>1017</v>
      </c>
      <c r="L46" s="59"/>
    </row>
    <row r="47" spans="1:12" x14ac:dyDescent="0.2">
      <c r="A47" s="7" t="str">
        <f t="shared" si="0"/>
        <v>Execução 43</v>
      </c>
      <c r="B47" s="41"/>
      <c r="C47" s="81" t="str">
        <f>IFERROR(VLOOKUP(B47,'ZM01'!B:C,2,0),"")</f>
        <v/>
      </c>
      <c r="D47" s="48" t="str">
        <f>IFERROR(VLOOKUP(B47,'ZM01'!B:I,8,0),"")</f>
        <v/>
      </c>
      <c r="E47" s="43">
        <v>1</v>
      </c>
      <c r="F47" s="43" t="s">
        <v>913</v>
      </c>
      <c r="G47" s="42" t="str">
        <f>IFERROR(IF(INDEX(Estrutura_P01[],MATCH($C47,Estrutura_P01[txtMAKT-MAKTX],0),MATCH(G$3,Estrutura_P01[#Headers],0))=0,"",INDEX(Estrutura_P01[],MATCH($C47,Estrutura_P01[txtMAKT-MAKTX],0),MATCH(G$3,Estrutura_P01[#Headers],0))),"")</f>
        <v/>
      </c>
      <c r="H47" s="43" t="s">
        <v>921</v>
      </c>
      <c r="I47" s="103">
        <v>1000</v>
      </c>
      <c r="J47" s="103" t="s">
        <v>299</v>
      </c>
      <c r="K47" s="103" t="s">
        <v>1017</v>
      </c>
      <c r="L47" s="59"/>
    </row>
    <row r="48" spans="1:12" x14ac:dyDescent="0.2">
      <c r="A48" s="7" t="str">
        <f t="shared" si="0"/>
        <v>Execução 44</v>
      </c>
      <c r="B48" s="41"/>
      <c r="C48" s="81" t="str">
        <f>IFERROR(VLOOKUP(B48,'ZM01'!B:C,2,0),"")</f>
        <v/>
      </c>
      <c r="D48" s="48" t="str">
        <f>IFERROR(VLOOKUP(B48,'ZM01'!B:I,8,0),"")</f>
        <v/>
      </c>
      <c r="E48" s="43">
        <v>1</v>
      </c>
      <c r="F48" s="43" t="s">
        <v>913</v>
      </c>
      <c r="G48" s="42" t="str">
        <f>IFERROR(IF(INDEX(Estrutura_P01[],MATCH($C48,Estrutura_P01[txtMAKT-MAKTX],0),MATCH(G$3,Estrutura_P01[#Headers],0))=0,"",INDEX(Estrutura_P01[],MATCH($C48,Estrutura_P01[txtMAKT-MAKTX],0),MATCH(G$3,Estrutura_P01[#Headers],0))),"")</f>
        <v/>
      </c>
      <c r="H48" s="43" t="s">
        <v>921</v>
      </c>
      <c r="I48" s="103">
        <v>1000</v>
      </c>
      <c r="J48" s="103" t="s">
        <v>299</v>
      </c>
      <c r="K48" s="103" t="s">
        <v>1017</v>
      </c>
      <c r="L48" s="59"/>
    </row>
    <row r="49" spans="1:12" x14ac:dyDescent="0.2">
      <c r="A49" s="7" t="str">
        <f t="shared" si="0"/>
        <v>Execução 45</v>
      </c>
      <c r="B49" s="41"/>
      <c r="C49" s="81" t="str">
        <f>IFERROR(VLOOKUP(B49,'ZM01'!B:C,2,0),"")</f>
        <v/>
      </c>
      <c r="D49" s="48" t="str">
        <f>IFERROR(VLOOKUP(B49,'ZM01'!B:I,8,0),"")</f>
        <v/>
      </c>
      <c r="E49" s="43">
        <v>1</v>
      </c>
      <c r="F49" s="43" t="s">
        <v>913</v>
      </c>
      <c r="G49" s="42" t="str">
        <f>IFERROR(IF(INDEX(Estrutura_P01[],MATCH($C49,Estrutura_P01[txtMAKT-MAKTX],0),MATCH(G$3,Estrutura_P01[#Headers],0))=0,"",INDEX(Estrutura_P01[],MATCH($C49,Estrutura_P01[txtMAKT-MAKTX],0),MATCH(G$3,Estrutura_P01[#Headers],0))),"")</f>
        <v/>
      </c>
      <c r="H49" s="43" t="s">
        <v>921</v>
      </c>
      <c r="I49" s="103">
        <v>1000</v>
      </c>
      <c r="J49" s="103" t="s">
        <v>299</v>
      </c>
      <c r="K49" s="103" t="s">
        <v>1017</v>
      </c>
      <c r="L49" s="59"/>
    </row>
    <row r="50" spans="1:12" x14ac:dyDescent="0.2">
      <c r="A50" s="7" t="str">
        <f t="shared" si="0"/>
        <v>Execução 46</v>
      </c>
      <c r="B50" s="41"/>
      <c r="C50" s="81" t="str">
        <f>IFERROR(VLOOKUP(B50,'ZM01'!B:C,2,0),"")</f>
        <v/>
      </c>
      <c r="D50" s="48" t="str">
        <f>IFERROR(VLOOKUP(B50,'ZM01'!B:I,8,0),"")</f>
        <v/>
      </c>
      <c r="E50" s="43">
        <v>1</v>
      </c>
      <c r="F50" s="43" t="s">
        <v>913</v>
      </c>
      <c r="G50" s="42" t="str">
        <f>IFERROR(IF(INDEX(Estrutura_P01[],MATCH($C50,Estrutura_P01[txtMAKT-MAKTX],0),MATCH(G$3,Estrutura_P01[#Headers],0))=0,"",INDEX(Estrutura_P01[],MATCH($C50,Estrutura_P01[txtMAKT-MAKTX],0),MATCH(G$3,Estrutura_P01[#Headers],0))),"")</f>
        <v/>
      </c>
      <c r="H50" s="43" t="s">
        <v>921</v>
      </c>
      <c r="I50" s="103">
        <v>1000</v>
      </c>
      <c r="J50" s="103" t="s">
        <v>299</v>
      </c>
      <c r="K50" s="103" t="s">
        <v>1017</v>
      </c>
      <c r="L50" s="59"/>
    </row>
    <row r="51" spans="1:12" x14ac:dyDescent="0.2">
      <c r="A51" s="7" t="str">
        <f t="shared" si="0"/>
        <v>Execução 47</v>
      </c>
      <c r="B51" s="41"/>
      <c r="C51" s="81" t="str">
        <f>IFERROR(VLOOKUP(B51,'ZM01'!B:C,2,0),"")</f>
        <v/>
      </c>
      <c r="D51" s="48" t="str">
        <f>IFERROR(VLOOKUP(B51,'ZM01'!B:I,8,0),"")</f>
        <v/>
      </c>
      <c r="E51" s="43">
        <v>1</v>
      </c>
      <c r="F51" s="43" t="s">
        <v>913</v>
      </c>
      <c r="G51" s="42" t="str">
        <f>IFERROR(IF(INDEX(Estrutura_P01[],MATCH($C51,Estrutura_P01[txtMAKT-MAKTX],0),MATCH(G$3,Estrutura_P01[#Headers],0))=0,"",INDEX(Estrutura_P01[],MATCH($C51,Estrutura_P01[txtMAKT-MAKTX],0),MATCH(G$3,Estrutura_P01[#Headers],0))),"")</f>
        <v/>
      </c>
      <c r="H51" s="43" t="s">
        <v>921</v>
      </c>
      <c r="I51" s="103">
        <v>1000</v>
      </c>
      <c r="J51" s="103" t="s">
        <v>299</v>
      </c>
      <c r="K51" s="103" t="s">
        <v>1017</v>
      </c>
      <c r="L51" s="59"/>
    </row>
    <row r="52" spans="1:12" x14ac:dyDescent="0.2">
      <c r="A52" s="7" t="str">
        <f t="shared" si="0"/>
        <v>Execução 48</v>
      </c>
      <c r="B52" s="41"/>
      <c r="C52" s="81" t="str">
        <f>IFERROR(VLOOKUP(B52,'ZM01'!B:C,2,0),"")</f>
        <v/>
      </c>
      <c r="D52" s="48" t="str">
        <f>IFERROR(VLOOKUP(B52,'ZM01'!B:I,8,0),"")</f>
        <v/>
      </c>
      <c r="E52" s="43">
        <v>1</v>
      </c>
      <c r="F52" s="43" t="s">
        <v>913</v>
      </c>
      <c r="G52" s="42" t="str">
        <f>IFERROR(IF(INDEX(Estrutura_P01[],MATCH($C52,Estrutura_P01[txtMAKT-MAKTX],0),MATCH(G$3,Estrutura_P01[#Headers],0))=0,"",INDEX(Estrutura_P01[],MATCH($C52,Estrutura_P01[txtMAKT-MAKTX],0),MATCH(G$3,Estrutura_P01[#Headers],0))),"")</f>
        <v/>
      </c>
      <c r="H52" s="43" t="s">
        <v>921</v>
      </c>
      <c r="I52" s="103">
        <v>1000</v>
      </c>
      <c r="J52" s="103" t="s">
        <v>299</v>
      </c>
      <c r="K52" s="103" t="s">
        <v>1017</v>
      </c>
      <c r="L52" s="59"/>
    </row>
    <row r="53" spans="1:12" x14ac:dyDescent="0.2">
      <c r="A53" s="7" t="str">
        <f t="shared" si="0"/>
        <v>Execução 49</v>
      </c>
      <c r="B53" s="41"/>
      <c r="C53" s="81" t="str">
        <f>IFERROR(VLOOKUP(B53,'ZM01'!B:C,2,0),"")</f>
        <v/>
      </c>
      <c r="D53" s="48" t="str">
        <f>IFERROR(VLOOKUP(B53,'ZM01'!B:I,8,0),"")</f>
        <v/>
      </c>
      <c r="E53" s="43">
        <v>1</v>
      </c>
      <c r="F53" s="43" t="s">
        <v>913</v>
      </c>
      <c r="G53" s="42" t="str">
        <f>IFERROR(IF(INDEX(Estrutura_P01[],MATCH($C53,Estrutura_P01[txtMAKT-MAKTX],0),MATCH(G$3,Estrutura_P01[#Headers],0))=0,"",INDEX(Estrutura_P01[],MATCH($C53,Estrutura_P01[txtMAKT-MAKTX],0),MATCH(G$3,Estrutura_P01[#Headers],0))),"")</f>
        <v/>
      </c>
      <c r="H53" s="43" t="s">
        <v>921</v>
      </c>
      <c r="I53" s="103">
        <v>1000</v>
      </c>
      <c r="J53" s="103" t="s">
        <v>299</v>
      </c>
      <c r="K53" s="103" t="s">
        <v>1017</v>
      </c>
      <c r="L53" s="59"/>
    </row>
    <row r="54" spans="1:12" x14ac:dyDescent="0.2">
      <c r="A54" s="7" t="str">
        <f t="shared" si="0"/>
        <v>Execução 50</v>
      </c>
      <c r="B54" s="41"/>
      <c r="C54" s="81" t="str">
        <f>IFERROR(VLOOKUP(B54,'ZM01'!B:C,2,0),"")</f>
        <v/>
      </c>
      <c r="D54" s="48" t="str">
        <f>IFERROR(VLOOKUP(B54,'ZM01'!B:I,8,0),"")</f>
        <v/>
      </c>
      <c r="E54" s="43">
        <v>1</v>
      </c>
      <c r="F54" s="43" t="s">
        <v>913</v>
      </c>
      <c r="G54" s="42" t="str">
        <f>IFERROR(IF(INDEX(Estrutura_P01[],MATCH($C54,Estrutura_P01[txtMAKT-MAKTX],0),MATCH(G$3,Estrutura_P01[#Headers],0))=0,"",INDEX(Estrutura_P01[],MATCH($C54,Estrutura_P01[txtMAKT-MAKTX],0),MATCH(G$3,Estrutura_P01[#Headers],0))),"")</f>
        <v/>
      </c>
      <c r="H54" s="43" t="s">
        <v>921</v>
      </c>
      <c r="I54" s="103">
        <v>1000</v>
      </c>
      <c r="J54" s="103" t="s">
        <v>299</v>
      </c>
      <c r="K54" s="103" t="s">
        <v>1017</v>
      </c>
      <c r="L54" s="60"/>
    </row>
  </sheetData>
  <conditionalFormatting sqref="B5:C5 C6:C54">
    <cfRule type="beginsWith" dxfId="96" priority="21" operator="beginsWith" text="L">
      <formula>LEFT(B5,LEN("L"))="L"</formula>
    </cfRule>
  </conditionalFormatting>
  <conditionalFormatting sqref="B6:B14">
    <cfRule type="beginsWith" dxfId="95" priority="20" operator="beginsWith" text="L">
      <formula>LEFT(B6,LEN("L"))="L"</formula>
    </cfRule>
  </conditionalFormatting>
  <conditionalFormatting sqref="B15:B54">
    <cfRule type="beginsWith" dxfId="94" priority="19" operator="beginsWith" text="L">
      <formula>LEFT(B15,LEN("L"))="L"</formula>
    </cfRule>
  </conditionalFormatting>
  <conditionalFormatting sqref="L1:L1048576">
    <cfRule type="containsText" dxfId="93" priority="14" operator="containsText" text="criadas">
      <formula>NOT(ISERROR(SEARCH("criadas",L1)))</formula>
    </cfRule>
    <cfRule type="containsText" dxfId="92" priority="15" operator="containsText" text="é gravado">
      <formula>NOT(ISERROR(SEARCH("é gravado",L1)))</formula>
    </cfRule>
    <cfRule type="containsText" dxfId="91" priority="16" operator="containsText" text="é modificado">
      <formula>NOT(ISERROR(SEARCH("é modificado",L1)))</formula>
    </cfRule>
    <cfRule type="containsText" dxfId="90" priority="17" operator="containsText" text="Error">
      <formula>NOT(ISERROR(SEARCH("Error",L1)))</formula>
    </cfRule>
    <cfRule type="containsText" dxfId="89" priority="18" operator="containsText" text="é criado">
      <formula>NOT(ISERROR(SEARCH("é criado",L1)))</formula>
    </cfRule>
  </conditionalFormatting>
  <conditionalFormatting sqref="E5:E54">
    <cfRule type="beginsWith" dxfId="88" priority="11" operator="beginsWith" text="L">
      <formula>LEFT(E5,LEN("L"))="L"</formula>
    </cfRule>
  </conditionalFormatting>
  <conditionalFormatting sqref="I5:I54">
    <cfRule type="beginsWith" dxfId="87" priority="3" operator="beginsWith" text="L">
      <formula>LEFT(I5,LEN("L"))="L"</formula>
    </cfRule>
  </conditionalFormatting>
  <conditionalFormatting sqref="K5:K54">
    <cfRule type="beginsWith" dxfId="86" priority="5" operator="beginsWith" text="L">
      <formula>LEFT(K5,LEN("L"))="L"</formula>
    </cfRule>
  </conditionalFormatting>
  <conditionalFormatting sqref="J5:J54">
    <cfRule type="beginsWith" dxfId="85" priority="2" operator="beginsWith" text="L">
      <formula>LEFT(J5,LEN("L"))="L"</formula>
    </cfRule>
  </conditionalFormatting>
  <conditionalFormatting sqref="G5:G54">
    <cfRule type="beginsWith" dxfId="84" priority="1" operator="beginsWith" text="L">
      <formula>LEFT(G5,LEN("L"))="L"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D5:D54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>
    <tabColor theme="4" tint="0.79998168889431442"/>
  </sheetPr>
  <dimension ref="A1:AM30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AM5" sqref="AM5:AM12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4" width="18.140625" style="6" hidden="1" customWidth="1" outlineLevel="1"/>
    <col min="5" max="5" width="18.5703125" style="6" hidden="1" customWidth="1" outlineLevel="1"/>
    <col min="6" max="6" width="23.42578125" style="6" hidden="1" customWidth="1" outlineLevel="1"/>
    <col min="7" max="7" width="18.85546875" style="6" hidden="1" customWidth="1" outlineLevel="1"/>
    <col min="8" max="8" width="11.7109375" style="6" customWidth="1" collapsed="1"/>
    <col min="9" max="9" width="15" style="6" hidden="1" customWidth="1" outlineLevel="1"/>
    <col min="10" max="17" width="8" style="6" hidden="1" customWidth="1" outlineLevel="1"/>
    <col min="18" max="35" width="9.140625" style="6" hidden="1" customWidth="1" outlineLevel="1"/>
    <col min="36" max="36" width="19.140625" style="6" customWidth="1" collapsed="1"/>
    <col min="37" max="38" width="17.5703125" style="6" customWidth="1"/>
    <col min="39" max="39" width="85.7109375" style="1" customWidth="1"/>
    <col min="40" max="40" width="22" style="1" customWidth="1"/>
    <col min="41" max="16384" width="9.140625" style="1"/>
  </cols>
  <sheetData>
    <row r="1" spans="1:39" s="50" customFormat="1" x14ac:dyDescent="0.2">
      <c r="A1" s="7" t="s">
        <v>28</v>
      </c>
      <c r="C1" s="91"/>
      <c r="D1" s="91"/>
      <c r="E1" s="91"/>
      <c r="F1" s="91"/>
      <c r="G1" s="91"/>
      <c r="H1" s="107" t="s">
        <v>170</v>
      </c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107" t="s">
        <v>127</v>
      </c>
      <c r="AK1" s="91"/>
      <c r="AL1" s="91"/>
      <c r="AM1" s="57"/>
    </row>
    <row r="2" spans="1:39" s="40" customFormat="1" x14ac:dyDescent="0.2">
      <c r="A2" s="7"/>
      <c r="B2" s="39"/>
      <c r="C2" s="91">
        <v>55</v>
      </c>
      <c r="D2" s="91">
        <v>57</v>
      </c>
      <c r="E2" s="91"/>
      <c r="F2" s="91">
        <v>59</v>
      </c>
      <c r="G2" s="91"/>
      <c r="H2" s="107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107"/>
      <c r="AK2" s="91"/>
      <c r="AL2" s="91"/>
    </row>
    <row r="3" spans="1:39" s="50" customFormat="1" ht="15" customHeight="1" x14ac:dyDescent="0.2">
      <c r="A3" s="7" t="s">
        <v>29</v>
      </c>
      <c r="B3" s="4" t="s">
        <v>94</v>
      </c>
      <c r="C3" s="90" t="s">
        <v>156</v>
      </c>
      <c r="D3" s="90" t="s">
        <v>158</v>
      </c>
      <c r="E3" s="90" t="s">
        <v>157</v>
      </c>
      <c r="F3" s="90" t="s">
        <v>160</v>
      </c>
      <c r="G3" s="90" t="s">
        <v>161</v>
      </c>
      <c r="H3" s="90"/>
      <c r="I3" s="106" t="s">
        <v>155</v>
      </c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  <c r="AA3" s="106"/>
      <c r="AB3" s="106"/>
      <c r="AC3" s="106"/>
      <c r="AD3" s="106"/>
      <c r="AE3" s="106"/>
      <c r="AF3" s="106"/>
      <c r="AG3" s="106"/>
      <c r="AH3" s="106"/>
      <c r="AI3" s="106"/>
      <c r="AJ3" s="90"/>
      <c r="AK3" s="90" t="s">
        <v>972</v>
      </c>
      <c r="AL3" s="90" t="s">
        <v>973</v>
      </c>
      <c r="AM3" s="57" t="s">
        <v>32</v>
      </c>
    </row>
    <row r="4" spans="1:39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1</v>
      </c>
      <c r="E4" s="14" t="s">
        <v>159</v>
      </c>
      <c r="F4" s="14" t="s">
        <v>2</v>
      </c>
      <c r="G4" s="14" t="s">
        <v>162</v>
      </c>
      <c r="H4" s="14"/>
      <c r="I4" s="14" t="s">
        <v>128</v>
      </c>
      <c r="J4" s="14" t="s">
        <v>129</v>
      </c>
      <c r="K4" s="14" t="s">
        <v>130</v>
      </c>
      <c r="L4" s="14" t="s">
        <v>131</v>
      </c>
      <c r="M4" s="14" t="s">
        <v>132</v>
      </c>
      <c r="N4" s="14" t="s">
        <v>133</v>
      </c>
      <c r="O4" s="14" t="s">
        <v>134</v>
      </c>
      <c r="P4" s="14" t="s">
        <v>135</v>
      </c>
      <c r="Q4" s="14" t="s">
        <v>136</v>
      </c>
      <c r="R4" s="14" t="s">
        <v>137</v>
      </c>
      <c r="S4" s="14" t="s">
        <v>138</v>
      </c>
      <c r="T4" s="14" t="s">
        <v>139</v>
      </c>
      <c r="U4" s="14" t="s">
        <v>140</v>
      </c>
      <c r="V4" s="14" t="s">
        <v>141</v>
      </c>
      <c r="W4" s="14" t="s">
        <v>142</v>
      </c>
      <c r="X4" s="14" t="s">
        <v>143</v>
      </c>
      <c r="Y4" s="14" t="s">
        <v>144</v>
      </c>
      <c r="Z4" s="14" t="s">
        <v>145</v>
      </c>
      <c r="AA4" s="14" t="s">
        <v>146</v>
      </c>
      <c r="AB4" s="14" t="s">
        <v>147</v>
      </c>
      <c r="AC4" s="14" t="s">
        <v>148</v>
      </c>
      <c r="AD4" s="14" t="s">
        <v>149</v>
      </c>
      <c r="AE4" s="14" t="s">
        <v>150</v>
      </c>
      <c r="AF4" s="14" t="s">
        <v>151</v>
      </c>
      <c r="AG4" s="14" t="s">
        <v>152</v>
      </c>
      <c r="AH4" s="14" t="s">
        <v>153</v>
      </c>
      <c r="AI4" s="14" t="s">
        <v>154</v>
      </c>
      <c r="AJ4" s="14"/>
      <c r="AK4" s="14" t="s">
        <v>95</v>
      </c>
      <c r="AL4" s="14" t="s">
        <v>95</v>
      </c>
      <c r="AM4" s="5" t="s">
        <v>832</v>
      </c>
    </row>
    <row r="5" spans="1:39" x14ac:dyDescent="0.2">
      <c r="A5" s="7" t="str">
        <f>"Execução "&amp;ROW()-4</f>
        <v>Execução 1</v>
      </c>
      <c r="B5" s="41"/>
      <c r="C5" s="69" t="e">
        <f>VLOOKUP($B5,'ZM01'!$B:$M,COLUMN()+5,0)</f>
        <v>#N/A</v>
      </c>
      <c r="D5" s="69" t="e">
        <f>VLOOKUP($B5,'ZM01'!$B:$M,COLUMN()+5,0)</f>
        <v>#N/A</v>
      </c>
      <c r="E5" s="69" t="e">
        <f>VLOOKUP($B5,'ZM01'!$B:$M,COLUMN()+5,0)</f>
        <v>#N/A</v>
      </c>
      <c r="F5" s="69" t="e">
        <f>VLOOKUP($B5,'ZM01'!$B:$M,COLUMN()+5,0)</f>
        <v>#N/A</v>
      </c>
      <c r="G5" s="69" t="e">
        <f>VLOOKUP($B5,'ZM01'!$B:$M,COLUMN()+5,0)</f>
        <v>#N/A</v>
      </c>
      <c r="I5" s="44" t="s">
        <v>102</v>
      </c>
      <c r="J5" s="44" t="s">
        <v>114</v>
      </c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K5" s="69" t="str">
        <f>IF(B5&lt;&gt;"",B5,"")</f>
        <v/>
      </c>
      <c r="AL5" s="69" t="str">
        <f>IF(B5&lt;&gt;"",B5,"")</f>
        <v/>
      </c>
      <c r="AM5" s="63"/>
    </row>
    <row r="6" spans="1:39" x14ac:dyDescent="0.2">
      <c r="A6" s="7" t="str">
        <f t="shared" ref="A6:A30" si="0">"Execução "&amp;ROW()-4</f>
        <v>Execução 2</v>
      </c>
      <c r="B6" s="41"/>
      <c r="C6" s="69" t="e">
        <f>VLOOKUP($B6,'ZM01'!$B:$M,COLUMN()+5,0)</f>
        <v>#N/A</v>
      </c>
      <c r="D6" s="69" t="e">
        <f>VLOOKUP($B6,'ZM01'!$B:$M,COLUMN()+5,0)</f>
        <v>#N/A</v>
      </c>
      <c r="E6" s="69" t="e">
        <f>VLOOKUP($B6,'ZM01'!$B:$M,COLUMN()+5,0)</f>
        <v>#N/A</v>
      </c>
      <c r="F6" s="69" t="e">
        <f>VLOOKUP($B6,'ZM01'!$B:$M,COLUMN()+5,0)</f>
        <v>#N/A</v>
      </c>
      <c r="G6" s="69" t="e">
        <f>VLOOKUP($B6,'ZM01'!$B:$M,COLUMN()+5,0)</f>
        <v>#N/A</v>
      </c>
      <c r="I6" s="44" t="s">
        <v>102</v>
      </c>
      <c r="J6" s="44" t="s">
        <v>114</v>
      </c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K6" s="69" t="str">
        <f t="shared" ref="AK6:AK30" si="1">IF(B6&lt;&gt;"",B6,"")</f>
        <v/>
      </c>
      <c r="AL6" s="69" t="str">
        <f t="shared" ref="AL6:AL30" si="2">IF(B6&lt;&gt;"",B6,"")</f>
        <v/>
      </c>
      <c r="AM6" s="63"/>
    </row>
    <row r="7" spans="1:39" x14ac:dyDescent="0.2">
      <c r="A7" s="7" t="str">
        <f t="shared" si="0"/>
        <v>Execução 3</v>
      </c>
      <c r="B7" s="41"/>
      <c r="C7" s="69" t="e">
        <f>VLOOKUP($B7,'ZM01'!$B:$M,COLUMN()+5,0)</f>
        <v>#N/A</v>
      </c>
      <c r="D7" s="69" t="e">
        <f>VLOOKUP($B7,'ZM01'!$B:$M,COLUMN()+5,0)</f>
        <v>#N/A</v>
      </c>
      <c r="E7" s="69" t="e">
        <f>VLOOKUP($B7,'ZM01'!$B:$M,COLUMN()+5,0)</f>
        <v>#N/A</v>
      </c>
      <c r="F7" s="69" t="e">
        <f>VLOOKUP($B7,'ZM01'!$B:$M,COLUMN()+5,0)</f>
        <v>#N/A</v>
      </c>
      <c r="G7" s="69" t="e">
        <f>VLOOKUP($B7,'ZM01'!$B:$M,COLUMN()+5,0)</f>
        <v>#N/A</v>
      </c>
      <c r="I7" s="44" t="s">
        <v>102</v>
      </c>
      <c r="J7" s="44" t="s">
        <v>114</v>
      </c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K7" s="69" t="str">
        <f t="shared" si="1"/>
        <v/>
      </c>
      <c r="AL7" s="69" t="str">
        <f t="shared" si="2"/>
        <v/>
      </c>
      <c r="AM7" s="63"/>
    </row>
    <row r="8" spans="1:39" x14ac:dyDescent="0.2">
      <c r="A8" s="7" t="str">
        <f t="shared" si="0"/>
        <v>Execução 4</v>
      </c>
      <c r="B8" s="41"/>
      <c r="C8" s="69" t="e">
        <f>VLOOKUP($B8,'ZM01'!$B:$M,COLUMN()+5,0)</f>
        <v>#N/A</v>
      </c>
      <c r="D8" s="69" t="e">
        <f>VLOOKUP($B8,'ZM01'!$B:$M,COLUMN()+5,0)</f>
        <v>#N/A</v>
      </c>
      <c r="E8" s="69" t="e">
        <f>VLOOKUP($B8,'ZM01'!$B:$M,COLUMN()+5,0)</f>
        <v>#N/A</v>
      </c>
      <c r="F8" s="69" t="e">
        <f>VLOOKUP($B8,'ZM01'!$B:$M,COLUMN()+5,0)</f>
        <v>#N/A</v>
      </c>
      <c r="G8" s="69" t="e">
        <f>VLOOKUP($B8,'ZM01'!$B:$M,COLUMN()+5,0)</f>
        <v>#N/A</v>
      </c>
      <c r="I8" s="44" t="s">
        <v>102</v>
      </c>
      <c r="J8" s="44" t="s">
        <v>114</v>
      </c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K8" s="69" t="str">
        <f t="shared" si="1"/>
        <v/>
      </c>
      <c r="AL8" s="69" t="str">
        <f t="shared" si="2"/>
        <v/>
      </c>
      <c r="AM8" s="63"/>
    </row>
    <row r="9" spans="1:39" x14ac:dyDescent="0.2">
      <c r="A9" s="7" t="str">
        <f t="shared" si="0"/>
        <v>Execução 5</v>
      </c>
      <c r="B9" s="41"/>
      <c r="C9" s="69" t="e">
        <f>VLOOKUP($B9,'ZM01'!$B:$M,COLUMN()+5,0)</f>
        <v>#N/A</v>
      </c>
      <c r="D9" s="69" t="e">
        <f>VLOOKUP($B9,'ZM01'!$B:$M,COLUMN()+5,0)</f>
        <v>#N/A</v>
      </c>
      <c r="E9" s="69" t="e">
        <f>VLOOKUP($B9,'ZM01'!$B:$M,COLUMN()+5,0)</f>
        <v>#N/A</v>
      </c>
      <c r="F9" s="69" t="e">
        <f>VLOOKUP($B9,'ZM01'!$B:$M,COLUMN()+5,0)</f>
        <v>#N/A</v>
      </c>
      <c r="G9" s="69" t="e">
        <f>VLOOKUP($B9,'ZM01'!$B:$M,COLUMN()+5,0)</f>
        <v>#N/A</v>
      </c>
      <c r="I9" s="44" t="s">
        <v>102</v>
      </c>
      <c r="J9" s="44" t="s">
        <v>114</v>
      </c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K9" s="69" t="str">
        <f t="shared" si="1"/>
        <v/>
      </c>
      <c r="AL9" s="69" t="str">
        <f t="shared" si="2"/>
        <v/>
      </c>
      <c r="AM9" s="63"/>
    </row>
    <row r="10" spans="1:39" x14ac:dyDescent="0.2">
      <c r="A10" s="7" t="str">
        <f t="shared" si="0"/>
        <v>Execução 6</v>
      </c>
      <c r="B10" s="41"/>
      <c r="C10" s="69" t="e">
        <f>VLOOKUP($B10,'ZM01'!$B:$M,COLUMN()+5,0)</f>
        <v>#N/A</v>
      </c>
      <c r="D10" s="69" t="e">
        <f>VLOOKUP($B10,'ZM01'!$B:$M,COLUMN()+5,0)</f>
        <v>#N/A</v>
      </c>
      <c r="E10" s="69" t="e">
        <f>VLOOKUP($B10,'ZM01'!$B:$M,COLUMN()+5,0)</f>
        <v>#N/A</v>
      </c>
      <c r="F10" s="69" t="e">
        <f>VLOOKUP($B10,'ZM01'!$B:$M,COLUMN()+5,0)</f>
        <v>#N/A</v>
      </c>
      <c r="G10" s="69" t="e">
        <f>VLOOKUP($B10,'ZM01'!$B:$M,COLUMN()+5,0)</f>
        <v>#N/A</v>
      </c>
      <c r="I10" s="44" t="s">
        <v>102</v>
      </c>
      <c r="J10" s="44" t="s">
        <v>114</v>
      </c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K10" s="69" t="str">
        <f t="shared" si="1"/>
        <v/>
      </c>
      <c r="AL10" s="69" t="str">
        <f t="shared" si="2"/>
        <v/>
      </c>
      <c r="AM10" s="63"/>
    </row>
    <row r="11" spans="1:39" x14ac:dyDescent="0.2">
      <c r="A11" s="7" t="str">
        <f t="shared" si="0"/>
        <v>Execução 7</v>
      </c>
      <c r="B11" s="41"/>
      <c r="C11" s="69" t="e">
        <f>VLOOKUP($B11,'ZM01'!$B:$M,COLUMN()+5,0)</f>
        <v>#N/A</v>
      </c>
      <c r="D11" s="69" t="e">
        <f>VLOOKUP($B11,'ZM01'!$B:$M,COLUMN()+5,0)</f>
        <v>#N/A</v>
      </c>
      <c r="E11" s="69" t="e">
        <f>VLOOKUP($B11,'ZM01'!$B:$M,COLUMN()+5,0)</f>
        <v>#N/A</v>
      </c>
      <c r="F11" s="69" t="e">
        <f>VLOOKUP($B11,'ZM01'!$B:$M,COLUMN()+5,0)</f>
        <v>#N/A</v>
      </c>
      <c r="G11" s="69" t="e">
        <f>VLOOKUP($B11,'ZM01'!$B:$M,COLUMN()+5,0)</f>
        <v>#N/A</v>
      </c>
      <c r="I11" s="44" t="s">
        <v>102</v>
      </c>
      <c r="J11" s="44" t="s">
        <v>114</v>
      </c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K11" s="69" t="str">
        <f t="shared" si="1"/>
        <v/>
      </c>
      <c r="AL11" s="69" t="str">
        <f t="shared" si="2"/>
        <v/>
      </c>
      <c r="AM11" s="63"/>
    </row>
    <row r="12" spans="1:39" x14ac:dyDescent="0.2">
      <c r="A12" s="7" t="str">
        <f t="shared" si="0"/>
        <v>Execução 8</v>
      </c>
      <c r="B12" s="41"/>
      <c r="C12" s="69" t="e">
        <f>VLOOKUP($B12,'ZM01'!$B:$M,COLUMN()+5,0)</f>
        <v>#N/A</v>
      </c>
      <c r="D12" s="69" t="e">
        <f>VLOOKUP($B12,'ZM01'!$B:$M,COLUMN()+5,0)</f>
        <v>#N/A</v>
      </c>
      <c r="E12" s="69" t="e">
        <f>VLOOKUP($B12,'ZM01'!$B:$M,COLUMN()+5,0)</f>
        <v>#N/A</v>
      </c>
      <c r="F12" s="69" t="e">
        <f>VLOOKUP($B12,'ZM01'!$B:$M,COLUMN()+5,0)</f>
        <v>#N/A</v>
      </c>
      <c r="G12" s="69" t="e">
        <f>VLOOKUP($B12,'ZM01'!$B:$M,COLUMN()+5,0)</f>
        <v>#N/A</v>
      </c>
      <c r="I12" s="44" t="s">
        <v>102</v>
      </c>
      <c r="J12" s="44" t="s">
        <v>114</v>
      </c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K12" s="69" t="str">
        <f t="shared" si="1"/>
        <v/>
      </c>
      <c r="AL12" s="69" t="str">
        <f t="shared" si="2"/>
        <v/>
      </c>
      <c r="AM12" s="63"/>
    </row>
    <row r="13" spans="1:39" x14ac:dyDescent="0.2">
      <c r="A13" s="7" t="str">
        <f t="shared" si="0"/>
        <v>Execução 9</v>
      </c>
      <c r="B13" s="41"/>
      <c r="C13" s="69" t="e">
        <f>VLOOKUP($B13,'ZM01'!$B:$M,COLUMN()+5,0)</f>
        <v>#N/A</v>
      </c>
      <c r="D13" s="69" t="e">
        <f>VLOOKUP($B13,'ZM01'!$B:$M,COLUMN()+5,0)</f>
        <v>#N/A</v>
      </c>
      <c r="E13" s="69" t="e">
        <f>VLOOKUP($B13,'ZM01'!$B:$M,COLUMN()+5,0)</f>
        <v>#N/A</v>
      </c>
      <c r="F13" s="69" t="e">
        <f>VLOOKUP($B13,'ZM01'!$B:$M,COLUMN()+5,0)</f>
        <v>#N/A</v>
      </c>
      <c r="G13" s="69" t="e">
        <f>VLOOKUP($B13,'ZM01'!$B:$M,COLUMN()+5,0)</f>
        <v>#N/A</v>
      </c>
      <c r="I13" s="44" t="s">
        <v>102</v>
      </c>
      <c r="J13" s="44" t="s">
        <v>114</v>
      </c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K13" s="69" t="str">
        <f t="shared" si="1"/>
        <v/>
      </c>
      <c r="AL13" s="69" t="str">
        <f t="shared" si="2"/>
        <v/>
      </c>
      <c r="AM13" s="63"/>
    </row>
    <row r="14" spans="1:39" x14ac:dyDescent="0.2">
      <c r="A14" s="7" t="str">
        <f t="shared" si="0"/>
        <v>Execução 10</v>
      </c>
      <c r="B14" s="41"/>
      <c r="C14" s="69" t="e">
        <f>VLOOKUP($B14,'ZM01'!$B:$M,COLUMN()+5,0)</f>
        <v>#N/A</v>
      </c>
      <c r="D14" s="69" t="e">
        <f>VLOOKUP($B14,'ZM01'!$B:$M,COLUMN()+5,0)</f>
        <v>#N/A</v>
      </c>
      <c r="E14" s="69" t="e">
        <f>VLOOKUP($B14,'ZM01'!$B:$M,COLUMN()+5,0)</f>
        <v>#N/A</v>
      </c>
      <c r="F14" s="69" t="e">
        <f>VLOOKUP($B14,'ZM01'!$B:$M,COLUMN()+5,0)</f>
        <v>#N/A</v>
      </c>
      <c r="G14" s="69" t="e">
        <f>VLOOKUP($B14,'ZM01'!$B:$M,COLUMN()+5,0)</f>
        <v>#N/A</v>
      </c>
      <c r="I14" s="44" t="s">
        <v>102</v>
      </c>
      <c r="J14" s="44" t="s">
        <v>114</v>
      </c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K14" s="69" t="str">
        <f t="shared" si="1"/>
        <v/>
      </c>
      <c r="AL14" s="69" t="str">
        <f t="shared" si="2"/>
        <v/>
      </c>
      <c r="AM14" s="63"/>
    </row>
    <row r="15" spans="1:39" x14ac:dyDescent="0.2">
      <c r="A15" s="7" t="str">
        <f t="shared" si="0"/>
        <v>Execução 11</v>
      </c>
      <c r="B15" s="41"/>
      <c r="C15" s="69" t="e">
        <f>VLOOKUP($B15,'ZM01'!$B:$M,COLUMN()+5,0)</f>
        <v>#N/A</v>
      </c>
      <c r="D15" s="69" t="e">
        <f>VLOOKUP($B15,'ZM01'!$B:$M,COLUMN()+5,0)</f>
        <v>#N/A</v>
      </c>
      <c r="E15" s="69" t="e">
        <f>VLOOKUP($B15,'ZM01'!$B:$M,COLUMN()+5,0)</f>
        <v>#N/A</v>
      </c>
      <c r="F15" s="69" t="e">
        <f>VLOOKUP($B15,'ZM01'!$B:$M,COLUMN()+5,0)</f>
        <v>#N/A</v>
      </c>
      <c r="G15" s="69" t="e">
        <f>VLOOKUP($B15,'ZM01'!$B:$M,COLUMN()+5,0)</f>
        <v>#N/A</v>
      </c>
      <c r="I15" s="44" t="s">
        <v>102</v>
      </c>
      <c r="J15" s="44" t="s">
        <v>114</v>
      </c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K15" s="69" t="str">
        <f t="shared" si="1"/>
        <v/>
      </c>
      <c r="AL15" s="69" t="str">
        <f t="shared" si="2"/>
        <v/>
      </c>
      <c r="AM15" s="63"/>
    </row>
    <row r="16" spans="1:39" x14ac:dyDescent="0.2">
      <c r="A16" s="7" t="str">
        <f t="shared" si="0"/>
        <v>Execução 12</v>
      </c>
      <c r="B16" s="41"/>
      <c r="C16" s="69" t="e">
        <f>VLOOKUP($B16,'ZM01'!$B:$M,COLUMN()+5,0)</f>
        <v>#N/A</v>
      </c>
      <c r="D16" s="69" t="e">
        <f>VLOOKUP($B16,'ZM01'!$B:$M,COLUMN()+5,0)</f>
        <v>#N/A</v>
      </c>
      <c r="E16" s="69" t="e">
        <f>VLOOKUP($B16,'ZM01'!$B:$M,COLUMN()+5,0)</f>
        <v>#N/A</v>
      </c>
      <c r="F16" s="69" t="e">
        <f>VLOOKUP($B16,'ZM01'!$B:$M,COLUMN()+5,0)</f>
        <v>#N/A</v>
      </c>
      <c r="G16" s="69" t="e">
        <f>VLOOKUP($B16,'ZM01'!$B:$M,COLUMN()+5,0)</f>
        <v>#N/A</v>
      </c>
      <c r="I16" s="44" t="s">
        <v>102</v>
      </c>
      <c r="J16" s="44" t="s">
        <v>114</v>
      </c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K16" s="69" t="str">
        <f t="shared" si="1"/>
        <v/>
      </c>
      <c r="AL16" s="69" t="str">
        <f t="shared" si="2"/>
        <v/>
      </c>
      <c r="AM16" s="63"/>
    </row>
    <row r="17" spans="1:39" x14ac:dyDescent="0.2">
      <c r="A17" s="7" t="str">
        <f t="shared" si="0"/>
        <v>Execução 13</v>
      </c>
      <c r="B17" s="41"/>
      <c r="C17" s="69" t="e">
        <f>VLOOKUP($B17,'ZM01'!$B:$M,COLUMN()+5,0)</f>
        <v>#N/A</v>
      </c>
      <c r="D17" s="69" t="e">
        <f>VLOOKUP($B17,'ZM01'!$B:$M,COLUMN()+5,0)</f>
        <v>#N/A</v>
      </c>
      <c r="E17" s="69" t="e">
        <f>VLOOKUP($B17,'ZM01'!$B:$M,COLUMN()+5,0)</f>
        <v>#N/A</v>
      </c>
      <c r="F17" s="69" t="e">
        <f>VLOOKUP($B17,'ZM01'!$B:$M,COLUMN()+5,0)</f>
        <v>#N/A</v>
      </c>
      <c r="G17" s="69" t="e">
        <f>VLOOKUP($B17,'ZM01'!$B:$M,COLUMN()+5,0)</f>
        <v>#N/A</v>
      </c>
      <c r="I17" s="44" t="s">
        <v>102</v>
      </c>
      <c r="J17" s="44" t="s">
        <v>114</v>
      </c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K17" s="69" t="str">
        <f t="shared" si="1"/>
        <v/>
      </c>
      <c r="AL17" s="69" t="str">
        <f t="shared" si="2"/>
        <v/>
      </c>
      <c r="AM17" s="63"/>
    </row>
    <row r="18" spans="1:39" x14ac:dyDescent="0.2">
      <c r="A18" s="7" t="str">
        <f t="shared" si="0"/>
        <v>Execução 14</v>
      </c>
      <c r="B18" s="41"/>
      <c r="C18" s="69" t="e">
        <f>VLOOKUP($B18,'ZM01'!$B:$M,COLUMN()+5,0)</f>
        <v>#N/A</v>
      </c>
      <c r="D18" s="69" t="e">
        <f>VLOOKUP($B18,'ZM01'!$B:$M,COLUMN()+5,0)</f>
        <v>#N/A</v>
      </c>
      <c r="E18" s="69" t="e">
        <f>VLOOKUP($B18,'ZM01'!$B:$M,COLUMN()+5,0)</f>
        <v>#N/A</v>
      </c>
      <c r="F18" s="69" t="e">
        <f>VLOOKUP($B18,'ZM01'!$B:$M,COLUMN()+5,0)</f>
        <v>#N/A</v>
      </c>
      <c r="G18" s="69" t="e">
        <f>VLOOKUP($B18,'ZM01'!$B:$M,COLUMN()+5,0)</f>
        <v>#N/A</v>
      </c>
      <c r="I18" s="44" t="s">
        <v>102</v>
      </c>
      <c r="J18" s="44" t="s">
        <v>114</v>
      </c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K18" s="69" t="str">
        <f t="shared" si="1"/>
        <v/>
      </c>
      <c r="AL18" s="69" t="str">
        <f t="shared" si="2"/>
        <v/>
      </c>
      <c r="AM18" s="63"/>
    </row>
    <row r="19" spans="1:39" x14ac:dyDescent="0.2">
      <c r="A19" s="7" t="str">
        <f t="shared" si="0"/>
        <v>Execução 15</v>
      </c>
      <c r="B19" s="41"/>
      <c r="C19" s="69" t="e">
        <f>VLOOKUP($B19,'ZM01'!$B:$M,COLUMN()+5,0)</f>
        <v>#N/A</v>
      </c>
      <c r="D19" s="69" t="e">
        <f>VLOOKUP($B19,'ZM01'!$B:$M,COLUMN()+5,0)</f>
        <v>#N/A</v>
      </c>
      <c r="E19" s="69" t="e">
        <f>VLOOKUP($B19,'ZM01'!$B:$M,COLUMN()+5,0)</f>
        <v>#N/A</v>
      </c>
      <c r="F19" s="69" t="e">
        <f>VLOOKUP($B19,'ZM01'!$B:$M,COLUMN()+5,0)</f>
        <v>#N/A</v>
      </c>
      <c r="G19" s="69" t="e">
        <f>VLOOKUP($B19,'ZM01'!$B:$M,COLUMN()+5,0)</f>
        <v>#N/A</v>
      </c>
      <c r="I19" s="44" t="s">
        <v>102</v>
      </c>
      <c r="J19" s="44" t="s">
        <v>114</v>
      </c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K19" s="69" t="str">
        <f t="shared" si="1"/>
        <v/>
      </c>
      <c r="AL19" s="69" t="str">
        <f t="shared" si="2"/>
        <v/>
      </c>
      <c r="AM19" s="63"/>
    </row>
    <row r="20" spans="1:39" x14ac:dyDescent="0.2">
      <c r="A20" s="7" t="str">
        <f t="shared" si="0"/>
        <v>Execução 16</v>
      </c>
      <c r="B20" s="41"/>
      <c r="C20" s="69" t="e">
        <f>VLOOKUP($B20,'ZM01'!$B:$M,COLUMN()+5,0)</f>
        <v>#N/A</v>
      </c>
      <c r="D20" s="69" t="e">
        <f>VLOOKUP($B20,'ZM01'!$B:$M,COLUMN()+5,0)</f>
        <v>#N/A</v>
      </c>
      <c r="E20" s="69" t="e">
        <f>VLOOKUP($B20,'ZM01'!$B:$M,COLUMN()+5,0)</f>
        <v>#N/A</v>
      </c>
      <c r="F20" s="69" t="e">
        <f>VLOOKUP($B20,'ZM01'!$B:$M,COLUMN()+5,0)</f>
        <v>#N/A</v>
      </c>
      <c r="G20" s="69" t="e">
        <f>VLOOKUP($B20,'ZM01'!$B:$M,COLUMN()+5,0)</f>
        <v>#N/A</v>
      </c>
      <c r="I20" s="44" t="s">
        <v>102</v>
      </c>
      <c r="J20" s="44" t="s">
        <v>114</v>
      </c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K20" s="69" t="str">
        <f t="shared" si="1"/>
        <v/>
      </c>
      <c r="AL20" s="69" t="str">
        <f t="shared" si="2"/>
        <v/>
      </c>
      <c r="AM20" s="63"/>
    </row>
    <row r="21" spans="1:39" x14ac:dyDescent="0.2">
      <c r="A21" s="7" t="str">
        <f t="shared" si="0"/>
        <v>Execução 17</v>
      </c>
      <c r="B21" s="41"/>
      <c r="C21" s="69" t="e">
        <f>VLOOKUP($B21,'ZM01'!$B:$M,COLUMN()+5,0)</f>
        <v>#N/A</v>
      </c>
      <c r="D21" s="69" t="e">
        <f>VLOOKUP($B21,'ZM01'!$B:$M,COLUMN()+5,0)</f>
        <v>#N/A</v>
      </c>
      <c r="E21" s="69" t="e">
        <f>VLOOKUP($B21,'ZM01'!$B:$M,COLUMN()+5,0)</f>
        <v>#N/A</v>
      </c>
      <c r="F21" s="69" t="e">
        <f>VLOOKUP($B21,'ZM01'!$B:$M,COLUMN()+5,0)</f>
        <v>#N/A</v>
      </c>
      <c r="G21" s="69" t="e">
        <f>VLOOKUP($B21,'ZM01'!$B:$M,COLUMN()+5,0)</f>
        <v>#N/A</v>
      </c>
      <c r="I21" s="44" t="s">
        <v>102</v>
      </c>
      <c r="J21" s="44" t="s">
        <v>114</v>
      </c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K21" s="69" t="str">
        <f t="shared" si="1"/>
        <v/>
      </c>
      <c r="AL21" s="69" t="str">
        <f t="shared" si="2"/>
        <v/>
      </c>
      <c r="AM21" s="63"/>
    </row>
    <row r="22" spans="1:39" x14ac:dyDescent="0.2">
      <c r="A22" s="7" t="str">
        <f t="shared" si="0"/>
        <v>Execução 18</v>
      </c>
      <c r="B22" s="41"/>
      <c r="C22" s="69" t="e">
        <f>VLOOKUP($B22,'ZM01'!$B:$M,COLUMN()+5,0)</f>
        <v>#N/A</v>
      </c>
      <c r="D22" s="69" t="e">
        <f>VLOOKUP($B22,'ZM01'!$B:$M,COLUMN()+5,0)</f>
        <v>#N/A</v>
      </c>
      <c r="E22" s="69" t="e">
        <f>VLOOKUP($B22,'ZM01'!$B:$M,COLUMN()+5,0)</f>
        <v>#N/A</v>
      </c>
      <c r="F22" s="69" t="e">
        <f>VLOOKUP($B22,'ZM01'!$B:$M,COLUMN()+5,0)</f>
        <v>#N/A</v>
      </c>
      <c r="G22" s="69" t="e">
        <f>VLOOKUP($B22,'ZM01'!$B:$M,COLUMN()+5,0)</f>
        <v>#N/A</v>
      </c>
      <c r="I22" s="44" t="s">
        <v>102</v>
      </c>
      <c r="J22" s="44" t="s">
        <v>114</v>
      </c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K22" s="69" t="str">
        <f t="shared" si="1"/>
        <v/>
      </c>
      <c r="AL22" s="69" t="str">
        <f t="shared" si="2"/>
        <v/>
      </c>
      <c r="AM22" s="63"/>
    </row>
    <row r="23" spans="1:39" x14ac:dyDescent="0.2">
      <c r="A23" s="7" t="str">
        <f t="shared" si="0"/>
        <v>Execução 19</v>
      </c>
      <c r="B23" s="41"/>
      <c r="C23" s="69" t="e">
        <f>VLOOKUP($B23,'ZM01'!$B:$M,COLUMN()+5,0)</f>
        <v>#N/A</v>
      </c>
      <c r="D23" s="69" t="e">
        <f>VLOOKUP($B23,'ZM01'!$B:$M,COLUMN()+5,0)</f>
        <v>#N/A</v>
      </c>
      <c r="E23" s="69" t="e">
        <f>VLOOKUP($B23,'ZM01'!$B:$M,COLUMN()+5,0)</f>
        <v>#N/A</v>
      </c>
      <c r="F23" s="69" t="e">
        <f>VLOOKUP($B23,'ZM01'!$B:$M,COLUMN()+5,0)</f>
        <v>#N/A</v>
      </c>
      <c r="G23" s="69" t="e">
        <f>VLOOKUP($B23,'ZM01'!$B:$M,COLUMN()+5,0)</f>
        <v>#N/A</v>
      </c>
      <c r="I23" s="44" t="s">
        <v>102</v>
      </c>
      <c r="J23" s="44" t="s">
        <v>114</v>
      </c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K23" s="69" t="str">
        <f t="shared" si="1"/>
        <v/>
      </c>
      <c r="AL23" s="69" t="str">
        <f t="shared" si="2"/>
        <v/>
      </c>
      <c r="AM23" s="63"/>
    </row>
    <row r="24" spans="1:39" x14ac:dyDescent="0.2">
      <c r="A24" s="7" t="str">
        <f t="shared" si="0"/>
        <v>Execução 20</v>
      </c>
      <c r="B24" s="41"/>
      <c r="C24" s="69" t="e">
        <f>VLOOKUP($B24,'ZM01'!$B:$M,COLUMN()+5,0)</f>
        <v>#N/A</v>
      </c>
      <c r="D24" s="69" t="e">
        <f>VLOOKUP($B24,'ZM01'!$B:$M,COLUMN()+5,0)</f>
        <v>#N/A</v>
      </c>
      <c r="E24" s="69" t="e">
        <f>VLOOKUP($B24,'ZM01'!$B:$M,COLUMN()+5,0)</f>
        <v>#N/A</v>
      </c>
      <c r="F24" s="69" t="e">
        <f>VLOOKUP($B24,'ZM01'!$B:$M,COLUMN()+5,0)</f>
        <v>#N/A</v>
      </c>
      <c r="G24" s="69" t="e">
        <f>VLOOKUP($B24,'ZM01'!$B:$M,COLUMN()+5,0)</f>
        <v>#N/A</v>
      </c>
      <c r="I24" s="44" t="s">
        <v>102</v>
      </c>
      <c r="J24" s="44" t="s">
        <v>114</v>
      </c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K24" s="69" t="str">
        <f t="shared" si="1"/>
        <v/>
      </c>
      <c r="AL24" s="69" t="str">
        <f t="shared" si="2"/>
        <v/>
      </c>
      <c r="AM24" s="63"/>
    </row>
    <row r="25" spans="1:39" x14ac:dyDescent="0.2">
      <c r="A25" s="7" t="str">
        <f t="shared" si="0"/>
        <v>Execução 21</v>
      </c>
      <c r="B25" s="41"/>
      <c r="C25" s="69" t="e">
        <f>VLOOKUP($B25,'ZM01'!$B:$M,COLUMN()+5,0)</f>
        <v>#N/A</v>
      </c>
      <c r="D25" s="69" t="e">
        <f>VLOOKUP($B25,'ZM01'!$B:$M,COLUMN()+5,0)</f>
        <v>#N/A</v>
      </c>
      <c r="E25" s="69" t="e">
        <f>VLOOKUP($B25,'ZM01'!$B:$M,COLUMN()+5,0)</f>
        <v>#N/A</v>
      </c>
      <c r="F25" s="69" t="e">
        <f>VLOOKUP($B25,'ZM01'!$B:$M,COLUMN()+5,0)</f>
        <v>#N/A</v>
      </c>
      <c r="G25" s="69" t="e">
        <f>VLOOKUP($B25,'ZM01'!$B:$M,COLUMN()+5,0)</f>
        <v>#N/A</v>
      </c>
      <c r="I25" s="44" t="s">
        <v>102</v>
      </c>
      <c r="J25" s="44" t="s">
        <v>114</v>
      </c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K25" s="69" t="str">
        <f t="shared" si="1"/>
        <v/>
      </c>
      <c r="AL25" s="69" t="str">
        <f t="shared" si="2"/>
        <v/>
      </c>
      <c r="AM25" s="63"/>
    </row>
    <row r="26" spans="1:39" x14ac:dyDescent="0.2">
      <c r="A26" s="7" t="str">
        <f t="shared" si="0"/>
        <v>Execução 22</v>
      </c>
      <c r="B26" s="41"/>
      <c r="C26" s="69" t="e">
        <f>VLOOKUP($B26,'ZM01'!$B:$M,COLUMN()+5,0)</f>
        <v>#N/A</v>
      </c>
      <c r="D26" s="69" t="e">
        <f>VLOOKUP($B26,'ZM01'!$B:$M,COLUMN()+5,0)</f>
        <v>#N/A</v>
      </c>
      <c r="E26" s="69" t="e">
        <f>VLOOKUP($B26,'ZM01'!$B:$M,COLUMN()+5,0)</f>
        <v>#N/A</v>
      </c>
      <c r="F26" s="69" t="e">
        <f>VLOOKUP($B26,'ZM01'!$B:$M,COLUMN()+5,0)</f>
        <v>#N/A</v>
      </c>
      <c r="G26" s="69" t="e">
        <f>VLOOKUP($B26,'ZM01'!$B:$M,COLUMN()+5,0)</f>
        <v>#N/A</v>
      </c>
      <c r="I26" s="44" t="s">
        <v>102</v>
      </c>
      <c r="J26" s="44" t="s">
        <v>114</v>
      </c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K26" s="69" t="str">
        <f t="shared" si="1"/>
        <v/>
      </c>
      <c r="AL26" s="69" t="str">
        <f t="shared" si="2"/>
        <v/>
      </c>
      <c r="AM26" s="63"/>
    </row>
    <row r="27" spans="1:39" x14ac:dyDescent="0.2">
      <c r="A27" s="7" t="str">
        <f t="shared" si="0"/>
        <v>Execução 23</v>
      </c>
      <c r="B27" s="41"/>
      <c r="C27" s="69" t="e">
        <f>VLOOKUP($B27,'ZM01'!$B:$M,COLUMN()+5,0)</f>
        <v>#N/A</v>
      </c>
      <c r="D27" s="69" t="e">
        <f>VLOOKUP($B27,'ZM01'!$B:$M,COLUMN()+5,0)</f>
        <v>#N/A</v>
      </c>
      <c r="E27" s="69" t="e">
        <f>VLOOKUP($B27,'ZM01'!$B:$M,COLUMN()+5,0)</f>
        <v>#N/A</v>
      </c>
      <c r="F27" s="69" t="e">
        <f>VLOOKUP($B27,'ZM01'!$B:$M,COLUMN()+5,0)</f>
        <v>#N/A</v>
      </c>
      <c r="G27" s="69" t="e">
        <f>VLOOKUP($B27,'ZM01'!$B:$M,COLUMN()+5,0)</f>
        <v>#N/A</v>
      </c>
      <c r="I27" s="44" t="s">
        <v>102</v>
      </c>
      <c r="J27" s="44" t="s">
        <v>114</v>
      </c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K27" s="69" t="str">
        <f t="shared" si="1"/>
        <v/>
      </c>
      <c r="AL27" s="69" t="str">
        <f t="shared" si="2"/>
        <v/>
      </c>
      <c r="AM27" s="63"/>
    </row>
    <row r="28" spans="1:39" x14ac:dyDescent="0.2">
      <c r="A28" s="7" t="str">
        <f t="shared" si="0"/>
        <v>Execução 24</v>
      </c>
      <c r="B28" s="41"/>
      <c r="C28" s="69" t="e">
        <f>VLOOKUP($B28,'ZM01'!$B:$M,COLUMN()+5,0)</f>
        <v>#N/A</v>
      </c>
      <c r="D28" s="69" t="e">
        <f>VLOOKUP($B28,'ZM01'!$B:$M,COLUMN()+5,0)</f>
        <v>#N/A</v>
      </c>
      <c r="E28" s="69" t="e">
        <f>VLOOKUP($B28,'ZM01'!$B:$M,COLUMN()+5,0)</f>
        <v>#N/A</v>
      </c>
      <c r="F28" s="69" t="e">
        <f>VLOOKUP($B28,'ZM01'!$B:$M,COLUMN()+5,0)</f>
        <v>#N/A</v>
      </c>
      <c r="G28" s="69" t="e">
        <f>VLOOKUP($B28,'ZM01'!$B:$M,COLUMN()+5,0)</f>
        <v>#N/A</v>
      </c>
      <c r="I28" s="44" t="s">
        <v>102</v>
      </c>
      <c r="J28" s="44" t="s">
        <v>114</v>
      </c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K28" s="69" t="str">
        <f t="shared" si="1"/>
        <v/>
      </c>
      <c r="AL28" s="69" t="str">
        <f t="shared" si="2"/>
        <v/>
      </c>
      <c r="AM28" s="63"/>
    </row>
    <row r="29" spans="1:39" x14ac:dyDescent="0.2">
      <c r="A29" s="7" t="str">
        <f t="shared" si="0"/>
        <v>Execução 25</v>
      </c>
      <c r="B29" s="41"/>
      <c r="C29" s="69" t="e">
        <f>VLOOKUP($B29,'ZM01'!$B:$M,COLUMN()+5,0)</f>
        <v>#N/A</v>
      </c>
      <c r="D29" s="69" t="e">
        <f>VLOOKUP($B29,'ZM01'!$B:$M,COLUMN()+5,0)</f>
        <v>#N/A</v>
      </c>
      <c r="E29" s="69" t="e">
        <f>VLOOKUP($B29,'ZM01'!$B:$M,COLUMN()+5,0)</f>
        <v>#N/A</v>
      </c>
      <c r="F29" s="69" t="e">
        <f>VLOOKUP($B29,'ZM01'!$B:$M,COLUMN()+5,0)</f>
        <v>#N/A</v>
      </c>
      <c r="G29" s="69" t="e">
        <f>VLOOKUP($B29,'ZM01'!$B:$M,COLUMN()+5,0)</f>
        <v>#N/A</v>
      </c>
      <c r="I29" s="44" t="s">
        <v>102</v>
      </c>
      <c r="J29" s="44" t="s">
        <v>114</v>
      </c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K29" s="69" t="str">
        <f t="shared" si="1"/>
        <v/>
      </c>
      <c r="AL29" s="69" t="str">
        <f t="shared" si="2"/>
        <v/>
      </c>
      <c r="AM29" s="63"/>
    </row>
    <row r="30" spans="1:39" x14ac:dyDescent="0.2">
      <c r="A30" s="7" t="str">
        <f t="shared" si="0"/>
        <v>Execução 26</v>
      </c>
      <c r="B30" s="41"/>
      <c r="C30" s="69" t="e">
        <f>VLOOKUP($B30,'ZM01'!$B:$M,COLUMN()+5,0)</f>
        <v>#N/A</v>
      </c>
      <c r="D30" s="69" t="e">
        <f>VLOOKUP($B30,'ZM01'!$B:$M,COLUMN()+5,0)</f>
        <v>#N/A</v>
      </c>
      <c r="E30" s="69" t="e">
        <f>VLOOKUP($B30,'ZM01'!$B:$M,COLUMN()+5,0)</f>
        <v>#N/A</v>
      </c>
      <c r="F30" s="69" t="e">
        <f>VLOOKUP($B30,'ZM01'!$B:$M,COLUMN()+5,0)</f>
        <v>#N/A</v>
      </c>
      <c r="G30" s="69" t="e">
        <f>VLOOKUP($B30,'ZM01'!$B:$M,COLUMN()+5,0)</f>
        <v>#N/A</v>
      </c>
      <c r="I30" s="44" t="s">
        <v>102</v>
      </c>
      <c r="J30" s="44" t="s">
        <v>114</v>
      </c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K30" s="69" t="str">
        <f t="shared" si="1"/>
        <v/>
      </c>
      <c r="AL30" s="69" t="str">
        <f t="shared" si="2"/>
        <v/>
      </c>
      <c r="AM30" s="63"/>
    </row>
  </sheetData>
  <mergeCells count="3">
    <mergeCell ref="H1:H2"/>
    <mergeCell ref="AJ1:AJ2"/>
    <mergeCell ref="I3:AI3"/>
  </mergeCells>
  <conditionalFormatting sqref="B5">
    <cfRule type="beginsWith" dxfId="83" priority="46" operator="beginsWith" text="L">
      <formula>LEFT(B5,LEN("L"))="L"</formula>
    </cfRule>
  </conditionalFormatting>
  <conditionalFormatting sqref="AM1:AM5 AM31:AM1048576">
    <cfRule type="containsText" dxfId="82" priority="14" operator="containsText" text="será criado">
      <formula>NOT(ISERROR(SEARCH("será criado",AM1)))</formula>
    </cfRule>
    <cfRule type="containsText" dxfId="81" priority="15" operator="containsText" text="criadas">
      <formula>NOT(ISERROR(SEARCH("criadas",AM1)))</formula>
    </cfRule>
    <cfRule type="containsText" dxfId="80" priority="16" operator="containsText" text="é gravado">
      <formula>NOT(ISERROR(SEARCH("é gravado",AM1)))</formula>
    </cfRule>
    <cfRule type="containsText" dxfId="79" priority="17" operator="containsText" text="é modificado">
      <formula>NOT(ISERROR(SEARCH("é modificado",AM1)))</formula>
    </cfRule>
    <cfRule type="containsText" dxfId="78" priority="18" operator="containsText" text="Error">
      <formula>NOT(ISERROR(SEARCH("Error",AM1)))</formula>
    </cfRule>
    <cfRule type="containsText" dxfId="77" priority="19" operator="containsText" text="é criado">
      <formula>NOT(ISERROR(SEARCH("é criado",AM1)))</formula>
    </cfRule>
  </conditionalFormatting>
  <conditionalFormatting sqref="B6:B30">
    <cfRule type="beginsWith" dxfId="76" priority="8" operator="beginsWith" text="L">
      <formula>LEFT(B6,LEN("L"))="L"</formula>
    </cfRule>
  </conditionalFormatting>
  <conditionalFormatting sqref="AM6:AM30">
    <cfRule type="containsText" dxfId="75" priority="2" operator="containsText" text="será criado">
      <formula>NOT(ISERROR(SEARCH("será criado",AM6)))</formula>
    </cfRule>
    <cfRule type="containsText" dxfId="74" priority="3" operator="containsText" text="criadas">
      <formula>NOT(ISERROR(SEARCH("criadas",AM6)))</formula>
    </cfRule>
    <cfRule type="containsText" dxfId="73" priority="4" operator="containsText" text="é gravado">
      <formula>NOT(ISERROR(SEARCH("é gravado",AM6)))</formula>
    </cfRule>
    <cfRule type="containsText" dxfId="72" priority="5" operator="containsText" text="é modificado">
      <formula>NOT(ISERROR(SEARCH("é modificado",AM6)))</formula>
    </cfRule>
    <cfRule type="containsText" dxfId="71" priority="6" operator="containsText" text="Error">
      <formula>NOT(ISERROR(SEARCH("Error",AM6)))</formula>
    </cfRule>
    <cfRule type="containsText" dxfId="70" priority="7" operator="containsText" text="é criado">
      <formula>NOT(ISERROR(SEARCH("é criado",AM6)))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5" name="Button 4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11" operator="beginsWith" text="L" id="{4FD86257-4F5C-4CC3-9923-C8D885FFACD1}">
            <xm:f>LEFT('ZM01'!C5,LEN("L"))="L"</xm:f>
            <x14:dxf>
              <fill>
                <patternFill>
                  <bgColor theme="4" tint="0.79998168889431442"/>
                </patternFill>
              </fill>
            </x14:dxf>
          </x14:cfRule>
          <xm:sqref>C5:G5</xm:sqref>
        </x14:conditionalFormatting>
        <x14:conditionalFormatting xmlns:xm="http://schemas.microsoft.com/office/excel/2006/main">
          <x14:cfRule type="beginsWith" priority="231" operator="beginsWith" text="L" id="{1439D2A0-3A86-4C9A-BD4A-23D11CB2B479}">
            <xm:f>LEFT('ZM01'!#REF!,LEN("L"))="L"</xm:f>
            <x14:dxf>
              <fill>
                <patternFill>
                  <bgColor theme="4" tint="0.79998168889431442"/>
                </patternFill>
              </fill>
            </x14:dxf>
          </x14:cfRule>
          <xm:sqref>C6:G30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Dados'!$J$4:$J$29</xm:f>
          </x14:formula1>
          <xm:sqref>I5:AI30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>
    <tabColor theme="4" tint="0.79998168889431442"/>
  </sheetPr>
  <dimension ref="A1:K54"/>
  <sheetViews>
    <sheetView showGridLines="0" showRowColHeaders="0" zoomScaleNormal="100" workbookViewId="0">
      <pane xSplit="2" ySplit="4" topLeftCell="K5" activePane="bottomRight" state="frozen"/>
      <selection pane="topRight" activeCell="D1" sqref="D1"/>
      <selection pane="bottomLeft" activeCell="A5" sqref="A5"/>
      <selection pane="bottomRight" activeCell="B5" sqref="B5:B13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28.28515625" style="6" customWidth="1"/>
    <col min="4" max="4" width="18.140625" style="6" customWidth="1"/>
    <col min="5" max="5" width="30.140625" style="6" customWidth="1"/>
    <col min="6" max="7" width="30.5703125" style="6" customWidth="1"/>
    <col min="8" max="8" width="29.28515625" style="6" customWidth="1"/>
    <col min="9" max="9" width="29.85546875" style="6" customWidth="1"/>
    <col min="10" max="10" width="30" style="6" customWidth="1"/>
    <col min="11" max="11" width="75.7109375" style="1" customWidth="1"/>
    <col min="12" max="12" width="22" style="1" customWidth="1"/>
    <col min="13" max="16384" width="9.140625" style="1"/>
  </cols>
  <sheetData>
    <row r="1" spans="1:11" s="84" customFormat="1" x14ac:dyDescent="0.2">
      <c r="A1" s="7" t="s">
        <v>28</v>
      </c>
      <c r="C1" s="99"/>
    </row>
    <row r="2" spans="1:11" s="40" customFormat="1" x14ac:dyDescent="0.2">
      <c r="A2" s="7"/>
      <c r="B2" s="84"/>
      <c r="C2" s="99"/>
      <c r="D2" s="84"/>
      <c r="E2" s="84"/>
      <c r="F2" s="84"/>
      <c r="G2" s="84"/>
      <c r="H2" s="84"/>
      <c r="I2" s="84"/>
      <c r="J2" s="84"/>
    </row>
    <row r="3" spans="1:11" s="84" customFormat="1" ht="15" customHeight="1" x14ac:dyDescent="0.2">
      <c r="A3" s="7" t="s">
        <v>29</v>
      </c>
      <c r="B3" s="4" t="s">
        <v>924</v>
      </c>
      <c r="C3" s="98"/>
      <c r="D3" s="83" t="s">
        <v>925</v>
      </c>
      <c r="E3" s="83" t="s">
        <v>926</v>
      </c>
      <c r="F3" s="83" t="s">
        <v>927</v>
      </c>
      <c r="G3" s="83" t="s">
        <v>928</v>
      </c>
      <c r="H3" s="83" t="s">
        <v>929</v>
      </c>
      <c r="I3" s="83" t="s">
        <v>930</v>
      </c>
      <c r="J3" s="83" t="s">
        <v>931</v>
      </c>
      <c r="K3" s="84" t="s">
        <v>32</v>
      </c>
    </row>
    <row r="4" spans="1:11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0</v>
      </c>
      <c r="E4" s="14" t="s">
        <v>932</v>
      </c>
      <c r="F4" s="14" t="s">
        <v>933</v>
      </c>
      <c r="G4" s="14" t="s">
        <v>934</v>
      </c>
      <c r="H4" s="14" t="s">
        <v>910</v>
      </c>
      <c r="I4" s="14" t="s">
        <v>935</v>
      </c>
      <c r="J4" s="14" t="s">
        <v>936</v>
      </c>
      <c r="K4" s="5" t="s">
        <v>832</v>
      </c>
    </row>
    <row r="5" spans="1:11" x14ac:dyDescent="0.2">
      <c r="A5" s="7" t="str">
        <f>"Execução "&amp;ROW()-4</f>
        <v>Execução 1</v>
      </c>
      <c r="B5" s="41"/>
      <c r="C5" s="81" t="str">
        <f>IFERROR(VLOOKUP(B5,'ZM01'!B:C,2,0),"")</f>
        <v/>
      </c>
      <c r="D5" s="48" t="str">
        <f>IFERROR(VLOOKUP(B5,'ZM01'!B:I,8,0),"")</f>
        <v/>
      </c>
      <c r="E5" s="69" t="str">
        <f>IFERROR(VLOOKUP(B5,'CA01'!B:M,12,0),"")</f>
        <v/>
      </c>
      <c r="F5" s="69" t="str">
        <f ca="1">TEXT(TODAY(),"DD.MM.AAAA")</f>
        <v>24.05.2022</v>
      </c>
      <c r="G5" s="86" t="s">
        <v>938</v>
      </c>
      <c r="H5" s="85">
        <v>1</v>
      </c>
      <c r="I5" s="85">
        <v>1</v>
      </c>
      <c r="J5" s="86" t="s">
        <v>520</v>
      </c>
      <c r="K5" s="63"/>
    </row>
    <row r="6" spans="1:11" x14ac:dyDescent="0.2">
      <c r="A6" s="7" t="str">
        <f t="shared" ref="A6:A54" si="0">"Execução "&amp;ROW()-4</f>
        <v>Execução 2</v>
      </c>
      <c r="B6" s="41"/>
      <c r="C6" s="81" t="str">
        <f>IFERROR(VLOOKUP(B6,'ZM01'!B:C,2,0),"")</f>
        <v/>
      </c>
      <c r="D6" s="48" t="str">
        <f>IFERROR(VLOOKUP(B6,'ZM01'!B:I,8,0),"")</f>
        <v/>
      </c>
      <c r="E6" s="69" t="str">
        <f>IFERROR(VLOOKUP(B6,'CA01'!B:M,12,0),"")</f>
        <v/>
      </c>
      <c r="F6" s="69" t="str">
        <f t="shared" ref="F6:F54" ca="1" si="1">TEXT(TODAY(),"DD.MM.AAAA")</f>
        <v>24.05.2022</v>
      </c>
      <c r="G6" s="86" t="s">
        <v>938</v>
      </c>
      <c r="H6" s="85">
        <v>1</v>
      </c>
      <c r="I6" s="85">
        <v>1</v>
      </c>
      <c r="J6" s="86" t="s">
        <v>520</v>
      </c>
      <c r="K6" s="64"/>
    </row>
    <row r="7" spans="1:11" x14ac:dyDescent="0.2">
      <c r="A7" s="7" t="str">
        <f t="shared" si="0"/>
        <v>Execução 3</v>
      </c>
      <c r="B7" s="41"/>
      <c r="C7" s="81" t="str">
        <f>IFERROR(VLOOKUP(B7,'ZM01'!B:C,2,0),"")</f>
        <v/>
      </c>
      <c r="D7" s="48" t="str">
        <f>IFERROR(VLOOKUP(B7,'ZM01'!B:I,8,0),"")</f>
        <v/>
      </c>
      <c r="E7" s="69" t="str">
        <f>IFERROR(VLOOKUP(B7,'CA01'!B:M,12,0),"")</f>
        <v/>
      </c>
      <c r="F7" s="69" t="str">
        <f t="shared" ca="1" si="1"/>
        <v>24.05.2022</v>
      </c>
      <c r="G7" s="86" t="s">
        <v>938</v>
      </c>
      <c r="H7" s="85">
        <v>1</v>
      </c>
      <c r="I7" s="85">
        <v>1</v>
      </c>
      <c r="J7" s="86" t="s">
        <v>520</v>
      </c>
      <c r="K7" s="64"/>
    </row>
    <row r="8" spans="1:11" x14ac:dyDescent="0.2">
      <c r="A8" s="7" t="str">
        <f t="shared" si="0"/>
        <v>Execução 4</v>
      </c>
      <c r="B8" s="41"/>
      <c r="C8" s="81" t="str">
        <f>IFERROR(VLOOKUP(B8,'ZM01'!B:C,2,0),"")</f>
        <v/>
      </c>
      <c r="D8" s="48" t="str">
        <f>IFERROR(VLOOKUP(B8,'ZM01'!B:I,8,0),"")</f>
        <v/>
      </c>
      <c r="E8" s="69" t="str">
        <f>IFERROR(VLOOKUP(B8,'CA01'!B:M,12,0),"")</f>
        <v/>
      </c>
      <c r="F8" s="69" t="str">
        <f t="shared" ca="1" si="1"/>
        <v>24.05.2022</v>
      </c>
      <c r="G8" s="86" t="s">
        <v>938</v>
      </c>
      <c r="H8" s="85">
        <v>1</v>
      </c>
      <c r="I8" s="85">
        <v>1</v>
      </c>
      <c r="J8" s="86" t="s">
        <v>520</v>
      </c>
      <c r="K8" s="64"/>
    </row>
    <row r="9" spans="1:11" x14ac:dyDescent="0.2">
      <c r="A9" s="7" t="str">
        <f t="shared" si="0"/>
        <v>Execução 5</v>
      </c>
      <c r="B9" s="41"/>
      <c r="C9" s="81" t="str">
        <f>IFERROR(VLOOKUP(B9,'ZM01'!B:C,2,0),"")</f>
        <v/>
      </c>
      <c r="D9" s="48" t="str">
        <f>IFERROR(VLOOKUP(B9,'ZM01'!B:I,8,0),"")</f>
        <v/>
      </c>
      <c r="E9" s="69" t="str">
        <f>IFERROR(VLOOKUP(B9,'CA01'!B:M,12,0),"")</f>
        <v/>
      </c>
      <c r="F9" s="69" t="str">
        <f t="shared" ca="1" si="1"/>
        <v>24.05.2022</v>
      </c>
      <c r="G9" s="86" t="s">
        <v>938</v>
      </c>
      <c r="H9" s="85">
        <v>1</v>
      </c>
      <c r="I9" s="85">
        <v>1</v>
      </c>
      <c r="J9" s="86" t="s">
        <v>520</v>
      </c>
      <c r="K9" s="64"/>
    </row>
    <row r="10" spans="1:11" x14ac:dyDescent="0.2">
      <c r="A10" s="7" t="str">
        <f t="shared" si="0"/>
        <v>Execução 6</v>
      </c>
      <c r="B10" s="41"/>
      <c r="C10" s="81" t="str">
        <f>IFERROR(VLOOKUP(B10,'ZM01'!B:C,2,0),"")</f>
        <v/>
      </c>
      <c r="D10" s="48" t="str">
        <f>IFERROR(VLOOKUP(B10,'ZM01'!B:I,8,0),"")</f>
        <v/>
      </c>
      <c r="E10" s="69" t="str">
        <f>IFERROR(VLOOKUP(B10,'CA01'!B:M,12,0),"")</f>
        <v/>
      </c>
      <c r="F10" s="69" t="str">
        <f t="shared" ca="1" si="1"/>
        <v>24.05.2022</v>
      </c>
      <c r="G10" s="86" t="s">
        <v>938</v>
      </c>
      <c r="H10" s="85">
        <v>1</v>
      </c>
      <c r="I10" s="85">
        <v>1</v>
      </c>
      <c r="J10" s="86" t="s">
        <v>520</v>
      </c>
      <c r="K10" s="64"/>
    </row>
    <row r="11" spans="1:11" x14ac:dyDescent="0.2">
      <c r="A11" s="7" t="str">
        <f t="shared" si="0"/>
        <v>Execução 7</v>
      </c>
      <c r="B11" s="41"/>
      <c r="C11" s="81" t="str">
        <f>IFERROR(VLOOKUP(B11,'ZM01'!B:C,2,0),"")</f>
        <v/>
      </c>
      <c r="D11" s="48" t="str">
        <f>IFERROR(VLOOKUP(B11,'ZM01'!B:I,8,0),"")</f>
        <v/>
      </c>
      <c r="E11" s="69" t="str">
        <f>IFERROR(VLOOKUP(B11,'CA01'!B:M,12,0),"")</f>
        <v/>
      </c>
      <c r="F11" s="69" t="str">
        <f t="shared" ca="1" si="1"/>
        <v>24.05.2022</v>
      </c>
      <c r="G11" s="86" t="s">
        <v>938</v>
      </c>
      <c r="H11" s="85">
        <v>1</v>
      </c>
      <c r="I11" s="85">
        <v>1</v>
      </c>
      <c r="J11" s="86" t="s">
        <v>520</v>
      </c>
      <c r="K11" s="64"/>
    </row>
    <row r="12" spans="1:11" x14ac:dyDescent="0.2">
      <c r="A12" s="7" t="str">
        <f t="shared" si="0"/>
        <v>Execução 8</v>
      </c>
      <c r="B12" s="41"/>
      <c r="C12" s="81" t="str">
        <f>IFERROR(VLOOKUP(B12,'ZM01'!B:C,2,0),"")</f>
        <v/>
      </c>
      <c r="D12" s="48" t="str">
        <f>IFERROR(VLOOKUP(B12,'ZM01'!B:I,8,0),"")</f>
        <v/>
      </c>
      <c r="E12" s="69" t="str">
        <f>IFERROR(VLOOKUP(B12,'CA01'!B:M,12,0),"")</f>
        <v/>
      </c>
      <c r="F12" s="69" t="str">
        <f t="shared" ca="1" si="1"/>
        <v>24.05.2022</v>
      </c>
      <c r="G12" s="86" t="s">
        <v>938</v>
      </c>
      <c r="H12" s="85">
        <v>1</v>
      </c>
      <c r="I12" s="85">
        <v>1</v>
      </c>
      <c r="J12" s="86" t="s">
        <v>520</v>
      </c>
      <c r="K12" s="64"/>
    </row>
    <row r="13" spans="1:11" x14ac:dyDescent="0.2">
      <c r="A13" s="7" t="str">
        <f t="shared" si="0"/>
        <v>Execução 9</v>
      </c>
      <c r="B13" s="41"/>
      <c r="C13" s="81" t="str">
        <f>IFERROR(VLOOKUP(B13,'ZM01'!B:C,2,0),"")</f>
        <v/>
      </c>
      <c r="D13" s="48" t="str">
        <f>IFERROR(VLOOKUP(B13,'ZM01'!B:I,8,0),"")</f>
        <v/>
      </c>
      <c r="E13" s="69" t="str">
        <f>IFERROR(VLOOKUP(B13,'CA01'!B:M,12,0),"")</f>
        <v/>
      </c>
      <c r="F13" s="69" t="str">
        <f t="shared" ca="1" si="1"/>
        <v>24.05.2022</v>
      </c>
      <c r="G13" s="86" t="s">
        <v>938</v>
      </c>
      <c r="H13" s="85">
        <v>1</v>
      </c>
      <c r="I13" s="85">
        <v>1</v>
      </c>
      <c r="J13" s="86" t="s">
        <v>520</v>
      </c>
      <c r="K13" s="64"/>
    </row>
    <row r="14" spans="1:11" x14ac:dyDescent="0.2">
      <c r="A14" s="7" t="str">
        <f t="shared" si="0"/>
        <v>Execução 10</v>
      </c>
      <c r="B14" s="41"/>
      <c r="C14" s="81" t="str">
        <f>IFERROR(VLOOKUP(B14,'ZM01'!B:C,2,0),"")</f>
        <v/>
      </c>
      <c r="D14" s="48" t="str">
        <f>IFERROR(VLOOKUP(B14,'ZM01'!B:I,8,0),"")</f>
        <v/>
      </c>
      <c r="E14" s="69" t="str">
        <f>IFERROR(VLOOKUP(B14,'CA01'!B:M,12,0),"")</f>
        <v/>
      </c>
      <c r="F14" s="69" t="str">
        <f t="shared" ca="1" si="1"/>
        <v>24.05.2022</v>
      </c>
      <c r="G14" s="86" t="s">
        <v>938</v>
      </c>
      <c r="H14" s="85">
        <v>1</v>
      </c>
      <c r="I14" s="85">
        <v>1</v>
      </c>
      <c r="J14" s="86" t="s">
        <v>520</v>
      </c>
      <c r="K14" s="64"/>
    </row>
    <row r="15" spans="1:11" x14ac:dyDescent="0.2">
      <c r="A15" s="7" t="str">
        <f t="shared" si="0"/>
        <v>Execução 11</v>
      </c>
      <c r="B15" s="41"/>
      <c r="C15" s="81" t="str">
        <f>IFERROR(VLOOKUP(B15,'ZM01'!B:C,2,0),"")</f>
        <v/>
      </c>
      <c r="D15" s="48" t="str">
        <f>IFERROR(VLOOKUP(B15,'ZM01'!B:I,8,0),"")</f>
        <v/>
      </c>
      <c r="E15" s="69" t="str">
        <f>IFERROR(VLOOKUP(B15,'CA01'!B:M,12,0),"")</f>
        <v/>
      </c>
      <c r="F15" s="69" t="str">
        <f t="shared" ca="1" si="1"/>
        <v>24.05.2022</v>
      </c>
      <c r="G15" s="86" t="s">
        <v>938</v>
      </c>
      <c r="H15" s="85">
        <v>1</v>
      </c>
      <c r="I15" s="85">
        <v>1</v>
      </c>
      <c r="J15" s="86" t="s">
        <v>520</v>
      </c>
      <c r="K15" s="64"/>
    </row>
    <row r="16" spans="1:11" x14ac:dyDescent="0.2">
      <c r="A16" s="7" t="str">
        <f t="shared" si="0"/>
        <v>Execução 12</v>
      </c>
      <c r="B16" s="41"/>
      <c r="C16" s="81" t="str">
        <f>IFERROR(VLOOKUP(B16,'ZM01'!B:C,2,0),"")</f>
        <v/>
      </c>
      <c r="D16" s="48" t="str">
        <f>IFERROR(VLOOKUP(B16,'ZM01'!B:I,8,0),"")</f>
        <v/>
      </c>
      <c r="E16" s="69" t="str">
        <f>IFERROR(VLOOKUP(B16,'CA01'!B:M,12,0),"")</f>
        <v/>
      </c>
      <c r="F16" s="69" t="str">
        <f t="shared" ca="1" si="1"/>
        <v>24.05.2022</v>
      </c>
      <c r="G16" s="86" t="s">
        <v>938</v>
      </c>
      <c r="H16" s="85">
        <v>1</v>
      </c>
      <c r="I16" s="85">
        <v>1</v>
      </c>
      <c r="J16" s="86" t="s">
        <v>520</v>
      </c>
      <c r="K16" s="64"/>
    </row>
    <row r="17" spans="1:11" x14ac:dyDescent="0.2">
      <c r="A17" s="7" t="str">
        <f t="shared" si="0"/>
        <v>Execução 13</v>
      </c>
      <c r="B17" s="41"/>
      <c r="C17" s="81" t="str">
        <f>IFERROR(VLOOKUP(B17,'ZM01'!B:C,2,0),"")</f>
        <v/>
      </c>
      <c r="D17" s="48" t="str">
        <f>IFERROR(VLOOKUP(B17,'ZM01'!B:I,8,0),"")</f>
        <v/>
      </c>
      <c r="E17" s="69" t="str">
        <f>IFERROR(VLOOKUP(B17,'CA01'!B:M,12,0),"")</f>
        <v/>
      </c>
      <c r="F17" s="69" t="str">
        <f t="shared" ca="1" si="1"/>
        <v>24.05.2022</v>
      </c>
      <c r="G17" s="86" t="s">
        <v>938</v>
      </c>
      <c r="H17" s="85">
        <v>1</v>
      </c>
      <c r="I17" s="85">
        <v>1</v>
      </c>
      <c r="J17" s="86" t="s">
        <v>520</v>
      </c>
      <c r="K17" s="64"/>
    </row>
    <row r="18" spans="1:11" x14ac:dyDescent="0.2">
      <c r="A18" s="7" t="str">
        <f t="shared" si="0"/>
        <v>Execução 14</v>
      </c>
      <c r="B18" s="41"/>
      <c r="C18" s="81" t="str">
        <f>IFERROR(VLOOKUP(B18,'ZM01'!B:C,2,0),"")</f>
        <v/>
      </c>
      <c r="D18" s="48" t="str">
        <f>IFERROR(VLOOKUP(B18,'ZM01'!B:I,8,0),"")</f>
        <v/>
      </c>
      <c r="E18" s="69" t="str">
        <f>IFERROR(VLOOKUP(B18,'CA01'!B:M,12,0),"")</f>
        <v/>
      </c>
      <c r="F18" s="69" t="str">
        <f t="shared" ca="1" si="1"/>
        <v>24.05.2022</v>
      </c>
      <c r="G18" s="86" t="s">
        <v>938</v>
      </c>
      <c r="H18" s="85">
        <v>1</v>
      </c>
      <c r="I18" s="85">
        <v>1</v>
      </c>
      <c r="J18" s="86" t="s">
        <v>520</v>
      </c>
      <c r="K18" s="64"/>
    </row>
    <row r="19" spans="1:11" x14ac:dyDescent="0.2">
      <c r="A19" s="7" t="str">
        <f t="shared" si="0"/>
        <v>Execução 15</v>
      </c>
      <c r="B19" s="41"/>
      <c r="C19" s="81" t="str">
        <f>IFERROR(VLOOKUP(B19,'ZM01'!B:C,2,0),"")</f>
        <v/>
      </c>
      <c r="D19" s="48" t="str">
        <f>IFERROR(VLOOKUP(B19,'ZM01'!B:I,8,0),"")</f>
        <v/>
      </c>
      <c r="E19" s="69" t="str">
        <f>IFERROR(VLOOKUP(B19,'CA01'!B:M,12,0),"")</f>
        <v/>
      </c>
      <c r="F19" s="69" t="str">
        <f t="shared" ca="1" si="1"/>
        <v>24.05.2022</v>
      </c>
      <c r="G19" s="86" t="s">
        <v>938</v>
      </c>
      <c r="H19" s="85">
        <v>1</v>
      </c>
      <c r="I19" s="85">
        <v>1</v>
      </c>
      <c r="J19" s="86" t="s">
        <v>520</v>
      </c>
      <c r="K19" s="64"/>
    </row>
    <row r="20" spans="1:11" x14ac:dyDescent="0.2">
      <c r="A20" s="7" t="str">
        <f t="shared" si="0"/>
        <v>Execução 16</v>
      </c>
      <c r="B20" s="41"/>
      <c r="C20" s="81" t="str">
        <f>IFERROR(VLOOKUP(B20,'ZM01'!B:C,2,0),"")</f>
        <v/>
      </c>
      <c r="D20" s="48" t="str">
        <f>IFERROR(VLOOKUP(B20,'ZM01'!B:I,8,0),"")</f>
        <v/>
      </c>
      <c r="E20" s="69" t="str">
        <f>IFERROR(VLOOKUP(B20,'CA01'!B:M,12,0),"")</f>
        <v/>
      </c>
      <c r="F20" s="69" t="str">
        <f t="shared" ca="1" si="1"/>
        <v>24.05.2022</v>
      </c>
      <c r="G20" s="86" t="s">
        <v>938</v>
      </c>
      <c r="H20" s="85">
        <v>1</v>
      </c>
      <c r="I20" s="85">
        <v>1</v>
      </c>
      <c r="J20" s="86" t="s">
        <v>520</v>
      </c>
      <c r="K20" s="64"/>
    </row>
    <row r="21" spans="1:11" x14ac:dyDescent="0.2">
      <c r="A21" s="7" t="str">
        <f t="shared" si="0"/>
        <v>Execução 17</v>
      </c>
      <c r="B21" s="41"/>
      <c r="C21" s="81" t="str">
        <f>IFERROR(VLOOKUP(B21,'ZM01'!B:C,2,0),"")</f>
        <v/>
      </c>
      <c r="D21" s="48" t="str">
        <f>IFERROR(VLOOKUP(B21,'ZM01'!B:I,8,0),"")</f>
        <v/>
      </c>
      <c r="E21" s="69" t="str">
        <f>IFERROR(VLOOKUP(B21,'CA01'!B:M,12,0),"")</f>
        <v/>
      </c>
      <c r="F21" s="69" t="str">
        <f t="shared" ca="1" si="1"/>
        <v>24.05.2022</v>
      </c>
      <c r="G21" s="86" t="s">
        <v>938</v>
      </c>
      <c r="H21" s="85">
        <v>1</v>
      </c>
      <c r="I21" s="85">
        <v>1</v>
      </c>
      <c r="J21" s="86" t="s">
        <v>520</v>
      </c>
      <c r="K21" s="64"/>
    </row>
    <row r="22" spans="1:11" x14ac:dyDescent="0.2">
      <c r="A22" s="7" t="str">
        <f t="shared" si="0"/>
        <v>Execução 18</v>
      </c>
      <c r="B22" s="41"/>
      <c r="C22" s="81" t="str">
        <f>IFERROR(VLOOKUP(B22,'ZM01'!B:C,2,0),"")</f>
        <v/>
      </c>
      <c r="D22" s="48" t="str">
        <f>IFERROR(VLOOKUP(B22,'ZM01'!B:I,8,0),"")</f>
        <v/>
      </c>
      <c r="E22" s="69" t="str">
        <f>IFERROR(VLOOKUP(B22,'CA01'!B:M,12,0),"")</f>
        <v/>
      </c>
      <c r="F22" s="69" t="str">
        <f t="shared" ca="1" si="1"/>
        <v>24.05.2022</v>
      </c>
      <c r="G22" s="86" t="s">
        <v>938</v>
      </c>
      <c r="H22" s="85">
        <v>1</v>
      </c>
      <c r="I22" s="85">
        <v>1</v>
      </c>
      <c r="J22" s="86" t="s">
        <v>520</v>
      </c>
      <c r="K22" s="64"/>
    </row>
    <row r="23" spans="1:11" x14ac:dyDescent="0.2">
      <c r="A23" s="7" t="str">
        <f t="shared" si="0"/>
        <v>Execução 19</v>
      </c>
      <c r="B23" s="41"/>
      <c r="C23" s="81" t="str">
        <f>IFERROR(VLOOKUP(B23,'ZM01'!B:C,2,0),"")</f>
        <v/>
      </c>
      <c r="D23" s="48" t="str">
        <f>IFERROR(VLOOKUP(B23,'ZM01'!B:I,8,0),"")</f>
        <v/>
      </c>
      <c r="E23" s="69" t="str">
        <f>IFERROR(VLOOKUP(B23,'CA01'!B:M,12,0),"")</f>
        <v/>
      </c>
      <c r="F23" s="69" t="str">
        <f t="shared" ca="1" si="1"/>
        <v>24.05.2022</v>
      </c>
      <c r="G23" s="86" t="s">
        <v>938</v>
      </c>
      <c r="H23" s="85">
        <v>1</v>
      </c>
      <c r="I23" s="85">
        <v>1</v>
      </c>
      <c r="J23" s="86" t="s">
        <v>520</v>
      </c>
      <c r="K23" s="64"/>
    </row>
    <row r="24" spans="1:11" x14ac:dyDescent="0.2">
      <c r="A24" s="7" t="str">
        <f t="shared" si="0"/>
        <v>Execução 20</v>
      </c>
      <c r="B24" s="41"/>
      <c r="C24" s="81" t="str">
        <f>IFERROR(VLOOKUP(B24,'ZM01'!B:C,2,0),"")</f>
        <v/>
      </c>
      <c r="D24" s="48" t="str">
        <f>IFERROR(VLOOKUP(B24,'ZM01'!B:I,8,0),"")</f>
        <v/>
      </c>
      <c r="E24" s="69" t="str">
        <f>IFERROR(VLOOKUP(B24,'CA01'!B:M,12,0),"")</f>
        <v/>
      </c>
      <c r="F24" s="69" t="str">
        <f t="shared" ca="1" si="1"/>
        <v>24.05.2022</v>
      </c>
      <c r="G24" s="86" t="s">
        <v>938</v>
      </c>
      <c r="H24" s="85">
        <v>1</v>
      </c>
      <c r="I24" s="85">
        <v>1</v>
      </c>
      <c r="J24" s="86" t="s">
        <v>520</v>
      </c>
      <c r="K24" s="64"/>
    </row>
    <row r="25" spans="1:11" x14ac:dyDescent="0.2">
      <c r="A25" s="7" t="str">
        <f t="shared" si="0"/>
        <v>Execução 21</v>
      </c>
      <c r="B25" s="41"/>
      <c r="C25" s="81" t="str">
        <f>IFERROR(VLOOKUP(B25,'ZM01'!B:C,2,0),"")</f>
        <v/>
      </c>
      <c r="D25" s="48" t="str">
        <f>IFERROR(VLOOKUP(B25,'ZM01'!B:I,8,0),"")</f>
        <v/>
      </c>
      <c r="E25" s="69" t="str">
        <f>IFERROR(VLOOKUP(B25,'CA01'!B:M,12,0),"")</f>
        <v/>
      </c>
      <c r="F25" s="69" t="str">
        <f t="shared" ca="1" si="1"/>
        <v>24.05.2022</v>
      </c>
      <c r="G25" s="86" t="s">
        <v>938</v>
      </c>
      <c r="H25" s="85">
        <v>1</v>
      </c>
      <c r="I25" s="85">
        <v>1</v>
      </c>
      <c r="J25" s="86" t="s">
        <v>520</v>
      </c>
      <c r="K25" s="64"/>
    </row>
    <row r="26" spans="1:11" x14ac:dyDescent="0.2">
      <c r="A26" s="7" t="str">
        <f t="shared" si="0"/>
        <v>Execução 22</v>
      </c>
      <c r="B26" s="41"/>
      <c r="C26" s="81" t="str">
        <f>IFERROR(VLOOKUP(B26,'ZM01'!B:C,2,0),"")</f>
        <v/>
      </c>
      <c r="D26" s="48" t="str">
        <f>IFERROR(VLOOKUP(B26,'ZM01'!B:I,8,0),"")</f>
        <v/>
      </c>
      <c r="E26" s="69" t="str">
        <f>IFERROR(VLOOKUP(B26,'CA01'!B:M,12,0),"")</f>
        <v/>
      </c>
      <c r="F26" s="69" t="str">
        <f t="shared" ca="1" si="1"/>
        <v>24.05.2022</v>
      </c>
      <c r="G26" s="86" t="s">
        <v>938</v>
      </c>
      <c r="H26" s="85">
        <v>1</v>
      </c>
      <c r="I26" s="85">
        <v>1</v>
      </c>
      <c r="J26" s="86" t="s">
        <v>520</v>
      </c>
      <c r="K26" s="64"/>
    </row>
    <row r="27" spans="1:11" x14ac:dyDescent="0.2">
      <c r="A27" s="7" t="str">
        <f t="shared" si="0"/>
        <v>Execução 23</v>
      </c>
      <c r="B27" s="41"/>
      <c r="C27" s="81" t="str">
        <f>IFERROR(VLOOKUP(B27,'ZM01'!B:C,2,0),"")</f>
        <v/>
      </c>
      <c r="D27" s="48" t="str">
        <f>IFERROR(VLOOKUP(B27,'ZM01'!B:I,8,0),"")</f>
        <v/>
      </c>
      <c r="E27" s="69" t="str">
        <f>IFERROR(VLOOKUP(B27,'CA01'!B:M,12,0),"")</f>
        <v/>
      </c>
      <c r="F27" s="69" t="str">
        <f t="shared" ca="1" si="1"/>
        <v>24.05.2022</v>
      </c>
      <c r="G27" s="86" t="s">
        <v>938</v>
      </c>
      <c r="H27" s="85">
        <v>1</v>
      </c>
      <c r="I27" s="85">
        <v>1</v>
      </c>
      <c r="J27" s="86" t="s">
        <v>520</v>
      </c>
      <c r="K27" s="64"/>
    </row>
    <row r="28" spans="1:11" x14ac:dyDescent="0.2">
      <c r="A28" s="7" t="str">
        <f t="shared" si="0"/>
        <v>Execução 24</v>
      </c>
      <c r="B28" s="41"/>
      <c r="C28" s="81" t="str">
        <f>IFERROR(VLOOKUP(B28,'ZM01'!B:C,2,0),"")</f>
        <v/>
      </c>
      <c r="D28" s="48" t="str">
        <f>IFERROR(VLOOKUP(B28,'ZM01'!B:I,8,0),"")</f>
        <v/>
      </c>
      <c r="E28" s="69" t="str">
        <f>IFERROR(VLOOKUP(B28,'CA01'!B:M,12,0),"")</f>
        <v/>
      </c>
      <c r="F28" s="69" t="str">
        <f t="shared" ca="1" si="1"/>
        <v>24.05.2022</v>
      </c>
      <c r="G28" s="86" t="s">
        <v>938</v>
      </c>
      <c r="H28" s="85">
        <v>1</v>
      </c>
      <c r="I28" s="85">
        <v>1</v>
      </c>
      <c r="J28" s="86" t="s">
        <v>520</v>
      </c>
      <c r="K28" s="64"/>
    </row>
    <row r="29" spans="1:11" x14ac:dyDescent="0.2">
      <c r="A29" s="7" t="str">
        <f t="shared" si="0"/>
        <v>Execução 25</v>
      </c>
      <c r="B29" s="41"/>
      <c r="C29" s="81" t="str">
        <f>IFERROR(VLOOKUP(B29,'ZM01'!B:C,2,0),"")</f>
        <v/>
      </c>
      <c r="D29" s="48" t="str">
        <f>IFERROR(VLOOKUP(B29,'ZM01'!B:I,8,0),"")</f>
        <v/>
      </c>
      <c r="E29" s="69" t="str">
        <f>IFERROR(VLOOKUP(B29,'CA01'!B:M,12,0),"")</f>
        <v/>
      </c>
      <c r="F29" s="69" t="str">
        <f t="shared" ca="1" si="1"/>
        <v>24.05.2022</v>
      </c>
      <c r="G29" s="86" t="s">
        <v>938</v>
      </c>
      <c r="H29" s="85">
        <v>1</v>
      </c>
      <c r="I29" s="85">
        <v>1</v>
      </c>
      <c r="J29" s="86" t="s">
        <v>520</v>
      </c>
      <c r="K29" s="64"/>
    </row>
    <row r="30" spans="1:11" x14ac:dyDescent="0.2">
      <c r="A30" s="7" t="str">
        <f t="shared" si="0"/>
        <v>Execução 26</v>
      </c>
      <c r="B30" s="41"/>
      <c r="C30" s="81" t="str">
        <f>IFERROR(VLOOKUP(B30,'ZM01'!B:C,2,0),"")</f>
        <v/>
      </c>
      <c r="D30" s="48" t="str">
        <f>IFERROR(VLOOKUP(B30,'ZM01'!B:I,8,0),"")</f>
        <v/>
      </c>
      <c r="E30" s="69" t="str">
        <f>IFERROR(VLOOKUP(B30,'CA01'!B:M,12,0),"")</f>
        <v/>
      </c>
      <c r="F30" s="69" t="str">
        <f t="shared" ca="1" si="1"/>
        <v>24.05.2022</v>
      </c>
      <c r="G30" s="86" t="s">
        <v>938</v>
      </c>
      <c r="H30" s="85">
        <v>1</v>
      </c>
      <c r="I30" s="85">
        <v>1</v>
      </c>
      <c r="J30" s="86" t="s">
        <v>520</v>
      </c>
      <c r="K30" s="64"/>
    </row>
    <row r="31" spans="1:11" x14ac:dyDescent="0.2">
      <c r="A31" s="7" t="str">
        <f t="shared" si="0"/>
        <v>Execução 27</v>
      </c>
      <c r="B31" s="41"/>
      <c r="C31" s="81" t="str">
        <f>IFERROR(VLOOKUP(B31,'ZM01'!B:C,2,0),"")</f>
        <v/>
      </c>
      <c r="D31" s="48" t="str">
        <f>IFERROR(VLOOKUP(B31,'ZM01'!B:I,8,0),"")</f>
        <v/>
      </c>
      <c r="E31" s="69" t="str">
        <f>IFERROR(VLOOKUP(B31,'CA01'!B:M,12,0),"")</f>
        <v/>
      </c>
      <c r="F31" s="69" t="str">
        <f t="shared" ca="1" si="1"/>
        <v>24.05.2022</v>
      </c>
      <c r="G31" s="86" t="s">
        <v>938</v>
      </c>
      <c r="H31" s="85">
        <v>1</v>
      </c>
      <c r="I31" s="85">
        <v>1</v>
      </c>
      <c r="J31" s="86" t="s">
        <v>520</v>
      </c>
      <c r="K31" s="64"/>
    </row>
    <row r="32" spans="1:11" x14ac:dyDescent="0.2">
      <c r="A32" s="7" t="str">
        <f t="shared" si="0"/>
        <v>Execução 28</v>
      </c>
      <c r="B32" s="41"/>
      <c r="C32" s="81" t="str">
        <f>IFERROR(VLOOKUP(B32,'ZM01'!B:C,2,0),"")</f>
        <v/>
      </c>
      <c r="D32" s="48" t="str">
        <f>IFERROR(VLOOKUP(B32,'ZM01'!B:I,8,0),"")</f>
        <v/>
      </c>
      <c r="E32" s="69" t="str">
        <f>IFERROR(VLOOKUP(B32,'CA01'!B:M,12,0),"")</f>
        <v/>
      </c>
      <c r="F32" s="69" t="str">
        <f t="shared" ca="1" si="1"/>
        <v>24.05.2022</v>
      </c>
      <c r="G32" s="86" t="s">
        <v>938</v>
      </c>
      <c r="H32" s="85">
        <v>1</v>
      </c>
      <c r="I32" s="85">
        <v>1</v>
      </c>
      <c r="J32" s="86" t="s">
        <v>520</v>
      </c>
      <c r="K32" s="64"/>
    </row>
    <row r="33" spans="1:11" x14ac:dyDescent="0.2">
      <c r="A33" s="7" t="str">
        <f t="shared" si="0"/>
        <v>Execução 29</v>
      </c>
      <c r="B33" s="41"/>
      <c r="C33" s="81" t="str">
        <f>IFERROR(VLOOKUP(B33,'ZM01'!B:C,2,0),"")</f>
        <v/>
      </c>
      <c r="D33" s="48" t="str">
        <f>IFERROR(VLOOKUP(B33,'ZM01'!B:I,8,0),"")</f>
        <v/>
      </c>
      <c r="E33" s="69" t="str">
        <f>IFERROR(VLOOKUP(B33,'CA01'!B:M,12,0),"")</f>
        <v/>
      </c>
      <c r="F33" s="69" t="str">
        <f t="shared" ca="1" si="1"/>
        <v>24.05.2022</v>
      </c>
      <c r="G33" s="86" t="s">
        <v>938</v>
      </c>
      <c r="H33" s="85">
        <v>1</v>
      </c>
      <c r="I33" s="85">
        <v>1</v>
      </c>
      <c r="J33" s="86" t="s">
        <v>520</v>
      </c>
      <c r="K33" s="64"/>
    </row>
    <row r="34" spans="1:11" x14ac:dyDescent="0.2">
      <c r="A34" s="7" t="str">
        <f t="shared" si="0"/>
        <v>Execução 30</v>
      </c>
      <c r="B34" s="41"/>
      <c r="C34" s="81" t="str">
        <f>IFERROR(VLOOKUP(B34,'ZM01'!B:C,2,0),"")</f>
        <v/>
      </c>
      <c r="D34" s="48" t="str">
        <f>IFERROR(VLOOKUP(B34,'ZM01'!B:I,8,0),"")</f>
        <v/>
      </c>
      <c r="E34" s="69" t="str">
        <f>IFERROR(VLOOKUP(B34,'CA01'!B:M,12,0),"")</f>
        <v/>
      </c>
      <c r="F34" s="69" t="str">
        <f t="shared" ca="1" si="1"/>
        <v>24.05.2022</v>
      </c>
      <c r="G34" s="86" t="s">
        <v>938</v>
      </c>
      <c r="H34" s="85">
        <v>1</v>
      </c>
      <c r="I34" s="85">
        <v>1</v>
      </c>
      <c r="J34" s="86" t="s">
        <v>520</v>
      </c>
      <c r="K34" s="64"/>
    </row>
    <row r="35" spans="1:11" x14ac:dyDescent="0.2">
      <c r="A35" s="7" t="str">
        <f t="shared" si="0"/>
        <v>Execução 31</v>
      </c>
      <c r="B35" s="41"/>
      <c r="C35" s="81" t="str">
        <f>IFERROR(VLOOKUP(B35,'ZM01'!B:C,2,0),"")</f>
        <v/>
      </c>
      <c r="D35" s="48" t="str">
        <f>IFERROR(VLOOKUP(B35,'ZM01'!B:I,8,0),"")</f>
        <v/>
      </c>
      <c r="E35" s="69" t="str">
        <f>IFERROR(VLOOKUP(B35,'CA01'!B:M,12,0),"")</f>
        <v/>
      </c>
      <c r="F35" s="69" t="str">
        <f t="shared" ca="1" si="1"/>
        <v>24.05.2022</v>
      </c>
      <c r="G35" s="86" t="s">
        <v>938</v>
      </c>
      <c r="H35" s="85">
        <v>1</v>
      </c>
      <c r="I35" s="85">
        <v>1</v>
      </c>
      <c r="J35" s="86" t="s">
        <v>520</v>
      </c>
      <c r="K35" s="64"/>
    </row>
    <row r="36" spans="1:11" x14ac:dyDescent="0.2">
      <c r="A36" s="7" t="str">
        <f t="shared" si="0"/>
        <v>Execução 32</v>
      </c>
      <c r="B36" s="41"/>
      <c r="C36" s="81" t="str">
        <f>IFERROR(VLOOKUP(B36,'ZM01'!B:C,2,0),"")</f>
        <v/>
      </c>
      <c r="D36" s="48" t="str">
        <f>IFERROR(VLOOKUP(B36,'ZM01'!B:I,8,0),"")</f>
        <v/>
      </c>
      <c r="E36" s="69" t="str">
        <f>IFERROR(VLOOKUP(B36,'CA01'!B:M,12,0),"")</f>
        <v/>
      </c>
      <c r="F36" s="69" t="str">
        <f t="shared" ca="1" si="1"/>
        <v>24.05.2022</v>
      </c>
      <c r="G36" s="86" t="s">
        <v>938</v>
      </c>
      <c r="H36" s="85">
        <v>1</v>
      </c>
      <c r="I36" s="85">
        <v>1</v>
      </c>
      <c r="J36" s="86" t="s">
        <v>520</v>
      </c>
      <c r="K36" s="64"/>
    </row>
    <row r="37" spans="1:11" x14ac:dyDescent="0.2">
      <c r="A37" s="7" t="str">
        <f t="shared" si="0"/>
        <v>Execução 33</v>
      </c>
      <c r="B37" s="41"/>
      <c r="C37" s="81" t="str">
        <f>IFERROR(VLOOKUP(B37,'ZM01'!B:C,2,0),"")</f>
        <v/>
      </c>
      <c r="D37" s="48" t="str">
        <f>IFERROR(VLOOKUP(B37,'ZM01'!B:I,8,0),"")</f>
        <v/>
      </c>
      <c r="E37" s="69" t="str">
        <f>IFERROR(VLOOKUP(B37,'CA01'!B:M,12,0),"")</f>
        <v/>
      </c>
      <c r="F37" s="69" t="str">
        <f t="shared" ca="1" si="1"/>
        <v>24.05.2022</v>
      </c>
      <c r="G37" s="86" t="s">
        <v>938</v>
      </c>
      <c r="H37" s="85">
        <v>1</v>
      </c>
      <c r="I37" s="85">
        <v>1</v>
      </c>
      <c r="J37" s="86" t="s">
        <v>520</v>
      </c>
      <c r="K37" s="64"/>
    </row>
    <row r="38" spans="1:11" x14ac:dyDescent="0.2">
      <c r="A38" s="7" t="str">
        <f t="shared" si="0"/>
        <v>Execução 34</v>
      </c>
      <c r="B38" s="41"/>
      <c r="C38" s="81" t="str">
        <f>IFERROR(VLOOKUP(B38,'ZM01'!B:C,2,0),"")</f>
        <v/>
      </c>
      <c r="D38" s="48" t="str">
        <f>IFERROR(VLOOKUP(B38,'ZM01'!B:I,8,0),"")</f>
        <v/>
      </c>
      <c r="E38" s="69" t="str">
        <f>IFERROR(VLOOKUP(B38,'CA01'!B:M,12,0),"")</f>
        <v/>
      </c>
      <c r="F38" s="69" t="str">
        <f t="shared" ca="1" si="1"/>
        <v>24.05.2022</v>
      </c>
      <c r="G38" s="86" t="s">
        <v>938</v>
      </c>
      <c r="H38" s="85">
        <v>1</v>
      </c>
      <c r="I38" s="85">
        <v>1</v>
      </c>
      <c r="J38" s="86" t="s">
        <v>520</v>
      </c>
      <c r="K38" s="64"/>
    </row>
    <row r="39" spans="1:11" x14ac:dyDescent="0.2">
      <c r="A39" s="7" t="str">
        <f t="shared" si="0"/>
        <v>Execução 35</v>
      </c>
      <c r="B39" s="41"/>
      <c r="C39" s="81" t="str">
        <f>IFERROR(VLOOKUP(B39,'ZM01'!B:C,2,0),"")</f>
        <v/>
      </c>
      <c r="D39" s="48" t="str">
        <f>IFERROR(VLOOKUP(B39,'ZM01'!B:I,8,0),"")</f>
        <v/>
      </c>
      <c r="E39" s="69" t="str">
        <f>IFERROR(VLOOKUP(B39,'CA01'!B:M,12,0),"")</f>
        <v/>
      </c>
      <c r="F39" s="69" t="str">
        <f t="shared" ca="1" si="1"/>
        <v>24.05.2022</v>
      </c>
      <c r="G39" s="86" t="s">
        <v>938</v>
      </c>
      <c r="H39" s="85">
        <v>1</v>
      </c>
      <c r="I39" s="85">
        <v>1</v>
      </c>
      <c r="J39" s="86" t="s">
        <v>520</v>
      </c>
      <c r="K39" s="64"/>
    </row>
    <row r="40" spans="1:11" x14ac:dyDescent="0.2">
      <c r="A40" s="7" t="str">
        <f t="shared" si="0"/>
        <v>Execução 36</v>
      </c>
      <c r="B40" s="41"/>
      <c r="C40" s="81" t="str">
        <f>IFERROR(VLOOKUP(B40,'ZM01'!B:C,2,0),"")</f>
        <v/>
      </c>
      <c r="D40" s="48" t="str">
        <f>IFERROR(VLOOKUP(B40,'ZM01'!B:I,8,0),"")</f>
        <v/>
      </c>
      <c r="E40" s="69" t="str">
        <f>IFERROR(VLOOKUP(B40,'CA01'!B:M,12,0),"")</f>
        <v/>
      </c>
      <c r="F40" s="69" t="str">
        <f t="shared" ca="1" si="1"/>
        <v>24.05.2022</v>
      </c>
      <c r="G40" s="86" t="s">
        <v>938</v>
      </c>
      <c r="H40" s="85">
        <v>1</v>
      </c>
      <c r="I40" s="85">
        <v>1</v>
      </c>
      <c r="J40" s="86" t="s">
        <v>520</v>
      </c>
      <c r="K40" s="64"/>
    </row>
    <row r="41" spans="1:11" x14ac:dyDescent="0.2">
      <c r="A41" s="7" t="str">
        <f t="shared" si="0"/>
        <v>Execução 37</v>
      </c>
      <c r="B41" s="41"/>
      <c r="C41" s="81" t="str">
        <f>IFERROR(VLOOKUP(B41,'ZM01'!B:C,2,0),"")</f>
        <v/>
      </c>
      <c r="D41" s="48" t="str">
        <f>IFERROR(VLOOKUP(B41,'ZM01'!B:I,8,0),"")</f>
        <v/>
      </c>
      <c r="E41" s="69" t="str">
        <f>IFERROR(VLOOKUP(B41,'CA01'!B:M,12,0),"")</f>
        <v/>
      </c>
      <c r="F41" s="69" t="str">
        <f t="shared" ca="1" si="1"/>
        <v>24.05.2022</v>
      </c>
      <c r="G41" s="86" t="s">
        <v>938</v>
      </c>
      <c r="H41" s="85">
        <v>1</v>
      </c>
      <c r="I41" s="85">
        <v>1</v>
      </c>
      <c r="J41" s="86" t="s">
        <v>520</v>
      </c>
      <c r="K41" s="64"/>
    </row>
    <row r="42" spans="1:11" x14ac:dyDescent="0.2">
      <c r="A42" s="7" t="str">
        <f t="shared" si="0"/>
        <v>Execução 38</v>
      </c>
      <c r="B42" s="41"/>
      <c r="C42" s="81" t="str">
        <f>IFERROR(VLOOKUP(B42,'ZM01'!B:C,2,0),"")</f>
        <v/>
      </c>
      <c r="D42" s="48" t="str">
        <f>IFERROR(VLOOKUP(B42,'ZM01'!B:I,8,0),"")</f>
        <v/>
      </c>
      <c r="E42" s="69" t="str">
        <f>IFERROR(VLOOKUP(B42,'CA01'!B:M,12,0),"")</f>
        <v/>
      </c>
      <c r="F42" s="69" t="str">
        <f t="shared" ca="1" si="1"/>
        <v>24.05.2022</v>
      </c>
      <c r="G42" s="86" t="s">
        <v>938</v>
      </c>
      <c r="H42" s="85">
        <v>1</v>
      </c>
      <c r="I42" s="85">
        <v>1</v>
      </c>
      <c r="J42" s="86" t="s">
        <v>520</v>
      </c>
      <c r="K42" s="64"/>
    </row>
    <row r="43" spans="1:11" x14ac:dyDescent="0.2">
      <c r="A43" s="7" t="str">
        <f t="shared" si="0"/>
        <v>Execução 39</v>
      </c>
      <c r="B43" s="41"/>
      <c r="C43" s="81" t="str">
        <f>IFERROR(VLOOKUP(B43,'ZM01'!B:C,2,0),"")</f>
        <v/>
      </c>
      <c r="D43" s="48" t="str">
        <f>IFERROR(VLOOKUP(B43,'ZM01'!B:I,8,0),"")</f>
        <v/>
      </c>
      <c r="E43" s="69" t="str">
        <f>IFERROR(VLOOKUP(B43,'CA01'!B:M,12,0),"")</f>
        <v/>
      </c>
      <c r="F43" s="69" t="str">
        <f t="shared" ca="1" si="1"/>
        <v>24.05.2022</v>
      </c>
      <c r="G43" s="86" t="s">
        <v>938</v>
      </c>
      <c r="H43" s="85">
        <v>1</v>
      </c>
      <c r="I43" s="85">
        <v>1</v>
      </c>
      <c r="J43" s="86" t="s">
        <v>520</v>
      </c>
      <c r="K43" s="64"/>
    </row>
    <row r="44" spans="1:11" x14ac:dyDescent="0.2">
      <c r="A44" s="7" t="str">
        <f t="shared" si="0"/>
        <v>Execução 40</v>
      </c>
      <c r="B44" s="41"/>
      <c r="C44" s="81" t="str">
        <f>IFERROR(VLOOKUP(B44,'ZM01'!B:C,2,0),"")</f>
        <v/>
      </c>
      <c r="D44" s="48" t="str">
        <f>IFERROR(VLOOKUP(B44,'ZM01'!B:I,8,0),"")</f>
        <v/>
      </c>
      <c r="E44" s="69" t="str">
        <f>IFERROR(VLOOKUP(B44,'CA01'!B:M,12,0),"")</f>
        <v/>
      </c>
      <c r="F44" s="69" t="str">
        <f t="shared" ca="1" si="1"/>
        <v>24.05.2022</v>
      </c>
      <c r="G44" s="86" t="s">
        <v>938</v>
      </c>
      <c r="H44" s="85">
        <v>1</v>
      </c>
      <c r="I44" s="85">
        <v>1</v>
      </c>
      <c r="J44" s="86" t="s">
        <v>520</v>
      </c>
      <c r="K44" s="64"/>
    </row>
    <row r="45" spans="1:11" x14ac:dyDescent="0.2">
      <c r="A45" s="7" t="str">
        <f t="shared" si="0"/>
        <v>Execução 41</v>
      </c>
      <c r="B45" s="41"/>
      <c r="C45" s="81" t="str">
        <f>IFERROR(VLOOKUP(B45,'ZM01'!B:C,2,0),"")</f>
        <v/>
      </c>
      <c r="D45" s="48" t="str">
        <f>IFERROR(VLOOKUP(B45,'ZM01'!B:I,8,0),"")</f>
        <v/>
      </c>
      <c r="E45" s="69" t="str">
        <f>IFERROR(VLOOKUP(B45,'CA01'!B:M,12,0),"")</f>
        <v/>
      </c>
      <c r="F45" s="69" t="str">
        <f t="shared" ca="1" si="1"/>
        <v>24.05.2022</v>
      </c>
      <c r="G45" s="86" t="s">
        <v>938</v>
      </c>
      <c r="H45" s="85">
        <v>1</v>
      </c>
      <c r="I45" s="85">
        <v>1</v>
      </c>
      <c r="J45" s="86" t="s">
        <v>520</v>
      </c>
      <c r="K45" s="64"/>
    </row>
    <row r="46" spans="1:11" x14ac:dyDescent="0.2">
      <c r="A46" s="7" t="str">
        <f t="shared" si="0"/>
        <v>Execução 42</v>
      </c>
      <c r="B46" s="41"/>
      <c r="C46" s="81" t="str">
        <f>IFERROR(VLOOKUP(B46,'ZM01'!B:C,2,0),"")</f>
        <v/>
      </c>
      <c r="D46" s="48" t="str">
        <f>IFERROR(VLOOKUP(B46,'ZM01'!B:I,8,0),"")</f>
        <v/>
      </c>
      <c r="E46" s="69" t="str">
        <f>IFERROR(VLOOKUP(B46,'CA01'!B:M,12,0),"")</f>
        <v/>
      </c>
      <c r="F46" s="69" t="str">
        <f t="shared" ca="1" si="1"/>
        <v>24.05.2022</v>
      </c>
      <c r="G46" s="86" t="s">
        <v>938</v>
      </c>
      <c r="H46" s="85">
        <v>1</v>
      </c>
      <c r="I46" s="85">
        <v>1</v>
      </c>
      <c r="J46" s="86" t="s">
        <v>520</v>
      </c>
      <c r="K46" s="64"/>
    </row>
    <row r="47" spans="1:11" x14ac:dyDescent="0.2">
      <c r="A47" s="7" t="str">
        <f t="shared" si="0"/>
        <v>Execução 43</v>
      </c>
      <c r="B47" s="41"/>
      <c r="C47" s="81" t="str">
        <f>IFERROR(VLOOKUP(B47,'ZM01'!B:C,2,0),"")</f>
        <v/>
      </c>
      <c r="D47" s="48" t="str">
        <f>IFERROR(VLOOKUP(B47,'ZM01'!B:I,8,0),"")</f>
        <v/>
      </c>
      <c r="E47" s="69" t="str">
        <f>IFERROR(VLOOKUP(B47,'CA01'!B:M,12,0),"")</f>
        <v/>
      </c>
      <c r="F47" s="69" t="str">
        <f t="shared" ca="1" si="1"/>
        <v>24.05.2022</v>
      </c>
      <c r="G47" s="86" t="s">
        <v>938</v>
      </c>
      <c r="H47" s="85">
        <v>1</v>
      </c>
      <c r="I47" s="85">
        <v>1</v>
      </c>
      <c r="J47" s="86" t="s">
        <v>520</v>
      </c>
      <c r="K47" s="64"/>
    </row>
    <row r="48" spans="1:11" x14ac:dyDescent="0.2">
      <c r="A48" s="7" t="str">
        <f t="shared" si="0"/>
        <v>Execução 44</v>
      </c>
      <c r="B48" s="41"/>
      <c r="C48" s="81" t="str">
        <f>IFERROR(VLOOKUP(B48,'ZM01'!B:C,2,0),"")</f>
        <v/>
      </c>
      <c r="D48" s="48" t="str">
        <f>IFERROR(VLOOKUP(B48,'ZM01'!B:I,8,0),"")</f>
        <v/>
      </c>
      <c r="E48" s="69" t="str">
        <f>IFERROR(VLOOKUP(B48,'CA01'!B:M,12,0),"")</f>
        <v/>
      </c>
      <c r="F48" s="69" t="str">
        <f t="shared" ca="1" si="1"/>
        <v>24.05.2022</v>
      </c>
      <c r="G48" s="86" t="s">
        <v>938</v>
      </c>
      <c r="H48" s="85">
        <v>1</v>
      </c>
      <c r="I48" s="85">
        <v>1</v>
      </c>
      <c r="J48" s="86" t="s">
        <v>520</v>
      </c>
      <c r="K48" s="64"/>
    </row>
    <row r="49" spans="1:11" x14ac:dyDescent="0.2">
      <c r="A49" s="7" t="str">
        <f t="shared" si="0"/>
        <v>Execução 45</v>
      </c>
      <c r="B49" s="41"/>
      <c r="C49" s="81" t="str">
        <f>IFERROR(VLOOKUP(B49,'ZM01'!B:C,2,0),"")</f>
        <v/>
      </c>
      <c r="D49" s="48" t="str">
        <f>IFERROR(VLOOKUP(B49,'ZM01'!B:I,8,0),"")</f>
        <v/>
      </c>
      <c r="E49" s="69" t="str">
        <f>IFERROR(VLOOKUP(B49,'CA01'!B:M,12,0),"")</f>
        <v/>
      </c>
      <c r="F49" s="69" t="str">
        <f t="shared" ca="1" si="1"/>
        <v>24.05.2022</v>
      </c>
      <c r="G49" s="86" t="s">
        <v>938</v>
      </c>
      <c r="H49" s="85">
        <v>1</v>
      </c>
      <c r="I49" s="85">
        <v>1</v>
      </c>
      <c r="J49" s="86" t="s">
        <v>520</v>
      </c>
      <c r="K49" s="64"/>
    </row>
    <row r="50" spans="1:11" x14ac:dyDescent="0.2">
      <c r="A50" s="7" t="str">
        <f t="shared" si="0"/>
        <v>Execução 46</v>
      </c>
      <c r="B50" s="41"/>
      <c r="C50" s="81" t="str">
        <f>IFERROR(VLOOKUP(B50,'ZM01'!B:C,2,0),"")</f>
        <v/>
      </c>
      <c r="D50" s="48" t="str">
        <f>IFERROR(VLOOKUP(B50,'ZM01'!B:I,8,0),"")</f>
        <v/>
      </c>
      <c r="E50" s="69" t="str">
        <f>IFERROR(VLOOKUP(B50,'CA01'!B:M,12,0),"")</f>
        <v/>
      </c>
      <c r="F50" s="69" t="str">
        <f t="shared" ca="1" si="1"/>
        <v>24.05.2022</v>
      </c>
      <c r="G50" s="86" t="s">
        <v>938</v>
      </c>
      <c r="H50" s="85">
        <v>1</v>
      </c>
      <c r="I50" s="85">
        <v>1</v>
      </c>
      <c r="J50" s="86" t="s">
        <v>520</v>
      </c>
      <c r="K50" s="64"/>
    </row>
    <row r="51" spans="1:11" x14ac:dyDescent="0.2">
      <c r="A51" s="7" t="str">
        <f t="shared" si="0"/>
        <v>Execução 47</v>
      </c>
      <c r="B51" s="41"/>
      <c r="C51" s="81" t="str">
        <f>IFERROR(VLOOKUP(B51,'ZM01'!B:C,2,0),"")</f>
        <v/>
      </c>
      <c r="D51" s="48" t="str">
        <f>IFERROR(VLOOKUP(B51,'ZM01'!B:I,8,0),"")</f>
        <v/>
      </c>
      <c r="E51" s="69" t="str">
        <f>IFERROR(VLOOKUP(B51,'CA01'!B:M,12,0),"")</f>
        <v/>
      </c>
      <c r="F51" s="69" t="str">
        <f t="shared" ca="1" si="1"/>
        <v>24.05.2022</v>
      </c>
      <c r="G51" s="86" t="s">
        <v>938</v>
      </c>
      <c r="H51" s="85">
        <v>1</v>
      </c>
      <c r="I51" s="85">
        <v>1</v>
      </c>
      <c r="J51" s="86" t="s">
        <v>520</v>
      </c>
      <c r="K51" s="64"/>
    </row>
    <row r="52" spans="1:11" x14ac:dyDescent="0.2">
      <c r="A52" s="7" t="str">
        <f t="shared" si="0"/>
        <v>Execução 48</v>
      </c>
      <c r="B52" s="41"/>
      <c r="C52" s="81" t="str">
        <f>IFERROR(VLOOKUP(B52,'ZM01'!B:C,2,0),"")</f>
        <v/>
      </c>
      <c r="D52" s="48" t="str">
        <f>IFERROR(VLOOKUP(B52,'ZM01'!B:I,8,0),"")</f>
        <v/>
      </c>
      <c r="E52" s="69" t="str">
        <f>IFERROR(VLOOKUP(B52,'CA01'!B:M,12,0),"")</f>
        <v/>
      </c>
      <c r="F52" s="69" t="str">
        <f t="shared" ca="1" si="1"/>
        <v>24.05.2022</v>
      </c>
      <c r="G52" s="86" t="s">
        <v>938</v>
      </c>
      <c r="H52" s="85">
        <v>1</v>
      </c>
      <c r="I52" s="85">
        <v>1</v>
      </c>
      <c r="J52" s="86" t="s">
        <v>520</v>
      </c>
      <c r="K52" s="64"/>
    </row>
    <row r="53" spans="1:11" x14ac:dyDescent="0.2">
      <c r="A53" s="7" t="str">
        <f t="shared" si="0"/>
        <v>Execução 49</v>
      </c>
      <c r="B53" s="41"/>
      <c r="C53" s="81" t="str">
        <f>IFERROR(VLOOKUP(B53,'ZM01'!B:C,2,0),"")</f>
        <v/>
      </c>
      <c r="D53" s="48" t="str">
        <f>IFERROR(VLOOKUP(B53,'ZM01'!B:I,8,0),"")</f>
        <v/>
      </c>
      <c r="E53" s="69" t="str">
        <f>IFERROR(VLOOKUP(B53,'CA01'!B:M,12,0),"")</f>
        <v/>
      </c>
      <c r="F53" s="69" t="str">
        <f t="shared" ca="1" si="1"/>
        <v>24.05.2022</v>
      </c>
      <c r="G53" s="86" t="s">
        <v>938</v>
      </c>
      <c r="H53" s="85">
        <v>1</v>
      </c>
      <c r="I53" s="85">
        <v>1</v>
      </c>
      <c r="J53" s="86" t="s">
        <v>520</v>
      </c>
      <c r="K53" s="64"/>
    </row>
    <row r="54" spans="1:11" x14ac:dyDescent="0.2">
      <c r="A54" s="7" t="str">
        <f t="shared" si="0"/>
        <v>Execução 50</v>
      </c>
      <c r="B54" s="41"/>
      <c r="C54" s="81" t="str">
        <f>IFERROR(VLOOKUP(B54,'ZM01'!B:C,2,0),"")</f>
        <v/>
      </c>
      <c r="D54" s="48" t="str">
        <f>IFERROR(VLOOKUP(B54,'ZM01'!B:I,8,0),"")</f>
        <v/>
      </c>
      <c r="E54" s="69" t="str">
        <f>IFERROR(VLOOKUP(B54,'CA01'!B:M,12,0),"")</f>
        <v/>
      </c>
      <c r="F54" s="69" t="str">
        <f t="shared" ca="1" si="1"/>
        <v>24.05.2022</v>
      </c>
      <c r="G54" s="86" t="s">
        <v>938</v>
      </c>
      <c r="H54" s="85">
        <v>1</v>
      </c>
      <c r="I54" s="85">
        <v>1</v>
      </c>
      <c r="J54" s="86" t="s">
        <v>520</v>
      </c>
      <c r="K54" s="65"/>
    </row>
  </sheetData>
  <conditionalFormatting sqref="B5">
    <cfRule type="beginsWith" dxfId="67" priority="9" operator="beginsWith" text="L">
      <formula>LEFT(B5,LEN("L"))="L"</formula>
    </cfRule>
  </conditionalFormatting>
  <conditionalFormatting sqref="B6:B14">
    <cfRule type="beginsWith" dxfId="66" priority="8" operator="beginsWith" text="L">
      <formula>LEFT(B6,LEN("L"))="L"</formula>
    </cfRule>
  </conditionalFormatting>
  <conditionalFormatting sqref="B15:B54">
    <cfRule type="beginsWith" dxfId="65" priority="7" operator="beginsWith" text="L">
      <formula>LEFT(B15,LEN("L"))="L"</formula>
    </cfRule>
  </conditionalFormatting>
  <conditionalFormatting sqref="K1:K1048576">
    <cfRule type="containsText" dxfId="64" priority="2" operator="containsText" text="criadas">
      <formula>NOT(ISERROR(SEARCH("criadas",K1)))</formula>
    </cfRule>
    <cfRule type="containsText" dxfId="63" priority="3" operator="containsText" text="é gravado">
      <formula>NOT(ISERROR(SEARCH("é gravado",K1)))</formula>
    </cfRule>
    <cfRule type="containsText" dxfId="62" priority="4" operator="containsText" text="é modificado">
      <formula>NOT(ISERROR(SEARCH("é modificado",K1)))</formula>
    </cfRule>
    <cfRule type="containsText" dxfId="61" priority="5" operator="containsText" text="Error">
      <formula>NOT(ISERROR(SEARCH("Error",K1)))</formula>
    </cfRule>
    <cfRule type="containsText" dxfId="60" priority="6" operator="containsText" text="é criado">
      <formula>NOT(ISERROR(SEARCH("é criado",K1)))</formula>
    </cfRule>
  </conditionalFormatting>
  <conditionalFormatting sqref="C5:C54">
    <cfRule type="beginsWith" dxfId="59" priority="1" operator="beginsWith" text="L">
      <formula>LEFT(C5,LEN("L"))="L"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5" name="Button 4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Dados'!$B$4:$B$5</xm:f>
          </x14:formula1>
          <xm:sqref>D5:D54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2">
    <tabColor theme="4" tint="0.79998168889431442"/>
  </sheetPr>
  <dimension ref="A1:I30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:B12"/>
    </sheetView>
  </sheetViews>
  <sheetFormatPr defaultRowHeight="12.75" x14ac:dyDescent="0.2"/>
  <cols>
    <col min="1" max="1" width="11.7109375" style="7" customWidth="1"/>
    <col min="2" max="2" width="18.5703125" style="6" customWidth="1"/>
    <col min="3" max="8" width="17.5703125" style="6" customWidth="1"/>
    <col min="9" max="9" width="85.7109375" style="1" customWidth="1"/>
    <col min="10" max="10" width="22" style="1" customWidth="1"/>
    <col min="11" max="16384" width="9.140625" style="1"/>
  </cols>
  <sheetData>
    <row r="1" spans="1:9" s="93" customFormat="1" x14ac:dyDescent="0.2">
      <c r="A1" s="7" t="s">
        <v>28</v>
      </c>
      <c r="D1" s="95"/>
      <c r="E1" s="95"/>
      <c r="F1" s="95"/>
      <c r="G1" s="95"/>
    </row>
    <row r="2" spans="1:9" s="40" customFormat="1" x14ac:dyDescent="0.2">
      <c r="A2" s="7"/>
      <c r="B2" s="39"/>
      <c r="C2" s="93"/>
      <c r="D2" s="95"/>
      <c r="E2" s="95"/>
      <c r="F2" s="95"/>
      <c r="G2" s="95"/>
      <c r="H2" s="93"/>
    </row>
    <row r="3" spans="1:9" s="93" customFormat="1" ht="15" customHeight="1" x14ac:dyDescent="0.2">
      <c r="A3" s="7" t="s">
        <v>29</v>
      </c>
      <c r="B3" s="4" t="s">
        <v>984</v>
      </c>
      <c r="C3" s="96" t="s">
        <v>985</v>
      </c>
      <c r="D3" s="96" t="s">
        <v>986</v>
      </c>
      <c r="E3" s="96" t="s">
        <v>990</v>
      </c>
      <c r="F3" s="96" t="s">
        <v>991</v>
      </c>
      <c r="G3" s="96" t="s">
        <v>992</v>
      </c>
      <c r="H3" s="96" t="s">
        <v>995</v>
      </c>
      <c r="I3" s="93" t="s">
        <v>32</v>
      </c>
    </row>
    <row r="4" spans="1:9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987</v>
      </c>
      <c r="E4" s="14" t="s">
        <v>988</v>
      </c>
      <c r="F4" s="14" t="s">
        <v>989</v>
      </c>
      <c r="G4" s="14" t="s">
        <v>993</v>
      </c>
      <c r="H4" s="14" t="s">
        <v>994</v>
      </c>
      <c r="I4" s="5" t="s">
        <v>832</v>
      </c>
    </row>
    <row r="5" spans="1:9" x14ac:dyDescent="0.2">
      <c r="A5" s="7" t="str">
        <f>"Execução "&amp;ROW()-4</f>
        <v>Execução 1</v>
      </c>
      <c r="B5" s="41"/>
      <c r="C5" s="69" t="str">
        <f>IFERROR(VLOOKUP(B5,'ZM01'!B:C,2,0),"")</f>
        <v/>
      </c>
      <c r="D5" s="97"/>
      <c r="E5" s="97"/>
      <c r="F5" s="97"/>
      <c r="G5" s="97"/>
      <c r="H5" s="97"/>
      <c r="I5" s="63"/>
    </row>
    <row r="6" spans="1:9" x14ac:dyDescent="0.2">
      <c r="A6" s="7" t="str">
        <f t="shared" ref="A6:A30" si="0">"Execução "&amp;ROW()-4</f>
        <v>Execução 2</v>
      </c>
      <c r="B6" s="41"/>
      <c r="C6" s="69" t="str">
        <f>IFERROR(VLOOKUP(B6,'ZM01'!B:C,2,0),"")</f>
        <v/>
      </c>
      <c r="D6" s="97"/>
      <c r="E6" s="97"/>
      <c r="F6" s="97"/>
      <c r="G6" s="97"/>
      <c r="H6" s="97"/>
      <c r="I6" s="63"/>
    </row>
    <row r="7" spans="1:9" x14ac:dyDescent="0.2">
      <c r="A7" s="7" t="str">
        <f t="shared" si="0"/>
        <v>Execução 3</v>
      </c>
      <c r="B7" s="41"/>
      <c r="C7" s="69" t="str">
        <f>IFERROR(VLOOKUP(B7,'ZM01'!B:C,2,0),"")</f>
        <v/>
      </c>
      <c r="D7" s="97"/>
      <c r="E7" s="97"/>
      <c r="F7" s="97"/>
      <c r="G7" s="97"/>
      <c r="H7" s="97"/>
      <c r="I7" s="63"/>
    </row>
    <row r="8" spans="1:9" x14ac:dyDescent="0.2">
      <c r="A8" s="7" t="str">
        <f t="shared" si="0"/>
        <v>Execução 4</v>
      </c>
      <c r="B8" s="41"/>
      <c r="C8" s="69" t="str">
        <f>IFERROR(VLOOKUP(B8,'ZM01'!B:C,2,0),"")</f>
        <v/>
      </c>
      <c r="D8" s="97"/>
      <c r="E8" s="97"/>
      <c r="F8" s="97"/>
      <c r="G8" s="97"/>
      <c r="H8" s="97"/>
      <c r="I8" s="63"/>
    </row>
    <row r="9" spans="1:9" x14ac:dyDescent="0.2">
      <c r="A9" s="7" t="str">
        <f t="shared" si="0"/>
        <v>Execução 5</v>
      </c>
      <c r="B9" s="41"/>
      <c r="C9" s="69" t="str">
        <f>IFERROR(VLOOKUP(B9,'ZM01'!B:C,2,0),"")</f>
        <v/>
      </c>
      <c r="D9" s="97"/>
      <c r="E9" s="97"/>
      <c r="F9" s="97"/>
      <c r="G9" s="97"/>
      <c r="H9" s="97"/>
      <c r="I9" s="63"/>
    </row>
    <row r="10" spans="1:9" x14ac:dyDescent="0.2">
      <c r="A10" s="7" t="str">
        <f t="shared" si="0"/>
        <v>Execução 6</v>
      </c>
      <c r="B10" s="41"/>
      <c r="C10" s="69" t="str">
        <f>IFERROR(VLOOKUP(B10,'ZM01'!B:C,2,0),"")</f>
        <v/>
      </c>
      <c r="D10" s="97"/>
      <c r="E10" s="97"/>
      <c r="F10" s="97"/>
      <c r="G10" s="97"/>
      <c r="H10" s="97"/>
      <c r="I10" s="63"/>
    </row>
    <row r="11" spans="1:9" x14ac:dyDescent="0.2">
      <c r="A11" s="7" t="str">
        <f t="shared" si="0"/>
        <v>Execução 7</v>
      </c>
      <c r="B11" s="41"/>
      <c r="C11" s="69" t="str">
        <f>IFERROR(VLOOKUP(B11,'ZM01'!B:C,2,0),"")</f>
        <v/>
      </c>
      <c r="D11" s="97"/>
      <c r="E11" s="97"/>
      <c r="F11" s="97"/>
      <c r="G11" s="97"/>
      <c r="H11" s="97"/>
      <c r="I11" s="63"/>
    </row>
    <row r="12" spans="1:9" x14ac:dyDescent="0.2">
      <c r="A12" s="7" t="str">
        <f t="shared" si="0"/>
        <v>Execução 8</v>
      </c>
      <c r="B12" s="41"/>
      <c r="C12" s="69" t="str">
        <f>IFERROR(VLOOKUP(B12,'ZM01'!B:C,2,0),"")</f>
        <v/>
      </c>
      <c r="D12" s="97"/>
      <c r="E12" s="97"/>
      <c r="F12" s="97"/>
      <c r="G12" s="97"/>
      <c r="H12" s="97"/>
      <c r="I12" s="63"/>
    </row>
    <row r="13" spans="1:9" x14ac:dyDescent="0.2">
      <c r="A13" s="7" t="str">
        <f t="shared" si="0"/>
        <v>Execução 9</v>
      </c>
      <c r="B13" s="41"/>
      <c r="C13" s="69" t="str">
        <f>IFERROR(VLOOKUP(B13,'ZM01'!B:C,2,0),"")</f>
        <v/>
      </c>
      <c r="D13" s="97"/>
      <c r="E13" s="97"/>
      <c r="F13" s="97"/>
      <c r="G13" s="97"/>
      <c r="H13" s="97"/>
      <c r="I13" s="63"/>
    </row>
    <row r="14" spans="1:9" x14ac:dyDescent="0.2">
      <c r="A14" s="7" t="str">
        <f t="shared" si="0"/>
        <v>Execução 10</v>
      </c>
      <c r="B14" s="41"/>
      <c r="C14" s="69" t="str">
        <f>IFERROR(VLOOKUP(B14,'ZM01'!B:C,2,0),"")</f>
        <v/>
      </c>
      <c r="D14" s="97"/>
      <c r="E14" s="97"/>
      <c r="F14" s="97"/>
      <c r="G14" s="97"/>
      <c r="H14" s="97"/>
      <c r="I14" s="63"/>
    </row>
    <row r="15" spans="1:9" x14ac:dyDescent="0.2">
      <c r="A15" s="7" t="str">
        <f t="shared" si="0"/>
        <v>Execução 11</v>
      </c>
      <c r="B15" s="41"/>
      <c r="C15" s="69" t="str">
        <f>IFERROR(VLOOKUP(B15,'ZM01'!B:C,2,0),"")</f>
        <v/>
      </c>
      <c r="D15" s="97"/>
      <c r="E15" s="97"/>
      <c r="F15" s="97"/>
      <c r="G15" s="97"/>
      <c r="H15" s="97"/>
      <c r="I15" s="63"/>
    </row>
    <row r="16" spans="1:9" x14ac:dyDescent="0.2">
      <c r="A16" s="7" t="str">
        <f t="shared" si="0"/>
        <v>Execução 12</v>
      </c>
      <c r="B16" s="41"/>
      <c r="C16" s="69" t="str">
        <f>IFERROR(VLOOKUP(B16,'ZM01'!B:C,2,0),"")</f>
        <v/>
      </c>
      <c r="D16" s="97"/>
      <c r="E16" s="97"/>
      <c r="F16" s="97"/>
      <c r="G16" s="97"/>
      <c r="H16" s="97"/>
      <c r="I16" s="63"/>
    </row>
    <row r="17" spans="1:9" x14ac:dyDescent="0.2">
      <c r="A17" s="7" t="str">
        <f t="shared" si="0"/>
        <v>Execução 13</v>
      </c>
      <c r="B17" s="41"/>
      <c r="C17" s="69" t="str">
        <f>IFERROR(VLOOKUP(B17,'ZM01'!B:C,2,0),"")</f>
        <v/>
      </c>
      <c r="D17" s="97"/>
      <c r="E17" s="97"/>
      <c r="F17" s="97"/>
      <c r="G17" s="97"/>
      <c r="H17" s="97"/>
      <c r="I17" s="63"/>
    </row>
    <row r="18" spans="1:9" x14ac:dyDescent="0.2">
      <c r="A18" s="7" t="str">
        <f t="shared" si="0"/>
        <v>Execução 14</v>
      </c>
      <c r="B18" s="41"/>
      <c r="C18" s="69" t="str">
        <f>IFERROR(VLOOKUP(B18,'ZM01'!B:C,2,0),"")</f>
        <v/>
      </c>
      <c r="D18" s="97"/>
      <c r="E18" s="97"/>
      <c r="F18" s="97"/>
      <c r="G18" s="97"/>
      <c r="H18" s="97"/>
      <c r="I18" s="63"/>
    </row>
    <row r="19" spans="1:9" x14ac:dyDescent="0.2">
      <c r="A19" s="7" t="str">
        <f t="shared" si="0"/>
        <v>Execução 15</v>
      </c>
      <c r="B19" s="41"/>
      <c r="C19" s="69" t="str">
        <f>IFERROR(VLOOKUP(B19,'ZM01'!B:C,2,0),"")</f>
        <v/>
      </c>
      <c r="D19" s="97"/>
      <c r="E19" s="97"/>
      <c r="F19" s="97"/>
      <c r="G19" s="97"/>
      <c r="H19" s="97"/>
      <c r="I19" s="63"/>
    </row>
    <row r="20" spans="1:9" x14ac:dyDescent="0.2">
      <c r="A20" s="7" t="str">
        <f t="shared" si="0"/>
        <v>Execução 16</v>
      </c>
      <c r="B20" s="41"/>
      <c r="C20" s="69" t="str">
        <f>IFERROR(VLOOKUP(B20,'ZM01'!B:C,2,0),"")</f>
        <v/>
      </c>
      <c r="D20" s="97"/>
      <c r="E20" s="97"/>
      <c r="F20" s="97"/>
      <c r="G20" s="97"/>
      <c r="H20" s="97"/>
      <c r="I20" s="63"/>
    </row>
    <row r="21" spans="1:9" x14ac:dyDescent="0.2">
      <c r="A21" s="7" t="str">
        <f t="shared" si="0"/>
        <v>Execução 17</v>
      </c>
      <c r="B21" s="41"/>
      <c r="C21" s="69" t="str">
        <f>IFERROR(VLOOKUP(B21,'ZM01'!B:C,2,0),"")</f>
        <v/>
      </c>
      <c r="D21" s="97"/>
      <c r="E21" s="97"/>
      <c r="F21" s="97"/>
      <c r="G21" s="97"/>
      <c r="H21" s="97"/>
      <c r="I21" s="63"/>
    </row>
    <row r="22" spans="1:9" x14ac:dyDescent="0.2">
      <c r="A22" s="7" t="str">
        <f t="shared" si="0"/>
        <v>Execução 18</v>
      </c>
      <c r="B22" s="41"/>
      <c r="C22" s="69" t="str">
        <f>IFERROR(VLOOKUP(B22,'ZM01'!B:C,2,0),"")</f>
        <v/>
      </c>
      <c r="D22" s="97"/>
      <c r="E22" s="97"/>
      <c r="F22" s="97"/>
      <c r="G22" s="97"/>
      <c r="H22" s="97"/>
      <c r="I22" s="63"/>
    </row>
    <row r="23" spans="1:9" x14ac:dyDescent="0.2">
      <c r="A23" s="7" t="str">
        <f t="shared" si="0"/>
        <v>Execução 19</v>
      </c>
      <c r="B23" s="41"/>
      <c r="C23" s="69" t="str">
        <f>IFERROR(VLOOKUP(B23,'ZM01'!B:C,2,0),"")</f>
        <v/>
      </c>
      <c r="D23" s="97"/>
      <c r="E23" s="97"/>
      <c r="F23" s="97"/>
      <c r="G23" s="97"/>
      <c r="H23" s="97"/>
      <c r="I23" s="63"/>
    </row>
    <row r="24" spans="1:9" x14ac:dyDescent="0.2">
      <c r="A24" s="7" t="str">
        <f t="shared" si="0"/>
        <v>Execução 20</v>
      </c>
      <c r="B24" s="41"/>
      <c r="C24" s="69" t="str">
        <f>IFERROR(VLOOKUP(B24,'ZM01'!B:C,2,0),"")</f>
        <v/>
      </c>
      <c r="D24" s="97"/>
      <c r="E24" s="97"/>
      <c r="F24" s="97"/>
      <c r="G24" s="97"/>
      <c r="H24" s="97"/>
      <c r="I24" s="63"/>
    </row>
    <row r="25" spans="1:9" x14ac:dyDescent="0.2">
      <c r="A25" s="7" t="str">
        <f t="shared" si="0"/>
        <v>Execução 21</v>
      </c>
      <c r="B25" s="41"/>
      <c r="C25" s="69" t="str">
        <f>IFERROR(VLOOKUP(B25,'ZM01'!B:C,2,0),"")</f>
        <v/>
      </c>
      <c r="D25" s="97"/>
      <c r="E25" s="97"/>
      <c r="F25" s="97"/>
      <c r="G25" s="97"/>
      <c r="H25" s="97"/>
      <c r="I25" s="63"/>
    </row>
    <row r="26" spans="1:9" x14ac:dyDescent="0.2">
      <c r="A26" s="7" t="str">
        <f t="shared" si="0"/>
        <v>Execução 22</v>
      </c>
      <c r="B26" s="41"/>
      <c r="C26" s="69" t="str">
        <f>IFERROR(VLOOKUP(B26,'ZM01'!B:C,2,0),"")</f>
        <v/>
      </c>
      <c r="D26" s="97"/>
      <c r="E26" s="97"/>
      <c r="F26" s="97"/>
      <c r="G26" s="97"/>
      <c r="H26" s="97"/>
      <c r="I26" s="63"/>
    </row>
    <row r="27" spans="1:9" x14ac:dyDescent="0.2">
      <c r="A27" s="7" t="str">
        <f t="shared" si="0"/>
        <v>Execução 23</v>
      </c>
      <c r="B27" s="41"/>
      <c r="C27" s="69" t="str">
        <f>IFERROR(VLOOKUP(B27,'ZM01'!B:C,2,0),"")</f>
        <v/>
      </c>
      <c r="D27" s="97"/>
      <c r="E27" s="97"/>
      <c r="F27" s="97"/>
      <c r="G27" s="97"/>
      <c r="H27" s="97"/>
      <c r="I27" s="63"/>
    </row>
    <row r="28" spans="1:9" x14ac:dyDescent="0.2">
      <c r="A28" s="7" t="str">
        <f t="shared" si="0"/>
        <v>Execução 24</v>
      </c>
      <c r="B28" s="41"/>
      <c r="C28" s="69" t="str">
        <f>IFERROR(VLOOKUP(B28,'ZM01'!B:C,2,0),"")</f>
        <v/>
      </c>
      <c r="D28" s="97"/>
      <c r="E28" s="97"/>
      <c r="F28" s="97"/>
      <c r="G28" s="97"/>
      <c r="H28" s="97"/>
      <c r="I28" s="63"/>
    </row>
    <row r="29" spans="1:9" x14ac:dyDescent="0.2">
      <c r="A29" s="7" t="str">
        <f t="shared" si="0"/>
        <v>Execução 25</v>
      </c>
      <c r="B29" s="41"/>
      <c r="C29" s="69" t="str">
        <f>IFERROR(VLOOKUP(B29,'ZM01'!B:C,2,0),"")</f>
        <v/>
      </c>
      <c r="D29" s="97"/>
      <c r="E29" s="97"/>
      <c r="F29" s="97"/>
      <c r="G29" s="97"/>
      <c r="H29" s="97"/>
      <c r="I29" s="63"/>
    </row>
    <row r="30" spans="1:9" x14ac:dyDescent="0.2">
      <c r="A30" s="7" t="str">
        <f t="shared" si="0"/>
        <v>Execução 26</v>
      </c>
      <c r="B30" s="41"/>
      <c r="C30" s="69" t="str">
        <f>IFERROR(VLOOKUP(B30,'ZM01'!B:C,2,0),"")</f>
        <v/>
      </c>
      <c r="D30" s="97"/>
      <c r="E30" s="97"/>
      <c r="F30" s="97"/>
      <c r="G30" s="97"/>
      <c r="H30" s="97"/>
      <c r="I30" s="63"/>
    </row>
  </sheetData>
  <conditionalFormatting sqref="B5">
    <cfRule type="beginsWith" dxfId="58" priority="20" operator="beginsWith" text="L">
      <formula>LEFT(B5,LEN("L"))="L"</formula>
    </cfRule>
  </conditionalFormatting>
  <conditionalFormatting sqref="I1:I5 I31:I1048576">
    <cfRule type="containsText" dxfId="57" priority="14" operator="containsText" text="será criado">
      <formula>NOT(ISERROR(SEARCH("será criado",I1)))</formula>
    </cfRule>
    <cfRule type="containsText" dxfId="56" priority="15" operator="containsText" text="criadas">
      <formula>NOT(ISERROR(SEARCH("criadas",I1)))</formula>
    </cfRule>
    <cfRule type="containsText" dxfId="55" priority="16" operator="containsText" text="é gravado">
      <formula>NOT(ISERROR(SEARCH("é gravado",I1)))</formula>
    </cfRule>
    <cfRule type="containsText" dxfId="54" priority="17" operator="containsText" text="é modificado">
      <formula>NOT(ISERROR(SEARCH("é modificado",I1)))</formula>
    </cfRule>
    <cfRule type="containsText" dxfId="53" priority="18" operator="containsText" text="Error">
      <formula>NOT(ISERROR(SEARCH("Error",I1)))</formula>
    </cfRule>
    <cfRule type="containsText" dxfId="52" priority="19" operator="containsText" text="é criado">
      <formula>NOT(ISERROR(SEARCH("é criado",I1)))</formula>
    </cfRule>
  </conditionalFormatting>
  <conditionalFormatting sqref="B6:B30">
    <cfRule type="beginsWith" dxfId="51" priority="12" operator="beginsWith" text="L">
      <formula>LEFT(B6,LEN("L"))="L"</formula>
    </cfRule>
  </conditionalFormatting>
  <conditionalFormatting sqref="I6:I30">
    <cfRule type="containsText" dxfId="50" priority="6" operator="containsText" text="será criado">
      <formula>NOT(ISERROR(SEARCH("será criado",I6)))</formula>
    </cfRule>
    <cfRule type="containsText" dxfId="49" priority="7" operator="containsText" text="criadas">
      <formula>NOT(ISERROR(SEARCH("criadas",I6)))</formula>
    </cfRule>
    <cfRule type="containsText" dxfId="48" priority="8" operator="containsText" text="é gravado">
      <formula>NOT(ISERROR(SEARCH("é gravado",I6)))</formula>
    </cfRule>
    <cfRule type="containsText" dxfId="47" priority="9" operator="containsText" text="é modificado">
      <formula>NOT(ISERROR(SEARCH("é modificado",I6)))</formula>
    </cfRule>
    <cfRule type="containsText" dxfId="46" priority="10" operator="containsText" text="Error">
      <formula>NOT(ISERROR(SEARCH("Error",I6)))</formula>
    </cfRule>
    <cfRule type="containsText" dxfId="45" priority="11" operator="containsText" text="é criado">
      <formula>NOT(ISERROR(SEARCH("é criado",I6)))</formula>
    </cfRule>
  </conditionalFormatting>
  <conditionalFormatting sqref="H5">
    <cfRule type="beginsWith" dxfId="44" priority="5" operator="beginsWith" text="L">
      <formula>LEFT(H5,LEN("L"))="L"</formula>
    </cfRule>
  </conditionalFormatting>
  <conditionalFormatting sqref="E5">
    <cfRule type="beginsWith" dxfId="43" priority="4" operator="beginsWith" text="L">
      <formula>LEFT(E5,LEN("L"))="L"</formula>
    </cfRule>
  </conditionalFormatting>
  <conditionalFormatting sqref="D5">
    <cfRule type="beginsWith" dxfId="42" priority="3" operator="beginsWith" text="L">
      <formula>LEFT(D5,LEN("L"))="L"</formula>
    </cfRule>
  </conditionalFormatting>
  <conditionalFormatting sqref="G5">
    <cfRule type="beginsWith" dxfId="41" priority="2" operator="beginsWith" text="L">
      <formula>LEFT(G5,LEN("L"))="L"</formula>
    </cfRule>
  </conditionalFormatting>
  <conditionalFormatting sqref="F5">
    <cfRule type="beginsWith" dxfId="40" priority="1" operator="beginsWith" text="L">
      <formula>LEFT(F5,LEN("L"))="L"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3">
    <tabColor theme="4" tint="0.79998168889431442"/>
  </sheetPr>
  <dimension ref="A1:AO30"/>
  <sheetViews>
    <sheetView showGridLines="0" showRowColHeaders="0" workbookViewId="0">
      <pane xSplit="2" ySplit="4" topLeftCell="D5" activePane="bottomRight" state="frozen"/>
      <selection pane="topRight" activeCell="D1" sqref="D1"/>
      <selection pane="bottomLeft" activeCell="A5" sqref="A5"/>
      <selection pane="bottomRight" activeCell="B5" sqref="B5:B10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25.140625" style="6" customWidth="1"/>
    <col min="4" max="4" width="22.42578125" style="6" customWidth="1" outlineLevel="1"/>
    <col min="5" max="5" width="18.140625" style="6" customWidth="1" outlineLevel="1"/>
    <col min="6" max="6" width="22.85546875" style="6" customWidth="1" outlineLevel="1"/>
    <col min="7" max="7" width="23.42578125" style="6" customWidth="1" outlineLevel="1"/>
    <col min="8" max="8" width="18.85546875" style="6" customWidth="1" outlineLevel="1"/>
    <col min="9" max="9" width="11.7109375" style="6" customWidth="1"/>
    <col min="10" max="11" width="21.7109375" style="6" hidden="1" customWidth="1" outlineLevel="1"/>
    <col min="12" max="12" width="22.28515625" style="6" hidden="1" customWidth="1" outlineLevel="1"/>
    <col min="13" max="13" width="28.140625" style="6" hidden="1" customWidth="1" outlineLevel="1"/>
    <col min="14" max="18" width="8" style="6" hidden="1" customWidth="1" outlineLevel="1"/>
    <col min="19" max="36" width="9.140625" style="6" hidden="1" customWidth="1" outlineLevel="1"/>
    <col min="37" max="37" width="19.140625" style="6" customWidth="1" collapsed="1"/>
    <col min="38" max="38" width="22.85546875" style="6" bestFit="1" customWidth="1"/>
    <col min="39" max="39" width="22.7109375" style="6" customWidth="1"/>
    <col min="40" max="40" width="22.7109375" style="6" hidden="1" customWidth="1"/>
    <col min="41" max="41" width="85.7109375" style="1" customWidth="1"/>
    <col min="42" max="42" width="22" style="1" customWidth="1"/>
    <col min="43" max="16384" width="9.140625" style="1"/>
  </cols>
  <sheetData>
    <row r="1" spans="1:41" s="99" customFormat="1" x14ac:dyDescent="0.2">
      <c r="A1" s="7" t="s">
        <v>28</v>
      </c>
      <c r="I1" s="107" t="s">
        <v>170</v>
      </c>
      <c r="AK1" s="107" t="s">
        <v>127</v>
      </c>
    </row>
    <row r="2" spans="1:41" s="40" customFormat="1" x14ac:dyDescent="0.2">
      <c r="A2" s="7"/>
      <c r="B2" s="39"/>
      <c r="C2" s="39"/>
      <c r="D2" s="99"/>
      <c r="E2" s="99"/>
      <c r="F2" s="99"/>
      <c r="G2" s="99"/>
      <c r="H2" s="99"/>
      <c r="I2" s="107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99"/>
      <c r="AK2" s="107"/>
      <c r="AL2" s="99"/>
      <c r="AM2" s="99"/>
      <c r="AN2" s="99" t="s">
        <v>522</v>
      </c>
    </row>
    <row r="3" spans="1:41" s="99" customFormat="1" ht="15" customHeight="1" x14ac:dyDescent="0.2">
      <c r="A3" s="7" t="s">
        <v>29</v>
      </c>
      <c r="B3" s="4" t="s">
        <v>94</v>
      </c>
      <c r="C3" s="98"/>
      <c r="D3" s="98" t="s">
        <v>1022</v>
      </c>
      <c r="E3" s="98" t="s">
        <v>158</v>
      </c>
      <c r="F3" s="98" t="s">
        <v>1023</v>
      </c>
      <c r="G3" s="98" t="s">
        <v>1020</v>
      </c>
      <c r="H3" s="98" t="s">
        <v>161</v>
      </c>
      <c r="I3" s="98"/>
      <c r="J3" s="106" t="s">
        <v>155</v>
      </c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  <c r="AA3" s="106"/>
      <c r="AB3" s="106"/>
      <c r="AC3" s="106"/>
      <c r="AD3" s="106"/>
      <c r="AE3" s="106"/>
      <c r="AF3" s="106"/>
      <c r="AG3" s="106"/>
      <c r="AH3" s="106"/>
      <c r="AI3" s="106"/>
      <c r="AJ3" s="106"/>
      <c r="AK3" s="98"/>
      <c r="AL3" s="98" t="s">
        <v>1018</v>
      </c>
      <c r="AM3" s="98" t="s">
        <v>160</v>
      </c>
      <c r="AN3" s="98" t="s">
        <v>160</v>
      </c>
      <c r="AO3" s="99" t="s">
        <v>32</v>
      </c>
    </row>
    <row r="4" spans="1:41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0</v>
      </c>
      <c r="E4" s="14" t="s">
        <v>1</v>
      </c>
      <c r="F4" s="14" t="s">
        <v>159</v>
      </c>
      <c r="G4" s="14" t="s">
        <v>2</v>
      </c>
      <c r="H4" s="14" t="s">
        <v>162</v>
      </c>
      <c r="I4" s="14"/>
      <c r="J4" s="14" t="s">
        <v>128</v>
      </c>
      <c r="K4" s="14" t="s">
        <v>129</v>
      </c>
      <c r="L4" s="14" t="s">
        <v>130</v>
      </c>
      <c r="M4" s="14" t="s">
        <v>131</v>
      </c>
      <c r="N4" s="14" t="s">
        <v>132</v>
      </c>
      <c r="O4" s="14" t="s">
        <v>133</v>
      </c>
      <c r="P4" s="14" t="s">
        <v>134</v>
      </c>
      <c r="Q4" s="14" t="s">
        <v>135</v>
      </c>
      <c r="R4" s="14" t="s">
        <v>136</v>
      </c>
      <c r="S4" s="14" t="s">
        <v>137</v>
      </c>
      <c r="T4" s="14" t="s">
        <v>138</v>
      </c>
      <c r="U4" s="14" t="s">
        <v>139</v>
      </c>
      <c r="V4" s="14" t="s">
        <v>140</v>
      </c>
      <c r="W4" s="14" t="s">
        <v>141</v>
      </c>
      <c r="X4" s="14" t="s">
        <v>142</v>
      </c>
      <c r="Y4" s="14" t="s">
        <v>143</v>
      </c>
      <c r="Z4" s="14" t="s">
        <v>144</v>
      </c>
      <c r="AA4" s="14" t="s">
        <v>145</v>
      </c>
      <c r="AB4" s="14" t="s">
        <v>146</v>
      </c>
      <c r="AC4" s="14" t="s">
        <v>147</v>
      </c>
      <c r="AD4" s="14" t="s">
        <v>148</v>
      </c>
      <c r="AE4" s="14" t="s">
        <v>149</v>
      </c>
      <c r="AF4" s="14" t="s">
        <v>150</v>
      </c>
      <c r="AG4" s="14" t="s">
        <v>151</v>
      </c>
      <c r="AH4" s="14" t="s">
        <v>152</v>
      </c>
      <c r="AI4" s="14" t="s">
        <v>153</v>
      </c>
      <c r="AJ4" s="14" t="s">
        <v>154</v>
      </c>
      <c r="AK4" s="14"/>
      <c r="AL4" s="14" t="s">
        <v>1019</v>
      </c>
      <c r="AM4" s="14" t="s">
        <v>1021</v>
      </c>
      <c r="AN4" s="14"/>
      <c r="AO4" s="5" t="s">
        <v>832</v>
      </c>
    </row>
    <row r="5" spans="1:41" x14ac:dyDescent="0.2">
      <c r="A5" s="7" t="str">
        <f>"Execução "&amp;ROW()-4</f>
        <v>Execução 1</v>
      </c>
      <c r="B5" s="41"/>
      <c r="C5" s="81" t="str">
        <f>IFERROR(VLOOKUP(B5,'ZM01'!B:C,2,0),"")</f>
        <v/>
      </c>
      <c r="D5" s="69" t="str">
        <f>IFERROR(INDEX('ZM01'!$A:$DT,MATCH('MM01'!$B5,'ZM01'!$B:$B,0),MATCH(SUBSTITUTE('MM01'!D$3,"_REF",""),'ZM01'!$3:$3,0)),"")</f>
        <v/>
      </c>
      <c r="E5" s="69" t="str">
        <f>IFERROR(INDEX('ZM01'!$A:$DT,MATCH('MM01'!$B5,'ZM01'!$B:$B,0),MATCH(SUBSTITUTE('MM01'!E$3,"_REF",""),'ZM01'!$3:$3,0)),"")</f>
        <v/>
      </c>
      <c r="F5" s="69" t="str">
        <f>IFERROR(INDEX('ZM01'!$A:$DT,MATCH('MM01'!$B5,'ZM01'!$B:$B,0),MATCH(SUBSTITUTE('MM01'!F$3,"_REF",""),'ZM01'!$3:$3,0)),"")</f>
        <v/>
      </c>
      <c r="G5" s="69" t="str">
        <f>IFERROR(INDEX('ZM01'!$A:$DT,MATCH('MM01'!$B5,'ZM01'!$B:$B,0),MATCH(SUBSTITUTE('MM01'!G$3,"_REF",""),'ZM01'!$3:$3,0)),"")</f>
        <v/>
      </c>
      <c r="H5" s="69" t="str">
        <f>IFERROR(INDEX('ZM01'!$A:$DT,MATCH('MM01'!$B5,'ZM01'!$B:$B,0),MATCH(SUBSTITUTE('MM01'!H$3,"_REF",""),'ZM01'!$3:$3,0)),"")</f>
        <v/>
      </c>
      <c r="J5" s="44" t="s">
        <v>104</v>
      </c>
      <c r="K5" s="44" t="s">
        <v>105</v>
      </c>
      <c r="L5" s="44" t="s">
        <v>106</v>
      </c>
      <c r="M5" s="44" t="s">
        <v>107</v>
      </c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L5" s="69" t="str">
        <f>IF(B5&lt;&gt;"",B5,"")</f>
        <v/>
      </c>
      <c r="AM5" s="104" t="str">
        <f>IF(LEN(AN5)&lt;2,"0"&amp;AN5,AN5)</f>
        <v>0</v>
      </c>
      <c r="AN5" s="42" t="str">
        <f>IFERROR(IF(INDEX(Estrutura_P01[],MATCH($C5,Estrutura_P01[txtMAKT-MAKTX],0),MATCH(AN$3,Estrutura_P01[#Headers],0))=0,"",INDEX(Estrutura_P01[],MATCH($C5,Estrutura_P01[txtMAKT-MAKTX],0),MATCH(AN$3,Estrutura_P01[#Headers],0))),"")</f>
        <v/>
      </c>
      <c r="AO5" s="63"/>
    </row>
    <row r="6" spans="1:41" x14ac:dyDescent="0.2">
      <c r="A6" s="7" t="str">
        <f t="shared" ref="A6:A30" si="0">"Execução "&amp;ROW()-4</f>
        <v>Execução 2</v>
      </c>
      <c r="B6" s="41"/>
      <c r="C6" s="81" t="str">
        <f>IFERROR(VLOOKUP(B6,'ZM01'!B:C,2,0),"")</f>
        <v/>
      </c>
      <c r="D6" s="69" t="str">
        <f>IFERROR(INDEX('ZM01'!$A:$DT,MATCH('MM01'!$B6,'ZM01'!$B:$B,0),MATCH(SUBSTITUTE('MM01'!D$3,"_REF",""),'ZM01'!$3:$3,0)),"")</f>
        <v/>
      </c>
      <c r="E6" s="69" t="str">
        <f>IFERROR(INDEX('ZM01'!$A:$DT,MATCH('MM01'!$B6,'ZM01'!$B:$B,0),MATCH(SUBSTITUTE('MM01'!E$3,"_REF",""),'ZM01'!$3:$3,0)),"")</f>
        <v/>
      </c>
      <c r="F6" s="69" t="str">
        <f>IFERROR(INDEX('ZM01'!$A:$DT,MATCH('MM01'!$B6,'ZM01'!$B:$B,0),MATCH(SUBSTITUTE('MM01'!F$3,"_REF",""),'ZM01'!$3:$3,0)),"")</f>
        <v/>
      </c>
      <c r="G6" s="69" t="str">
        <f>IFERROR(INDEX('ZM01'!$A:$DT,MATCH('MM01'!$B6,'ZM01'!$B:$B,0),MATCH(SUBSTITUTE('MM01'!G$3,"_REF",""),'ZM01'!$3:$3,0)),"")</f>
        <v/>
      </c>
      <c r="H6" s="69" t="str">
        <f>IFERROR(INDEX('ZM01'!$A:$DT,MATCH('MM01'!$B6,'ZM01'!$B:$B,0),MATCH(SUBSTITUTE('MM01'!H$3,"_REF",""),'ZM01'!$3:$3,0)),"")</f>
        <v/>
      </c>
      <c r="J6" s="44" t="s">
        <v>104</v>
      </c>
      <c r="K6" s="44" t="s">
        <v>105</v>
      </c>
      <c r="L6" s="44" t="s">
        <v>106</v>
      </c>
      <c r="M6" s="44" t="s">
        <v>107</v>
      </c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L6" s="69" t="str">
        <f t="shared" ref="AL6:AL30" si="1">IF(B6&lt;&gt;"",B6,"")</f>
        <v/>
      </c>
      <c r="AM6" s="104" t="str">
        <f t="shared" ref="AM6:AM30" si="2">IF(LEN(AN6)&lt;2,"0"&amp;AN6,AN6)</f>
        <v>0</v>
      </c>
      <c r="AN6" s="42" t="str">
        <f>IFERROR(IF(INDEX(Estrutura_P01[],MATCH($C6,Estrutura_P01[txtMAKT-MAKTX],0),MATCH(AN$3,Estrutura_P01[#Headers],0))=0,"",INDEX(Estrutura_P01[],MATCH($C6,Estrutura_P01[txtMAKT-MAKTX],0),MATCH(AN$3,Estrutura_P01[#Headers],0))),"")</f>
        <v/>
      </c>
      <c r="AO6" s="63"/>
    </row>
    <row r="7" spans="1:41" x14ac:dyDescent="0.2">
      <c r="A7" s="7" t="str">
        <f t="shared" si="0"/>
        <v>Execução 3</v>
      </c>
      <c r="B7" s="41"/>
      <c r="C7" s="81" t="str">
        <f>IFERROR(VLOOKUP(B7,'ZM01'!B:C,2,0),"")</f>
        <v/>
      </c>
      <c r="D7" s="69" t="str">
        <f>IFERROR(INDEX('ZM01'!$A:$DT,MATCH('MM01'!$B7,'ZM01'!$B:$B,0),MATCH(SUBSTITUTE('MM01'!D$3,"_REF",""),'ZM01'!$3:$3,0)),"")</f>
        <v/>
      </c>
      <c r="E7" s="69" t="str">
        <f>IFERROR(INDEX('ZM01'!$A:$DT,MATCH('MM01'!$B7,'ZM01'!$B:$B,0),MATCH(SUBSTITUTE('MM01'!E$3,"_REF",""),'ZM01'!$3:$3,0)),"")</f>
        <v/>
      </c>
      <c r="F7" s="69" t="str">
        <f>IFERROR(INDEX('ZM01'!$A:$DT,MATCH('MM01'!$B7,'ZM01'!$B:$B,0),MATCH(SUBSTITUTE('MM01'!F$3,"_REF",""),'ZM01'!$3:$3,0)),"")</f>
        <v/>
      </c>
      <c r="G7" s="69" t="str">
        <f>IFERROR(INDEX('ZM01'!$A:$DT,MATCH('MM01'!$B7,'ZM01'!$B:$B,0),MATCH(SUBSTITUTE('MM01'!G$3,"_REF",""),'ZM01'!$3:$3,0)),"")</f>
        <v/>
      </c>
      <c r="H7" s="69" t="str">
        <f>IFERROR(INDEX('ZM01'!$A:$DT,MATCH('MM01'!$B7,'ZM01'!$B:$B,0),MATCH(SUBSTITUTE('MM01'!H$3,"_REF",""),'ZM01'!$3:$3,0)),"")</f>
        <v/>
      </c>
      <c r="J7" s="44" t="s">
        <v>104</v>
      </c>
      <c r="K7" s="44" t="s">
        <v>105</v>
      </c>
      <c r="L7" s="44" t="s">
        <v>106</v>
      </c>
      <c r="M7" s="44" t="s">
        <v>107</v>
      </c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L7" s="69" t="str">
        <f t="shared" si="1"/>
        <v/>
      </c>
      <c r="AM7" s="104" t="str">
        <f t="shared" si="2"/>
        <v>0</v>
      </c>
      <c r="AN7" s="42" t="str">
        <f>IFERROR(IF(INDEX(Estrutura_P01[],MATCH($C7,Estrutura_P01[txtMAKT-MAKTX],0),MATCH(AN$3,Estrutura_P01[#Headers],0))=0,"",INDEX(Estrutura_P01[],MATCH($C7,Estrutura_P01[txtMAKT-MAKTX],0),MATCH(AN$3,Estrutura_P01[#Headers],0))),"")</f>
        <v/>
      </c>
      <c r="AO7" s="63"/>
    </row>
    <row r="8" spans="1:41" x14ac:dyDescent="0.2">
      <c r="A8" s="7" t="str">
        <f t="shared" si="0"/>
        <v>Execução 4</v>
      </c>
      <c r="B8" s="41"/>
      <c r="C8" s="81" t="str">
        <f>IFERROR(VLOOKUP(B8,'ZM01'!B:C,2,0),"")</f>
        <v/>
      </c>
      <c r="D8" s="69" t="str">
        <f>IFERROR(INDEX('ZM01'!$A:$DT,MATCH('MM01'!$B8,'ZM01'!$B:$B,0),MATCH(SUBSTITUTE('MM01'!D$3,"_REF",""),'ZM01'!$3:$3,0)),"")</f>
        <v/>
      </c>
      <c r="E8" s="69" t="str">
        <f>IFERROR(INDEX('ZM01'!$A:$DT,MATCH('MM01'!$B8,'ZM01'!$B:$B,0),MATCH(SUBSTITUTE('MM01'!E$3,"_REF",""),'ZM01'!$3:$3,0)),"")</f>
        <v/>
      </c>
      <c r="F8" s="69" t="str">
        <f>IFERROR(INDEX('ZM01'!$A:$DT,MATCH('MM01'!$B8,'ZM01'!$B:$B,0),MATCH(SUBSTITUTE('MM01'!F$3,"_REF",""),'ZM01'!$3:$3,0)),"")</f>
        <v/>
      </c>
      <c r="G8" s="69" t="str">
        <f>IFERROR(INDEX('ZM01'!$A:$DT,MATCH('MM01'!$B8,'ZM01'!$B:$B,0),MATCH(SUBSTITUTE('MM01'!G$3,"_REF",""),'ZM01'!$3:$3,0)),"")</f>
        <v/>
      </c>
      <c r="H8" s="69" t="str">
        <f>IFERROR(INDEX('ZM01'!$A:$DT,MATCH('MM01'!$B8,'ZM01'!$B:$B,0),MATCH(SUBSTITUTE('MM01'!H$3,"_REF",""),'ZM01'!$3:$3,0)),"")</f>
        <v/>
      </c>
      <c r="J8" s="44" t="s">
        <v>104</v>
      </c>
      <c r="K8" s="44" t="s">
        <v>105</v>
      </c>
      <c r="L8" s="44" t="s">
        <v>106</v>
      </c>
      <c r="M8" s="44" t="s">
        <v>107</v>
      </c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L8" s="69" t="str">
        <f t="shared" si="1"/>
        <v/>
      </c>
      <c r="AM8" s="104" t="str">
        <f t="shared" si="2"/>
        <v>0</v>
      </c>
      <c r="AN8" s="42" t="str">
        <f>IFERROR(IF(INDEX(Estrutura_P01[],MATCH($C8,Estrutura_P01[txtMAKT-MAKTX],0),MATCH(AN$3,Estrutura_P01[#Headers],0))=0,"",INDEX(Estrutura_P01[],MATCH($C8,Estrutura_P01[txtMAKT-MAKTX],0),MATCH(AN$3,Estrutura_P01[#Headers],0))),"")</f>
        <v/>
      </c>
      <c r="AO8" s="63"/>
    </row>
    <row r="9" spans="1:41" x14ac:dyDescent="0.2">
      <c r="A9" s="7" t="str">
        <f t="shared" si="0"/>
        <v>Execução 5</v>
      </c>
      <c r="B9" s="41"/>
      <c r="C9" s="81" t="str">
        <f>IFERROR(VLOOKUP(B9,'ZM01'!B:C,2,0),"")</f>
        <v/>
      </c>
      <c r="D9" s="69" t="str">
        <f>IFERROR(INDEX('ZM01'!$A:$DT,MATCH('MM01'!$B9,'ZM01'!$B:$B,0),MATCH(SUBSTITUTE('MM01'!D$3,"_REF",""),'ZM01'!$3:$3,0)),"")</f>
        <v/>
      </c>
      <c r="E9" s="69" t="str">
        <f>IFERROR(INDEX('ZM01'!$A:$DT,MATCH('MM01'!$B9,'ZM01'!$B:$B,0),MATCH(SUBSTITUTE('MM01'!E$3,"_REF",""),'ZM01'!$3:$3,0)),"")</f>
        <v/>
      </c>
      <c r="F9" s="69" t="str">
        <f>IFERROR(INDEX('ZM01'!$A:$DT,MATCH('MM01'!$B9,'ZM01'!$B:$B,0),MATCH(SUBSTITUTE('MM01'!F$3,"_REF",""),'ZM01'!$3:$3,0)),"")</f>
        <v/>
      </c>
      <c r="G9" s="69" t="str">
        <f>IFERROR(INDEX('ZM01'!$A:$DT,MATCH('MM01'!$B9,'ZM01'!$B:$B,0),MATCH(SUBSTITUTE('MM01'!G$3,"_REF",""),'ZM01'!$3:$3,0)),"")</f>
        <v/>
      </c>
      <c r="H9" s="69" t="str">
        <f>IFERROR(INDEX('ZM01'!$A:$DT,MATCH('MM01'!$B9,'ZM01'!$B:$B,0),MATCH(SUBSTITUTE('MM01'!H$3,"_REF",""),'ZM01'!$3:$3,0)),"")</f>
        <v/>
      </c>
      <c r="J9" s="44" t="s">
        <v>104</v>
      </c>
      <c r="K9" s="44" t="s">
        <v>105</v>
      </c>
      <c r="L9" s="44" t="s">
        <v>106</v>
      </c>
      <c r="M9" s="44" t="s">
        <v>107</v>
      </c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L9" s="69" t="str">
        <f t="shared" si="1"/>
        <v/>
      </c>
      <c r="AM9" s="104" t="str">
        <f t="shared" si="2"/>
        <v>0</v>
      </c>
      <c r="AN9" s="42" t="str">
        <f>IFERROR(IF(INDEX(Estrutura_P01[],MATCH($C9,Estrutura_P01[txtMAKT-MAKTX],0),MATCH(AN$3,Estrutura_P01[#Headers],0))=0,"",INDEX(Estrutura_P01[],MATCH($C9,Estrutura_P01[txtMAKT-MAKTX],0),MATCH(AN$3,Estrutura_P01[#Headers],0))),"")</f>
        <v/>
      </c>
      <c r="AO9" s="63"/>
    </row>
    <row r="10" spans="1:41" x14ac:dyDescent="0.2">
      <c r="A10" s="7" t="str">
        <f t="shared" si="0"/>
        <v>Execução 6</v>
      </c>
      <c r="B10" s="41"/>
      <c r="C10" s="81" t="str">
        <f>IFERROR(VLOOKUP(B10,'ZM01'!B:C,2,0),"")</f>
        <v/>
      </c>
      <c r="D10" s="69" t="str">
        <f>IFERROR(INDEX('ZM01'!$A:$DT,MATCH('MM01'!$B10,'ZM01'!$B:$B,0),MATCH(SUBSTITUTE('MM01'!D$3,"_REF",""),'ZM01'!$3:$3,0)),"")</f>
        <v/>
      </c>
      <c r="E10" s="69" t="str">
        <f>IFERROR(INDEX('ZM01'!$A:$DT,MATCH('MM01'!$B10,'ZM01'!$B:$B,0),MATCH(SUBSTITUTE('MM01'!E$3,"_REF",""),'ZM01'!$3:$3,0)),"")</f>
        <v/>
      </c>
      <c r="F10" s="69" t="str">
        <f>IFERROR(INDEX('ZM01'!$A:$DT,MATCH('MM01'!$B10,'ZM01'!$B:$B,0),MATCH(SUBSTITUTE('MM01'!F$3,"_REF",""),'ZM01'!$3:$3,0)),"")</f>
        <v/>
      </c>
      <c r="G10" s="69" t="str">
        <f>IFERROR(INDEX('ZM01'!$A:$DT,MATCH('MM01'!$B10,'ZM01'!$B:$B,0),MATCH(SUBSTITUTE('MM01'!G$3,"_REF",""),'ZM01'!$3:$3,0)),"")</f>
        <v/>
      </c>
      <c r="H10" s="69" t="str">
        <f>IFERROR(INDEX('ZM01'!$A:$DT,MATCH('MM01'!$B10,'ZM01'!$B:$B,0),MATCH(SUBSTITUTE('MM01'!H$3,"_REF",""),'ZM01'!$3:$3,0)),"")</f>
        <v/>
      </c>
      <c r="J10" s="44" t="s">
        <v>104</v>
      </c>
      <c r="K10" s="44" t="s">
        <v>105</v>
      </c>
      <c r="L10" s="44" t="s">
        <v>106</v>
      </c>
      <c r="M10" s="44" t="s">
        <v>107</v>
      </c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L10" s="69" t="str">
        <f t="shared" si="1"/>
        <v/>
      </c>
      <c r="AM10" s="104" t="str">
        <f t="shared" si="2"/>
        <v>0</v>
      </c>
      <c r="AN10" s="42" t="str">
        <f>IFERROR(IF(INDEX(Estrutura_P01[],MATCH($C10,Estrutura_P01[txtMAKT-MAKTX],0),MATCH(AN$3,Estrutura_P01[#Headers],0))=0,"",INDEX(Estrutura_P01[],MATCH($C10,Estrutura_P01[txtMAKT-MAKTX],0),MATCH(AN$3,Estrutura_P01[#Headers],0))),"")</f>
        <v/>
      </c>
      <c r="AO10" s="63"/>
    </row>
    <row r="11" spans="1:41" x14ac:dyDescent="0.2">
      <c r="A11" s="7" t="str">
        <f t="shared" si="0"/>
        <v>Execução 7</v>
      </c>
      <c r="B11" s="41"/>
      <c r="C11" s="81" t="str">
        <f>IFERROR(VLOOKUP(B11,'ZM01'!B:C,2,0),"")</f>
        <v/>
      </c>
      <c r="D11" s="69" t="str">
        <f>IFERROR(INDEX('ZM01'!$A:$DT,MATCH('MM01'!$B11,'ZM01'!$B:$B,0),MATCH(SUBSTITUTE('MM01'!D$3,"_REF",""),'ZM01'!$3:$3,0)),"")</f>
        <v/>
      </c>
      <c r="E11" s="69" t="str">
        <f>IFERROR(INDEX('ZM01'!$A:$DT,MATCH('MM01'!$B11,'ZM01'!$B:$B,0),MATCH(SUBSTITUTE('MM01'!E$3,"_REF",""),'ZM01'!$3:$3,0)),"")</f>
        <v/>
      </c>
      <c r="F11" s="69" t="str">
        <f>IFERROR(INDEX('ZM01'!$A:$DT,MATCH('MM01'!$B11,'ZM01'!$B:$B,0),MATCH(SUBSTITUTE('MM01'!F$3,"_REF",""),'ZM01'!$3:$3,0)),"")</f>
        <v/>
      </c>
      <c r="G11" s="69" t="str">
        <f>IFERROR(INDEX('ZM01'!$A:$DT,MATCH('MM01'!$B11,'ZM01'!$B:$B,0),MATCH(SUBSTITUTE('MM01'!G$3,"_REF",""),'ZM01'!$3:$3,0)),"")</f>
        <v/>
      </c>
      <c r="H11" s="69" t="str">
        <f>IFERROR(INDEX('ZM01'!$A:$DT,MATCH('MM01'!$B11,'ZM01'!$B:$B,0),MATCH(SUBSTITUTE('MM01'!H$3,"_REF",""),'ZM01'!$3:$3,0)),"")</f>
        <v/>
      </c>
      <c r="J11" s="44" t="s">
        <v>104</v>
      </c>
      <c r="K11" s="44" t="s">
        <v>105</v>
      </c>
      <c r="L11" s="44" t="s">
        <v>106</v>
      </c>
      <c r="M11" s="44" t="s">
        <v>107</v>
      </c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L11" s="69" t="str">
        <f t="shared" si="1"/>
        <v/>
      </c>
      <c r="AM11" s="104" t="str">
        <f t="shared" si="2"/>
        <v>0</v>
      </c>
      <c r="AN11" s="42" t="str">
        <f>IFERROR(IF(INDEX(Estrutura_P01[],MATCH($C11,Estrutura_P01[txtMAKT-MAKTX],0),MATCH(AN$3,Estrutura_P01[#Headers],0))=0,"",INDEX(Estrutura_P01[],MATCH($C11,Estrutura_P01[txtMAKT-MAKTX],0),MATCH(AN$3,Estrutura_P01[#Headers],0))),"")</f>
        <v/>
      </c>
      <c r="AO11" s="63"/>
    </row>
    <row r="12" spans="1:41" x14ac:dyDescent="0.2">
      <c r="A12" s="7" t="str">
        <f t="shared" si="0"/>
        <v>Execução 8</v>
      </c>
      <c r="B12" s="41"/>
      <c r="C12" s="81" t="str">
        <f>IFERROR(VLOOKUP(B12,'ZM01'!B:C,2,0),"")</f>
        <v/>
      </c>
      <c r="D12" s="69" t="str">
        <f>IFERROR(INDEX('ZM01'!$A:$DT,MATCH('MM01'!$B12,'ZM01'!$B:$B,0),MATCH(SUBSTITUTE('MM01'!D$3,"_REF",""),'ZM01'!$3:$3,0)),"")</f>
        <v/>
      </c>
      <c r="E12" s="69" t="str">
        <f>IFERROR(INDEX('ZM01'!$A:$DT,MATCH('MM01'!$B12,'ZM01'!$B:$B,0),MATCH(SUBSTITUTE('MM01'!E$3,"_REF",""),'ZM01'!$3:$3,0)),"")</f>
        <v/>
      </c>
      <c r="F12" s="69" t="str">
        <f>IFERROR(INDEX('ZM01'!$A:$DT,MATCH('MM01'!$B12,'ZM01'!$B:$B,0),MATCH(SUBSTITUTE('MM01'!F$3,"_REF",""),'ZM01'!$3:$3,0)),"")</f>
        <v/>
      </c>
      <c r="G12" s="69" t="str">
        <f>IFERROR(INDEX('ZM01'!$A:$DT,MATCH('MM01'!$B12,'ZM01'!$B:$B,0),MATCH(SUBSTITUTE('MM01'!G$3,"_REF",""),'ZM01'!$3:$3,0)),"")</f>
        <v/>
      </c>
      <c r="H12" s="69" t="str">
        <f>IFERROR(INDEX('ZM01'!$A:$DT,MATCH('MM01'!$B12,'ZM01'!$B:$B,0),MATCH(SUBSTITUTE('MM01'!H$3,"_REF",""),'ZM01'!$3:$3,0)),"")</f>
        <v/>
      </c>
      <c r="J12" s="44" t="s">
        <v>104</v>
      </c>
      <c r="K12" s="44" t="s">
        <v>105</v>
      </c>
      <c r="L12" s="44" t="s">
        <v>106</v>
      </c>
      <c r="M12" s="44" t="s">
        <v>107</v>
      </c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L12" s="69" t="str">
        <f t="shared" si="1"/>
        <v/>
      </c>
      <c r="AM12" s="104" t="str">
        <f t="shared" si="2"/>
        <v>0</v>
      </c>
      <c r="AN12" s="42" t="str">
        <f>IFERROR(IF(INDEX(Estrutura_P01[],MATCH($C12,Estrutura_P01[txtMAKT-MAKTX],0),MATCH(AN$3,Estrutura_P01[#Headers],0))=0,"",INDEX(Estrutura_P01[],MATCH($C12,Estrutura_P01[txtMAKT-MAKTX],0),MATCH(AN$3,Estrutura_P01[#Headers],0))),"")</f>
        <v/>
      </c>
      <c r="AO12" s="63"/>
    </row>
    <row r="13" spans="1:41" x14ac:dyDescent="0.2">
      <c r="A13" s="7" t="str">
        <f t="shared" si="0"/>
        <v>Execução 9</v>
      </c>
      <c r="B13" s="41"/>
      <c r="C13" s="81" t="str">
        <f>IFERROR(VLOOKUP(B13,'ZM01'!B:C,2,0),"")</f>
        <v/>
      </c>
      <c r="D13" s="69" t="str">
        <f>IFERROR(INDEX('ZM01'!$A:$DT,MATCH('MM01'!$B13,'ZM01'!$B:$B,0),MATCH(SUBSTITUTE('MM01'!D$3,"_REF",""),'ZM01'!$3:$3,0)),"")</f>
        <v/>
      </c>
      <c r="E13" s="69" t="str">
        <f>IFERROR(INDEX('ZM01'!$A:$DT,MATCH('MM01'!$B13,'ZM01'!$B:$B,0),MATCH(SUBSTITUTE('MM01'!E$3,"_REF",""),'ZM01'!$3:$3,0)),"")</f>
        <v/>
      </c>
      <c r="F13" s="69" t="str">
        <f>IFERROR(INDEX('ZM01'!$A:$DT,MATCH('MM01'!$B13,'ZM01'!$B:$B,0),MATCH(SUBSTITUTE('MM01'!F$3,"_REF",""),'ZM01'!$3:$3,0)),"")</f>
        <v/>
      </c>
      <c r="G13" s="69" t="str">
        <f>IFERROR(INDEX('ZM01'!$A:$DT,MATCH('MM01'!$B13,'ZM01'!$B:$B,0),MATCH(SUBSTITUTE('MM01'!G$3,"_REF",""),'ZM01'!$3:$3,0)),"")</f>
        <v/>
      </c>
      <c r="H13" s="69" t="str">
        <f>IFERROR(INDEX('ZM01'!$A:$DT,MATCH('MM01'!$B13,'ZM01'!$B:$B,0),MATCH(SUBSTITUTE('MM01'!H$3,"_REF",""),'ZM01'!$3:$3,0)),"")</f>
        <v/>
      </c>
      <c r="J13" s="44" t="s">
        <v>104</v>
      </c>
      <c r="K13" s="44" t="s">
        <v>105</v>
      </c>
      <c r="L13" s="44" t="s">
        <v>106</v>
      </c>
      <c r="M13" s="44" t="s">
        <v>107</v>
      </c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L13" s="69" t="str">
        <f t="shared" si="1"/>
        <v/>
      </c>
      <c r="AM13" s="104" t="str">
        <f t="shared" si="2"/>
        <v>0</v>
      </c>
      <c r="AN13" s="42" t="str">
        <f>IFERROR(IF(INDEX(Estrutura_P01[],MATCH($C13,Estrutura_P01[txtMAKT-MAKTX],0),MATCH(AN$3,Estrutura_P01[#Headers],0))=0,"",INDEX(Estrutura_P01[],MATCH($C13,Estrutura_P01[txtMAKT-MAKTX],0),MATCH(AN$3,Estrutura_P01[#Headers],0))),"")</f>
        <v/>
      </c>
      <c r="AO13" s="63"/>
    </row>
    <row r="14" spans="1:41" x14ac:dyDescent="0.2">
      <c r="A14" s="7" t="str">
        <f t="shared" si="0"/>
        <v>Execução 10</v>
      </c>
      <c r="B14" s="41"/>
      <c r="C14" s="81" t="str">
        <f>IFERROR(VLOOKUP(B14,'ZM01'!B:C,2,0),"")</f>
        <v/>
      </c>
      <c r="D14" s="69" t="str">
        <f>IFERROR(INDEX('ZM01'!$A:$DT,MATCH('MM01'!$B14,'ZM01'!$B:$B,0),MATCH(SUBSTITUTE('MM01'!D$3,"_REF",""),'ZM01'!$3:$3,0)),"")</f>
        <v/>
      </c>
      <c r="E14" s="69" t="str">
        <f>IFERROR(INDEX('ZM01'!$A:$DT,MATCH('MM01'!$B14,'ZM01'!$B:$B,0),MATCH(SUBSTITUTE('MM01'!E$3,"_REF",""),'ZM01'!$3:$3,0)),"")</f>
        <v/>
      </c>
      <c r="F14" s="69" t="str">
        <f>IFERROR(INDEX('ZM01'!$A:$DT,MATCH('MM01'!$B14,'ZM01'!$B:$B,0),MATCH(SUBSTITUTE('MM01'!F$3,"_REF",""),'ZM01'!$3:$3,0)),"")</f>
        <v/>
      </c>
      <c r="G14" s="69" t="str">
        <f>IFERROR(INDEX('ZM01'!$A:$DT,MATCH('MM01'!$B14,'ZM01'!$B:$B,0),MATCH(SUBSTITUTE('MM01'!G$3,"_REF",""),'ZM01'!$3:$3,0)),"")</f>
        <v/>
      </c>
      <c r="H14" s="69" t="str">
        <f>IFERROR(INDEX('ZM01'!$A:$DT,MATCH('MM01'!$B14,'ZM01'!$B:$B,0),MATCH(SUBSTITUTE('MM01'!H$3,"_REF",""),'ZM01'!$3:$3,0)),"")</f>
        <v/>
      </c>
      <c r="J14" s="44" t="s">
        <v>104</v>
      </c>
      <c r="K14" s="44" t="s">
        <v>105</v>
      </c>
      <c r="L14" s="44" t="s">
        <v>106</v>
      </c>
      <c r="M14" s="44" t="s">
        <v>107</v>
      </c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L14" s="69" t="str">
        <f t="shared" si="1"/>
        <v/>
      </c>
      <c r="AM14" s="104" t="str">
        <f t="shared" si="2"/>
        <v>0</v>
      </c>
      <c r="AN14" s="42" t="str">
        <f>IFERROR(IF(INDEX(Estrutura_P01[],MATCH($C14,Estrutura_P01[txtMAKT-MAKTX],0),MATCH(AN$3,Estrutura_P01[#Headers],0))=0,"",INDEX(Estrutura_P01[],MATCH($C14,Estrutura_P01[txtMAKT-MAKTX],0),MATCH(AN$3,Estrutura_P01[#Headers],0))),"")</f>
        <v/>
      </c>
      <c r="AO14" s="63"/>
    </row>
    <row r="15" spans="1:41" x14ac:dyDescent="0.2">
      <c r="A15" s="7" t="str">
        <f t="shared" si="0"/>
        <v>Execução 11</v>
      </c>
      <c r="B15" s="41"/>
      <c r="C15" s="81" t="str">
        <f>IFERROR(VLOOKUP(B15,'ZM01'!B:C,2,0),"")</f>
        <v/>
      </c>
      <c r="D15" s="69" t="str">
        <f>IFERROR(INDEX('ZM01'!$A:$DT,MATCH('MM01'!$B15,'ZM01'!$B:$B,0),MATCH(SUBSTITUTE('MM01'!D$3,"_REF",""),'ZM01'!$3:$3,0)),"")</f>
        <v/>
      </c>
      <c r="E15" s="69" t="str">
        <f>IFERROR(INDEX('ZM01'!$A:$DT,MATCH('MM01'!$B15,'ZM01'!$B:$B,0),MATCH(SUBSTITUTE('MM01'!E$3,"_REF",""),'ZM01'!$3:$3,0)),"")</f>
        <v/>
      </c>
      <c r="F15" s="69" t="str">
        <f>IFERROR(INDEX('ZM01'!$A:$DT,MATCH('MM01'!$B15,'ZM01'!$B:$B,0),MATCH(SUBSTITUTE('MM01'!F$3,"_REF",""),'ZM01'!$3:$3,0)),"")</f>
        <v/>
      </c>
      <c r="G15" s="69" t="str">
        <f>IFERROR(INDEX('ZM01'!$A:$DT,MATCH('MM01'!$B15,'ZM01'!$B:$B,0),MATCH(SUBSTITUTE('MM01'!G$3,"_REF",""),'ZM01'!$3:$3,0)),"")</f>
        <v/>
      </c>
      <c r="H15" s="69" t="str">
        <f>IFERROR(INDEX('ZM01'!$A:$DT,MATCH('MM01'!$B15,'ZM01'!$B:$B,0),MATCH(SUBSTITUTE('MM01'!H$3,"_REF",""),'ZM01'!$3:$3,0)),"")</f>
        <v/>
      </c>
      <c r="J15" s="44" t="s">
        <v>104</v>
      </c>
      <c r="K15" s="44" t="s">
        <v>105</v>
      </c>
      <c r="L15" s="44" t="s">
        <v>106</v>
      </c>
      <c r="M15" s="44" t="s">
        <v>107</v>
      </c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L15" s="69" t="str">
        <f t="shared" si="1"/>
        <v/>
      </c>
      <c r="AM15" s="104" t="str">
        <f t="shared" si="2"/>
        <v>0</v>
      </c>
      <c r="AN15" s="42" t="str">
        <f>IFERROR(IF(INDEX(Estrutura_P01[],MATCH($C15,Estrutura_P01[txtMAKT-MAKTX],0),MATCH(AN$3,Estrutura_P01[#Headers],0))=0,"",INDEX(Estrutura_P01[],MATCH($C15,Estrutura_P01[txtMAKT-MAKTX],0),MATCH(AN$3,Estrutura_P01[#Headers],0))),"")</f>
        <v/>
      </c>
      <c r="AO15" s="63"/>
    </row>
    <row r="16" spans="1:41" x14ac:dyDescent="0.2">
      <c r="A16" s="7" t="str">
        <f t="shared" si="0"/>
        <v>Execução 12</v>
      </c>
      <c r="B16" s="41"/>
      <c r="C16" s="81" t="str">
        <f>IFERROR(VLOOKUP(B16,'ZM01'!B:C,2,0),"")</f>
        <v/>
      </c>
      <c r="D16" s="69" t="str">
        <f>IFERROR(INDEX('ZM01'!$A:$DT,MATCH('MM01'!$B16,'ZM01'!$B:$B,0),MATCH(SUBSTITUTE('MM01'!D$3,"_REF",""),'ZM01'!$3:$3,0)),"")</f>
        <v/>
      </c>
      <c r="E16" s="69" t="str">
        <f>IFERROR(INDEX('ZM01'!$A:$DT,MATCH('MM01'!$B16,'ZM01'!$B:$B,0),MATCH(SUBSTITUTE('MM01'!E$3,"_REF",""),'ZM01'!$3:$3,0)),"")</f>
        <v/>
      </c>
      <c r="F16" s="69" t="str">
        <f>IFERROR(INDEX('ZM01'!$A:$DT,MATCH('MM01'!$B16,'ZM01'!$B:$B,0),MATCH(SUBSTITUTE('MM01'!F$3,"_REF",""),'ZM01'!$3:$3,0)),"")</f>
        <v/>
      </c>
      <c r="G16" s="69" t="str">
        <f>IFERROR(INDEX('ZM01'!$A:$DT,MATCH('MM01'!$B16,'ZM01'!$B:$B,0),MATCH(SUBSTITUTE('MM01'!G$3,"_REF",""),'ZM01'!$3:$3,0)),"")</f>
        <v/>
      </c>
      <c r="H16" s="69" t="str">
        <f>IFERROR(INDEX('ZM01'!$A:$DT,MATCH('MM01'!$B16,'ZM01'!$B:$B,0),MATCH(SUBSTITUTE('MM01'!H$3,"_REF",""),'ZM01'!$3:$3,0)),"")</f>
        <v/>
      </c>
      <c r="J16" s="44" t="s">
        <v>104</v>
      </c>
      <c r="K16" s="44" t="s">
        <v>105</v>
      </c>
      <c r="L16" s="44" t="s">
        <v>106</v>
      </c>
      <c r="M16" s="44" t="s">
        <v>107</v>
      </c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L16" s="69" t="str">
        <f t="shared" si="1"/>
        <v/>
      </c>
      <c r="AM16" s="104" t="str">
        <f t="shared" si="2"/>
        <v>0</v>
      </c>
      <c r="AN16" s="42" t="str">
        <f>IFERROR(IF(INDEX(Estrutura_P01[],MATCH($C16,Estrutura_P01[txtMAKT-MAKTX],0),MATCH(AN$3,Estrutura_P01[#Headers],0))=0,"",INDEX(Estrutura_P01[],MATCH($C16,Estrutura_P01[txtMAKT-MAKTX],0),MATCH(AN$3,Estrutura_P01[#Headers],0))),"")</f>
        <v/>
      </c>
      <c r="AO16" s="63"/>
    </row>
    <row r="17" spans="1:41" x14ac:dyDescent="0.2">
      <c r="A17" s="7" t="str">
        <f t="shared" si="0"/>
        <v>Execução 13</v>
      </c>
      <c r="B17" s="41"/>
      <c r="C17" s="81" t="str">
        <f>IFERROR(VLOOKUP(B17,'ZM01'!B:C,2,0),"")</f>
        <v/>
      </c>
      <c r="D17" s="69" t="str">
        <f>IFERROR(INDEX('ZM01'!$A:$DT,MATCH('MM01'!$B17,'ZM01'!$B:$B,0),MATCH(SUBSTITUTE('MM01'!D$3,"_REF",""),'ZM01'!$3:$3,0)),"")</f>
        <v/>
      </c>
      <c r="E17" s="69" t="str">
        <f>IFERROR(INDEX('ZM01'!$A:$DT,MATCH('MM01'!$B17,'ZM01'!$B:$B,0),MATCH(SUBSTITUTE('MM01'!E$3,"_REF",""),'ZM01'!$3:$3,0)),"")</f>
        <v/>
      </c>
      <c r="F17" s="69" t="str">
        <f>IFERROR(INDEX('ZM01'!$A:$DT,MATCH('MM01'!$B17,'ZM01'!$B:$B,0),MATCH(SUBSTITUTE('MM01'!F$3,"_REF",""),'ZM01'!$3:$3,0)),"")</f>
        <v/>
      </c>
      <c r="G17" s="69" t="str">
        <f>IFERROR(INDEX('ZM01'!$A:$DT,MATCH('MM01'!$B17,'ZM01'!$B:$B,0),MATCH(SUBSTITUTE('MM01'!G$3,"_REF",""),'ZM01'!$3:$3,0)),"")</f>
        <v/>
      </c>
      <c r="H17" s="69" t="str">
        <f>IFERROR(INDEX('ZM01'!$A:$DT,MATCH('MM01'!$B17,'ZM01'!$B:$B,0),MATCH(SUBSTITUTE('MM01'!H$3,"_REF",""),'ZM01'!$3:$3,0)),"")</f>
        <v/>
      </c>
      <c r="J17" s="44" t="s">
        <v>104</v>
      </c>
      <c r="K17" s="44" t="s">
        <v>105</v>
      </c>
      <c r="L17" s="44" t="s">
        <v>106</v>
      </c>
      <c r="M17" s="44" t="s">
        <v>107</v>
      </c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L17" s="69" t="str">
        <f t="shared" si="1"/>
        <v/>
      </c>
      <c r="AM17" s="104" t="str">
        <f t="shared" si="2"/>
        <v>0</v>
      </c>
      <c r="AN17" s="42" t="str">
        <f>IFERROR(IF(INDEX(Estrutura_P01[],MATCH($C17,Estrutura_P01[txtMAKT-MAKTX],0),MATCH(AN$3,Estrutura_P01[#Headers],0))=0,"",INDEX(Estrutura_P01[],MATCH($C17,Estrutura_P01[txtMAKT-MAKTX],0),MATCH(AN$3,Estrutura_P01[#Headers],0))),"")</f>
        <v/>
      </c>
      <c r="AO17" s="63"/>
    </row>
    <row r="18" spans="1:41" x14ac:dyDescent="0.2">
      <c r="A18" s="7" t="str">
        <f t="shared" si="0"/>
        <v>Execução 14</v>
      </c>
      <c r="B18" s="41"/>
      <c r="C18" s="81" t="str">
        <f>IFERROR(VLOOKUP(B18,'ZM01'!B:C,2,0),"")</f>
        <v/>
      </c>
      <c r="D18" s="69" t="str">
        <f>IFERROR(INDEX('ZM01'!$A:$DT,MATCH('MM01'!$B18,'ZM01'!$B:$B,0),MATCH(SUBSTITUTE('MM01'!D$3,"_REF",""),'ZM01'!$3:$3,0)),"")</f>
        <v/>
      </c>
      <c r="E18" s="69" t="str">
        <f>IFERROR(INDEX('ZM01'!$A:$DT,MATCH('MM01'!$B18,'ZM01'!$B:$B,0),MATCH(SUBSTITUTE('MM01'!E$3,"_REF",""),'ZM01'!$3:$3,0)),"")</f>
        <v/>
      </c>
      <c r="F18" s="69" t="str">
        <f>IFERROR(INDEX('ZM01'!$A:$DT,MATCH('MM01'!$B18,'ZM01'!$B:$B,0),MATCH(SUBSTITUTE('MM01'!F$3,"_REF",""),'ZM01'!$3:$3,0)),"")</f>
        <v/>
      </c>
      <c r="G18" s="69" t="str">
        <f>IFERROR(INDEX('ZM01'!$A:$DT,MATCH('MM01'!$B18,'ZM01'!$B:$B,0),MATCH(SUBSTITUTE('MM01'!G$3,"_REF",""),'ZM01'!$3:$3,0)),"")</f>
        <v/>
      </c>
      <c r="H18" s="69" t="str">
        <f>IFERROR(INDEX('ZM01'!$A:$DT,MATCH('MM01'!$B18,'ZM01'!$B:$B,0),MATCH(SUBSTITUTE('MM01'!H$3,"_REF",""),'ZM01'!$3:$3,0)),"")</f>
        <v/>
      </c>
      <c r="J18" s="44" t="s">
        <v>104</v>
      </c>
      <c r="K18" s="44" t="s">
        <v>105</v>
      </c>
      <c r="L18" s="44" t="s">
        <v>106</v>
      </c>
      <c r="M18" s="44" t="s">
        <v>107</v>
      </c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L18" s="69" t="str">
        <f t="shared" si="1"/>
        <v/>
      </c>
      <c r="AM18" s="104" t="str">
        <f t="shared" si="2"/>
        <v>0</v>
      </c>
      <c r="AN18" s="42" t="str">
        <f>IFERROR(IF(INDEX(Estrutura_P01[],MATCH($C18,Estrutura_P01[txtMAKT-MAKTX],0),MATCH(AN$3,Estrutura_P01[#Headers],0))=0,"",INDEX(Estrutura_P01[],MATCH($C18,Estrutura_P01[txtMAKT-MAKTX],0),MATCH(AN$3,Estrutura_P01[#Headers],0))),"")</f>
        <v/>
      </c>
      <c r="AO18" s="63"/>
    </row>
    <row r="19" spans="1:41" x14ac:dyDescent="0.2">
      <c r="A19" s="7" t="str">
        <f t="shared" si="0"/>
        <v>Execução 15</v>
      </c>
      <c r="B19" s="41"/>
      <c r="C19" s="81" t="str">
        <f>IFERROR(VLOOKUP(B19,'ZM01'!B:C,2,0),"")</f>
        <v/>
      </c>
      <c r="D19" s="69" t="str">
        <f>IFERROR(INDEX('ZM01'!$A:$DT,MATCH('MM01'!$B19,'ZM01'!$B:$B,0),MATCH(SUBSTITUTE('MM01'!D$3,"_REF",""),'ZM01'!$3:$3,0)),"")</f>
        <v/>
      </c>
      <c r="E19" s="69" t="str">
        <f>IFERROR(INDEX('ZM01'!$A:$DT,MATCH('MM01'!$B19,'ZM01'!$B:$B,0),MATCH(SUBSTITUTE('MM01'!E$3,"_REF",""),'ZM01'!$3:$3,0)),"")</f>
        <v/>
      </c>
      <c r="F19" s="69" t="str">
        <f>IFERROR(INDEX('ZM01'!$A:$DT,MATCH('MM01'!$B19,'ZM01'!$B:$B,0),MATCH(SUBSTITUTE('MM01'!F$3,"_REF",""),'ZM01'!$3:$3,0)),"")</f>
        <v/>
      </c>
      <c r="G19" s="69" t="str">
        <f>IFERROR(INDEX('ZM01'!$A:$DT,MATCH('MM01'!$B19,'ZM01'!$B:$B,0),MATCH(SUBSTITUTE('MM01'!G$3,"_REF",""),'ZM01'!$3:$3,0)),"")</f>
        <v/>
      </c>
      <c r="H19" s="69" t="str">
        <f>IFERROR(INDEX('ZM01'!$A:$DT,MATCH('MM01'!$B19,'ZM01'!$B:$B,0),MATCH(SUBSTITUTE('MM01'!H$3,"_REF",""),'ZM01'!$3:$3,0)),"")</f>
        <v/>
      </c>
      <c r="J19" s="44" t="s">
        <v>104</v>
      </c>
      <c r="K19" s="44" t="s">
        <v>105</v>
      </c>
      <c r="L19" s="44" t="s">
        <v>106</v>
      </c>
      <c r="M19" s="44" t="s">
        <v>107</v>
      </c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L19" s="69" t="str">
        <f t="shared" si="1"/>
        <v/>
      </c>
      <c r="AM19" s="104" t="str">
        <f t="shared" si="2"/>
        <v>0</v>
      </c>
      <c r="AN19" s="42" t="str">
        <f>IFERROR(IF(INDEX(Estrutura_P01[],MATCH($C19,Estrutura_P01[txtMAKT-MAKTX],0),MATCH(AN$3,Estrutura_P01[#Headers],0))=0,"",INDEX(Estrutura_P01[],MATCH($C19,Estrutura_P01[txtMAKT-MAKTX],0),MATCH(AN$3,Estrutura_P01[#Headers],0))),"")</f>
        <v/>
      </c>
      <c r="AO19" s="63"/>
    </row>
    <row r="20" spans="1:41" x14ac:dyDescent="0.2">
      <c r="A20" s="7" t="str">
        <f t="shared" si="0"/>
        <v>Execução 16</v>
      </c>
      <c r="B20" s="41"/>
      <c r="C20" s="81" t="str">
        <f>IFERROR(VLOOKUP(B20,'ZM01'!B:C,2,0),"")</f>
        <v/>
      </c>
      <c r="D20" s="69" t="str">
        <f>IFERROR(INDEX('ZM01'!$A:$DT,MATCH('MM01'!$B20,'ZM01'!$B:$B,0),MATCH(SUBSTITUTE('MM01'!D$3,"_REF",""),'ZM01'!$3:$3,0)),"")</f>
        <v/>
      </c>
      <c r="E20" s="69" t="str">
        <f>IFERROR(INDEX('ZM01'!$A:$DT,MATCH('MM01'!$B20,'ZM01'!$B:$B,0),MATCH(SUBSTITUTE('MM01'!E$3,"_REF",""),'ZM01'!$3:$3,0)),"")</f>
        <v/>
      </c>
      <c r="F20" s="69" t="str">
        <f>IFERROR(INDEX('ZM01'!$A:$DT,MATCH('MM01'!$B20,'ZM01'!$B:$B,0),MATCH(SUBSTITUTE('MM01'!F$3,"_REF",""),'ZM01'!$3:$3,0)),"")</f>
        <v/>
      </c>
      <c r="G20" s="69" t="str">
        <f>IFERROR(INDEX('ZM01'!$A:$DT,MATCH('MM01'!$B20,'ZM01'!$B:$B,0),MATCH(SUBSTITUTE('MM01'!G$3,"_REF",""),'ZM01'!$3:$3,0)),"")</f>
        <v/>
      </c>
      <c r="H20" s="69" t="str">
        <f>IFERROR(INDEX('ZM01'!$A:$DT,MATCH('MM01'!$B20,'ZM01'!$B:$B,0),MATCH(SUBSTITUTE('MM01'!H$3,"_REF",""),'ZM01'!$3:$3,0)),"")</f>
        <v/>
      </c>
      <c r="J20" s="44" t="s">
        <v>104</v>
      </c>
      <c r="K20" s="44" t="s">
        <v>105</v>
      </c>
      <c r="L20" s="44" t="s">
        <v>106</v>
      </c>
      <c r="M20" s="44" t="s">
        <v>107</v>
      </c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L20" s="69" t="str">
        <f t="shared" si="1"/>
        <v/>
      </c>
      <c r="AM20" s="104" t="str">
        <f t="shared" si="2"/>
        <v>0</v>
      </c>
      <c r="AN20" s="42" t="str">
        <f>IFERROR(IF(INDEX(Estrutura_P01[],MATCH($C20,Estrutura_P01[txtMAKT-MAKTX],0),MATCH(AN$3,Estrutura_P01[#Headers],0))=0,"",INDEX(Estrutura_P01[],MATCH($C20,Estrutura_P01[txtMAKT-MAKTX],0),MATCH(AN$3,Estrutura_P01[#Headers],0))),"")</f>
        <v/>
      </c>
      <c r="AO20" s="63"/>
    </row>
    <row r="21" spans="1:41" x14ac:dyDescent="0.2">
      <c r="A21" s="7" t="str">
        <f t="shared" si="0"/>
        <v>Execução 17</v>
      </c>
      <c r="B21" s="41"/>
      <c r="C21" s="81" t="str">
        <f>IFERROR(VLOOKUP(B21,'ZM01'!B:C,2,0),"")</f>
        <v/>
      </c>
      <c r="D21" s="69" t="str">
        <f>IFERROR(INDEX('ZM01'!$A:$DT,MATCH('MM01'!$B21,'ZM01'!$B:$B,0),MATCH(SUBSTITUTE('MM01'!D$3,"_REF",""),'ZM01'!$3:$3,0)),"")</f>
        <v/>
      </c>
      <c r="E21" s="69" t="str">
        <f>IFERROR(INDEX('ZM01'!$A:$DT,MATCH('MM01'!$B21,'ZM01'!$B:$B,0),MATCH(SUBSTITUTE('MM01'!E$3,"_REF",""),'ZM01'!$3:$3,0)),"")</f>
        <v/>
      </c>
      <c r="F21" s="69" t="str">
        <f>IFERROR(INDEX('ZM01'!$A:$DT,MATCH('MM01'!$B21,'ZM01'!$B:$B,0),MATCH(SUBSTITUTE('MM01'!F$3,"_REF",""),'ZM01'!$3:$3,0)),"")</f>
        <v/>
      </c>
      <c r="G21" s="69" t="str">
        <f>IFERROR(INDEX('ZM01'!$A:$DT,MATCH('MM01'!$B21,'ZM01'!$B:$B,0),MATCH(SUBSTITUTE('MM01'!G$3,"_REF",""),'ZM01'!$3:$3,0)),"")</f>
        <v/>
      </c>
      <c r="H21" s="69" t="str">
        <f>IFERROR(INDEX('ZM01'!$A:$DT,MATCH('MM01'!$B21,'ZM01'!$B:$B,0),MATCH(SUBSTITUTE('MM01'!H$3,"_REF",""),'ZM01'!$3:$3,0)),"")</f>
        <v/>
      </c>
      <c r="J21" s="44" t="s">
        <v>104</v>
      </c>
      <c r="K21" s="44" t="s">
        <v>105</v>
      </c>
      <c r="L21" s="44" t="s">
        <v>106</v>
      </c>
      <c r="M21" s="44" t="s">
        <v>107</v>
      </c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L21" s="69" t="str">
        <f t="shared" si="1"/>
        <v/>
      </c>
      <c r="AM21" s="104" t="str">
        <f t="shared" si="2"/>
        <v>0</v>
      </c>
      <c r="AN21" s="42" t="str">
        <f>IFERROR(IF(INDEX(Estrutura_P01[],MATCH($C21,Estrutura_P01[txtMAKT-MAKTX],0),MATCH(AN$3,Estrutura_P01[#Headers],0))=0,"",INDEX(Estrutura_P01[],MATCH($C21,Estrutura_P01[txtMAKT-MAKTX],0),MATCH(AN$3,Estrutura_P01[#Headers],0))),"")</f>
        <v/>
      </c>
      <c r="AO21" s="63"/>
    </row>
    <row r="22" spans="1:41" x14ac:dyDescent="0.2">
      <c r="A22" s="7" t="str">
        <f t="shared" si="0"/>
        <v>Execução 18</v>
      </c>
      <c r="B22" s="41"/>
      <c r="C22" s="81" t="str">
        <f>IFERROR(VLOOKUP(B22,'ZM01'!B:C,2,0),"")</f>
        <v/>
      </c>
      <c r="D22" s="69" t="str">
        <f>IFERROR(INDEX('ZM01'!$A:$DT,MATCH('MM01'!$B22,'ZM01'!$B:$B,0),MATCH(SUBSTITUTE('MM01'!D$3,"_REF",""),'ZM01'!$3:$3,0)),"")</f>
        <v/>
      </c>
      <c r="E22" s="69" t="str">
        <f>IFERROR(INDEX('ZM01'!$A:$DT,MATCH('MM01'!$B22,'ZM01'!$B:$B,0),MATCH(SUBSTITUTE('MM01'!E$3,"_REF",""),'ZM01'!$3:$3,0)),"")</f>
        <v/>
      </c>
      <c r="F22" s="69" t="str">
        <f>IFERROR(INDEX('ZM01'!$A:$DT,MATCH('MM01'!$B22,'ZM01'!$B:$B,0),MATCH(SUBSTITUTE('MM01'!F$3,"_REF",""),'ZM01'!$3:$3,0)),"")</f>
        <v/>
      </c>
      <c r="G22" s="69" t="str">
        <f>IFERROR(INDEX('ZM01'!$A:$DT,MATCH('MM01'!$B22,'ZM01'!$B:$B,0),MATCH(SUBSTITUTE('MM01'!G$3,"_REF",""),'ZM01'!$3:$3,0)),"")</f>
        <v/>
      </c>
      <c r="H22" s="69" t="str">
        <f>IFERROR(INDEX('ZM01'!$A:$DT,MATCH('MM01'!$B22,'ZM01'!$B:$B,0),MATCH(SUBSTITUTE('MM01'!H$3,"_REF",""),'ZM01'!$3:$3,0)),"")</f>
        <v/>
      </c>
      <c r="J22" s="44" t="s">
        <v>104</v>
      </c>
      <c r="K22" s="44" t="s">
        <v>105</v>
      </c>
      <c r="L22" s="44" t="s">
        <v>106</v>
      </c>
      <c r="M22" s="44" t="s">
        <v>107</v>
      </c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L22" s="69" t="str">
        <f t="shared" si="1"/>
        <v/>
      </c>
      <c r="AM22" s="104" t="str">
        <f t="shared" si="2"/>
        <v>0</v>
      </c>
      <c r="AN22" s="42" t="str">
        <f>IFERROR(IF(INDEX(Estrutura_P01[],MATCH($C22,Estrutura_P01[txtMAKT-MAKTX],0),MATCH(AN$3,Estrutura_P01[#Headers],0))=0,"",INDEX(Estrutura_P01[],MATCH($C22,Estrutura_P01[txtMAKT-MAKTX],0),MATCH(AN$3,Estrutura_P01[#Headers],0))),"")</f>
        <v/>
      </c>
      <c r="AO22" s="63"/>
    </row>
    <row r="23" spans="1:41" x14ac:dyDescent="0.2">
      <c r="A23" s="7" t="str">
        <f t="shared" si="0"/>
        <v>Execução 19</v>
      </c>
      <c r="B23" s="41"/>
      <c r="C23" s="81" t="str">
        <f>IFERROR(VLOOKUP(B23,'ZM01'!B:C,2,0),"")</f>
        <v/>
      </c>
      <c r="D23" s="69" t="str">
        <f>IFERROR(INDEX('ZM01'!$A:$DT,MATCH('MM01'!$B23,'ZM01'!$B:$B,0),MATCH(SUBSTITUTE('MM01'!D$3,"_REF",""),'ZM01'!$3:$3,0)),"")</f>
        <v/>
      </c>
      <c r="E23" s="69" t="str">
        <f>IFERROR(INDEX('ZM01'!$A:$DT,MATCH('MM01'!$B23,'ZM01'!$B:$B,0),MATCH(SUBSTITUTE('MM01'!E$3,"_REF",""),'ZM01'!$3:$3,0)),"")</f>
        <v/>
      </c>
      <c r="F23" s="69" t="str">
        <f>IFERROR(INDEX('ZM01'!$A:$DT,MATCH('MM01'!$B23,'ZM01'!$B:$B,0),MATCH(SUBSTITUTE('MM01'!F$3,"_REF",""),'ZM01'!$3:$3,0)),"")</f>
        <v/>
      </c>
      <c r="G23" s="69" t="str">
        <f>IFERROR(INDEX('ZM01'!$A:$DT,MATCH('MM01'!$B23,'ZM01'!$B:$B,0),MATCH(SUBSTITUTE('MM01'!G$3,"_REF",""),'ZM01'!$3:$3,0)),"")</f>
        <v/>
      </c>
      <c r="H23" s="69" t="str">
        <f>IFERROR(INDEX('ZM01'!$A:$DT,MATCH('MM01'!$B23,'ZM01'!$B:$B,0),MATCH(SUBSTITUTE('MM01'!H$3,"_REF",""),'ZM01'!$3:$3,0)),"")</f>
        <v/>
      </c>
      <c r="J23" s="44" t="s">
        <v>104</v>
      </c>
      <c r="K23" s="44" t="s">
        <v>105</v>
      </c>
      <c r="L23" s="44" t="s">
        <v>106</v>
      </c>
      <c r="M23" s="44" t="s">
        <v>107</v>
      </c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L23" s="69" t="str">
        <f t="shared" si="1"/>
        <v/>
      </c>
      <c r="AM23" s="104" t="str">
        <f t="shared" si="2"/>
        <v>0</v>
      </c>
      <c r="AN23" s="42" t="str">
        <f>IFERROR(IF(INDEX(Estrutura_P01[],MATCH($C23,Estrutura_P01[txtMAKT-MAKTX],0),MATCH(AN$3,Estrutura_P01[#Headers],0))=0,"",INDEX(Estrutura_P01[],MATCH($C23,Estrutura_P01[txtMAKT-MAKTX],0),MATCH(AN$3,Estrutura_P01[#Headers],0))),"")</f>
        <v/>
      </c>
      <c r="AO23" s="63"/>
    </row>
    <row r="24" spans="1:41" x14ac:dyDescent="0.2">
      <c r="A24" s="7" t="str">
        <f t="shared" si="0"/>
        <v>Execução 20</v>
      </c>
      <c r="B24" s="41"/>
      <c r="C24" s="81" t="str">
        <f>IFERROR(VLOOKUP(B24,'ZM01'!B:C,2,0),"")</f>
        <v/>
      </c>
      <c r="D24" s="69" t="str">
        <f>IFERROR(INDEX('ZM01'!$A:$DT,MATCH('MM01'!$B24,'ZM01'!$B:$B,0),MATCH(SUBSTITUTE('MM01'!D$3,"_REF",""),'ZM01'!$3:$3,0)),"")</f>
        <v/>
      </c>
      <c r="E24" s="69" t="str">
        <f>IFERROR(INDEX('ZM01'!$A:$DT,MATCH('MM01'!$B24,'ZM01'!$B:$B,0),MATCH(SUBSTITUTE('MM01'!E$3,"_REF",""),'ZM01'!$3:$3,0)),"")</f>
        <v/>
      </c>
      <c r="F24" s="69" t="str">
        <f>IFERROR(INDEX('ZM01'!$A:$DT,MATCH('MM01'!$B24,'ZM01'!$B:$B,0),MATCH(SUBSTITUTE('MM01'!F$3,"_REF",""),'ZM01'!$3:$3,0)),"")</f>
        <v/>
      </c>
      <c r="G24" s="69" t="str">
        <f>IFERROR(INDEX('ZM01'!$A:$DT,MATCH('MM01'!$B24,'ZM01'!$B:$B,0),MATCH(SUBSTITUTE('MM01'!G$3,"_REF",""),'ZM01'!$3:$3,0)),"")</f>
        <v/>
      </c>
      <c r="H24" s="69" t="str">
        <f>IFERROR(INDEX('ZM01'!$A:$DT,MATCH('MM01'!$B24,'ZM01'!$B:$B,0),MATCH(SUBSTITUTE('MM01'!H$3,"_REF",""),'ZM01'!$3:$3,0)),"")</f>
        <v/>
      </c>
      <c r="J24" s="44" t="s">
        <v>104</v>
      </c>
      <c r="K24" s="44" t="s">
        <v>105</v>
      </c>
      <c r="L24" s="44" t="s">
        <v>106</v>
      </c>
      <c r="M24" s="44" t="s">
        <v>107</v>
      </c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L24" s="69" t="str">
        <f t="shared" si="1"/>
        <v/>
      </c>
      <c r="AM24" s="104" t="str">
        <f t="shared" si="2"/>
        <v>0</v>
      </c>
      <c r="AN24" s="42" t="str">
        <f>IFERROR(IF(INDEX(Estrutura_P01[],MATCH($C24,Estrutura_P01[txtMAKT-MAKTX],0),MATCH(AN$3,Estrutura_P01[#Headers],0))=0,"",INDEX(Estrutura_P01[],MATCH($C24,Estrutura_P01[txtMAKT-MAKTX],0),MATCH(AN$3,Estrutura_P01[#Headers],0))),"")</f>
        <v/>
      </c>
      <c r="AO24" s="63"/>
    </row>
    <row r="25" spans="1:41" x14ac:dyDescent="0.2">
      <c r="A25" s="7" t="str">
        <f t="shared" si="0"/>
        <v>Execução 21</v>
      </c>
      <c r="B25" s="41"/>
      <c r="C25" s="81" t="str">
        <f>IFERROR(VLOOKUP(B25,'ZM01'!B:C,2,0),"")</f>
        <v/>
      </c>
      <c r="D25" s="69" t="str">
        <f>IFERROR(INDEX('ZM01'!$A:$DT,MATCH('MM01'!$B25,'ZM01'!$B:$B,0),MATCH(SUBSTITUTE('MM01'!D$3,"_REF",""),'ZM01'!$3:$3,0)),"")</f>
        <v/>
      </c>
      <c r="E25" s="69" t="str">
        <f>IFERROR(INDEX('ZM01'!$A:$DT,MATCH('MM01'!$B25,'ZM01'!$B:$B,0),MATCH(SUBSTITUTE('MM01'!E$3,"_REF",""),'ZM01'!$3:$3,0)),"")</f>
        <v/>
      </c>
      <c r="F25" s="69" t="str">
        <f>IFERROR(INDEX('ZM01'!$A:$DT,MATCH('MM01'!$B25,'ZM01'!$B:$B,0),MATCH(SUBSTITUTE('MM01'!F$3,"_REF",""),'ZM01'!$3:$3,0)),"")</f>
        <v/>
      </c>
      <c r="G25" s="69" t="str">
        <f>IFERROR(INDEX('ZM01'!$A:$DT,MATCH('MM01'!$B25,'ZM01'!$B:$B,0),MATCH(SUBSTITUTE('MM01'!G$3,"_REF",""),'ZM01'!$3:$3,0)),"")</f>
        <v/>
      </c>
      <c r="H25" s="69" t="str">
        <f>IFERROR(INDEX('ZM01'!$A:$DT,MATCH('MM01'!$B25,'ZM01'!$B:$B,0),MATCH(SUBSTITUTE('MM01'!H$3,"_REF",""),'ZM01'!$3:$3,0)),"")</f>
        <v/>
      </c>
      <c r="J25" s="44" t="s">
        <v>104</v>
      </c>
      <c r="K25" s="44" t="s">
        <v>105</v>
      </c>
      <c r="L25" s="44" t="s">
        <v>106</v>
      </c>
      <c r="M25" s="44" t="s">
        <v>107</v>
      </c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L25" s="69" t="str">
        <f t="shared" si="1"/>
        <v/>
      </c>
      <c r="AM25" s="104" t="str">
        <f t="shared" si="2"/>
        <v>0</v>
      </c>
      <c r="AN25" s="42" t="str">
        <f>IFERROR(IF(INDEX(Estrutura_P01[],MATCH($C25,Estrutura_P01[txtMAKT-MAKTX],0),MATCH(AN$3,Estrutura_P01[#Headers],0))=0,"",INDEX(Estrutura_P01[],MATCH($C25,Estrutura_P01[txtMAKT-MAKTX],0),MATCH(AN$3,Estrutura_P01[#Headers],0))),"")</f>
        <v/>
      </c>
      <c r="AO25" s="63"/>
    </row>
    <row r="26" spans="1:41" x14ac:dyDescent="0.2">
      <c r="A26" s="7" t="str">
        <f t="shared" si="0"/>
        <v>Execução 22</v>
      </c>
      <c r="B26" s="41"/>
      <c r="C26" s="81" t="str">
        <f>IFERROR(VLOOKUP(B26,'ZM01'!B:C,2,0),"")</f>
        <v/>
      </c>
      <c r="D26" s="69" t="str">
        <f>IFERROR(INDEX('ZM01'!$A:$DT,MATCH('MM01'!$B26,'ZM01'!$B:$B,0),MATCH(SUBSTITUTE('MM01'!D$3,"_REF",""),'ZM01'!$3:$3,0)),"")</f>
        <v/>
      </c>
      <c r="E26" s="69" t="str">
        <f>IFERROR(INDEX('ZM01'!$A:$DT,MATCH('MM01'!$B26,'ZM01'!$B:$B,0),MATCH(SUBSTITUTE('MM01'!E$3,"_REF",""),'ZM01'!$3:$3,0)),"")</f>
        <v/>
      </c>
      <c r="F26" s="69" t="str">
        <f>IFERROR(INDEX('ZM01'!$A:$DT,MATCH('MM01'!$B26,'ZM01'!$B:$B,0),MATCH(SUBSTITUTE('MM01'!F$3,"_REF",""),'ZM01'!$3:$3,0)),"")</f>
        <v/>
      </c>
      <c r="G26" s="69" t="str">
        <f>IFERROR(INDEX('ZM01'!$A:$DT,MATCH('MM01'!$B26,'ZM01'!$B:$B,0),MATCH(SUBSTITUTE('MM01'!G$3,"_REF",""),'ZM01'!$3:$3,0)),"")</f>
        <v/>
      </c>
      <c r="H26" s="69" t="str">
        <f>IFERROR(INDEX('ZM01'!$A:$DT,MATCH('MM01'!$B26,'ZM01'!$B:$B,0),MATCH(SUBSTITUTE('MM01'!H$3,"_REF",""),'ZM01'!$3:$3,0)),"")</f>
        <v/>
      </c>
      <c r="J26" s="44" t="s">
        <v>104</v>
      </c>
      <c r="K26" s="44" t="s">
        <v>105</v>
      </c>
      <c r="L26" s="44" t="s">
        <v>106</v>
      </c>
      <c r="M26" s="44" t="s">
        <v>107</v>
      </c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L26" s="69" t="str">
        <f t="shared" si="1"/>
        <v/>
      </c>
      <c r="AM26" s="104" t="str">
        <f t="shared" si="2"/>
        <v>0</v>
      </c>
      <c r="AN26" s="42" t="str">
        <f>IFERROR(IF(INDEX(Estrutura_P01[],MATCH($C26,Estrutura_P01[txtMAKT-MAKTX],0),MATCH(AN$3,Estrutura_P01[#Headers],0))=0,"",INDEX(Estrutura_P01[],MATCH($C26,Estrutura_P01[txtMAKT-MAKTX],0),MATCH(AN$3,Estrutura_P01[#Headers],0))),"")</f>
        <v/>
      </c>
      <c r="AO26" s="63"/>
    </row>
    <row r="27" spans="1:41" x14ac:dyDescent="0.2">
      <c r="A27" s="7" t="str">
        <f t="shared" si="0"/>
        <v>Execução 23</v>
      </c>
      <c r="B27" s="41"/>
      <c r="C27" s="81" t="str">
        <f>IFERROR(VLOOKUP(B27,'ZM01'!B:C,2,0),"")</f>
        <v/>
      </c>
      <c r="D27" s="69" t="str">
        <f>IFERROR(INDEX('ZM01'!$A:$DT,MATCH('MM01'!$B27,'ZM01'!$B:$B,0),MATCH(SUBSTITUTE('MM01'!D$3,"_REF",""),'ZM01'!$3:$3,0)),"")</f>
        <v/>
      </c>
      <c r="E27" s="69" t="str">
        <f>IFERROR(INDEX('ZM01'!$A:$DT,MATCH('MM01'!$B27,'ZM01'!$B:$B,0),MATCH(SUBSTITUTE('MM01'!E$3,"_REF",""),'ZM01'!$3:$3,0)),"")</f>
        <v/>
      </c>
      <c r="F27" s="69" t="str">
        <f>IFERROR(INDEX('ZM01'!$A:$DT,MATCH('MM01'!$B27,'ZM01'!$B:$B,0),MATCH(SUBSTITUTE('MM01'!F$3,"_REF",""),'ZM01'!$3:$3,0)),"")</f>
        <v/>
      </c>
      <c r="G27" s="69" t="str">
        <f>IFERROR(INDEX('ZM01'!$A:$DT,MATCH('MM01'!$B27,'ZM01'!$B:$B,0),MATCH(SUBSTITUTE('MM01'!G$3,"_REF",""),'ZM01'!$3:$3,0)),"")</f>
        <v/>
      </c>
      <c r="H27" s="69" t="str">
        <f>IFERROR(INDEX('ZM01'!$A:$DT,MATCH('MM01'!$B27,'ZM01'!$B:$B,0),MATCH(SUBSTITUTE('MM01'!H$3,"_REF",""),'ZM01'!$3:$3,0)),"")</f>
        <v/>
      </c>
      <c r="J27" s="44" t="s">
        <v>104</v>
      </c>
      <c r="K27" s="44" t="s">
        <v>105</v>
      </c>
      <c r="L27" s="44" t="s">
        <v>106</v>
      </c>
      <c r="M27" s="44" t="s">
        <v>107</v>
      </c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L27" s="69" t="str">
        <f t="shared" si="1"/>
        <v/>
      </c>
      <c r="AM27" s="104" t="str">
        <f t="shared" si="2"/>
        <v>0</v>
      </c>
      <c r="AN27" s="42" t="str">
        <f>IFERROR(IF(INDEX(Estrutura_P01[],MATCH($C27,Estrutura_P01[txtMAKT-MAKTX],0),MATCH(AN$3,Estrutura_P01[#Headers],0))=0,"",INDEX(Estrutura_P01[],MATCH($C27,Estrutura_P01[txtMAKT-MAKTX],0),MATCH(AN$3,Estrutura_P01[#Headers],0))),"")</f>
        <v/>
      </c>
      <c r="AO27" s="63"/>
    </row>
    <row r="28" spans="1:41" x14ac:dyDescent="0.2">
      <c r="A28" s="7" t="str">
        <f t="shared" si="0"/>
        <v>Execução 24</v>
      </c>
      <c r="B28" s="41"/>
      <c r="C28" s="81" t="str">
        <f>IFERROR(VLOOKUP(B28,'ZM01'!B:C,2,0),"")</f>
        <v/>
      </c>
      <c r="D28" s="69" t="str">
        <f>IFERROR(INDEX('ZM01'!$A:$DT,MATCH('MM01'!$B28,'ZM01'!$B:$B,0),MATCH(SUBSTITUTE('MM01'!D$3,"_REF",""),'ZM01'!$3:$3,0)),"")</f>
        <v/>
      </c>
      <c r="E28" s="69" t="str">
        <f>IFERROR(INDEX('ZM01'!$A:$DT,MATCH('MM01'!$B28,'ZM01'!$B:$B,0),MATCH(SUBSTITUTE('MM01'!E$3,"_REF",""),'ZM01'!$3:$3,0)),"")</f>
        <v/>
      </c>
      <c r="F28" s="69" t="str">
        <f>IFERROR(INDEX('ZM01'!$A:$DT,MATCH('MM01'!$B28,'ZM01'!$B:$B,0),MATCH(SUBSTITUTE('MM01'!F$3,"_REF",""),'ZM01'!$3:$3,0)),"")</f>
        <v/>
      </c>
      <c r="G28" s="69" t="str">
        <f>IFERROR(INDEX('ZM01'!$A:$DT,MATCH('MM01'!$B28,'ZM01'!$B:$B,0),MATCH(SUBSTITUTE('MM01'!G$3,"_REF",""),'ZM01'!$3:$3,0)),"")</f>
        <v/>
      </c>
      <c r="H28" s="69" t="str">
        <f>IFERROR(INDEX('ZM01'!$A:$DT,MATCH('MM01'!$B28,'ZM01'!$B:$B,0),MATCH(SUBSTITUTE('MM01'!H$3,"_REF",""),'ZM01'!$3:$3,0)),"")</f>
        <v/>
      </c>
      <c r="J28" s="44" t="s">
        <v>104</v>
      </c>
      <c r="K28" s="44" t="s">
        <v>105</v>
      </c>
      <c r="L28" s="44" t="s">
        <v>106</v>
      </c>
      <c r="M28" s="44" t="s">
        <v>107</v>
      </c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L28" s="69" t="str">
        <f t="shared" si="1"/>
        <v/>
      </c>
      <c r="AM28" s="104" t="str">
        <f t="shared" si="2"/>
        <v>0</v>
      </c>
      <c r="AN28" s="42" t="str">
        <f>IFERROR(IF(INDEX(Estrutura_P01[],MATCH($C28,Estrutura_P01[txtMAKT-MAKTX],0),MATCH(AN$3,Estrutura_P01[#Headers],0))=0,"",INDEX(Estrutura_P01[],MATCH($C28,Estrutura_P01[txtMAKT-MAKTX],0),MATCH(AN$3,Estrutura_P01[#Headers],0))),"")</f>
        <v/>
      </c>
      <c r="AO28" s="63"/>
    </row>
    <row r="29" spans="1:41" x14ac:dyDescent="0.2">
      <c r="A29" s="7" t="str">
        <f t="shared" si="0"/>
        <v>Execução 25</v>
      </c>
      <c r="B29" s="41"/>
      <c r="C29" s="81" t="str">
        <f>IFERROR(VLOOKUP(B29,'ZM01'!B:C,2,0),"")</f>
        <v/>
      </c>
      <c r="D29" s="69" t="str">
        <f>IFERROR(INDEX('ZM01'!$A:$DT,MATCH('MM01'!$B29,'ZM01'!$B:$B,0),MATCH(SUBSTITUTE('MM01'!D$3,"_REF",""),'ZM01'!$3:$3,0)),"")</f>
        <v/>
      </c>
      <c r="E29" s="69" t="str">
        <f>IFERROR(INDEX('ZM01'!$A:$DT,MATCH('MM01'!$B29,'ZM01'!$B:$B,0),MATCH(SUBSTITUTE('MM01'!E$3,"_REF",""),'ZM01'!$3:$3,0)),"")</f>
        <v/>
      </c>
      <c r="F29" s="69" t="str">
        <f>IFERROR(INDEX('ZM01'!$A:$DT,MATCH('MM01'!$B29,'ZM01'!$B:$B,0),MATCH(SUBSTITUTE('MM01'!F$3,"_REF",""),'ZM01'!$3:$3,0)),"")</f>
        <v/>
      </c>
      <c r="G29" s="69" t="str">
        <f>IFERROR(INDEX('ZM01'!$A:$DT,MATCH('MM01'!$B29,'ZM01'!$B:$B,0),MATCH(SUBSTITUTE('MM01'!G$3,"_REF",""),'ZM01'!$3:$3,0)),"")</f>
        <v/>
      </c>
      <c r="H29" s="69" t="str">
        <f>IFERROR(INDEX('ZM01'!$A:$DT,MATCH('MM01'!$B29,'ZM01'!$B:$B,0),MATCH(SUBSTITUTE('MM01'!H$3,"_REF",""),'ZM01'!$3:$3,0)),"")</f>
        <v/>
      </c>
      <c r="J29" s="44" t="s">
        <v>104</v>
      </c>
      <c r="K29" s="44" t="s">
        <v>105</v>
      </c>
      <c r="L29" s="44" t="s">
        <v>106</v>
      </c>
      <c r="M29" s="44" t="s">
        <v>107</v>
      </c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L29" s="69" t="str">
        <f t="shared" si="1"/>
        <v/>
      </c>
      <c r="AM29" s="104" t="str">
        <f t="shared" si="2"/>
        <v>0</v>
      </c>
      <c r="AN29" s="42" t="str">
        <f>IFERROR(IF(INDEX(Estrutura_P01[],MATCH($C29,Estrutura_P01[txtMAKT-MAKTX],0),MATCH(AN$3,Estrutura_P01[#Headers],0))=0,"",INDEX(Estrutura_P01[],MATCH($C29,Estrutura_P01[txtMAKT-MAKTX],0),MATCH(AN$3,Estrutura_P01[#Headers],0))),"")</f>
        <v/>
      </c>
      <c r="AO29" s="63"/>
    </row>
    <row r="30" spans="1:41" x14ac:dyDescent="0.2">
      <c r="A30" s="7" t="str">
        <f t="shared" si="0"/>
        <v>Execução 26</v>
      </c>
      <c r="B30" s="41"/>
      <c r="C30" s="81" t="str">
        <f>IFERROR(VLOOKUP(B30,'ZM01'!B:C,2,0),"")</f>
        <v/>
      </c>
      <c r="D30" s="69" t="str">
        <f>IFERROR(INDEX('ZM01'!$A:$DT,MATCH('MM01'!$B30,'ZM01'!$B:$B,0),MATCH(SUBSTITUTE('MM01'!D$3,"_REF",""),'ZM01'!$3:$3,0)),"")</f>
        <v/>
      </c>
      <c r="E30" s="69" t="str">
        <f>IFERROR(INDEX('ZM01'!$A:$DT,MATCH('MM01'!$B30,'ZM01'!$B:$B,0),MATCH(SUBSTITUTE('MM01'!E$3,"_REF",""),'ZM01'!$3:$3,0)),"")</f>
        <v/>
      </c>
      <c r="F30" s="69" t="str">
        <f>IFERROR(INDEX('ZM01'!$A:$DT,MATCH('MM01'!$B30,'ZM01'!$B:$B,0),MATCH(SUBSTITUTE('MM01'!F$3,"_REF",""),'ZM01'!$3:$3,0)),"")</f>
        <v/>
      </c>
      <c r="G30" s="69" t="str">
        <f>IFERROR(INDEX('ZM01'!$A:$DT,MATCH('MM01'!$B30,'ZM01'!$B:$B,0),MATCH(SUBSTITUTE('MM01'!G$3,"_REF",""),'ZM01'!$3:$3,0)),"")</f>
        <v/>
      </c>
      <c r="H30" s="69" t="str">
        <f>IFERROR(INDEX('ZM01'!$A:$DT,MATCH('MM01'!$B30,'ZM01'!$B:$B,0),MATCH(SUBSTITUTE('MM01'!H$3,"_REF",""),'ZM01'!$3:$3,0)),"")</f>
        <v/>
      </c>
      <c r="J30" s="44" t="s">
        <v>104</v>
      </c>
      <c r="K30" s="44" t="s">
        <v>105</v>
      </c>
      <c r="L30" s="44" t="s">
        <v>106</v>
      </c>
      <c r="M30" s="44" t="s">
        <v>107</v>
      </c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L30" s="69" t="str">
        <f t="shared" si="1"/>
        <v/>
      </c>
      <c r="AM30" s="104" t="str">
        <f t="shared" si="2"/>
        <v>0</v>
      </c>
      <c r="AN30" s="42" t="str">
        <f>IFERROR(IF(INDEX(Estrutura_P01[],MATCH($C30,Estrutura_P01[txtMAKT-MAKTX],0),MATCH(AN$3,Estrutura_P01[#Headers],0))=0,"",INDEX(Estrutura_P01[],MATCH($C30,Estrutura_P01[txtMAKT-MAKTX],0),MATCH(AN$3,Estrutura_P01[#Headers],0))),"")</f>
        <v/>
      </c>
      <c r="AO30" s="63"/>
    </row>
  </sheetData>
  <mergeCells count="3">
    <mergeCell ref="I1:I2"/>
    <mergeCell ref="AK1:AK2"/>
    <mergeCell ref="J3:AJ3"/>
  </mergeCells>
  <conditionalFormatting sqref="B5 AM5:AN30">
    <cfRule type="beginsWith" dxfId="39" priority="18" operator="beginsWith" text="L">
      <formula>LEFT(B5,LEN("L"))="L"</formula>
    </cfRule>
  </conditionalFormatting>
  <conditionalFormatting sqref="AO1:AO5 AO31:AO1048576">
    <cfRule type="containsText" dxfId="38" priority="12" operator="containsText" text="será criado">
      <formula>NOT(ISERROR(SEARCH("será criado",AO1)))</formula>
    </cfRule>
    <cfRule type="containsText" dxfId="37" priority="13" operator="containsText" text="criadas">
      <formula>NOT(ISERROR(SEARCH("criadas",AO1)))</formula>
    </cfRule>
    <cfRule type="containsText" dxfId="36" priority="14" operator="containsText" text="é gravado">
      <formula>NOT(ISERROR(SEARCH("é gravado",AO1)))</formula>
    </cfRule>
    <cfRule type="containsText" dxfId="35" priority="15" operator="containsText" text="é modificado">
      <formula>NOT(ISERROR(SEARCH("é modificado",AO1)))</formula>
    </cfRule>
    <cfRule type="containsText" dxfId="34" priority="16" operator="containsText" text="Error">
      <formula>NOT(ISERROR(SEARCH("Error",AO1)))</formula>
    </cfRule>
    <cfRule type="containsText" dxfId="33" priority="17" operator="containsText" text="é criado">
      <formula>NOT(ISERROR(SEARCH("é criado",AO1)))</formula>
    </cfRule>
  </conditionalFormatting>
  <conditionalFormatting sqref="B6:B30">
    <cfRule type="beginsWith" dxfId="32" priority="10" operator="beginsWith" text="L">
      <formula>LEFT(B6,LEN("L"))="L"</formula>
    </cfRule>
  </conditionalFormatting>
  <conditionalFormatting sqref="AO6:AO30">
    <cfRule type="containsText" dxfId="31" priority="4" operator="containsText" text="será criado">
      <formula>NOT(ISERROR(SEARCH("será criado",AO6)))</formula>
    </cfRule>
    <cfRule type="containsText" dxfId="30" priority="5" operator="containsText" text="criadas">
      <formula>NOT(ISERROR(SEARCH("criadas",AO6)))</formula>
    </cfRule>
    <cfRule type="containsText" dxfId="29" priority="6" operator="containsText" text="é gravado">
      <formula>NOT(ISERROR(SEARCH("é gravado",AO6)))</formula>
    </cfRule>
    <cfRule type="containsText" dxfId="28" priority="7" operator="containsText" text="é modificado">
      <formula>NOT(ISERROR(SEARCH("é modificado",AO6)))</formula>
    </cfRule>
    <cfRule type="containsText" dxfId="27" priority="8" operator="containsText" text="Error">
      <formula>NOT(ISERROR(SEARCH("Error",AO6)))</formula>
    </cfRule>
    <cfRule type="containsText" dxfId="26" priority="9" operator="containsText" text="é criado">
      <formula>NOT(ISERROR(SEARCH("é criado",AO6)))</formula>
    </cfRule>
  </conditionalFormatting>
  <conditionalFormatting sqref="C5:C30">
    <cfRule type="beginsWith" dxfId="25" priority="2" operator="beginsWith" text="L">
      <formula>LEFT(C5,LEN("L"))="L"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Button 4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11" operator="beginsWith" text="L" id="{7CECF79F-166A-4B1B-AFC5-8A0C347B3113}">
            <xm:f>LEFT('ZM01'!C5,LEN("L"))="L"</xm:f>
            <x14:dxf>
              <fill>
                <patternFill>
                  <bgColor theme="4" tint="0.79998168889431442"/>
                </patternFill>
              </fill>
            </x14:dxf>
          </x14:cfRule>
          <xm:sqref>D5:H30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Dados'!$J$4:$J$29</xm:f>
          </x14:formula1>
          <xm:sqref>J5:AJ30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0"/>
  </sheetPr>
  <dimension ref="A1:DA70"/>
  <sheetViews>
    <sheetView showGridLines="0" showRowColHeaders="0" workbookViewId="0">
      <selection activeCell="A68" sqref="A68"/>
    </sheetView>
  </sheetViews>
  <sheetFormatPr defaultColWidth="0" defaultRowHeight="12.75" x14ac:dyDescent="0.2"/>
  <cols>
    <col min="1" max="1" width="20.140625" customWidth="1"/>
    <col min="2" max="2" width="17.28515625" customWidth="1"/>
    <col min="3" max="3" width="20.5703125" customWidth="1"/>
    <col min="4" max="4" width="24.28515625" customWidth="1"/>
    <col min="5" max="5" width="18.7109375" customWidth="1"/>
    <col min="6" max="6" width="24.5703125" customWidth="1"/>
    <col min="7" max="7" width="33.85546875" customWidth="1"/>
    <col min="8" max="9" width="26.140625" customWidth="1"/>
    <col min="10" max="10" width="57.42578125" customWidth="1"/>
    <col min="11" max="11" width="35.85546875" customWidth="1"/>
    <col min="12" max="12" width="55.28515625" customWidth="1"/>
    <col min="13" max="13" width="19.42578125" customWidth="1"/>
    <col min="14" max="14" width="11.5703125" customWidth="1"/>
    <col min="15" max="15" width="19.5703125" customWidth="1"/>
    <col min="16" max="16" width="22.42578125" customWidth="1"/>
    <col min="17" max="17" width="22.140625" customWidth="1"/>
    <col min="18" max="18" width="39.42578125" customWidth="1"/>
    <col min="19" max="19" width="20.7109375" customWidth="1"/>
    <col min="20" max="28" width="9.85546875" hidden="1" customWidth="1"/>
    <col min="29" max="86" width="10.85546875" hidden="1" customWidth="1"/>
    <col min="87" max="88" width="11.42578125" hidden="1" customWidth="1"/>
    <col min="89" max="104" width="9.85546875" hidden="1" customWidth="1"/>
    <col min="105" max="105" width="0" hidden="1" customWidth="1"/>
    <col min="106" max="16384" width="9.140625" hidden="1"/>
  </cols>
  <sheetData>
    <row r="1" spans="1:105" x14ac:dyDescent="0.2">
      <c r="A1" s="37" t="s">
        <v>163</v>
      </c>
      <c r="B1" s="37" t="s">
        <v>1013</v>
      </c>
      <c r="C1" s="37" t="s">
        <v>99</v>
      </c>
      <c r="D1" s="37" t="s">
        <v>166</v>
      </c>
      <c r="E1" s="37" t="s">
        <v>294</v>
      </c>
      <c r="F1" s="37" t="s">
        <v>947</v>
      </c>
      <c r="G1" s="37" t="s">
        <v>948</v>
      </c>
      <c r="H1" s="37" t="s">
        <v>949</v>
      </c>
      <c r="I1" s="37" t="s">
        <v>950</v>
      </c>
      <c r="J1" s="37" t="s">
        <v>951</v>
      </c>
      <c r="K1" s="37" t="s">
        <v>160</v>
      </c>
      <c r="L1" s="37" t="s">
        <v>629</v>
      </c>
      <c r="M1" s="37" t="s">
        <v>960</v>
      </c>
      <c r="N1" s="37" t="s">
        <v>1014</v>
      </c>
      <c r="O1" s="37" t="s">
        <v>316</v>
      </c>
      <c r="P1" s="37" t="s">
        <v>914</v>
      </c>
      <c r="Q1" s="37" t="s">
        <v>302</v>
      </c>
      <c r="R1" s="37" t="s">
        <v>184</v>
      </c>
      <c r="S1" s="37" t="s">
        <v>98</v>
      </c>
      <c r="T1" s="37"/>
      <c r="U1" s="37"/>
      <c r="V1" s="37"/>
      <c r="W1" s="38"/>
      <c r="X1" s="37"/>
      <c r="Y1" s="37"/>
      <c r="Z1" s="38"/>
      <c r="AA1" s="37"/>
      <c r="AB1" s="37"/>
      <c r="AC1" s="37"/>
      <c r="AD1" s="37"/>
      <c r="AE1" s="38"/>
      <c r="AF1" s="37"/>
      <c r="AG1" s="38"/>
      <c r="AH1" s="37"/>
      <c r="AI1" s="37"/>
      <c r="AJ1" s="37"/>
      <c r="AK1" s="38"/>
      <c r="AL1" s="37"/>
      <c r="AM1" s="38"/>
      <c r="AN1" s="38"/>
      <c r="AO1" s="38"/>
      <c r="AP1" s="38"/>
      <c r="AQ1" s="37"/>
      <c r="AR1" s="37"/>
      <c r="AS1" s="37"/>
      <c r="AT1" s="37"/>
      <c r="AU1" s="37"/>
      <c r="AV1" s="37"/>
      <c r="AW1" s="38"/>
      <c r="AX1" s="37"/>
      <c r="AY1" s="37"/>
      <c r="AZ1" s="37"/>
      <c r="BA1" s="37"/>
      <c r="BB1" s="38"/>
      <c r="BC1" s="37"/>
      <c r="BD1" s="38"/>
      <c r="BE1" s="37"/>
      <c r="BF1" s="37"/>
      <c r="BG1" s="37"/>
      <c r="BH1" s="38"/>
      <c r="BI1" s="37"/>
      <c r="BJ1" s="38"/>
      <c r="BK1" s="38"/>
      <c r="BL1" s="38"/>
      <c r="BM1" s="37"/>
      <c r="BN1" s="37"/>
      <c r="BO1" s="37"/>
      <c r="BP1" s="37"/>
      <c r="BQ1" s="37"/>
      <c r="BR1" s="37"/>
      <c r="BS1" s="37"/>
      <c r="BT1" s="37"/>
      <c r="BU1" s="37"/>
      <c r="BV1" s="37"/>
      <c r="BW1" s="37"/>
      <c r="BX1" s="37"/>
      <c r="BY1" s="37"/>
      <c r="BZ1" s="37"/>
      <c r="CA1" s="37"/>
      <c r="CB1" s="37"/>
      <c r="CC1" s="37"/>
      <c r="CD1" s="37"/>
      <c r="CE1" s="37"/>
      <c r="CF1" s="37"/>
      <c r="CG1" s="37"/>
      <c r="CH1" s="37"/>
      <c r="CQ1" s="37"/>
      <c r="CR1" s="37"/>
      <c r="CS1" s="37"/>
      <c r="CT1" s="37"/>
      <c r="CU1" s="37"/>
      <c r="CV1" s="37"/>
      <c r="CW1" s="37"/>
      <c r="CX1" s="37"/>
      <c r="CY1" s="37"/>
      <c r="CZ1" s="37"/>
    </row>
    <row r="2" spans="1:105" x14ac:dyDescent="0.2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62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</row>
    <row r="3" spans="1:105" x14ac:dyDescent="0.2">
      <c r="A3" s="37"/>
      <c r="B3" s="37"/>
      <c r="C3" s="37"/>
      <c r="D3" s="37"/>
      <c r="E3" s="37"/>
      <c r="F3" s="37"/>
      <c r="G3" s="37"/>
      <c r="H3" s="37"/>
      <c r="I3" s="37"/>
      <c r="J3" s="37" t="s">
        <v>974</v>
      </c>
      <c r="K3" s="37"/>
      <c r="L3" s="37"/>
      <c r="M3" s="37"/>
      <c r="N3" s="37"/>
      <c r="O3" s="37"/>
      <c r="P3" s="37"/>
      <c r="Q3" s="37"/>
      <c r="R3" s="37" t="s">
        <v>996</v>
      </c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7"/>
      <c r="BO3" s="37"/>
      <c r="BP3" s="37"/>
      <c r="BQ3" s="37"/>
      <c r="BR3" s="62"/>
      <c r="BS3" s="37"/>
      <c r="BT3" s="37"/>
      <c r="BU3" s="37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Q3" s="37"/>
      <c r="CR3" s="37"/>
      <c r="CS3" s="37"/>
      <c r="CT3" s="37"/>
      <c r="CU3" s="37"/>
      <c r="CV3" s="37"/>
      <c r="CW3" s="37"/>
      <c r="CX3" s="37"/>
      <c r="CY3" s="37"/>
      <c r="CZ3" s="37"/>
      <c r="DA3" s="37"/>
    </row>
    <row r="4" spans="1:105" x14ac:dyDescent="0.2">
      <c r="A4" s="37"/>
      <c r="B4" s="37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37"/>
      <c r="AH4" s="37"/>
      <c r="AI4" s="37"/>
      <c r="AJ4" s="37"/>
      <c r="AK4" s="37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7"/>
      <c r="AZ4" s="37"/>
      <c r="BA4" s="37"/>
      <c r="BB4" s="37"/>
      <c r="BC4" s="37"/>
      <c r="BD4" s="37"/>
      <c r="BE4" s="37"/>
      <c r="BF4" s="37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62"/>
      <c r="BS4" s="37"/>
      <c r="BT4" s="37"/>
      <c r="BU4" s="37"/>
      <c r="BV4" s="37"/>
      <c r="BW4" s="37"/>
      <c r="BX4" s="37"/>
      <c r="BY4" s="37"/>
      <c r="BZ4" s="37"/>
      <c r="CA4" s="37"/>
      <c r="CB4" s="37"/>
      <c r="CC4" s="37"/>
      <c r="CD4" s="37"/>
      <c r="CE4" s="37"/>
      <c r="CF4" s="37"/>
      <c r="CG4" s="37"/>
      <c r="CH4" s="37"/>
      <c r="CQ4" s="37"/>
      <c r="CR4" s="37"/>
      <c r="CS4" s="37"/>
      <c r="CT4" s="37"/>
      <c r="CU4" s="37"/>
      <c r="CV4" s="37"/>
      <c r="CW4" s="37"/>
      <c r="CX4" s="37"/>
      <c r="CY4" s="37"/>
      <c r="CZ4" s="37"/>
      <c r="DA4" s="37"/>
    </row>
    <row r="5" spans="1:105" x14ac:dyDescent="0.2">
      <c r="A5" s="37"/>
      <c r="B5" s="37"/>
      <c r="C5" s="37"/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37"/>
      <c r="AF5" s="37"/>
      <c r="AG5" s="37"/>
      <c r="AH5" s="37"/>
      <c r="AI5" s="37"/>
      <c r="AJ5" s="37"/>
      <c r="AK5" s="37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7"/>
      <c r="AZ5" s="37"/>
      <c r="BA5" s="37"/>
      <c r="BB5" s="37"/>
      <c r="BC5" s="37"/>
      <c r="BD5" s="37"/>
      <c r="BE5" s="37"/>
      <c r="BF5" s="37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62"/>
      <c r="BS5" s="37"/>
      <c r="BT5" s="37"/>
      <c r="BU5" s="37"/>
      <c r="BV5" s="37"/>
      <c r="BW5" s="37"/>
      <c r="BX5" s="37"/>
      <c r="BY5" s="37"/>
      <c r="BZ5" s="37"/>
      <c r="CA5" s="37"/>
      <c r="CB5" s="37"/>
      <c r="CC5" s="37"/>
      <c r="CD5" s="37"/>
      <c r="CE5" s="37"/>
      <c r="CF5" s="37"/>
      <c r="CG5" s="37"/>
      <c r="CH5" s="37"/>
      <c r="CQ5" s="37"/>
      <c r="CR5" s="37"/>
      <c r="CS5" s="37"/>
      <c r="CT5" s="37"/>
      <c r="CU5" s="37"/>
      <c r="CV5" s="37"/>
      <c r="CW5" s="37"/>
      <c r="CX5" s="37"/>
      <c r="CY5" s="37"/>
      <c r="CZ5" s="37"/>
      <c r="DA5" s="37"/>
    </row>
    <row r="6" spans="1:105" x14ac:dyDescent="0.2">
      <c r="A6" s="37" t="s">
        <v>997</v>
      </c>
      <c r="B6" s="37" t="s">
        <v>1027</v>
      </c>
      <c r="C6" s="37"/>
      <c r="D6" s="37"/>
      <c r="E6" s="37"/>
      <c r="F6" s="37" t="s">
        <v>998</v>
      </c>
      <c r="G6" s="37" t="s">
        <v>1028</v>
      </c>
      <c r="H6" s="37"/>
      <c r="I6" s="37"/>
      <c r="J6" s="37"/>
      <c r="K6" s="37"/>
      <c r="L6" s="37" t="s">
        <v>1015</v>
      </c>
      <c r="M6" s="37"/>
      <c r="N6" s="37"/>
      <c r="O6" s="37"/>
      <c r="P6" s="37"/>
      <c r="Q6" s="37"/>
      <c r="R6" s="37" t="s">
        <v>999</v>
      </c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37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62"/>
      <c r="BS6" s="37"/>
      <c r="BT6" s="37"/>
      <c r="BU6" s="37"/>
      <c r="BV6" s="37"/>
      <c r="BW6" s="37"/>
      <c r="BX6" s="37"/>
      <c r="BY6" s="37"/>
      <c r="BZ6" s="37"/>
      <c r="CA6" s="37"/>
      <c r="CB6" s="37"/>
      <c r="CC6" s="37"/>
      <c r="CD6" s="37"/>
      <c r="CE6" s="37"/>
      <c r="CF6" s="37"/>
      <c r="CG6" s="37"/>
      <c r="CH6" s="37"/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</row>
    <row r="7" spans="1:105" x14ac:dyDescent="0.2">
      <c r="A7" s="37" t="s">
        <v>1000</v>
      </c>
      <c r="B7" s="37" t="s">
        <v>1029</v>
      </c>
      <c r="C7" s="37"/>
      <c r="D7" s="37"/>
      <c r="E7" s="37"/>
      <c r="F7" s="37" t="s">
        <v>1001</v>
      </c>
      <c r="G7" s="37" t="s">
        <v>180</v>
      </c>
      <c r="H7" s="37"/>
      <c r="I7" s="37"/>
      <c r="J7" s="37"/>
      <c r="K7" s="37"/>
      <c r="L7" s="37" t="s">
        <v>1030</v>
      </c>
      <c r="M7" s="37"/>
      <c r="N7" s="37"/>
      <c r="O7" s="37"/>
      <c r="P7" s="37"/>
      <c r="Q7" s="37"/>
      <c r="R7" s="37"/>
      <c r="S7" s="37" t="s">
        <v>1002</v>
      </c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/>
      <c r="AF7" s="37"/>
      <c r="AG7" s="37"/>
      <c r="AH7" s="37"/>
      <c r="AI7" s="37"/>
      <c r="AJ7" s="37"/>
      <c r="AK7" s="37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7"/>
      <c r="AZ7" s="37"/>
      <c r="BA7" s="37"/>
      <c r="BB7" s="37"/>
      <c r="BC7" s="37"/>
      <c r="BD7" s="37"/>
      <c r="BE7" s="37"/>
      <c r="BF7" s="37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62"/>
      <c r="BS7" s="37"/>
      <c r="BT7" s="37"/>
      <c r="BU7" s="37"/>
      <c r="BV7" s="37"/>
      <c r="BW7" s="37"/>
      <c r="BX7" s="37"/>
      <c r="BY7" s="37"/>
      <c r="BZ7" s="37"/>
      <c r="CA7" s="37"/>
      <c r="CB7" s="37"/>
      <c r="CC7" s="37"/>
      <c r="CD7" s="37"/>
      <c r="CE7" s="37"/>
      <c r="CF7" s="37"/>
      <c r="CG7" s="37"/>
      <c r="CH7" s="37"/>
      <c r="CQ7" s="37"/>
      <c r="CR7" s="37"/>
      <c r="CS7" s="37"/>
      <c r="CT7" s="37"/>
      <c r="CU7" s="37"/>
      <c r="CV7" s="37"/>
      <c r="CW7" s="37"/>
      <c r="CX7" s="37"/>
      <c r="CY7" s="37"/>
      <c r="CZ7" s="37"/>
      <c r="DA7" s="37"/>
    </row>
    <row r="8" spans="1:105" x14ac:dyDescent="0.2">
      <c r="A8" s="37" t="s">
        <v>1003</v>
      </c>
      <c r="B8" s="37">
        <v>44503</v>
      </c>
      <c r="C8" s="37"/>
      <c r="D8" s="37"/>
      <c r="E8" s="37"/>
      <c r="F8" s="37" t="s">
        <v>1004</v>
      </c>
      <c r="G8" s="37" t="s">
        <v>1031</v>
      </c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 t="s">
        <v>1005</v>
      </c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7"/>
      <c r="AZ8" s="37"/>
      <c r="BA8" s="37"/>
      <c r="BB8" s="37"/>
      <c r="BC8" s="37"/>
      <c r="BD8" s="37"/>
      <c r="BE8" s="37"/>
      <c r="BF8" s="37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62"/>
      <c r="BS8" s="37"/>
      <c r="BT8" s="37"/>
      <c r="BU8" s="37"/>
      <c r="BV8" s="37"/>
      <c r="BW8" s="37"/>
      <c r="BX8" s="37"/>
      <c r="BY8" s="37"/>
      <c r="BZ8" s="37"/>
      <c r="CA8" s="37"/>
      <c r="CB8" s="37"/>
      <c r="CC8" s="37"/>
      <c r="CD8" s="37"/>
      <c r="CE8" s="37"/>
      <c r="CF8" s="37"/>
      <c r="CG8" s="37"/>
      <c r="CH8" s="37"/>
      <c r="CQ8" s="37"/>
      <c r="CR8" s="37"/>
      <c r="CS8" s="37"/>
      <c r="CT8" s="37"/>
      <c r="CU8" s="37"/>
      <c r="CV8" s="37"/>
      <c r="CW8" s="37"/>
      <c r="CX8" s="37"/>
      <c r="CY8" s="37"/>
      <c r="CZ8" s="37"/>
      <c r="DA8" s="37"/>
    </row>
    <row r="9" spans="1:105" x14ac:dyDescent="0.2">
      <c r="A9" s="37"/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 t="s">
        <v>1006</v>
      </c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  <c r="BE9" s="37"/>
      <c r="BF9" s="37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62"/>
      <c r="BS9" s="37"/>
      <c r="BT9" s="37"/>
      <c r="BU9" s="37"/>
      <c r="BV9" s="37"/>
      <c r="BW9" s="37"/>
      <c r="BX9" s="37"/>
      <c r="BY9" s="37"/>
      <c r="BZ9" s="37"/>
      <c r="CA9" s="37"/>
      <c r="CB9" s="37"/>
      <c r="CC9" s="37"/>
      <c r="CD9" s="37"/>
      <c r="CE9" s="37"/>
      <c r="CF9" s="37"/>
      <c r="CG9" s="37"/>
      <c r="CH9" s="37"/>
      <c r="CQ9" s="37"/>
      <c r="CR9" s="37"/>
      <c r="CS9" s="37"/>
      <c r="CT9" s="37"/>
      <c r="CU9" s="37"/>
      <c r="CV9" s="37"/>
      <c r="CW9" s="37"/>
      <c r="CX9" s="37"/>
      <c r="CY9" s="37"/>
      <c r="CZ9" s="37"/>
      <c r="DA9" s="37"/>
    </row>
    <row r="10" spans="1:105" x14ac:dyDescent="0.2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 t="s">
        <v>1007</v>
      </c>
      <c r="CH10" t="e">
        <f>SUBTOTAL(103,#REF!)</f>
        <v>#REF!</v>
      </c>
      <c r="CQ10" s="37"/>
      <c r="CR10" s="37"/>
      <c r="CS10" s="37"/>
      <c r="CT10" s="37"/>
      <c r="CU10" s="37"/>
      <c r="CV10" s="37"/>
      <c r="CW10" s="37"/>
      <c r="CX10" s="37"/>
      <c r="CY10" s="37"/>
      <c r="CZ10" s="37"/>
      <c r="DA10" s="37"/>
    </row>
    <row r="11" spans="1:105" x14ac:dyDescent="0.2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CQ11" s="37"/>
      <c r="CR11" s="37"/>
      <c r="CS11" s="37"/>
      <c r="CT11" s="37"/>
      <c r="CU11" s="37"/>
      <c r="CV11" s="37"/>
      <c r="CW11" s="37"/>
      <c r="CX11" s="37"/>
      <c r="CY11" s="37"/>
      <c r="CZ11" s="37"/>
      <c r="DA11" s="37"/>
    </row>
    <row r="12" spans="1:105" x14ac:dyDescent="0.2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CQ12" s="37"/>
      <c r="CR12" s="37"/>
      <c r="CS12" s="37"/>
      <c r="CT12" s="37"/>
      <c r="CU12" s="37"/>
      <c r="CV12" s="37"/>
      <c r="CW12" s="37"/>
      <c r="CX12" s="37"/>
      <c r="CY12" s="37"/>
      <c r="CZ12" s="37"/>
      <c r="DA12" s="37"/>
    </row>
    <row r="13" spans="1:105" x14ac:dyDescent="0.2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CQ13" s="37"/>
      <c r="CR13" s="37"/>
      <c r="CS13" s="37"/>
      <c r="CT13" s="37"/>
      <c r="CU13" s="37"/>
      <c r="CV13" s="37"/>
      <c r="CW13" s="37"/>
      <c r="CX13" s="37"/>
      <c r="CY13" s="37"/>
      <c r="CZ13" s="37"/>
      <c r="DA13" s="37"/>
    </row>
    <row r="14" spans="1:105" x14ac:dyDescent="0.2">
      <c r="A14" s="37" t="s">
        <v>163</v>
      </c>
      <c r="B14" s="37"/>
      <c r="C14" s="37" t="s">
        <v>98</v>
      </c>
      <c r="D14" s="37" t="s">
        <v>166</v>
      </c>
      <c r="E14" s="37" t="s">
        <v>294</v>
      </c>
      <c r="F14" s="37" t="s">
        <v>947</v>
      </c>
      <c r="G14" s="37" t="s">
        <v>948</v>
      </c>
      <c r="H14" s="37" t="s">
        <v>949</v>
      </c>
      <c r="I14" s="37" t="s">
        <v>950</v>
      </c>
      <c r="J14" s="37" t="s">
        <v>951</v>
      </c>
      <c r="K14" s="37" t="s">
        <v>160</v>
      </c>
      <c r="L14" s="37" t="s">
        <v>629</v>
      </c>
      <c r="M14" s="37" t="s">
        <v>960</v>
      </c>
      <c r="N14" s="37"/>
      <c r="O14" s="37" t="s">
        <v>316</v>
      </c>
      <c r="P14" s="37" t="s">
        <v>914</v>
      </c>
      <c r="Q14" s="37" t="s">
        <v>302</v>
      </c>
      <c r="R14" s="37" t="s">
        <v>184</v>
      </c>
      <c r="S14" s="37" t="s">
        <v>98</v>
      </c>
      <c r="CQ14" s="37"/>
      <c r="CR14" s="37"/>
      <c r="CS14" s="37"/>
      <c r="CT14" s="37"/>
      <c r="CU14" s="37"/>
      <c r="CV14" s="37"/>
      <c r="CW14" s="37"/>
      <c r="CX14" s="37"/>
      <c r="CY14" s="37"/>
      <c r="CZ14" s="37"/>
      <c r="DA14" s="37"/>
    </row>
    <row r="15" spans="1:105" x14ac:dyDescent="0.2">
      <c r="A15" s="37" t="s">
        <v>93</v>
      </c>
      <c r="B15" s="37"/>
      <c r="C15" s="37" t="s">
        <v>99</v>
      </c>
      <c r="D15" s="37" t="s">
        <v>975</v>
      </c>
      <c r="E15" s="37" t="s">
        <v>1008</v>
      </c>
      <c r="F15" s="37" t="s">
        <v>952</v>
      </c>
      <c r="G15" s="37" t="s">
        <v>953</v>
      </c>
      <c r="H15" s="37" t="s">
        <v>954</v>
      </c>
      <c r="I15" s="37" t="s">
        <v>955</v>
      </c>
      <c r="J15" s="37" t="s">
        <v>956</v>
      </c>
      <c r="K15" s="37" t="s">
        <v>1009</v>
      </c>
      <c r="L15" s="37" t="s">
        <v>1016</v>
      </c>
      <c r="M15" s="37" t="s">
        <v>961</v>
      </c>
      <c r="N15" s="37"/>
      <c r="O15" s="37" t="s">
        <v>825</v>
      </c>
      <c r="P15" s="37" t="s">
        <v>1010</v>
      </c>
      <c r="Q15" s="37" t="s">
        <v>976</v>
      </c>
      <c r="R15" s="37" t="s">
        <v>977</v>
      </c>
      <c r="S15" s="37" t="s">
        <v>978</v>
      </c>
      <c r="CQ15" s="37"/>
      <c r="CR15" s="37"/>
      <c r="CS15" s="37"/>
      <c r="CT15" s="37"/>
      <c r="CU15" s="37"/>
      <c r="CV15" s="37"/>
      <c r="CW15" s="37"/>
      <c r="CX15" s="37"/>
      <c r="CY15" s="37"/>
      <c r="CZ15" s="37"/>
      <c r="DA15" s="37"/>
    </row>
    <row r="16" spans="1:105" x14ac:dyDescent="0.2">
      <c r="A16" s="37" t="s">
        <v>1032</v>
      </c>
      <c r="B16" s="37"/>
      <c r="C16" s="37" t="s">
        <v>979</v>
      </c>
      <c r="D16" s="37" t="s">
        <v>764</v>
      </c>
      <c r="E16" s="37">
        <v>1.107</v>
      </c>
      <c r="F16" s="37">
        <v>4.75</v>
      </c>
      <c r="G16" s="37"/>
      <c r="H16" s="37"/>
      <c r="I16" s="37"/>
      <c r="J16" s="37"/>
      <c r="K16" s="37" t="s">
        <v>26</v>
      </c>
      <c r="L16" s="37" t="s">
        <v>1033</v>
      </c>
      <c r="M16" s="37" t="s">
        <v>1034</v>
      </c>
      <c r="N16" s="37" t="s">
        <v>1011</v>
      </c>
      <c r="O16" s="37" t="s">
        <v>757</v>
      </c>
      <c r="P16" s="37" t="s">
        <v>1012</v>
      </c>
      <c r="Q16" s="37" t="s">
        <v>980</v>
      </c>
      <c r="R16" s="37" t="s">
        <v>981</v>
      </c>
      <c r="S16" s="37" t="s">
        <v>748</v>
      </c>
      <c r="CQ16" s="37"/>
      <c r="CR16" s="37"/>
      <c r="CS16" s="37"/>
      <c r="CT16" s="37"/>
      <c r="CU16" s="37"/>
      <c r="CV16" s="37"/>
      <c r="CW16" s="37"/>
      <c r="CX16" s="37"/>
      <c r="CY16" s="37"/>
      <c r="CZ16" s="37"/>
      <c r="DA16" s="37"/>
    </row>
    <row r="17" spans="1:105" x14ac:dyDescent="0.2">
      <c r="A17" s="37" t="s">
        <v>1035</v>
      </c>
      <c r="B17" s="37"/>
      <c r="C17" s="37" t="s">
        <v>979</v>
      </c>
      <c r="D17" s="37" t="s">
        <v>764</v>
      </c>
      <c r="E17" s="37">
        <v>1.966</v>
      </c>
      <c r="F17" s="37">
        <v>4.75</v>
      </c>
      <c r="G17" s="37"/>
      <c r="H17" s="37"/>
      <c r="I17" s="37"/>
      <c r="J17" s="37"/>
      <c r="K17" s="37" t="s">
        <v>26</v>
      </c>
      <c r="L17" s="37" t="s">
        <v>1033</v>
      </c>
      <c r="M17" s="37" t="s">
        <v>1034</v>
      </c>
      <c r="N17" s="37" t="s">
        <v>1011</v>
      </c>
      <c r="O17" s="37" t="s">
        <v>757</v>
      </c>
      <c r="P17" s="37" t="s">
        <v>1012</v>
      </c>
      <c r="Q17" s="37" t="s">
        <v>980</v>
      </c>
      <c r="R17" s="37" t="s">
        <v>981</v>
      </c>
      <c r="S17" s="37" t="s">
        <v>748</v>
      </c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</row>
    <row r="18" spans="1:105" x14ac:dyDescent="0.2">
      <c r="A18" s="37" t="s">
        <v>1036</v>
      </c>
      <c r="B18" s="37"/>
      <c r="C18" s="37" t="s">
        <v>979</v>
      </c>
      <c r="D18" s="37" t="s">
        <v>764</v>
      </c>
      <c r="E18" s="37">
        <v>1.68</v>
      </c>
      <c r="F18" s="37">
        <v>4.75</v>
      </c>
      <c r="G18" s="37"/>
      <c r="H18" s="37"/>
      <c r="I18" s="37"/>
      <c r="J18" s="37"/>
      <c r="K18" s="37" t="s">
        <v>26</v>
      </c>
      <c r="L18" s="37" t="s">
        <v>1033</v>
      </c>
      <c r="M18" s="37" t="s">
        <v>1034</v>
      </c>
      <c r="N18" s="37" t="s">
        <v>1011</v>
      </c>
      <c r="O18" s="37" t="s">
        <v>757</v>
      </c>
      <c r="P18" s="37" t="s">
        <v>1012</v>
      </c>
      <c r="Q18" s="37" t="s">
        <v>980</v>
      </c>
      <c r="R18" s="37" t="s">
        <v>981</v>
      </c>
      <c r="S18" s="37" t="s">
        <v>748</v>
      </c>
      <c r="CQ18" s="37"/>
      <c r="CR18" s="37"/>
      <c r="CS18" s="37"/>
      <c r="CT18" s="37"/>
      <c r="CU18" s="37"/>
      <c r="CV18" s="37"/>
      <c r="CW18" s="37"/>
      <c r="CX18" s="37"/>
      <c r="CY18" s="37"/>
      <c r="CZ18" s="37"/>
      <c r="DA18" s="37"/>
    </row>
    <row r="19" spans="1:105" x14ac:dyDescent="0.2">
      <c r="A19" s="37" t="s">
        <v>1037</v>
      </c>
      <c r="B19" s="37"/>
      <c r="C19" s="37" t="s">
        <v>979</v>
      </c>
      <c r="D19" s="37" t="s">
        <v>764</v>
      </c>
      <c r="E19" s="37">
        <v>2.4809999999999999</v>
      </c>
      <c r="F19" s="37">
        <v>4.75</v>
      </c>
      <c r="G19" s="37"/>
      <c r="H19" s="37"/>
      <c r="I19" s="37"/>
      <c r="J19" s="37"/>
      <c r="K19" s="37" t="s">
        <v>26</v>
      </c>
      <c r="L19" s="37" t="s">
        <v>1033</v>
      </c>
      <c r="M19" s="37" t="s">
        <v>1034</v>
      </c>
      <c r="N19" s="37" t="s">
        <v>1011</v>
      </c>
      <c r="O19" s="37" t="s">
        <v>757</v>
      </c>
      <c r="P19" s="37" t="s">
        <v>1012</v>
      </c>
      <c r="Q19" s="37" t="s">
        <v>980</v>
      </c>
      <c r="R19" s="37" t="s">
        <v>981</v>
      </c>
      <c r="S19" s="37" t="s">
        <v>748</v>
      </c>
      <c r="CQ19" s="37"/>
      <c r="CR19" s="37"/>
      <c r="CS19" s="37"/>
      <c r="CT19" s="37"/>
      <c r="CU19" s="37"/>
      <c r="CV19" s="37"/>
      <c r="CW19" s="37"/>
      <c r="CX19" s="37"/>
      <c r="CY19" s="37"/>
      <c r="CZ19" s="37"/>
      <c r="DA19" s="37"/>
    </row>
    <row r="20" spans="1:105" x14ac:dyDescent="0.2">
      <c r="A20" s="37" t="s">
        <v>1038</v>
      </c>
      <c r="B20" s="37"/>
      <c r="C20" s="37" t="s">
        <v>979</v>
      </c>
      <c r="D20" s="37" t="s">
        <v>764</v>
      </c>
      <c r="E20" s="37">
        <v>1.754</v>
      </c>
      <c r="F20" s="37">
        <v>6.35</v>
      </c>
      <c r="G20" s="37"/>
      <c r="H20" s="37"/>
      <c r="I20" s="37"/>
      <c r="J20" s="37"/>
      <c r="K20" s="37" t="s">
        <v>26</v>
      </c>
      <c r="L20" s="37" t="s">
        <v>1033</v>
      </c>
      <c r="M20" s="37" t="s">
        <v>1034</v>
      </c>
      <c r="N20" s="37" t="s">
        <v>1011</v>
      </c>
      <c r="O20" s="37" t="s">
        <v>757</v>
      </c>
      <c r="P20" s="37" t="s">
        <v>1012</v>
      </c>
      <c r="Q20" s="37" t="s">
        <v>980</v>
      </c>
      <c r="R20" s="37" t="s">
        <v>981</v>
      </c>
      <c r="S20" s="37" t="s">
        <v>748</v>
      </c>
      <c r="CQ20" s="37"/>
      <c r="CR20" s="37"/>
      <c r="CS20" s="37"/>
      <c r="CT20" s="37"/>
      <c r="CU20" s="37"/>
      <c r="CV20" s="37"/>
      <c r="CW20" s="37"/>
      <c r="CX20" s="37"/>
      <c r="CY20" s="37"/>
      <c r="CZ20" s="37"/>
      <c r="DA20" s="37"/>
    </row>
    <row r="21" spans="1:105" x14ac:dyDescent="0.2">
      <c r="A21" s="37" t="s">
        <v>1039</v>
      </c>
      <c r="B21" s="37"/>
      <c r="C21" s="37" t="s">
        <v>979</v>
      </c>
      <c r="D21" s="37" t="s">
        <v>764</v>
      </c>
      <c r="E21" s="37">
        <v>2.7160000000000002</v>
      </c>
      <c r="F21" s="37">
        <v>7.9</v>
      </c>
      <c r="G21" s="37"/>
      <c r="H21" s="37"/>
      <c r="I21" s="37"/>
      <c r="J21" s="37"/>
      <c r="K21" s="37" t="s">
        <v>26</v>
      </c>
      <c r="L21" s="37" t="s">
        <v>1033</v>
      </c>
      <c r="M21" s="37" t="s">
        <v>1034</v>
      </c>
      <c r="N21" s="37" t="s">
        <v>1011</v>
      </c>
      <c r="O21" s="37" t="s">
        <v>757</v>
      </c>
      <c r="P21" s="37" t="s">
        <v>1012</v>
      </c>
      <c r="Q21" s="37" t="s">
        <v>980</v>
      </c>
      <c r="R21" s="37" t="s">
        <v>981</v>
      </c>
      <c r="S21" s="37" t="s">
        <v>748</v>
      </c>
      <c r="CQ21" s="37"/>
      <c r="CR21" s="37"/>
      <c r="CS21" s="37"/>
      <c r="CT21" s="37"/>
      <c r="CU21" s="37"/>
      <c r="CV21" s="37"/>
      <c r="CW21" s="37"/>
      <c r="CX21" s="37"/>
      <c r="CY21" s="37"/>
      <c r="CZ21" s="37"/>
      <c r="DA21" s="37"/>
    </row>
    <row r="22" spans="1:105" x14ac:dyDescent="0.2">
      <c r="A22" s="37"/>
      <c r="B22" s="37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 t="s">
        <v>836</v>
      </c>
      <c r="O22" s="37"/>
      <c r="P22" s="37" t="s">
        <v>1012</v>
      </c>
      <c r="Q22" s="37" t="s">
        <v>836</v>
      </c>
      <c r="R22" s="37" t="s">
        <v>836</v>
      </c>
      <c r="S22" s="37" t="s">
        <v>836</v>
      </c>
      <c r="CQ22" s="37"/>
      <c r="CR22" s="37"/>
      <c r="CS22" s="37"/>
      <c r="CT22" s="37"/>
      <c r="CU22" s="37"/>
      <c r="CV22" s="37"/>
      <c r="CW22" s="37"/>
      <c r="CX22" s="37"/>
      <c r="CY22" s="37"/>
      <c r="CZ22" s="37"/>
      <c r="DA22" s="37"/>
    </row>
    <row r="23" spans="1:105" x14ac:dyDescent="0.2">
      <c r="A23" s="37"/>
      <c r="B23" s="37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 t="s">
        <v>836</v>
      </c>
      <c r="O23" s="37"/>
      <c r="P23" s="37" t="s">
        <v>1012</v>
      </c>
      <c r="Q23" s="37" t="s">
        <v>836</v>
      </c>
      <c r="R23" s="37" t="s">
        <v>836</v>
      </c>
      <c r="S23" s="37" t="s">
        <v>836</v>
      </c>
      <c r="CQ23" s="37"/>
      <c r="CR23" s="37"/>
      <c r="CS23" s="37"/>
      <c r="CT23" s="37"/>
      <c r="CU23" s="37"/>
      <c r="CV23" s="37"/>
      <c r="CW23" s="37"/>
      <c r="CX23" s="37"/>
      <c r="CY23" s="37"/>
      <c r="CZ23" s="37"/>
      <c r="DA23" s="37"/>
    </row>
    <row r="24" spans="1:105" x14ac:dyDescent="0.2">
      <c r="A24" s="37"/>
      <c r="B24" s="37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 t="s">
        <v>836</v>
      </c>
      <c r="O24" s="37"/>
      <c r="P24" s="37" t="s">
        <v>1012</v>
      </c>
      <c r="Q24" s="37" t="s">
        <v>836</v>
      </c>
      <c r="R24" s="37" t="s">
        <v>836</v>
      </c>
      <c r="S24" s="37" t="s">
        <v>836</v>
      </c>
      <c r="CQ24" s="37"/>
      <c r="CR24" s="37"/>
      <c r="CS24" s="37"/>
      <c r="CT24" s="37"/>
      <c r="CU24" s="37"/>
      <c r="CV24" s="37"/>
      <c r="CW24" s="37"/>
      <c r="CX24" s="37"/>
      <c r="CY24" s="37"/>
      <c r="CZ24" s="37"/>
      <c r="DA24" s="37"/>
    </row>
    <row r="25" spans="1:105" x14ac:dyDescent="0.2">
      <c r="A25" s="37"/>
      <c r="B25" s="37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 t="s">
        <v>836</v>
      </c>
      <c r="O25" s="37"/>
      <c r="P25" s="37" t="s">
        <v>1012</v>
      </c>
      <c r="Q25" s="37" t="s">
        <v>836</v>
      </c>
      <c r="R25" s="37" t="s">
        <v>836</v>
      </c>
      <c r="S25" s="37" t="s">
        <v>836</v>
      </c>
      <c r="CQ25" s="37"/>
      <c r="CR25" s="37"/>
      <c r="CS25" s="37"/>
      <c r="CT25" s="37"/>
      <c r="CU25" s="37"/>
      <c r="CV25" s="37"/>
      <c r="CW25" s="37"/>
      <c r="CX25" s="37"/>
      <c r="CY25" s="37"/>
      <c r="CZ25" s="37"/>
      <c r="DA25" s="37"/>
    </row>
    <row r="26" spans="1:105" x14ac:dyDescent="0.2">
      <c r="A26" s="37"/>
      <c r="B26" s="37"/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 t="s">
        <v>836</v>
      </c>
      <c r="O26" s="37"/>
      <c r="P26" s="37" t="s">
        <v>1012</v>
      </c>
      <c r="Q26" s="37" t="s">
        <v>836</v>
      </c>
      <c r="R26" s="37" t="s">
        <v>836</v>
      </c>
      <c r="S26" s="37" t="s">
        <v>836</v>
      </c>
      <c r="CQ26" s="37"/>
      <c r="CR26" s="37"/>
      <c r="CS26" s="37"/>
      <c r="CT26" s="37"/>
      <c r="CU26" s="37"/>
      <c r="CV26" s="37"/>
      <c r="CW26" s="37"/>
      <c r="CX26" s="37"/>
      <c r="CY26" s="37"/>
      <c r="CZ26" s="37"/>
      <c r="DA26" s="37"/>
    </row>
    <row r="27" spans="1:105" x14ac:dyDescent="0.2">
      <c r="A27" s="37"/>
      <c r="B27" s="3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 t="s">
        <v>836</v>
      </c>
      <c r="O27" s="37"/>
      <c r="P27" s="37" t="s">
        <v>1012</v>
      </c>
      <c r="Q27" s="37" t="s">
        <v>836</v>
      </c>
      <c r="R27" s="37" t="s">
        <v>836</v>
      </c>
      <c r="S27" s="37" t="s">
        <v>836</v>
      </c>
      <c r="CQ27" s="37"/>
      <c r="CR27" s="37"/>
      <c r="CS27" s="37"/>
      <c r="CT27" s="37"/>
      <c r="CU27" s="37"/>
      <c r="CV27" s="37"/>
      <c r="CW27" s="37"/>
      <c r="CX27" s="37"/>
      <c r="CY27" s="37"/>
      <c r="CZ27" s="37"/>
      <c r="DA27" s="37"/>
    </row>
    <row r="28" spans="1:105" x14ac:dyDescent="0.2">
      <c r="A28" s="37"/>
      <c r="B28" s="37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 t="s">
        <v>836</v>
      </c>
      <c r="O28" s="37"/>
      <c r="P28" s="37" t="s">
        <v>1012</v>
      </c>
      <c r="Q28" s="37" t="s">
        <v>836</v>
      </c>
      <c r="R28" s="37" t="s">
        <v>836</v>
      </c>
      <c r="S28" s="37" t="s">
        <v>836</v>
      </c>
      <c r="CQ28" s="37"/>
      <c r="CR28" s="37"/>
      <c r="CS28" s="37"/>
      <c r="CT28" s="37"/>
      <c r="CU28" s="37"/>
      <c r="CV28" s="37"/>
      <c r="CW28" s="37"/>
      <c r="CX28" s="37"/>
      <c r="CY28" s="37"/>
      <c r="CZ28" s="37"/>
      <c r="DA28" s="37"/>
    </row>
    <row r="29" spans="1:105" x14ac:dyDescent="0.2">
      <c r="A29" s="37"/>
      <c r="B29" s="37"/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 t="s">
        <v>836</v>
      </c>
      <c r="O29" s="37"/>
      <c r="P29" s="37" t="s">
        <v>1012</v>
      </c>
      <c r="Q29" s="37" t="s">
        <v>836</v>
      </c>
      <c r="R29" s="37" t="s">
        <v>836</v>
      </c>
      <c r="S29" s="37" t="s">
        <v>836</v>
      </c>
      <c r="CQ29" s="37"/>
      <c r="CR29" s="37"/>
      <c r="CS29" s="37"/>
      <c r="CT29" s="37"/>
      <c r="CU29" s="37"/>
      <c r="CV29" s="37"/>
      <c r="CW29" s="37"/>
      <c r="CX29" s="37"/>
      <c r="CY29" s="37"/>
      <c r="CZ29" s="37"/>
      <c r="DA29" s="37"/>
    </row>
    <row r="30" spans="1:105" x14ac:dyDescent="0.2">
      <c r="A30" s="37"/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 t="s">
        <v>836</v>
      </c>
      <c r="O30" s="37"/>
      <c r="P30" s="37" t="s">
        <v>1012</v>
      </c>
      <c r="Q30" s="37" t="s">
        <v>836</v>
      </c>
      <c r="R30" s="37" t="s">
        <v>836</v>
      </c>
      <c r="S30" s="37" t="s">
        <v>836</v>
      </c>
      <c r="CQ30" s="37"/>
      <c r="CR30" s="37"/>
      <c r="CS30" s="37"/>
      <c r="CT30" s="37"/>
      <c r="CU30" s="37"/>
      <c r="CV30" s="37"/>
      <c r="CW30" s="37"/>
      <c r="CX30" s="37"/>
      <c r="CY30" s="37"/>
      <c r="CZ30" s="37"/>
      <c r="DA30" s="37"/>
    </row>
    <row r="31" spans="1:105" x14ac:dyDescent="0.2">
      <c r="A31" s="37"/>
      <c r="B31" s="37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 t="s">
        <v>836</v>
      </c>
      <c r="O31" s="37"/>
      <c r="P31" s="37" t="s">
        <v>1012</v>
      </c>
      <c r="Q31" s="37" t="s">
        <v>836</v>
      </c>
      <c r="R31" s="37" t="s">
        <v>836</v>
      </c>
      <c r="S31" s="37" t="s">
        <v>836</v>
      </c>
      <c r="CQ31" s="37"/>
      <c r="CR31" s="37"/>
      <c r="CS31" s="37"/>
      <c r="CT31" s="37"/>
      <c r="CU31" s="37"/>
      <c r="CV31" s="37"/>
      <c r="CW31" s="37"/>
      <c r="CX31" s="37"/>
      <c r="CY31" s="37"/>
      <c r="CZ31" s="37"/>
      <c r="DA31" s="37"/>
    </row>
    <row r="32" spans="1:105" x14ac:dyDescent="0.2">
      <c r="A32" s="37"/>
      <c r="B32" s="37"/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 t="s">
        <v>836</v>
      </c>
      <c r="O32" s="37"/>
      <c r="P32" s="37" t="s">
        <v>1012</v>
      </c>
      <c r="Q32" s="37" t="s">
        <v>836</v>
      </c>
      <c r="R32" s="37" t="s">
        <v>836</v>
      </c>
      <c r="S32" s="37" t="s">
        <v>836</v>
      </c>
      <c r="CW32" s="37"/>
      <c r="CX32" s="37"/>
      <c r="CY32" s="37"/>
      <c r="CZ32" s="37"/>
      <c r="DA32" s="37"/>
    </row>
    <row r="33" spans="1:105" x14ac:dyDescent="0.2">
      <c r="A33" s="37"/>
      <c r="B33" s="37"/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 t="s">
        <v>836</v>
      </c>
      <c r="O33" s="37"/>
      <c r="P33" s="37" t="s">
        <v>1012</v>
      </c>
      <c r="Q33" s="37" t="s">
        <v>836</v>
      </c>
      <c r="R33" s="37" t="s">
        <v>836</v>
      </c>
      <c r="S33" s="37" t="s">
        <v>836</v>
      </c>
      <c r="CW33" s="37"/>
      <c r="CX33" s="37"/>
      <c r="CY33" s="37"/>
      <c r="CZ33" s="37"/>
      <c r="DA33" s="37"/>
    </row>
    <row r="34" spans="1:105" x14ac:dyDescent="0.2">
      <c r="A34" s="37"/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 t="s">
        <v>836</v>
      </c>
      <c r="O34" s="37"/>
      <c r="P34" s="37" t="s">
        <v>1012</v>
      </c>
      <c r="Q34" s="37" t="s">
        <v>836</v>
      </c>
      <c r="R34" s="37" t="s">
        <v>836</v>
      </c>
      <c r="S34" s="37" t="s">
        <v>836</v>
      </c>
      <c r="CW34" s="37"/>
      <c r="CX34" s="37"/>
      <c r="CY34" s="37"/>
      <c r="CZ34" s="37"/>
      <c r="DA34" s="37"/>
    </row>
    <row r="35" spans="1:105" x14ac:dyDescent="0.2">
      <c r="A35" s="37"/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37" t="s">
        <v>836</v>
      </c>
      <c r="O35" s="37"/>
      <c r="P35" s="37" t="s">
        <v>1012</v>
      </c>
      <c r="Q35" s="37" t="s">
        <v>836</v>
      </c>
      <c r="R35" s="37" t="s">
        <v>836</v>
      </c>
      <c r="S35" s="37" t="s">
        <v>836</v>
      </c>
      <c r="CW35" s="37"/>
      <c r="CX35" s="37"/>
      <c r="CY35" s="37"/>
      <c r="CZ35" s="37"/>
      <c r="DA35" s="37"/>
    </row>
    <row r="36" spans="1:105" x14ac:dyDescent="0.2">
      <c r="A36" s="37"/>
      <c r="B36" s="37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 t="s">
        <v>836</v>
      </c>
      <c r="O36" s="37"/>
      <c r="P36" s="37" t="s">
        <v>1012</v>
      </c>
      <c r="Q36" s="37" t="s">
        <v>836</v>
      </c>
      <c r="R36" s="37" t="s">
        <v>836</v>
      </c>
      <c r="S36" s="37" t="s">
        <v>836</v>
      </c>
      <c r="CW36" s="37"/>
      <c r="CX36" s="37"/>
      <c r="CY36" s="37"/>
      <c r="CZ36" s="37"/>
      <c r="DA36" s="37"/>
    </row>
    <row r="37" spans="1:105" x14ac:dyDescent="0.2">
      <c r="A37" s="37"/>
      <c r="B37" s="37"/>
      <c r="C37" s="37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7" t="s">
        <v>836</v>
      </c>
      <c r="O37" s="37"/>
      <c r="P37" s="37" t="s">
        <v>1012</v>
      </c>
      <c r="Q37" s="37" t="s">
        <v>836</v>
      </c>
      <c r="R37" s="37" t="s">
        <v>836</v>
      </c>
      <c r="S37" s="37" t="s">
        <v>836</v>
      </c>
      <c r="CW37" s="37"/>
      <c r="CX37" s="37"/>
      <c r="CY37" s="37"/>
      <c r="CZ37" s="37"/>
      <c r="DA37" s="37"/>
    </row>
    <row r="38" spans="1:105" x14ac:dyDescent="0.2">
      <c r="A38" s="37"/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 t="s">
        <v>836</v>
      </c>
      <c r="O38" s="37"/>
      <c r="P38" s="37" t="s">
        <v>1012</v>
      </c>
      <c r="Q38" s="37" t="s">
        <v>836</v>
      </c>
      <c r="R38" s="37" t="s">
        <v>836</v>
      </c>
      <c r="S38" s="37" t="s">
        <v>836</v>
      </c>
    </row>
    <row r="39" spans="1:105" x14ac:dyDescent="0.2">
      <c r="A39" s="37"/>
      <c r="B39" s="37"/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 t="s">
        <v>836</v>
      </c>
      <c r="O39" s="37"/>
      <c r="P39" s="37" t="s">
        <v>1012</v>
      </c>
      <c r="Q39" s="37" t="s">
        <v>836</v>
      </c>
      <c r="R39" s="37" t="s">
        <v>836</v>
      </c>
      <c r="S39" s="37" t="s">
        <v>836</v>
      </c>
    </row>
    <row r="40" spans="1:105" x14ac:dyDescent="0.2">
      <c r="A40" s="37"/>
      <c r="B40" s="37"/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 t="s">
        <v>836</v>
      </c>
      <c r="O40" s="37"/>
      <c r="P40" s="37" t="s">
        <v>1012</v>
      </c>
      <c r="Q40" s="37" t="s">
        <v>836</v>
      </c>
      <c r="R40" s="37" t="s">
        <v>836</v>
      </c>
      <c r="S40" s="37" t="s">
        <v>836</v>
      </c>
    </row>
    <row r="41" spans="1:105" x14ac:dyDescent="0.2">
      <c r="A41" s="37"/>
      <c r="B41" s="37"/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 t="s">
        <v>836</v>
      </c>
      <c r="O41" s="37"/>
      <c r="P41" s="37" t="s">
        <v>1012</v>
      </c>
      <c r="Q41" s="37" t="s">
        <v>836</v>
      </c>
      <c r="R41" s="37" t="s">
        <v>836</v>
      </c>
      <c r="S41" s="37" t="s">
        <v>836</v>
      </c>
    </row>
    <row r="42" spans="1:105" x14ac:dyDescent="0.2">
      <c r="A42" s="37"/>
      <c r="B42" s="3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 t="s">
        <v>836</v>
      </c>
      <c r="O42" s="37"/>
      <c r="P42" s="37" t="s">
        <v>1012</v>
      </c>
      <c r="Q42" s="37" t="s">
        <v>836</v>
      </c>
      <c r="R42" s="37" t="s">
        <v>836</v>
      </c>
      <c r="S42" s="37" t="s">
        <v>836</v>
      </c>
    </row>
    <row r="43" spans="1:105" x14ac:dyDescent="0.2">
      <c r="A43" s="37"/>
      <c r="B43" s="37"/>
      <c r="C43" s="37"/>
      <c r="D43" s="37"/>
      <c r="E43" s="37"/>
      <c r="F43" s="37"/>
      <c r="G43" s="37"/>
      <c r="H43" s="37"/>
      <c r="I43" s="37"/>
      <c r="J43" s="37"/>
      <c r="K43" s="37"/>
      <c r="L43" s="37"/>
      <c r="M43" s="37"/>
      <c r="N43" s="37" t="s">
        <v>836</v>
      </c>
      <c r="O43" s="37"/>
      <c r="P43" s="37" t="s">
        <v>1012</v>
      </c>
      <c r="Q43" s="37" t="s">
        <v>836</v>
      </c>
      <c r="R43" s="37" t="s">
        <v>836</v>
      </c>
      <c r="S43" s="37" t="s">
        <v>836</v>
      </c>
    </row>
    <row r="44" spans="1:105" x14ac:dyDescent="0.2">
      <c r="A44" s="37"/>
      <c r="B44" s="37"/>
      <c r="C44" s="37"/>
      <c r="D44" s="37"/>
      <c r="E44" s="37"/>
      <c r="F44" s="37"/>
      <c r="G44" s="37"/>
      <c r="H44" s="37"/>
      <c r="I44" s="37"/>
      <c r="J44" s="37"/>
      <c r="K44" s="37"/>
      <c r="L44" s="37"/>
      <c r="M44" s="37"/>
      <c r="N44" s="37" t="s">
        <v>836</v>
      </c>
      <c r="O44" s="37"/>
      <c r="P44" s="37" t="s">
        <v>1012</v>
      </c>
      <c r="Q44" s="37" t="s">
        <v>836</v>
      </c>
      <c r="R44" s="37" t="s">
        <v>836</v>
      </c>
      <c r="S44" s="37" t="s">
        <v>836</v>
      </c>
    </row>
    <row r="45" spans="1:105" x14ac:dyDescent="0.2">
      <c r="A45" s="37"/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 t="s">
        <v>836</v>
      </c>
      <c r="O45" s="37"/>
      <c r="P45" s="37" t="s">
        <v>1012</v>
      </c>
      <c r="Q45" s="37" t="s">
        <v>836</v>
      </c>
      <c r="R45" s="37" t="s">
        <v>836</v>
      </c>
      <c r="S45" s="37" t="s">
        <v>836</v>
      </c>
    </row>
    <row r="46" spans="1:105" x14ac:dyDescent="0.2">
      <c r="A46" s="37"/>
      <c r="B46" s="37"/>
      <c r="C46" s="37"/>
      <c r="D46" s="37"/>
      <c r="E46" s="37"/>
      <c r="F46" s="37"/>
      <c r="G46" s="37"/>
      <c r="H46" s="37"/>
      <c r="I46" s="37"/>
      <c r="J46" s="37"/>
      <c r="K46" s="37"/>
      <c r="L46" s="37"/>
      <c r="M46" s="37"/>
      <c r="N46" s="37" t="s">
        <v>836</v>
      </c>
      <c r="O46" s="37"/>
      <c r="P46" s="37" t="s">
        <v>1012</v>
      </c>
      <c r="Q46" s="37" t="s">
        <v>836</v>
      </c>
      <c r="R46" s="37" t="s">
        <v>836</v>
      </c>
      <c r="S46" s="37" t="s">
        <v>836</v>
      </c>
    </row>
    <row r="47" spans="1:105" x14ac:dyDescent="0.2">
      <c r="A47" s="37"/>
      <c r="B47" s="37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 t="s">
        <v>836</v>
      </c>
      <c r="O47" s="37"/>
      <c r="P47" s="37" t="s">
        <v>1012</v>
      </c>
      <c r="Q47" s="37" t="s">
        <v>836</v>
      </c>
      <c r="R47" s="37" t="s">
        <v>836</v>
      </c>
      <c r="S47" s="37" t="s">
        <v>836</v>
      </c>
    </row>
    <row r="48" spans="1:105" x14ac:dyDescent="0.2">
      <c r="A48" s="37"/>
      <c r="B48" s="37"/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 t="s">
        <v>836</v>
      </c>
      <c r="O48" s="37"/>
      <c r="P48" s="37" t="s">
        <v>1012</v>
      </c>
      <c r="Q48" s="37" t="s">
        <v>836</v>
      </c>
      <c r="R48" s="37" t="s">
        <v>836</v>
      </c>
      <c r="S48" s="37" t="s">
        <v>836</v>
      </c>
    </row>
    <row r="49" spans="1:104" x14ac:dyDescent="0.2">
      <c r="A49" s="37"/>
      <c r="B49" s="37"/>
      <c r="C49" s="37"/>
      <c r="D49" s="37"/>
      <c r="E49" s="37"/>
      <c r="F49" s="37"/>
      <c r="G49" s="37"/>
      <c r="H49" s="37"/>
      <c r="I49" s="37"/>
      <c r="J49" s="37"/>
      <c r="K49" s="37"/>
      <c r="L49" s="37"/>
      <c r="M49" s="37"/>
      <c r="N49" s="37" t="s">
        <v>836</v>
      </c>
      <c r="O49" s="37"/>
      <c r="P49" s="37" t="s">
        <v>1012</v>
      </c>
      <c r="Q49" s="37" t="s">
        <v>836</v>
      </c>
      <c r="R49" s="37" t="s">
        <v>836</v>
      </c>
      <c r="S49" s="37" t="s">
        <v>836</v>
      </c>
    </row>
    <row r="50" spans="1:104" x14ac:dyDescent="0.2">
      <c r="A50" s="37"/>
      <c r="B50" s="37"/>
      <c r="C50" s="37"/>
      <c r="D50" s="37"/>
      <c r="E50" s="37"/>
      <c r="F50" s="37"/>
      <c r="G50" s="37"/>
      <c r="H50" s="37"/>
      <c r="I50" s="37"/>
      <c r="J50" s="37"/>
      <c r="K50" s="37"/>
      <c r="L50" s="37"/>
      <c r="M50" s="37"/>
      <c r="N50" s="37" t="s">
        <v>836</v>
      </c>
      <c r="O50" s="37"/>
      <c r="P50" s="37" t="s">
        <v>1012</v>
      </c>
      <c r="Q50" s="37" t="s">
        <v>836</v>
      </c>
      <c r="R50" s="37" t="s">
        <v>836</v>
      </c>
      <c r="S50" s="37" t="s">
        <v>836</v>
      </c>
    </row>
    <row r="51" spans="1:104" x14ac:dyDescent="0.2">
      <c r="A51" s="37"/>
      <c r="B51" s="37"/>
      <c r="C51" s="37"/>
      <c r="D51" s="37"/>
      <c r="E51" s="37"/>
      <c r="F51" s="37"/>
      <c r="G51" s="37"/>
      <c r="H51" s="37"/>
      <c r="I51" s="37"/>
      <c r="J51" s="37"/>
      <c r="K51" s="37"/>
      <c r="L51" s="37"/>
      <c r="M51" s="37"/>
      <c r="N51" s="37"/>
      <c r="O51" s="37"/>
      <c r="P51" s="37" t="s">
        <v>1012</v>
      </c>
      <c r="Q51" s="37"/>
      <c r="R51" s="37"/>
      <c r="S51" s="37"/>
    </row>
    <row r="52" spans="1:104" x14ac:dyDescent="0.2">
      <c r="A52" s="37"/>
      <c r="B52" s="37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 t="s">
        <v>836</v>
      </c>
      <c r="O52" s="37"/>
      <c r="P52" s="37" t="s">
        <v>1012</v>
      </c>
      <c r="Q52" s="37" t="s">
        <v>836</v>
      </c>
      <c r="R52" s="37" t="s">
        <v>836</v>
      </c>
      <c r="S52" s="37" t="s">
        <v>836</v>
      </c>
    </row>
    <row r="53" spans="1:104" x14ac:dyDescent="0.2">
      <c r="A53" s="37"/>
      <c r="B53" s="37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 t="s">
        <v>836</v>
      </c>
      <c r="O53" s="37"/>
      <c r="P53" s="37" t="s">
        <v>1012</v>
      </c>
      <c r="Q53" s="37" t="s">
        <v>836</v>
      </c>
      <c r="R53" s="37" t="s">
        <v>836</v>
      </c>
      <c r="S53" s="37" t="s">
        <v>836</v>
      </c>
      <c r="CZ53" t="e">
        <f>SUBTOTAL(103,#REF!)</f>
        <v>#REF!</v>
      </c>
    </row>
    <row r="54" spans="1:104" x14ac:dyDescent="0.2">
      <c r="A54" s="37"/>
      <c r="B54" s="37"/>
      <c r="C54" s="37"/>
      <c r="D54" s="37"/>
      <c r="E54" s="37"/>
      <c r="F54" s="37"/>
      <c r="G54" s="37"/>
      <c r="H54" s="37"/>
      <c r="I54" s="37"/>
      <c r="J54" s="37"/>
      <c r="K54" s="37"/>
      <c r="L54" s="37"/>
      <c r="M54" s="37"/>
      <c r="N54" s="37" t="s">
        <v>836</v>
      </c>
      <c r="O54" s="37"/>
      <c r="P54" s="37" t="s">
        <v>1012</v>
      </c>
      <c r="Q54" s="37" t="s">
        <v>836</v>
      </c>
      <c r="R54" s="37" t="s">
        <v>836</v>
      </c>
      <c r="S54" s="37" t="s">
        <v>836</v>
      </c>
    </row>
    <row r="55" spans="1:104" x14ac:dyDescent="0.2">
      <c r="A55" s="37"/>
      <c r="B55" s="37"/>
      <c r="C55" s="37"/>
      <c r="D55" s="37"/>
      <c r="E55" s="37"/>
      <c r="F55" s="37"/>
      <c r="G55" s="37"/>
      <c r="H55" s="37"/>
      <c r="I55" s="37"/>
      <c r="J55" s="37"/>
      <c r="K55" s="37"/>
      <c r="L55" s="37"/>
      <c r="M55" s="37"/>
      <c r="N55" s="37" t="s">
        <v>836</v>
      </c>
      <c r="O55" s="37"/>
      <c r="P55" s="37" t="s">
        <v>1012</v>
      </c>
      <c r="Q55" s="37" t="s">
        <v>836</v>
      </c>
      <c r="R55" s="37" t="s">
        <v>836</v>
      </c>
      <c r="S55" s="37" t="s">
        <v>836</v>
      </c>
    </row>
    <row r="56" spans="1:104" x14ac:dyDescent="0.2">
      <c r="A56" s="37"/>
      <c r="B56" s="37"/>
      <c r="C56" s="37"/>
      <c r="D56" s="37"/>
      <c r="E56" s="37"/>
      <c r="F56" s="37"/>
      <c r="G56" s="37"/>
      <c r="H56" s="37"/>
      <c r="I56" s="37"/>
      <c r="J56" s="37"/>
      <c r="K56" s="37"/>
      <c r="L56" s="37"/>
      <c r="M56" s="37"/>
      <c r="N56" s="37" t="s">
        <v>836</v>
      </c>
      <c r="O56" s="37"/>
      <c r="P56" s="37" t="s">
        <v>1012</v>
      </c>
      <c r="Q56" s="37" t="s">
        <v>836</v>
      </c>
      <c r="R56" s="37" t="s">
        <v>836</v>
      </c>
      <c r="S56" s="37" t="s">
        <v>836</v>
      </c>
    </row>
    <row r="57" spans="1:104" x14ac:dyDescent="0.2">
      <c r="A57" s="37"/>
      <c r="B57" s="37"/>
      <c r="C57" s="37"/>
      <c r="D57" s="37"/>
      <c r="E57" s="37"/>
      <c r="F57" s="37"/>
      <c r="G57" s="37"/>
      <c r="H57" s="37"/>
      <c r="I57" s="37"/>
      <c r="J57" s="37"/>
      <c r="K57" s="37"/>
      <c r="L57" s="37"/>
      <c r="M57" s="37"/>
      <c r="N57" s="37" t="s">
        <v>836</v>
      </c>
      <c r="O57" s="37"/>
      <c r="P57" s="37" t="s">
        <v>1012</v>
      </c>
      <c r="Q57" s="37" t="s">
        <v>836</v>
      </c>
      <c r="R57" s="37" t="s">
        <v>836</v>
      </c>
      <c r="S57" s="37" t="s">
        <v>836</v>
      </c>
    </row>
    <row r="58" spans="1:104" x14ac:dyDescent="0.2">
      <c r="A58" s="37"/>
      <c r="B58" s="37"/>
      <c r="C58" s="37"/>
      <c r="D58" s="37"/>
      <c r="E58" s="37"/>
      <c r="F58" s="37"/>
      <c r="G58" s="37"/>
      <c r="H58" s="37"/>
      <c r="I58" s="37"/>
      <c r="J58" s="37"/>
      <c r="K58" s="37"/>
      <c r="L58" s="37"/>
      <c r="M58" s="37"/>
      <c r="N58" s="37" t="s">
        <v>836</v>
      </c>
      <c r="O58" s="37"/>
      <c r="P58" s="37" t="s">
        <v>1012</v>
      </c>
      <c r="Q58" s="37" t="s">
        <v>836</v>
      </c>
      <c r="R58" s="37" t="s">
        <v>836</v>
      </c>
      <c r="S58" s="37" t="s">
        <v>836</v>
      </c>
    </row>
    <row r="59" spans="1:104" x14ac:dyDescent="0.2">
      <c r="A59" s="37"/>
      <c r="B59" s="37"/>
      <c r="C59" s="37"/>
      <c r="D59" s="37"/>
      <c r="E59" s="37"/>
      <c r="F59" s="37"/>
      <c r="G59" s="37"/>
      <c r="H59" s="37"/>
      <c r="I59" s="37"/>
      <c r="J59" s="37"/>
      <c r="K59" s="37"/>
      <c r="L59" s="37"/>
      <c r="M59" s="37"/>
      <c r="N59" s="37" t="s">
        <v>836</v>
      </c>
      <c r="O59" s="37"/>
      <c r="P59" s="37" t="s">
        <v>1012</v>
      </c>
      <c r="Q59" s="37" t="s">
        <v>836</v>
      </c>
      <c r="R59" s="37" t="s">
        <v>836</v>
      </c>
      <c r="S59" s="37" t="s">
        <v>836</v>
      </c>
    </row>
    <row r="60" spans="1:104" x14ac:dyDescent="0.2">
      <c r="A60" s="37"/>
      <c r="B60" s="37"/>
      <c r="C60" s="37"/>
      <c r="D60" s="37"/>
      <c r="E60" s="37"/>
      <c r="F60" s="37"/>
      <c r="G60" s="37"/>
      <c r="H60" s="37"/>
      <c r="I60" s="37"/>
      <c r="J60" s="37"/>
      <c r="K60" s="37"/>
      <c r="L60" s="37"/>
      <c r="M60" s="37"/>
      <c r="N60" s="37" t="s">
        <v>836</v>
      </c>
      <c r="O60" s="37"/>
      <c r="P60" s="37" t="s">
        <v>1012</v>
      </c>
      <c r="Q60" s="37" t="s">
        <v>836</v>
      </c>
      <c r="R60" s="37" t="s">
        <v>836</v>
      </c>
      <c r="S60" s="37" t="s">
        <v>836</v>
      </c>
    </row>
    <row r="61" spans="1:104" x14ac:dyDescent="0.2">
      <c r="A61" s="37"/>
      <c r="B61" s="37"/>
      <c r="C61" s="37"/>
      <c r="D61" s="37"/>
      <c r="E61" s="37"/>
      <c r="F61" s="37"/>
      <c r="G61" s="37"/>
      <c r="H61" s="37"/>
      <c r="I61" s="37"/>
      <c r="J61" s="37"/>
      <c r="K61" s="37"/>
      <c r="L61" s="37"/>
      <c r="M61" s="37"/>
      <c r="N61" s="37" t="s">
        <v>836</v>
      </c>
      <c r="O61" s="37"/>
      <c r="P61" s="37" t="s">
        <v>1012</v>
      </c>
      <c r="Q61" s="37" t="s">
        <v>836</v>
      </c>
      <c r="R61" s="37" t="s">
        <v>836</v>
      </c>
      <c r="S61" s="37" t="s">
        <v>836</v>
      </c>
    </row>
    <row r="62" spans="1:104" x14ac:dyDescent="0.2">
      <c r="A62" s="37"/>
      <c r="B62" s="37"/>
      <c r="C62" s="37"/>
      <c r="D62" s="37"/>
      <c r="E62" s="37"/>
      <c r="F62" s="37"/>
      <c r="G62" s="37"/>
      <c r="H62" s="37"/>
      <c r="I62" s="37"/>
      <c r="J62" s="37"/>
      <c r="K62" s="37"/>
      <c r="L62" s="37"/>
      <c r="M62" s="37"/>
      <c r="N62" s="37" t="s">
        <v>836</v>
      </c>
      <c r="O62" s="37"/>
      <c r="P62" s="37" t="s">
        <v>1012</v>
      </c>
      <c r="Q62" s="37" t="s">
        <v>836</v>
      </c>
      <c r="R62" s="37" t="s">
        <v>836</v>
      </c>
      <c r="S62" s="37" t="s">
        <v>836</v>
      </c>
    </row>
    <row r="63" spans="1:104" x14ac:dyDescent="0.2">
      <c r="A63" s="37"/>
      <c r="B63" s="37"/>
      <c r="C63" s="37"/>
      <c r="D63" s="37"/>
      <c r="E63" s="37"/>
      <c r="F63" s="37"/>
      <c r="G63" s="37"/>
      <c r="H63" s="37"/>
      <c r="I63" s="37"/>
      <c r="J63" s="37"/>
      <c r="K63" s="37"/>
      <c r="L63" s="37"/>
      <c r="M63" s="37"/>
      <c r="N63" s="37" t="s">
        <v>836</v>
      </c>
      <c r="O63" s="37"/>
      <c r="P63" s="37" t="s">
        <v>1012</v>
      </c>
      <c r="Q63" s="37" t="s">
        <v>836</v>
      </c>
      <c r="R63" s="37" t="s">
        <v>836</v>
      </c>
      <c r="S63" s="37" t="s">
        <v>836</v>
      </c>
    </row>
    <row r="64" spans="1:104" x14ac:dyDescent="0.2">
      <c r="A64" s="37"/>
      <c r="B64" s="37"/>
      <c r="C64" s="37"/>
      <c r="D64" s="37"/>
      <c r="E64" s="37"/>
      <c r="F64" s="37"/>
      <c r="G64" s="37"/>
      <c r="H64" s="37"/>
      <c r="I64" s="37"/>
      <c r="J64" s="37"/>
      <c r="K64" s="37"/>
      <c r="L64" s="37"/>
      <c r="M64" s="37"/>
      <c r="N64" s="37" t="s">
        <v>836</v>
      </c>
      <c r="O64" s="37"/>
      <c r="P64" s="37" t="s">
        <v>1012</v>
      </c>
      <c r="Q64" s="37" t="s">
        <v>836</v>
      </c>
      <c r="R64" s="37" t="s">
        <v>836</v>
      </c>
      <c r="S64" s="37" t="s">
        <v>836</v>
      </c>
    </row>
    <row r="65" spans="1:19" x14ac:dyDescent="0.2">
      <c r="A65" s="37"/>
      <c r="B65" s="37"/>
      <c r="C65" s="37"/>
      <c r="D65" s="37"/>
      <c r="E65" s="37"/>
      <c r="F65" s="37"/>
      <c r="G65" s="37"/>
      <c r="H65" s="37"/>
      <c r="I65" s="37"/>
      <c r="J65" s="37"/>
      <c r="K65" s="37"/>
      <c r="L65" s="37"/>
      <c r="M65" s="37"/>
      <c r="N65" s="37" t="s">
        <v>836</v>
      </c>
      <c r="O65" s="37"/>
      <c r="P65" s="37" t="s">
        <v>1012</v>
      </c>
      <c r="Q65" s="37" t="s">
        <v>836</v>
      </c>
      <c r="R65" s="37" t="s">
        <v>836</v>
      </c>
      <c r="S65" s="37" t="s">
        <v>836</v>
      </c>
    </row>
    <row r="66" spans="1:19" x14ac:dyDescent="0.2">
      <c r="A66" s="37"/>
      <c r="B66" s="37"/>
      <c r="C66" s="37"/>
      <c r="D66" s="37"/>
      <c r="E66" s="37"/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37"/>
      <c r="Q66" s="37"/>
      <c r="R66" s="37"/>
      <c r="S66" s="37"/>
    </row>
    <row r="67" spans="1:19" x14ac:dyDescent="0.2">
      <c r="A67" s="37"/>
      <c r="B67" s="37"/>
      <c r="C67" s="37"/>
      <c r="D67" s="37"/>
      <c r="E67" s="37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/>
      <c r="Q67" s="37"/>
      <c r="R67" s="37"/>
      <c r="S67" s="37"/>
    </row>
    <row r="68" spans="1:19" x14ac:dyDescent="0.2">
      <c r="A68" s="37"/>
      <c r="B68" s="37"/>
      <c r="C68" s="37"/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R68" s="37"/>
      <c r="S68" s="37"/>
    </row>
    <row r="69" spans="1:19" x14ac:dyDescent="0.2">
      <c r="A69" s="37" t="s">
        <v>755</v>
      </c>
      <c r="B69" s="37"/>
      <c r="C69" s="37"/>
      <c r="D69" s="37"/>
      <c r="E69" s="37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  <c r="Q69" s="37"/>
      <c r="R69" s="37"/>
      <c r="S69" s="37">
        <f>SUBTOTAL(103,Estrutura_P01[cmbRMMG1-MTART])</f>
        <v>55</v>
      </c>
    </row>
    <row r="70" spans="1:19" x14ac:dyDescent="0.2">
      <c r="A70" t="s">
        <v>520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Planilha2.AbrirSeleçãodeTransferenci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9525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W87"/>
  <sheetViews>
    <sheetView showGridLines="0" showRowColHeaders="0" workbookViewId="0">
      <selection sqref="A1:A3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7" style="80" customWidth="1"/>
    <col min="73" max="73" width="15.7109375" style="80" customWidth="1"/>
    <col min="74" max="75" width="33.5703125" style="80" customWidth="1"/>
    <col min="76" max="16384" width="9.140625" style="6"/>
  </cols>
  <sheetData>
    <row r="1" spans="1:75" s="2" customFormat="1" ht="17.100000000000001" customHeight="1" x14ac:dyDescent="0.2">
      <c r="A1" s="107" t="s">
        <v>31</v>
      </c>
      <c r="F1" s="15"/>
      <c r="I1" s="15"/>
      <c r="K1" s="22"/>
      <c r="L1" s="15"/>
      <c r="O1" s="15"/>
      <c r="Z1" s="33"/>
      <c r="AA1" s="33"/>
      <c r="AB1" s="33"/>
      <c r="AC1" s="15"/>
      <c r="AF1" s="19"/>
      <c r="AG1" s="19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4"/>
      <c r="BA1" s="24"/>
      <c r="BB1" s="24"/>
      <c r="BE1" s="27"/>
      <c r="BF1" s="27"/>
      <c r="BG1" s="27"/>
      <c r="BH1" s="27"/>
      <c r="BI1" s="36"/>
      <c r="BJ1" s="36"/>
      <c r="BK1" s="36"/>
      <c r="BL1" s="51"/>
      <c r="BM1" s="51"/>
      <c r="BN1" s="51"/>
      <c r="BO1" s="51"/>
      <c r="BP1" s="51"/>
      <c r="BQ1" s="51"/>
      <c r="BR1" s="51"/>
      <c r="BS1" s="71"/>
    </row>
    <row r="2" spans="1:75" s="2" customFormat="1" ht="17.100000000000001" customHeight="1" x14ac:dyDescent="0.2">
      <c r="A2" s="107"/>
      <c r="B2" s="107" t="s">
        <v>10</v>
      </c>
      <c r="C2" s="107"/>
      <c r="D2" s="107"/>
      <c r="E2" s="107"/>
      <c r="F2" s="15"/>
      <c r="G2" s="107" t="s">
        <v>33</v>
      </c>
      <c r="H2" s="107"/>
      <c r="I2" s="15"/>
      <c r="J2" s="107" t="s">
        <v>127</v>
      </c>
      <c r="K2" s="107"/>
      <c r="L2" s="15"/>
      <c r="M2" s="107" t="s">
        <v>172</v>
      </c>
      <c r="N2" s="107"/>
      <c r="O2" s="15"/>
      <c r="P2" s="107" t="s">
        <v>186</v>
      </c>
      <c r="Q2" s="107"/>
      <c r="R2" s="107"/>
      <c r="S2" s="107"/>
      <c r="T2" s="107"/>
      <c r="U2" s="107"/>
      <c r="V2" s="107"/>
      <c r="W2" s="107"/>
      <c r="X2" s="107"/>
      <c r="Y2" s="107"/>
      <c r="Z2" s="33"/>
      <c r="AA2" s="107" t="s">
        <v>292</v>
      </c>
      <c r="AB2" s="107"/>
      <c r="AC2" s="15"/>
      <c r="AD2" s="107" t="s">
        <v>313</v>
      </c>
      <c r="AE2" s="107"/>
      <c r="AF2" s="19"/>
      <c r="AG2" s="19" t="s">
        <v>313</v>
      </c>
      <c r="AH2" s="22"/>
      <c r="AI2" s="107" t="s">
        <v>363</v>
      </c>
      <c r="AJ2" s="107"/>
      <c r="AK2" s="22"/>
      <c r="AL2" s="107" t="s">
        <v>400</v>
      </c>
      <c r="AM2" s="107"/>
      <c r="AN2" s="22"/>
      <c r="AO2" s="107" t="s">
        <v>33</v>
      </c>
      <c r="AP2" s="107"/>
      <c r="AQ2" s="22"/>
      <c r="AR2" s="107" t="s">
        <v>403</v>
      </c>
      <c r="AS2" s="107"/>
      <c r="AT2" s="22"/>
      <c r="AU2" s="107" t="s">
        <v>418</v>
      </c>
      <c r="AV2" s="107"/>
      <c r="AW2" s="22"/>
      <c r="AX2" s="107" t="s">
        <v>483</v>
      </c>
      <c r="AY2" s="107"/>
      <c r="AZ2" s="24"/>
      <c r="BA2" s="107" t="s">
        <v>518</v>
      </c>
      <c r="BB2" s="107"/>
      <c r="BC2" s="107"/>
      <c r="BD2" s="107"/>
      <c r="BE2" s="27"/>
      <c r="BF2" s="107" t="s">
        <v>670</v>
      </c>
      <c r="BG2" s="107"/>
      <c r="BH2" s="107"/>
      <c r="BI2" s="36"/>
      <c r="BJ2" s="107" t="s">
        <v>752</v>
      </c>
      <c r="BK2" s="107"/>
      <c r="BL2" s="51"/>
      <c r="BM2" s="51" t="s">
        <v>99</v>
      </c>
      <c r="BN2" s="51"/>
      <c r="BO2" s="107" t="s">
        <v>824</v>
      </c>
      <c r="BP2" s="107"/>
      <c r="BQ2" s="51"/>
      <c r="BR2" s="51" t="s">
        <v>825</v>
      </c>
      <c r="BS2" s="71"/>
      <c r="BT2" s="108" t="s">
        <v>846</v>
      </c>
      <c r="BU2" s="108"/>
      <c r="BV2" s="108"/>
      <c r="BW2" s="108"/>
    </row>
    <row r="3" spans="1:75" s="2" customFormat="1" ht="17.100000000000001" customHeight="1" x14ac:dyDescent="0.2">
      <c r="A3" s="107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324</v>
      </c>
      <c r="K3" s="22" t="s">
        <v>325</v>
      </c>
      <c r="L3" s="15"/>
      <c r="M3" s="15" t="s">
        <v>92</v>
      </c>
      <c r="N3" s="15" t="s">
        <v>93</v>
      </c>
      <c r="O3" s="15"/>
      <c r="P3" s="2" t="s">
        <v>187</v>
      </c>
      <c r="Q3" s="2" t="s">
        <v>93</v>
      </c>
      <c r="R3" s="2" t="s">
        <v>188</v>
      </c>
      <c r="S3" s="22" t="s">
        <v>93</v>
      </c>
      <c r="T3" s="2" t="s">
        <v>189</v>
      </c>
      <c r="U3" s="22" t="s">
        <v>93</v>
      </c>
      <c r="V3" s="2" t="s">
        <v>190</v>
      </c>
      <c r="W3" s="22" t="s">
        <v>93</v>
      </c>
      <c r="X3" s="2" t="s">
        <v>191</v>
      </c>
      <c r="Y3" s="22" t="s">
        <v>93</v>
      </c>
      <c r="Z3" s="33"/>
      <c r="AA3" s="33" t="s">
        <v>92</v>
      </c>
      <c r="AB3" s="33" t="s">
        <v>93</v>
      </c>
      <c r="AC3" s="15"/>
      <c r="AD3" s="15" t="s">
        <v>92</v>
      </c>
      <c r="AE3" s="2" t="s">
        <v>741</v>
      </c>
      <c r="AF3" s="19"/>
      <c r="AG3" s="19" t="s">
        <v>93</v>
      </c>
      <c r="AH3" s="22"/>
      <c r="AI3" s="22" t="s">
        <v>92</v>
      </c>
      <c r="AJ3" s="22" t="s">
        <v>93</v>
      </c>
      <c r="AK3" s="22"/>
      <c r="AL3" s="22" t="s">
        <v>92</v>
      </c>
      <c r="AM3" s="22" t="s">
        <v>93</v>
      </c>
      <c r="AN3" s="22"/>
      <c r="AO3" s="22" t="s">
        <v>92</v>
      </c>
      <c r="AP3" s="22" t="s">
        <v>93</v>
      </c>
      <c r="AQ3" s="22"/>
      <c r="AR3" s="22" t="s">
        <v>92</v>
      </c>
      <c r="AS3" s="22" t="s">
        <v>93</v>
      </c>
      <c r="AT3" s="22"/>
      <c r="AU3" s="22" t="s">
        <v>92</v>
      </c>
      <c r="AV3" s="22" t="s">
        <v>93</v>
      </c>
      <c r="AW3" s="22"/>
      <c r="AX3" s="22" t="s">
        <v>92</v>
      </c>
      <c r="AY3" s="22" t="s">
        <v>93</v>
      </c>
      <c r="AZ3" s="24"/>
      <c r="BA3" s="24" t="s">
        <v>516</v>
      </c>
      <c r="BB3" s="24" t="s">
        <v>517</v>
      </c>
      <c r="BC3" s="2" t="s">
        <v>514</v>
      </c>
      <c r="BD3" s="2" t="s">
        <v>515</v>
      </c>
      <c r="BE3" s="27"/>
      <c r="BF3" s="27" t="s">
        <v>92</v>
      </c>
      <c r="BG3" s="27" t="s">
        <v>93</v>
      </c>
      <c r="BH3" s="27" t="s">
        <v>0</v>
      </c>
      <c r="BI3" s="36"/>
      <c r="BJ3" s="36" t="s">
        <v>750</v>
      </c>
      <c r="BK3" s="36" t="s">
        <v>0</v>
      </c>
      <c r="BL3" s="51"/>
      <c r="BM3" s="51" t="s">
        <v>750</v>
      </c>
      <c r="BN3" s="51"/>
      <c r="BO3" s="51" t="s">
        <v>750</v>
      </c>
      <c r="BP3" s="51" t="s">
        <v>93</v>
      </c>
      <c r="BQ3" s="51"/>
      <c r="BR3" s="51" t="s">
        <v>826</v>
      </c>
      <c r="BS3" s="71"/>
      <c r="BT3" s="79" t="s">
        <v>847</v>
      </c>
      <c r="BU3" s="79" t="s">
        <v>848</v>
      </c>
      <c r="BV3" s="79" t="s">
        <v>849</v>
      </c>
      <c r="BW3" s="79" t="s">
        <v>850</v>
      </c>
    </row>
    <row r="4" spans="1:75" x14ac:dyDescent="0.2">
      <c r="A4" s="74" t="s">
        <v>829</v>
      </c>
      <c r="B4" s="10" t="s">
        <v>4</v>
      </c>
      <c r="C4" s="10" t="s">
        <v>11</v>
      </c>
      <c r="D4" s="10" t="s">
        <v>6</v>
      </c>
      <c r="E4" s="10" t="s">
        <v>8</v>
      </c>
      <c r="G4" s="10" t="s">
        <v>34</v>
      </c>
      <c r="H4" s="20" t="s">
        <v>35</v>
      </c>
      <c r="J4" s="10" t="s">
        <v>101</v>
      </c>
      <c r="K4" s="10" t="s">
        <v>326</v>
      </c>
      <c r="M4" s="10">
        <v>62</v>
      </c>
      <c r="N4" s="20" t="s">
        <v>173</v>
      </c>
      <c r="P4" s="10" t="s">
        <v>192</v>
      </c>
      <c r="Q4" s="20" t="s">
        <v>193</v>
      </c>
      <c r="R4" s="10" t="s">
        <v>194</v>
      </c>
      <c r="S4" s="20" t="s">
        <v>195</v>
      </c>
      <c r="T4" s="10" t="s">
        <v>194</v>
      </c>
      <c r="U4" s="20" t="s">
        <v>196</v>
      </c>
      <c r="V4" s="10" t="s">
        <v>197</v>
      </c>
      <c r="W4" s="20" t="s">
        <v>198</v>
      </c>
      <c r="X4" s="10" t="s">
        <v>194</v>
      </c>
      <c r="Y4" s="20" t="s">
        <v>199</v>
      </c>
      <c r="AA4" s="10">
        <v>99</v>
      </c>
      <c r="AB4" s="20" t="s">
        <v>293</v>
      </c>
      <c r="AD4" s="10"/>
      <c r="AE4" s="20"/>
      <c r="AG4" s="20" t="s">
        <v>314</v>
      </c>
      <c r="AI4" s="10">
        <v>1</v>
      </c>
      <c r="AJ4" s="20" t="s">
        <v>364</v>
      </c>
      <c r="AL4" s="17" t="s">
        <v>387</v>
      </c>
      <c r="AM4" s="23" t="s">
        <v>388</v>
      </c>
      <c r="AO4" s="17" t="s">
        <v>34</v>
      </c>
      <c r="AP4" s="23" t="s">
        <v>35</v>
      </c>
      <c r="AR4" s="17" t="s">
        <v>404</v>
      </c>
      <c r="AS4" s="23" t="s">
        <v>405</v>
      </c>
      <c r="AU4" s="17" t="s">
        <v>419</v>
      </c>
      <c r="AV4" s="23" t="s">
        <v>448</v>
      </c>
      <c r="AX4" s="17" t="s">
        <v>486</v>
      </c>
      <c r="AY4" s="23" t="s">
        <v>487</v>
      </c>
      <c r="BA4" s="17" t="s">
        <v>519</v>
      </c>
      <c r="BB4" s="17" t="s">
        <v>14</v>
      </c>
      <c r="BC4" s="23" t="s">
        <v>520</v>
      </c>
      <c r="BD4" s="23" t="s">
        <v>520</v>
      </c>
      <c r="BF4" s="17" t="s">
        <v>640</v>
      </c>
      <c r="BG4" s="17" t="s">
        <v>641</v>
      </c>
      <c r="BH4" s="17" t="s">
        <v>4</v>
      </c>
      <c r="BJ4" s="17" t="s">
        <v>749</v>
      </c>
      <c r="BK4" s="17" t="s">
        <v>4</v>
      </c>
      <c r="BM4" s="17" t="s">
        <v>759</v>
      </c>
      <c r="BO4" s="17" t="s">
        <v>764</v>
      </c>
      <c r="BP4" s="17" t="s">
        <v>765</v>
      </c>
      <c r="BR4" s="17" t="s">
        <v>299</v>
      </c>
      <c r="BT4" s="17" t="s">
        <v>4</v>
      </c>
      <c r="BU4" s="17" t="s">
        <v>644</v>
      </c>
      <c r="BV4" s="17" t="s">
        <v>851</v>
      </c>
      <c r="BW4" s="17" t="s">
        <v>644</v>
      </c>
    </row>
    <row r="5" spans="1:75" x14ac:dyDescent="0.2">
      <c r="B5" s="10" t="s">
        <v>9</v>
      </c>
      <c r="C5" s="10" t="s">
        <v>12</v>
      </c>
      <c r="D5" s="10" t="s">
        <v>24</v>
      </c>
      <c r="E5" s="10" t="s">
        <v>27</v>
      </c>
      <c r="G5" s="10" t="s">
        <v>36</v>
      </c>
      <c r="H5" s="20" t="s">
        <v>37</v>
      </c>
      <c r="J5" s="10" t="s">
        <v>102</v>
      </c>
      <c r="K5" s="10" t="s">
        <v>327</v>
      </c>
      <c r="M5" s="10">
        <v>63</v>
      </c>
      <c r="N5" s="20" t="s">
        <v>174</v>
      </c>
      <c r="P5" s="10" t="s">
        <v>200</v>
      </c>
      <c r="Q5" s="20" t="s">
        <v>201</v>
      </c>
      <c r="R5" s="10" t="s">
        <v>202</v>
      </c>
      <c r="S5" s="20" t="s">
        <v>203</v>
      </c>
      <c r="T5" s="10" t="s">
        <v>202</v>
      </c>
      <c r="U5" s="20" t="s">
        <v>204</v>
      </c>
      <c r="V5" s="10" t="s">
        <v>205</v>
      </c>
      <c r="W5" s="20" t="s">
        <v>206</v>
      </c>
      <c r="X5" s="10" t="s">
        <v>202</v>
      </c>
      <c r="Y5" s="20" t="s">
        <v>207</v>
      </c>
      <c r="AA5" s="10"/>
      <c r="AB5" s="20" t="s">
        <v>830</v>
      </c>
      <c r="AD5" s="10" t="s">
        <v>314</v>
      </c>
      <c r="AE5" s="20" t="s">
        <v>742</v>
      </c>
      <c r="AG5" s="20" t="s">
        <v>315</v>
      </c>
      <c r="AI5" s="10">
        <v>2</v>
      </c>
      <c r="AJ5" s="20" t="s">
        <v>365</v>
      </c>
      <c r="AL5" s="17" t="s">
        <v>389</v>
      </c>
      <c r="AM5" s="23" t="s">
        <v>390</v>
      </c>
      <c r="AO5" s="17" t="s">
        <v>36</v>
      </c>
      <c r="AP5" s="23" t="s">
        <v>37</v>
      </c>
      <c r="AR5" s="17" t="s">
        <v>406</v>
      </c>
      <c r="AS5" s="23" t="s">
        <v>407</v>
      </c>
      <c r="AU5" s="17" t="s">
        <v>420</v>
      </c>
      <c r="AV5" s="23" t="s">
        <v>449</v>
      </c>
      <c r="AX5" s="17" t="s">
        <v>488</v>
      </c>
      <c r="AY5" s="23" t="s">
        <v>489</v>
      </c>
      <c r="BA5" s="17" t="s">
        <v>521</v>
      </c>
      <c r="BB5" s="17" t="s">
        <v>551</v>
      </c>
      <c r="BC5" s="23" t="s">
        <v>522</v>
      </c>
      <c r="BD5" s="23" t="s">
        <v>523</v>
      </c>
      <c r="BF5" s="17" t="s">
        <v>642</v>
      </c>
      <c r="BG5" s="17" t="s">
        <v>643</v>
      </c>
      <c r="BH5" s="17" t="s">
        <v>4</v>
      </c>
      <c r="BJ5" s="17" t="s">
        <v>751</v>
      </c>
      <c r="BK5" s="17" t="s">
        <v>9</v>
      </c>
      <c r="BM5" s="17" t="s">
        <v>748</v>
      </c>
      <c r="BO5" s="17" t="s">
        <v>766</v>
      </c>
      <c r="BP5" s="17" t="s">
        <v>767</v>
      </c>
      <c r="BR5" s="17" t="s">
        <v>757</v>
      </c>
      <c r="BT5" s="17" t="s">
        <v>4</v>
      </c>
      <c r="BU5" s="17" t="s">
        <v>646</v>
      </c>
      <c r="BV5" s="17" t="s">
        <v>852</v>
      </c>
      <c r="BW5" s="17" t="s">
        <v>646</v>
      </c>
    </row>
    <row r="6" spans="1:75" x14ac:dyDescent="0.2">
      <c r="A6" s="51" t="s">
        <v>827</v>
      </c>
      <c r="C6" s="10" t="s">
        <v>13</v>
      </c>
      <c r="D6" s="10" t="s">
        <v>7</v>
      </c>
      <c r="G6" s="10" t="s">
        <v>38</v>
      </c>
      <c r="H6" s="20" t="s">
        <v>39</v>
      </c>
      <c r="J6" s="10" t="s">
        <v>103</v>
      </c>
      <c r="K6" s="10" t="s">
        <v>328</v>
      </c>
      <c r="M6" s="10">
        <v>64</v>
      </c>
      <c r="N6" s="20" t="s">
        <v>175</v>
      </c>
      <c r="P6" s="10" t="s">
        <v>208</v>
      </c>
      <c r="Q6" s="20" t="s">
        <v>209</v>
      </c>
      <c r="R6" s="10" t="s">
        <v>210</v>
      </c>
      <c r="S6" s="20" t="s">
        <v>211</v>
      </c>
      <c r="T6" s="10" t="s">
        <v>210</v>
      </c>
      <c r="U6" s="20" t="s">
        <v>178</v>
      </c>
      <c r="V6" s="10" t="s">
        <v>212</v>
      </c>
      <c r="W6" s="20" t="s">
        <v>213</v>
      </c>
      <c r="X6" s="10" t="s">
        <v>210</v>
      </c>
      <c r="Y6" s="20" t="s">
        <v>214</v>
      </c>
      <c r="AD6" s="10" t="s">
        <v>315</v>
      </c>
      <c r="AE6" s="20" t="s">
        <v>742</v>
      </c>
      <c r="AG6" s="20"/>
      <c r="AI6" s="10" t="s">
        <v>366</v>
      </c>
      <c r="AJ6" s="20" t="s">
        <v>367</v>
      </c>
      <c r="AL6" s="17" t="s">
        <v>391</v>
      </c>
      <c r="AM6" s="23" t="s">
        <v>392</v>
      </c>
      <c r="AO6" s="17" t="s">
        <v>38</v>
      </c>
      <c r="AP6" s="23" t="s">
        <v>39</v>
      </c>
      <c r="AR6" s="17" t="s">
        <v>8</v>
      </c>
      <c r="AS6" s="23" t="s">
        <v>408</v>
      </c>
      <c r="AU6" s="17" t="s">
        <v>421</v>
      </c>
      <c r="AV6" s="23" t="s">
        <v>450</v>
      </c>
      <c r="AX6" s="17" t="s">
        <v>278</v>
      </c>
      <c r="AY6" s="23" t="s">
        <v>492</v>
      </c>
      <c r="BA6" s="17" t="s">
        <v>524</v>
      </c>
      <c r="BB6" s="17" t="s">
        <v>552</v>
      </c>
      <c r="BC6" s="23"/>
      <c r="BD6" s="23"/>
      <c r="BF6" s="17" t="s">
        <v>644</v>
      </c>
      <c r="BG6" s="17" t="s">
        <v>645</v>
      </c>
      <c r="BH6" s="17" t="s">
        <v>4</v>
      </c>
      <c r="BJ6" s="17" t="s">
        <v>753</v>
      </c>
      <c r="BK6" s="17" t="s">
        <v>4</v>
      </c>
      <c r="BM6" s="17" t="s">
        <v>760</v>
      </c>
      <c r="BO6" s="17" t="s">
        <v>768</v>
      </c>
      <c r="BP6" s="17" t="s">
        <v>769</v>
      </c>
      <c r="BR6" s="17" t="s">
        <v>100</v>
      </c>
      <c r="BT6" s="17" t="s">
        <v>4</v>
      </c>
      <c r="BU6" s="17" t="s">
        <v>648</v>
      </c>
      <c r="BV6" s="17" t="s">
        <v>853</v>
      </c>
      <c r="BW6" s="17" t="s">
        <v>648</v>
      </c>
    </row>
    <row r="7" spans="1:75" x14ac:dyDescent="0.2">
      <c r="A7" s="75" t="s">
        <v>1026</v>
      </c>
      <c r="C7" s="10" t="s">
        <v>14</v>
      </c>
      <c r="D7" s="10" t="s">
        <v>25</v>
      </c>
      <c r="G7" s="10" t="s">
        <v>40</v>
      </c>
      <c r="H7" s="20" t="s">
        <v>41</v>
      </c>
      <c r="J7" s="10" t="s">
        <v>104</v>
      </c>
      <c r="K7" s="10" t="s">
        <v>329</v>
      </c>
      <c r="M7" s="10">
        <v>65</v>
      </c>
      <c r="N7" s="20" t="s">
        <v>176</v>
      </c>
      <c r="P7" s="10" t="s">
        <v>215</v>
      </c>
      <c r="Q7" s="20" t="s">
        <v>216</v>
      </c>
      <c r="T7" s="10" t="s">
        <v>217</v>
      </c>
      <c r="U7" s="20" t="s">
        <v>180</v>
      </c>
      <c r="V7" s="10" t="s">
        <v>218</v>
      </c>
      <c r="W7" s="20" t="s">
        <v>219</v>
      </c>
      <c r="X7" s="10" t="s">
        <v>217</v>
      </c>
      <c r="Y7" s="20" t="s">
        <v>220</v>
      </c>
      <c r="AD7" s="10" t="s">
        <v>743</v>
      </c>
      <c r="AE7" s="20" t="s">
        <v>744</v>
      </c>
      <c r="AG7" s="20"/>
      <c r="AI7" s="10" t="s">
        <v>368</v>
      </c>
      <c r="AJ7" s="20"/>
      <c r="AL7" s="17" t="s">
        <v>393</v>
      </c>
      <c r="AM7" s="23"/>
      <c r="AO7" s="17" t="s">
        <v>40</v>
      </c>
      <c r="AP7" s="23" t="s">
        <v>41</v>
      </c>
      <c r="AR7" s="17" t="s">
        <v>27</v>
      </c>
      <c r="AS7" s="23" t="s">
        <v>828</v>
      </c>
      <c r="AU7" s="17" t="s">
        <v>422</v>
      </c>
      <c r="AV7" s="23" t="s">
        <v>451</v>
      </c>
      <c r="AX7" s="17" t="s">
        <v>90</v>
      </c>
      <c r="AY7" s="23" t="s">
        <v>493</v>
      </c>
      <c r="BA7" s="17" t="s">
        <v>525</v>
      </c>
      <c r="BB7" s="17" t="s">
        <v>553</v>
      </c>
      <c r="BC7" s="23"/>
      <c r="BD7" s="23"/>
      <c r="BF7" s="17" t="s">
        <v>646</v>
      </c>
      <c r="BG7" s="17" t="s">
        <v>647</v>
      </c>
      <c r="BH7" s="17" t="s">
        <v>4</v>
      </c>
      <c r="BJ7" s="17" t="s">
        <v>754</v>
      </c>
      <c r="BK7" s="17" t="s">
        <v>9</v>
      </c>
      <c r="BM7" s="17" t="s">
        <v>761</v>
      </c>
      <c r="BO7" s="17" t="s">
        <v>770</v>
      </c>
      <c r="BP7" s="17" t="s">
        <v>771</v>
      </c>
      <c r="BR7" s="17"/>
      <c r="BT7" s="17" t="s">
        <v>4</v>
      </c>
      <c r="BU7" s="17" t="s">
        <v>650</v>
      </c>
      <c r="BV7" s="17" t="s">
        <v>854</v>
      </c>
      <c r="BW7" s="17" t="s">
        <v>650</v>
      </c>
    </row>
    <row r="8" spans="1:75" x14ac:dyDescent="0.2">
      <c r="A8"/>
      <c r="C8" s="10" t="s">
        <v>15</v>
      </c>
      <c r="D8" s="10" t="s">
        <v>26</v>
      </c>
      <c r="G8" s="10" t="s">
        <v>42</v>
      </c>
      <c r="H8" s="20" t="s">
        <v>43</v>
      </c>
      <c r="J8" s="10" t="s">
        <v>105</v>
      </c>
      <c r="K8" s="10" t="s">
        <v>330</v>
      </c>
      <c r="M8" s="10">
        <v>66</v>
      </c>
      <c r="N8" s="20" t="s">
        <v>177</v>
      </c>
      <c r="P8" s="10" t="s">
        <v>221</v>
      </c>
      <c r="Q8" s="20" t="s">
        <v>222</v>
      </c>
      <c r="T8" s="10" t="s">
        <v>223</v>
      </c>
      <c r="U8" s="20" t="s">
        <v>224</v>
      </c>
      <c r="V8" s="10" t="s">
        <v>225</v>
      </c>
      <c r="W8" s="20" t="s">
        <v>226</v>
      </c>
      <c r="X8" s="10" t="s">
        <v>223</v>
      </c>
      <c r="Y8" s="20" t="s">
        <v>227</v>
      </c>
      <c r="AD8" s="10" t="s">
        <v>745</v>
      </c>
      <c r="AE8" s="20" t="s">
        <v>742</v>
      </c>
      <c r="AG8" s="20"/>
      <c r="AI8" s="10" t="s">
        <v>369</v>
      </c>
      <c r="AJ8" s="20" t="s">
        <v>370</v>
      </c>
      <c r="AL8" s="17" t="s">
        <v>394</v>
      </c>
      <c r="AM8" s="23" t="s">
        <v>395</v>
      </c>
      <c r="AO8" s="17" t="s">
        <v>42</v>
      </c>
      <c r="AP8" s="23" t="s">
        <v>43</v>
      </c>
      <c r="AR8" s="17" t="s">
        <v>410</v>
      </c>
      <c r="AS8" s="23" t="s">
        <v>409</v>
      </c>
      <c r="AU8" s="17" t="s">
        <v>423</v>
      </c>
      <c r="AV8" s="23" t="s">
        <v>452</v>
      </c>
      <c r="AX8" s="17"/>
      <c r="AY8" s="23" t="s">
        <v>494</v>
      </c>
      <c r="BA8" s="17" t="s">
        <v>526</v>
      </c>
      <c r="BB8" s="17" t="s">
        <v>554</v>
      </c>
      <c r="BC8" s="23"/>
      <c r="BD8" s="23"/>
      <c r="BF8" s="17" t="s">
        <v>648</v>
      </c>
      <c r="BG8" s="17" t="s">
        <v>649</v>
      </c>
      <c r="BH8" s="17" t="s">
        <v>4</v>
      </c>
      <c r="BJ8"/>
      <c r="BK8"/>
      <c r="BM8" s="17" t="s">
        <v>762</v>
      </c>
      <c r="BO8" s="17" t="s">
        <v>772</v>
      </c>
      <c r="BP8" s="17" t="s">
        <v>773</v>
      </c>
      <c r="BR8" s="17"/>
      <c r="BT8" s="17" t="s">
        <v>4</v>
      </c>
      <c r="BU8" s="17" t="s">
        <v>652</v>
      </c>
      <c r="BV8" s="17" t="s">
        <v>855</v>
      </c>
      <c r="BW8" s="17" t="s">
        <v>652</v>
      </c>
    </row>
    <row r="9" spans="1:75" x14ac:dyDescent="0.2">
      <c r="A9" s="53" t="s">
        <v>831</v>
      </c>
      <c r="C9" s="10" t="s">
        <v>16</v>
      </c>
      <c r="G9" s="10" t="s">
        <v>44</v>
      </c>
      <c r="H9" s="20" t="s">
        <v>45</v>
      </c>
      <c r="J9" s="10" t="s">
        <v>106</v>
      </c>
      <c r="K9" s="10" t="s">
        <v>331</v>
      </c>
      <c r="M9" s="10">
        <v>67</v>
      </c>
      <c r="N9" s="20" t="s">
        <v>178</v>
      </c>
      <c r="P9" s="10" t="s">
        <v>228</v>
      </c>
      <c r="Q9" s="20" t="s">
        <v>229</v>
      </c>
      <c r="V9" s="10" t="s">
        <v>230</v>
      </c>
      <c r="W9" s="20" t="s">
        <v>231</v>
      </c>
      <c r="X9" s="10" t="s">
        <v>6</v>
      </c>
      <c r="Y9" s="20" t="s">
        <v>232</v>
      </c>
      <c r="AD9" s="10" t="s">
        <v>746</v>
      </c>
      <c r="AE9" s="20" t="s">
        <v>742</v>
      </c>
      <c r="AI9" s="10" t="s">
        <v>371</v>
      </c>
      <c r="AJ9" s="20" t="s">
        <v>372</v>
      </c>
      <c r="AL9" s="17" t="s">
        <v>396</v>
      </c>
      <c r="AM9" s="23" t="s">
        <v>397</v>
      </c>
      <c r="AO9" s="17" t="s">
        <v>44</v>
      </c>
      <c r="AP9" s="23" t="s">
        <v>45</v>
      </c>
      <c r="AR9" s="17" t="s">
        <v>411</v>
      </c>
      <c r="AS9" s="23" t="s">
        <v>412</v>
      </c>
      <c r="AU9" s="17" t="s">
        <v>424</v>
      </c>
      <c r="AV9" s="23" t="s">
        <v>453</v>
      </c>
      <c r="BA9" s="17" t="s">
        <v>527</v>
      </c>
      <c r="BB9" s="17" t="s">
        <v>555</v>
      </c>
      <c r="BC9" s="23"/>
      <c r="BD9" s="23"/>
      <c r="BF9" s="17" t="s">
        <v>650</v>
      </c>
      <c r="BG9" s="17" t="s">
        <v>651</v>
      </c>
      <c r="BH9" s="17" t="s">
        <v>4</v>
      </c>
      <c r="BJ9"/>
      <c r="BK9"/>
      <c r="BM9" s="17" t="s">
        <v>763</v>
      </c>
      <c r="BO9" s="17" t="s">
        <v>774</v>
      </c>
      <c r="BP9" s="17" t="s">
        <v>775</v>
      </c>
      <c r="BR9" s="17"/>
      <c r="BT9" s="17" t="s">
        <v>4</v>
      </c>
      <c r="BU9" s="17" t="s">
        <v>654</v>
      </c>
      <c r="BV9" s="17" t="s">
        <v>856</v>
      </c>
      <c r="BW9" s="17" t="s">
        <v>654</v>
      </c>
    </row>
    <row r="10" spans="1:75" x14ac:dyDescent="0.2">
      <c r="A10" s="74" t="s">
        <v>835</v>
      </c>
      <c r="C10" s="10" t="s">
        <v>17</v>
      </c>
      <c r="G10" s="10" t="s">
        <v>46</v>
      </c>
      <c r="H10" s="20" t="s">
        <v>47</v>
      </c>
      <c r="J10" s="10" t="s">
        <v>107</v>
      </c>
      <c r="K10" s="10" t="s">
        <v>332</v>
      </c>
      <c r="M10" s="10">
        <v>68</v>
      </c>
      <c r="N10" s="20" t="s">
        <v>179</v>
      </c>
      <c r="P10" s="10" t="s">
        <v>233</v>
      </c>
      <c r="Q10" s="20" t="s">
        <v>234</v>
      </c>
      <c r="X10" s="10" t="s">
        <v>24</v>
      </c>
      <c r="Y10" s="20" t="s">
        <v>235</v>
      </c>
      <c r="AD10" s="10" t="s">
        <v>747</v>
      </c>
      <c r="AE10" s="20" t="s">
        <v>742</v>
      </c>
      <c r="AI10" s="10" t="s">
        <v>362</v>
      </c>
      <c r="AJ10" s="20" t="s">
        <v>372</v>
      </c>
      <c r="AL10" s="17" t="s">
        <v>398</v>
      </c>
      <c r="AM10" s="23" t="s">
        <v>399</v>
      </c>
      <c r="AO10" s="17" t="s">
        <v>46</v>
      </c>
      <c r="AP10" s="23" t="s">
        <v>47</v>
      </c>
      <c r="AR10" s="17" t="s">
        <v>413</v>
      </c>
      <c r="AS10" s="23" t="s">
        <v>414</v>
      </c>
      <c r="AU10" s="17" t="s">
        <v>38</v>
      </c>
      <c r="AV10" s="23" t="s">
        <v>454</v>
      </c>
      <c r="BA10" s="17" t="s">
        <v>528</v>
      </c>
      <c r="BB10" s="17" t="s">
        <v>556</v>
      </c>
      <c r="BC10" s="23"/>
      <c r="BD10" s="23"/>
      <c r="BF10" s="17" t="s">
        <v>652</v>
      </c>
      <c r="BG10" s="17" t="s">
        <v>653</v>
      </c>
      <c r="BH10" s="17" t="s">
        <v>4</v>
      </c>
      <c r="BJ10"/>
      <c r="BK10"/>
      <c r="BM10"/>
      <c r="BO10" s="17" t="s">
        <v>776</v>
      </c>
      <c r="BP10" s="17" t="s">
        <v>777</v>
      </c>
      <c r="BR10"/>
      <c r="BT10" s="17" t="s">
        <v>4</v>
      </c>
      <c r="BU10" s="17" t="s">
        <v>656</v>
      </c>
      <c r="BV10" s="17" t="s">
        <v>857</v>
      </c>
      <c r="BW10" s="17" t="s">
        <v>656</v>
      </c>
    </row>
    <row r="11" spans="1:75" x14ac:dyDescent="0.2">
      <c r="C11" s="10" t="s">
        <v>18</v>
      </c>
      <c r="G11" s="10" t="s">
        <v>48</v>
      </c>
      <c r="H11" s="20" t="s">
        <v>49</v>
      </c>
      <c r="J11" s="10" t="s">
        <v>108</v>
      </c>
      <c r="K11" s="10" t="s">
        <v>333</v>
      </c>
      <c r="M11" s="10">
        <v>69</v>
      </c>
      <c r="N11" s="20" t="s">
        <v>180</v>
      </c>
      <c r="P11" s="10" t="s">
        <v>236</v>
      </c>
      <c r="Q11" s="20" t="s">
        <v>180</v>
      </c>
      <c r="X11" s="10" t="s">
        <v>7</v>
      </c>
      <c r="Y11" s="20" t="s">
        <v>237</v>
      </c>
      <c r="AI11" s="10" t="s">
        <v>373</v>
      </c>
      <c r="AJ11" s="20" t="s">
        <v>372</v>
      </c>
      <c r="AO11" s="17" t="s">
        <v>48</v>
      </c>
      <c r="AP11" s="23" t="s">
        <v>49</v>
      </c>
      <c r="AR11" s="17" t="s">
        <v>415</v>
      </c>
      <c r="AS11" s="23" t="s">
        <v>416</v>
      </c>
      <c r="AU11" s="17" t="s">
        <v>40</v>
      </c>
      <c r="AV11" s="23" t="s">
        <v>455</v>
      </c>
      <c r="BA11" s="17" t="s">
        <v>529</v>
      </c>
      <c r="BB11" s="17" t="s">
        <v>557</v>
      </c>
      <c r="BC11" s="23"/>
      <c r="BD11" s="23"/>
      <c r="BF11" s="17" t="s">
        <v>654</v>
      </c>
      <c r="BG11" s="17" t="s">
        <v>655</v>
      </c>
      <c r="BH11" s="17" t="s">
        <v>4</v>
      </c>
      <c r="BJ11"/>
      <c r="BK11"/>
      <c r="BM11"/>
      <c r="BO11" s="17" t="s">
        <v>778</v>
      </c>
      <c r="BP11" s="17" t="s">
        <v>779</v>
      </c>
      <c r="BR11"/>
      <c r="BT11" s="17" t="s">
        <v>4</v>
      </c>
      <c r="BU11" s="17" t="s">
        <v>658</v>
      </c>
      <c r="BV11" s="17" t="s">
        <v>858</v>
      </c>
      <c r="BW11" s="17" t="s">
        <v>658</v>
      </c>
    </row>
    <row r="12" spans="1:75" x14ac:dyDescent="0.2">
      <c r="C12" s="10" t="s">
        <v>19</v>
      </c>
      <c r="G12" s="10" t="s">
        <v>50</v>
      </c>
      <c r="H12" s="20" t="s">
        <v>51</v>
      </c>
      <c r="J12" s="10" t="s">
        <v>109</v>
      </c>
      <c r="K12" s="10" t="s">
        <v>334</v>
      </c>
      <c r="M12" s="10">
        <v>70</v>
      </c>
      <c r="N12" s="20" t="s">
        <v>181</v>
      </c>
      <c r="X12" s="10" t="s">
        <v>25</v>
      </c>
      <c r="Y12" s="20" t="s">
        <v>238</v>
      </c>
      <c r="AO12" s="17" t="s">
        <v>50</v>
      </c>
      <c r="AP12" s="23" t="s">
        <v>51</v>
      </c>
      <c r="AU12" s="17" t="s">
        <v>42</v>
      </c>
      <c r="AV12" s="23" t="s">
        <v>456</v>
      </c>
      <c r="BA12" s="17" t="s">
        <v>530</v>
      </c>
      <c r="BB12" s="17" t="s">
        <v>558</v>
      </c>
      <c r="BC12" s="23"/>
      <c r="BD12" s="23"/>
      <c r="BF12" s="17" t="s">
        <v>656</v>
      </c>
      <c r="BG12" s="17" t="s">
        <v>657</v>
      </c>
      <c r="BH12" s="17" t="s">
        <v>4</v>
      </c>
      <c r="BJ12"/>
      <c r="BK12"/>
      <c r="BM12"/>
      <c r="BO12" s="17" t="s">
        <v>780</v>
      </c>
      <c r="BP12" s="17" t="s">
        <v>781</v>
      </c>
      <c r="BR12"/>
      <c r="BT12" s="17" t="s">
        <v>4</v>
      </c>
      <c r="BU12" s="17" t="s">
        <v>660</v>
      </c>
      <c r="BV12" s="17" t="s">
        <v>859</v>
      </c>
      <c r="BW12" s="17" t="s">
        <v>660</v>
      </c>
    </row>
    <row r="13" spans="1:75" x14ac:dyDescent="0.2">
      <c r="C13" s="10" t="s">
        <v>20</v>
      </c>
      <c r="G13" s="10" t="s">
        <v>52</v>
      </c>
      <c r="H13" s="20" t="s">
        <v>53</v>
      </c>
      <c r="J13" s="10" t="s">
        <v>110</v>
      </c>
      <c r="K13" s="10" t="s">
        <v>335</v>
      </c>
      <c r="M13" s="10">
        <v>71</v>
      </c>
      <c r="N13" s="20" t="s">
        <v>182</v>
      </c>
      <c r="X13" s="10" t="s">
        <v>26</v>
      </c>
      <c r="Y13" s="20" t="s">
        <v>239</v>
      </c>
      <c r="AO13" s="17" t="s">
        <v>52</v>
      </c>
      <c r="AP13" s="23" t="s">
        <v>53</v>
      </c>
      <c r="AU13" s="17" t="s">
        <v>425</v>
      </c>
      <c r="AV13" s="23" t="s">
        <v>457</v>
      </c>
      <c r="BA13" s="17" t="s">
        <v>531</v>
      </c>
      <c r="BB13" s="17" t="s">
        <v>559</v>
      </c>
      <c r="BC13" s="23"/>
      <c r="BD13" s="23"/>
      <c r="BF13" s="17" t="s">
        <v>658</v>
      </c>
      <c r="BG13" s="17" t="s">
        <v>659</v>
      </c>
      <c r="BH13" s="17" t="s">
        <v>4</v>
      </c>
      <c r="BJ13"/>
      <c r="BK13"/>
      <c r="BM13"/>
      <c r="BO13" s="17" t="s">
        <v>782</v>
      </c>
      <c r="BP13" s="17" t="s">
        <v>783</v>
      </c>
      <c r="BR13"/>
      <c r="BT13" s="17" t="s">
        <v>4</v>
      </c>
      <c r="BU13" s="17" t="s">
        <v>640</v>
      </c>
      <c r="BV13" s="17" t="s">
        <v>860</v>
      </c>
      <c r="BW13" s="17" t="s">
        <v>860</v>
      </c>
    </row>
    <row r="14" spans="1:75" x14ac:dyDescent="0.2">
      <c r="C14" s="10" t="s">
        <v>5</v>
      </c>
      <c r="G14" s="10" t="s">
        <v>54</v>
      </c>
      <c r="H14" s="20" t="s">
        <v>55</v>
      </c>
      <c r="J14" s="10" t="s">
        <v>111</v>
      </c>
      <c r="K14" s="10" t="s">
        <v>336</v>
      </c>
      <c r="M14" s="10">
        <v>72</v>
      </c>
      <c r="N14" s="20" t="s">
        <v>183</v>
      </c>
      <c r="X14" s="10" t="s">
        <v>240</v>
      </c>
      <c r="Y14" s="20" t="s">
        <v>241</v>
      </c>
      <c r="AO14" s="17" t="s">
        <v>54</v>
      </c>
      <c r="AP14" s="23" t="s">
        <v>55</v>
      </c>
      <c r="AU14" s="17" t="s">
        <v>426</v>
      </c>
      <c r="AV14" s="23" t="s">
        <v>458</v>
      </c>
      <c r="BA14" s="17" t="s">
        <v>532</v>
      </c>
      <c r="BB14" s="17" t="s">
        <v>560</v>
      </c>
      <c r="BC14" s="23"/>
      <c r="BD14" s="23"/>
      <c r="BF14" s="17" t="s">
        <v>660</v>
      </c>
      <c r="BG14" s="17" t="s">
        <v>661</v>
      </c>
      <c r="BH14" s="17" t="s">
        <v>4</v>
      </c>
      <c r="BJ14"/>
      <c r="BK14"/>
      <c r="BM14"/>
      <c r="BO14" s="17" t="s">
        <v>784</v>
      </c>
      <c r="BP14" s="17" t="s">
        <v>785</v>
      </c>
      <c r="BR14"/>
      <c r="BT14" s="17" t="s">
        <v>4</v>
      </c>
      <c r="BU14" s="17" t="s">
        <v>642</v>
      </c>
      <c r="BV14" s="17" t="s">
        <v>861</v>
      </c>
      <c r="BW14" s="17" t="s">
        <v>861</v>
      </c>
    </row>
    <row r="15" spans="1:75" x14ac:dyDescent="0.2">
      <c r="A15" s="34" t="s">
        <v>632</v>
      </c>
      <c r="C15" s="10" t="s">
        <v>21</v>
      </c>
      <c r="G15" s="10" t="s">
        <v>56</v>
      </c>
      <c r="H15" s="20" t="s">
        <v>57</v>
      </c>
      <c r="J15" s="10" t="s">
        <v>112</v>
      </c>
      <c r="K15" s="10" t="s">
        <v>337</v>
      </c>
      <c r="X15" s="10" t="s">
        <v>242</v>
      </c>
      <c r="Y15" s="20" t="s">
        <v>243</v>
      </c>
      <c r="AO15" s="17" t="s">
        <v>56</v>
      </c>
      <c r="AP15" s="23" t="s">
        <v>57</v>
      </c>
      <c r="AU15" s="17" t="s">
        <v>427</v>
      </c>
      <c r="AV15" s="23" t="s">
        <v>459</v>
      </c>
      <c r="BA15" s="17" t="s">
        <v>533</v>
      </c>
      <c r="BB15" s="17" t="s">
        <v>561</v>
      </c>
      <c r="BC15" s="23"/>
      <c r="BD15" s="23"/>
      <c r="BF15" s="17" t="s">
        <v>662</v>
      </c>
      <c r="BG15" s="17" t="s">
        <v>663</v>
      </c>
      <c r="BH15" s="17" t="s">
        <v>4</v>
      </c>
      <c r="BJ15"/>
      <c r="BK15"/>
      <c r="BM15"/>
      <c r="BO15" s="17" t="s">
        <v>758</v>
      </c>
      <c r="BP15" s="17" t="s">
        <v>786</v>
      </c>
      <c r="BR15"/>
      <c r="BT15" s="17" t="s">
        <v>4</v>
      </c>
      <c r="BU15" s="17" t="s">
        <v>662</v>
      </c>
      <c r="BV15" s="17" t="s">
        <v>862</v>
      </c>
      <c r="BW15" s="17" t="s">
        <v>863</v>
      </c>
    </row>
    <row r="16" spans="1:75" x14ac:dyDescent="0.2">
      <c r="A16" s="27" t="s">
        <v>634</v>
      </c>
      <c r="C16" s="10" t="s">
        <v>22</v>
      </c>
      <c r="G16" s="10" t="s">
        <v>58</v>
      </c>
      <c r="H16" s="20" t="s">
        <v>59</v>
      </c>
      <c r="J16" s="10" t="s">
        <v>113</v>
      </c>
      <c r="K16" s="10" t="s">
        <v>338</v>
      </c>
      <c r="X16" s="10" t="s">
        <v>244</v>
      </c>
      <c r="Y16" s="20" t="s">
        <v>245</v>
      </c>
      <c r="AO16" s="17" t="s">
        <v>58</v>
      </c>
      <c r="AP16" s="23" t="s">
        <v>59</v>
      </c>
      <c r="AU16" s="17" t="s">
        <v>428</v>
      </c>
      <c r="AV16" s="23" t="s">
        <v>460</v>
      </c>
      <c r="BA16" s="17" t="s">
        <v>534</v>
      </c>
      <c r="BB16" s="17" t="s">
        <v>15</v>
      </c>
      <c r="BC16" s="23"/>
      <c r="BD16" s="23"/>
      <c r="BF16" s="17" t="s">
        <v>664</v>
      </c>
      <c r="BG16" s="17" t="s">
        <v>665</v>
      </c>
      <c r="BH16" s="17" t="s">
        <v>4</v>
      </c>
      <c r="BJ16"/>
      <c r="BK16"/>
      <c r="BM16"/>
      <c r="BO16" s="17" t="s">
        <v>787</v>
      </c>
      <c r="BP16" s="17" t="s">
        <v>788</v>
      </c>
      <c r="BR16"/>
      <c r="BT16" s="17" t="s">
        <v>4</v>
      </c>
      <c r="BU16" s="17" t="s">
        <v>664</v>
      </c>
      <c r="BV16" s="17" t="s">
        <v>864</v>
      </c>
      <c r="BW16" s="17" t="s">
        <v>863</v>
      </c>
    </row>
    <row r="17" spans="1:75" x14ac:dyDescent="0.2">
      <c r="A17" s="25" t="s">
        <v>633</v>
      </c>
      <c r="C17" s="10" t="s">
        <v>23</v>
      </c>
      <c r="G17" s="10" t="s">
        <v>60</v>
      </c>
      <c r="H17" s="20" t="s">
        <v>61</v>
      </c>
      <c r="J17" s="10" t="s">
        <v>114</v>
      </c>
      <c r="K17" s="10" t="s">
        <v>339</v>
      </c>
      <c r="X17" s="10" t="s">
        <v>246</v>
      </c>
      <c r="Y17" s="20" t="s">
        <v>247</v>
      </c>
      <c r="AO17" s="17" t="s">
        <v>60</v>
      </c>
      <c r="AP17" s="23" t="s">
        <v>61</v>
      </c>
      <c r="AU17" s="17" t="s">
        <v>429</v>
      </c>
      <c r="AV17" s="23" t="s">
        <v>461</v>
      </c>
      <c r="BA17" s="17" t="s">
        <v>535</v>
      </c>
      <c r="BB17" s="17" t="s">
        <v>562</v>
      </c>
      <c r="BC17" s="23"/>
      <c r="BD17" s="23"/>
      <c r="BF17" s="17" t="s">
        <v>666</v>
      </c>
      <c r="BG17" s="17" t="s">
        <v>667</v>
      </c>
      <c r="BH17" s="17" t="s">
        <v>4</v>
      </c>
      <c r="BJ17"/>
      <c r="BK17"/>
      <c r="BM17"/>
      <c r="BO17" s="17" t="s">
        <v>789</v>
      </c>
      <c r="BP17" s="17" t="s">
        <v>790</v>
      </c>
      <c r="BR17"/>
      <c r="BT17" s="17" t="s">
        <v>4</v>
      </c>
      <c r="BU17" s="17" t="s">
        <v>666</v>
      </c>
      <c r="BV17" s="17" t="s">
        <v>865</v>
      </c>
      <c r="BW17" s="17" t="s">
        <v>666</v>
      </c>
    </row>
    <row r="18" spans="1:75" x14ac:dyDescent="0.2">
      <c r="A18" s="73" t="s">
        <v>639</v>
      </c>
      <c r="G18" s="10" t="s">
        <v>62</v>
      </c>
      <c r="H18" s="20" t="s">
        <v>63</v>
      </c>
      <c r="J18" s="10" t="s">
        <v>115</v>
      </c>
      <c r="K18" s="10" t="s">
        <v>340</v>
      </c>
      <c r="X18" s="10" t="s">
        <v>248</v>
      </c>
      <c r="Y18" s="20" t="s">
        <v>249</v>
      </c>
      <c r="AO18" s="17" t="s">
        <v>62</v>
      </c>
      <c r="AP18" s="23" t="s">
        <v>63</v>
      </c>
      <c r="AU18" s="17" t="s">
        <v>430</v>
      </c>
      <c r="AV18" s="23" t="s">
        <v>462</v>
      </c>
      <c r="BA18" s="17" t="s">
        <v>536</v>
      </c>
      <c r="BB18" s="17" t="s">
        <v>563</v>
      </c>
      <c r="BC18" s="23"/>
      <c r="BD18" s="23"/>
      <c r="BF18" s="17" t="s">
        <v>668</v>
      </c>
      <c r="BG18" s="17" t="s">
        <v>669</v>
      </c>
      <c r="BH18" s="17" t="s">
        <v>4</v>
      </c>
      <c r="BJ18"/>
      <c r="BK18"/>
      <c r="BM18"/>
      <c r="BO18" s="17" t="s">
        <v>791</v>
      </c>
      <c r="BP18" s="17" t="s">
        <v>792</v>
      </c>
      <c r="BR18"/>
      <c r="BT18" s="17" t="s">
        <v>4</v>
      </c>
      <c r="BU18" s="17" t="s">
        <v>668</v>
      </c>
      <c r="BV18" s="17" t="s">
        <v>669</v>
      </c>
      <c r="BW18" s="17" t="s">
        <v>669</v>
      </c>
    </row>
    <row r="19" spans="1:75" x14ac:dyDescent="0.2">
      <c r="A19" s="31" t="s">
        <v>638</v>
      </c>
      <c r="G19" s="10" t="s">
        <v>64</v>
      </c>
      <c r="H19" s="20" t="s">
        <v>65</v>
      </c>
      <c r="J19" s="10" t="s">
        <v>116</v>
      </c>
      <c r="K19" s="10" t="s">
        <v>341</v>
      </c>
      <c r="X19" s="10" t="s">
        <v>250</v>
      </c>
      <c r="Y19" s="20" t="s">
        <v>251</v>
      </c>
      <c r="AO19" s="17" t="s">
        <v>64</v>
      </c>
      <c r="AP19" s="23" t="s">
        <v>65</v>
      </c>
      <c r="AU19" s="17" t="s">
        <v>431</v>
      </c>
      <c r="AV19" s="23" t="s">
        <v>463</v>
      </c>
      <c r="BA19" s="17" t="s">
        <v>537</v>
      </c>
      <c r="BB19" s="17" t="s">
        <v>564</v>
      </c>
      <c r="BC19" s="23"/>
      <c r="BD19" s="23"/>
      <c r="BF19" s="17" t="s">
        <v>671</v>
      </c>
      <c r="BG19" s="17" t="s">
        <v>672</v>
      </c>
      <c r="BH19" s="17" t="s">
        <v>9</v>
      </c>
      <c r="BJ19"/>
      <c r="BK19"/>
      <c r="BM19"/>
      <c r="BO19" s="17" t="s">
        <v>793</v>
      </c>
      <c r="BP19" s="17" t="s">
        <v>794</v>
      </c>
      <c r="BR19"/>
      <c r="BT19" s="17" t="s">
        <v>9</v>
      </c>
      <c r="BU19" s="17" t="s">
        <v>671</v>
      </c>
      <c r="BV19" s="17" t="s">
        <v>866</v>
      </c>
      <c r="BW19" s="17" t="s">
        <v>866</v>
      </c>
    </row>
    <row r="20" spans="1:75" x14ac:dyDescent="0.2">
      <c r="A20" s="29" t="s">
        <v>637</v>
      </c>
      <c r="G20" s="10" t="s">
        <v>66</v>
      </c>
      <c r="H20" s="20" t="s">
        <v>67</v>
      </c>
      <c r="J20" s="10" t="s">
        <v>117</v>
      </c>
      <c r="K20" s="10" t="s">
        <v>342</v>
      </c>
      <c r="X20" s="10" t="s">
        <v>252</v>
      </c>
      <c r="Y20" s="20" t="s">
        <v>253</v>
      </c>
      <c r="AO20" s="17" t="s">
        <v>66</v>
      </c>
      <c r="AP20" s="23" t="s">
        <v>67</v>
      </c>
      <c r="AU20" s="17" t="s">
        <v>432</v>
      </c>
      <c r="AV20" s="23" t="s">
        <v>464</v>
      </c>
      <c r="BA20" s="17" t="s">
        <v>538</v>
      </c>
      <c r="BB20" s="17" t="s">
        <v>565</v>
      </c>
      <c r="BC20" s="23"/>
      <c r="BD20" s="23"/>
      <c r="BF20" s="17" t="s">
        <v>673</v>
      </c>
      <c r="BG20" s="17" t="s">
        <v>674</v>
      </c>
      <c r="BH20" s="17" t="s">
        <v>9</v>
      </c>
      <c r="BJ20"/>
      <c r="BK20"/>
      <c r="BM20"/>
      <c r="BO20" s="17" t="s">
        <v>795</v>
      </c>
      <c r="BP20" s="17" t="s">
        <v>796</v>
      </c>
      <c r="BR20"/>
      <c r="BT20" s="17" t="s">
        <v>9</v>
      </c>
      <c r="BU20" s="17" t="s">
        <v>673</v>
      </c>
      <c r="BV20" s="17" t="s">
        <v>867</v>
      </c>
      <c r="BW20" s="17" t="s">
        <v>867</v>
      </c>
    </row>
    <row r="21" spans="1:75" x14ac:dyDescent="0.2">
      <c r="A21" s="30" t="s">
        <v>635</v>
      </c>
      <c r="G21" s="10" t="s">
        <v>68</v>
      </c>
      <c r="H21" s="20" t="s">
        <v>69</v>
      </c>
      <c r="J21" s="10" t="s">
        <v>118</v>
      </c>
      <c r="K21" s="10" t="s">
        <v>343</v>
      </c>
      <c r="X21" s="10" t="s">
        <v>254</v>
      </c>
      <c r="Y21" s="20" t="s">
        <v>255</v>
      </c>
      <c r="AO21" s="17" t="s">
        <v>68</v>
      </c>
      <c r="AP21" s="23" t="s">
        <v>69</v>
      </c>
      <c r="AU21" s="17" t="s">
        <v>433</v>
      </c>
      <c r="AV21" s="23" t="s">
        <v>465</v>
      </c>
      <c r="BA21" s="17" t="s">
        <v>539</v>
      </c>
      <c r="BB21" s="17" t="s">
        <v>566</v>
      </c>
      <c r="BC21" s="23"/>
      <c r="BD21" s="23"/>
      <c r="BF21" s="17" t="s">
        <v>675</v>
      </c>
      <c r="BG21" s="17" t="s">
        <v>676</v>
      </c>
      <c r="BH21" s="17" t="s">
        <v>9</v>
      </c>
      <c r="BJ21"/>
      <c r="BK21"/>
      <c r="BM21"/>
      <c r="BO21" s="17" t="s">
        <v>797</v>
      </c>
      <c r="BP21" s="17" t="s">
        <v>798</v>
      </c>
      <c r="BR21"/>
      <c r="BT21" s="17" t="s">
        <v>9</v>
      </c>
      <c r="BU21" s="17" t="s">
        <v>675</v>
      </c>
      <c r="BV21" s="17" t="s">
        <v>868</v>
      </c>
      <c r="BW21" s="17" t="s">
        <v>868</v>
      </c>
    </row>
    <row r="22" spans="1:75" x14ac:dyDescent="0.2">
      <c r="A22" s="6" t="s">
        <v>636</v>
      </c>
      <c r="G22" s="10" t="s">
        <v>70</v>
      </c>
      <c r="H22" s="20" t="s">
        <v>71</v>
      </c>
      <c r="J22" s="10" t="s">
        <v>119</v>
      </c>
      <c r="K22" s="10" t="s">
        <v>344</v>
      </c>
      <c r="X22" s="10" t="s">
        <v>256</v>
      </c>
      <c r="Y22" s="20" t="s">
        <v>257</v>
      </c>
      <c r="AO22" s="17" t="s">
        <v>70</v>
      </c>
      <c r="AP22" s="23" t="s">
        <v>71</v>
      </c>
      <c r="AU22" s="17" t="s">
        <v>434</v>
      </c>
      <c r="AV22" s="23" t="s">
        <v>466</v>
      </c>
      <c r="BA22" s="17" t="s">
        <v>540</v>
      </c>
      <c r="BB22" s="17" t="s">
        <v>567</v>
      </c>
      <c r="BC22" s="23"/>
      <c r="BD22" s="23"/>
      <c r="BF22" s="17" t="s">
        <v>677</v>
      </c>
      <c r="BG22" s="17" t="s">
        <v>678</v>
      </c>
      <c r="BH22" s="17" t="s">
        <v>9</v>
      </c>
      <c r="BJ22"/>
      <c r="BK22"/>
      <c r="BM22"/>
      <c r="BO22" s="17" t="s">
        <v>799</v>
      </c>
      <c r="BP22" s="17" t="s">
        <v>800</v>
      </c>
      <c r="BR22"/>
      <c r="BT22" s="17" t="s">
        <v>9</v>
      </c>
      <c r="BU22" s="17" t="s">
        <v>677</v>
      </c>
      <c r="BV22" s="17" t="s">
        <v>869</v>
      </c>
      <c r="BW22" s="17" t="s">
        <v>869</v>
      </c>
    </row>
    <row r="23" spans="1:75" x14ac:dyDescent="0.2">
      <c r="G23" s="10" t="s">
        <v>72</v>
      </c>
      <c r="H23" s="20" t="s">
        <v>73</v>
      </c>
      <c r="J23" s="10" t="s">
        <v>120</v>
      </c>
      <c r="K23" s="10" t="s">
        <v>345</v>
      </c>
      <c r="X23" s="10" t="s">
        <v>258</v>
      </c>
      <c r="Y23" s="20" t="s">
        <v>259</v>
      </c>
      <c r="AO23" s="17" t="s">
        <v>72</v>
      </c>
      <c r="AP23" s="23" t="s">
        <v>73</v>
      </c>
      <c r="AU23" s="17" t="s">
        <v>435</v>
      </c>
      <c r="AV23" s="23" t="s">
        <v>467</v>
      </c>
      <c r="BA23" s="17" t="s">
        <v>541</v>
      </c>
      <c r="BB23" s="17" t="s">
        <v>568</v>
      </c>
      <c r="BC23" s="23"/>
      <c r="BD23" s="23"/>
      <c r="BF23" s="17" t="s">
        <v>679</v>
      </c>
      <c r="BG23" s="17" t="s">
        <v>680</v>
      </c>
      <c r="BH23" s="17" t="s">
        <v>9</v>
      </c>
      <c r="BJ23"/>
      <c r="BK23"/>
      <c r="BM23"/>
      <c r="BO23" s="17" t="s">
        <v>801</v>
      </c>
      <c r="BP23" s="17" t="s">
        <v>802</v>
      </c>
      <c r="BR23"/>
      <c r="BT23" s="17" t="s">
        <v>9</v>
      </c>
      <c r="BU23" s="17" t="s">
        <v>679</v>
      </c>
      <c r="BV23" s="17" t="s">
        <v>870</v>
      </c>
      <c r="BW23" s="17" t="s">
        <v>870</v>
      </c>
    </row>
    <row r="24" spans="1:75" x14ac:dyDescent="0.2">
      <c r="G24" s="10" t="s">
        <v>74</v>
      </c>
      <c r="H24" s="20" t="s">
        <v>75</v>
      </c>
      <c r="J24" s="10" t="s">
        <v>121</v>
      </c>
      <c r="K24" s="10" t="s">
        <v>346</v>
      </c>
      <c r="X24" s="10" t="s">
        <v>260</v>
      </c>
      <c r="Y24" s="20" t="s">
        <v>261</v>
      </c>
      <c r="AO24" s="17" t="s">
        <v>74</v>
      </c>
      <c r="AP24" s="23" t="s">
        <v>75</v>
      </c>
      <c r="AU24" s="17" t="s">
        <v>436</v>
      </c>
      <c r="AV24" s="23" t="s">
        <v>468</v>
      </c>
      <c r="BA24" s="17" t="s">
        <v>542</v>
      </c>
      <c r="BB24" s="17" t="s">
        <v>569</v>
      </c>
      <c r="BC24" s="23"/>
      <c r="BD24" s="23"/>
      <c r="BF24" s="17" t="s">
        <v>681</v>
      </c>
      <c r="BG24" s="17" t="s">
        <v>682</v>
      </c>
      <c r="BH24" s="17" t="s">
        <v>9</v>
      </c>
      <c r="BJ24"/>
      <c r="BK24"/>
      <c r="BM24"/>
      <c r="BO24" s="17" t="s">
        <v>803</v>
      </c>
      <c r="BP24" s="17" t="s">
        <v>804</v>
      </c>
      <c r="BR24"/>
      <c r="BT24" s="17" t="s">
        <v>9</v>
      </c>
      <c r="BU24" s="17" t="s">
        <v>681</v>
      </c>
      <c r="BV24" s="17" t="s">
        <v>871</v>
      </c>
      <c r="BW24" s="17" t="s">
        <v>871</v>
      </c>
    </row>
    <row r="25" spans="1:75" x14ac:dyDescent="0.2">
      <c r="G25" s="10" t="s">
        <v>76</v>
      </c>
      <c r="H25" s="20" t="s">
        <v>77</v>
      </c>
      <c r="J25" s="10" t="s">
        <v>122</v>
      </c>
      <c r="K25" s="10" t="s">
        <v>347</v>
      </c>
      <c r="X25" s="10" t="s">
        <v>262</v>
      </c>
      <c r="Y25" s="20" t="s">
        <v>263</v>
      </c>
      <c r="AO25" s="17" t="s">
        <v>76</v>
      </c>
      <c r="AP25" s="23" t="s">
        <v>77</v>
      </c>
      <c r="AU25" s="17" t="s">
        <v>437</v>
      </c>
      <c r="AV25" s="23" t="s">
        <v>469</v>
      </c>
      <c r="BA25" s="17" t="s">
        <v>543</v>
      </c>
      <c r="BB25" s="17" t="s">
        <v>570</v>
      </c>
      <c r="BC25" s="23"/>
      <c r="BD25" s="23"/>
      <c r="BF25" s="17" t="s">
        <v>683</v>
      </c>
      <c r="BG25" s="17" t="s">
        <v>684</v>
      </c>
      <c r="BH25" s="17" t="s">
        <v>9</v>
      </c>
      <c r="BJ25"/>
      <c r="BK25"/>
      <c r="BM25"/>
      <c r="BO25" s="17" t="s">
        <v>805</v>
      </c>
      <c r="BP25" s="17" t="s">
        <v>806</v>
      </c>
      <c r="BR25"/>
      <c r="BT25" s="17" t="s">
        <v>9</v>
      </c>
      <c r="BU25" s="17" t="s">
        <v>687</v>
      </c>
      <c r="BV25" s="17" t="s">
        <v>872</v>
      </c>
      <c r="BW25" s="17" t="s">
        <v>872</v>
      </c>
    </row>
    <row r="26" spans="1:75" x14ac:dyDescent="0.2">
      <c r="G26" s="10" t="s">
        <v>78</v>
      </c>
      <c r="H26" s="20" t="s">
        <v>79</v>
      </c>
      <c r="J26" s="10" t="s">
        <v>123</v>
      </c>
      <c r="K26" s="10" t="s">
        <v>348</v>
      </c>
      <c r="X26" s="10" t="s">
        <v>264</v>
      </c>
      <c r="Y26" s="20" t="s">
        <v>265</v>
      </c>
      <c r="AO26" s="17" t="s">
        <v>78</v>
      </c>
      <c r="AP26" s="23" t="s">
        <v>79</v>
      </c>
      <c r="AU26" s="17" t="s">
        <v>438</v>
      </c>
      <c r="AV26" s="23" t="s">
        <v>470</v>
      </c>
      <c r="BA26" s="17" t="s">
        <v>544</v>
      </c>
      <c r="BB26" s="17" t="s">
        <v>16</v>
      </c>
      <c r="BC26" s="23"/>
      <c r="BD26" s="23"/>
      <c r="BF26" s="17" t="s">
        <v>685</v>
      </c>
      <c r="BG26" s="17" t="s">
        <v>686</v>
      </c>
      <c r="BH26" s="17" t="s">
        <v>9</v>
      </c>
      <c r="BJ26"/>
      <c r="BK26"/>
      <c r="BM26"/>
      <c r="BO26" s="17" t="s">
        <v>756</v>
      </c>
      <c r="BP26" s="17" t="s">
        <v>807</v>
      </c>
      <c r="BR26"/>
      <c r="BT26" s="17" t="s">
        <v>9</v>
      </c>
      <c r="BU26" s="17" t="s">
        <v>689</v>
      </c>
      <c r="BV26" s="17" t="s">
        <v>873</v>
      </c>
      <c r="BW26" s="17" t="s">
        <v>873</v>
      </c>
    </row>
    <row r="27" spans="1:75" x14ac:dyDescent="0.2">
      <c r="G27" s="10" t="s">
        <v>80</v>
      </c>
      <c r="H27" s="20" t="s">
        <v>81</v>
      </c>
      <c r="J27" s="10" t="s">
        <v>124</v>
      </c>
      <c r="K27" s="10" t="s">
        <v>349</v>
      </c>
      <c r="X27" s="10" t="s">
        <v>266</v>
      </c>
      <c r="Y27" s="20" t="s">
        <v>267</v>
      </c>
      <c r="AO27" s="17" t="s">
        <v>80</v>
      </c>
      <c r="AP27" s="23" t="s">
        <v>81</v>
      </c>
      <c r="AU27" s="17" t="s">
        <v>439</v>
      </c>
      <c r="AV27" s="23" t="s">
        <v>471</v>
      </c>
      <c r="BA27" s="17" t="s">
        <v>545</v>
      </c>
      <c r="BB27" s="17" t="s">
        <v>571</v>
      </c>
      <c r="BC27" s="23"/>
      <c r="BD27" s="23"/>
      <c r="BF27" s="17" t="s">
        <v>687</v>
      </c>
      <c r="BG27" s="17" t="s">
        <v>688</v>
      </c>
      <c r="BH27" s="17" t="s">
        <v>9</v>
      </c>
      <c r="BJ27"/>
      <c r="BK27"/>
      <c r="BM27"/>
      <c r="BO27" s="17" t="s">
        <v>808</v>
      </c>
      <c r="BP27" s="17" t="s">
        <v>809</v>
      </c>
      <c r="BR27"/>
      <c r="BT27" s="17" t="s">
        <v>9</v>
      </c>
      <c r="BU27" s="17" t="s">
        <v>691</v>
      </c>
      <c r="BV27" s="17" t="s">
        <v>874</v>
      </c>
      <c r="BW27" s="17" t="s">
        <v>874</v>
      </c>
    </row>
    <row r="28" spans="1:75" x14ac:dyDescent="0.2">
      <c r="G28" s="10" t="s">
        <v>82</v>
      </c>
      <c r="H28" s="20" t="s">
        <v>83</v>
      </c>
      <c r="J28" s="10" t="s">
        <v>125</v>
      </c>
      <c r="K28" s="10" t="s">
        <v>350</v>
      </c>
      <c r="X28" s="10" t="s">
        <v>268</v>
      </c>
      <c r="Y28" s="20" t="s">
        <v>269</v>
      </c>
      <c r="AO28" s="17" t="s">
        <v>82</v>
      </c>
      <c r="AP28" s="23" t="s">
        <v>83</v>
      </c>
      <c r="AU28" s="17" t="s">
        <v>440</v>
      </c>
      <c r="AV28" s="23" t="s">
        <v>472</v>
      </c>
      <c r="BA28" s="17" t="s">
        <v>546</v>
      </c>
      <c r="BB28" s="17" t="s">
        <v>572</v>
      </c>
      <c r="BC28" s="23"/>
      <c r="BD28" s="23"/>
      <c r="BF28" s="17" t="s">
        <v>689</v>
      </c>
      <c r="BG28" s="17" t="s">
        <v>690</v>
      </c>
      <c r="BH28" s="17" t="s">
        <v>9</v>
      </c>
      <c r="BJ28"/>
      <c r="BK28"/>
      <c r="BM28"/>
      <c r="BO28" s="17" t="s">
        <v>810</v>
      </c>
      <c r="BP28" s="17" t="s">
        <v>811</v>
      </c>
      <c r="BR28"/>
      <c r="BT28" s="17" t="s">
        <v>9</v>
      </c>
      <c r="BU28" s="17" t="s">
        <v>693</v>
      </c>
      <c r="BV28" s="17" t="s">
        <v>875</v>
      </c>
      <c r="BW28" s="17" t="s">
        <v>875</v>
      </c>
    </row>
    <row r="29" spans="1:75" x14ac:dyDescent="0.2">
      <c r="G29" s="10" t="s">
        <v>84</v>
      </c>
      <c r="H29" s="20" t="s">
        <v>85</v>
      </c>
      <c r="J29" s="10" t="s">
        <v>126</v>
      </c>
      <c r="K29" s="10" t="s">
        <v>351</v>
      </c>
      <c r="X29" s="10" t="s">
        <v>270</v>
      </c>
      <c r="Y29" s="20" t="s">
        <v>271</v>
      </c>
      <c r="AO29" s="17" t="s">
        <v>84</v>
      </c>
      <c r="AP29" s="23" t="s">
        <v>85</v>
      </c>
      <c r="AU29" s="17" t="s">
        <v>441</v>
      </c>
      <c r="AV29" s="23" t="s">
        <v>473</v>
      </c>
      <c r="BA29" s="17" t="s">
        <v>547</v>
      </c>
      <c r="BB29" s="17" t="s">
        <v>573</v>
      </c>
      <c r="BC29" s="23"/>
      <c r="BD29" s="23"/>
      <c r="BF29" s="17" t="s">
        <v>691</v>
      </c>
      <c r="BG29" s="17" t="s">
        <v>692</v>
      </c>
      <c r="BH29" s="17" t="s">
        <v>9</v>
      </c>
      <c r="BJ29"/>
      <c r="BK29"/>
      <c r="BM29"/>
      <c r="BO29" s="17" t="s">
        <v>812</v>
      </c>
      <c r="BP29" s="17" t="s">
        <v>813</v>
      </c>
      <c r="BR29"/>
      <c r="BT29" s="17" t="s">
        <v>9</v>
      </c>
      <c r="BU29" s="17" t="s">
        <v>695</v>
      </c>
      <c r="BV29" s="17" t="s">
        <v>876</v>
      </c>
      <c r="BW29" s="17" t="s">
        <v>876</v>
      </c>
    </row>
    <row r="30" spans="1:75" x14ac:dyDescent="0.2">
      <c r="G30" s="10" t="s">
        <v>86</v>
      </c>
      <c r="H30" s="20" t="s">
        <v>87</v>
      </c>
      <c r="X30" s="10" t="s">
        <v>272</v>
      </c>
      <c r="Y30" s="20" t="s">
        <v>273</v>
      </c>
      <c r="AO30" s="17" t="s">
        <v>86</v>
      </c>
      <c r="AP30" s="23" t="s">
        <v>87</v>
      </c>
      <c r="AU30" s="17" t="s">
        <v>442</v>
      </c>
      <c r="AV30" s="23" t="s">
        <v>474</v>
      </c>
      <c r="BA30" s="17" t="s">
        <v>548</v>
      </c>
      <c r="BB30" s="17" t="s">
        <v>574</v>
      </c>
      <c r="BC30" s="23"/>
      <c r="BD30" s="23"/>
      <c r="BF30" s="17" t="s">
        <v>693</v>
      </c>
      <c r="BG30" s="17" t="s">
        <v>694</v>
      </c>
      <c r="BH30" s="17" t="s">
        <v>9</v>
      </c>
      <c r="BJ30"/>
      <c r="BK30"/>
      <c r="BM30"/>
      <c r="BO30" s="17" t="s">
        <v>814</v>
      </c>
      <c r="BP30" s="17" t="s">
        <v>815</v>
      </c>
      <c r="BR30"/>
      <c r="BT30" s="17" t="s">
        <v>9</v>
      </c>
      <c r="BU30" s="17" t="s">
        <v>877</v>
      </c>
      <c r="BV30" s="17" t="s">
        <v>878</v>
      </c>
      <c r="BW30" s="17" t="s">
        <v>878</v>
      </c>
    </row>
    <row r="31" spans="1:75" x14ac:dyDescent="0.2">
      <c r="G31" s="10" t="s">
        <v>88</v>
      </c>
      <c r="H31" s="20" t="s">
        <v>89</v>
      </c>
      <c r="X31" s="10" t="s">
        <v>274</v>
      </c>
      <c r="Y31" s="20" t="s">
        <v>275</v>
      </c>
      <c r="AO31" s="17" t="s">
        <v>88</v>
      </c>
      <c r="AP31" s="23" t="s">
        <v>89</v>
      </c>
      <c r="AU31" s="17" t="s">
        <v>443</v>
      </c>
      <c r="AV31" s="23" t="s">
        <v>475</v>
      </c>
      <c r="BA31" s="17" t="s">
        <v>549</v>
      </c>
      <c r="BB31" s="17" t="s">
        <v>17</v>
      </c>
      <c r="BC31" s="23"/>
      <c r="BD31" s="23"/>
      <c r="BF31" s="17" t="s">
        <v>695</v>
      </c>
      <c r="BG31" s="17" t="s">
        <v>696</v>
      </c>
      <c r="BH31" s="17" t="s">
        <v>9</v>
      </c>
      <c r="BJ31"/>
      <c r="BK31"/>
      <c r="BM31"/>
      <c r="BO31" s="17" t="s">
        <v>816</v>
      </c>
      <c r="BP31" s="17" t="s">
        <v>817</v>
      </c>
      <c r="BR31"/>
      <c r="BT31" s="17" t="s">
        <v>9</v>
      </c>
      <c r="BU31" s="17" t="s">
        <v>683</v>
      </c>
      <c r="BV31" s="17" t="s">
        <v>879</v>
      </c>
      <c r="BW31" s="17" t="s">
        <v>879</v>
      </c>
    </row>
    <row r="32" spans="1:75" x14ac:dyDescent="0.2">
      <c r="G32" s="10" t="s">
        <v>90</v>
      </c>
      <c r="H32" s="20" t="s">
        <v>91</v>
      </c>
      <c r="X32" s="10" t="s">
        <v>276</v>
      </c>
      <c r="Y32" s="20" t="s">
        <v>277</v>
      </c>
      <c r="AO32" s="17" t="s">
        <v>90</v>
      </c>
      <c r="AP32" s="23" t="s">
        <v>91</v>
      </c>
      <c r="AU32" s="17" t="s">
        <v>444</v>
      </c>
      <c r="AV32" s="23" t="s">
        <v>476</v>
      </c>
      <c r="BA32" s="17" t="s">
        <v>550</v>
      </c>
      <c r="BB32" s="17" t="s">
        <v>575</v>
      </c>
      <c r="BC32" s="23"/>
      <c r="BD32" s="23"/>
      <c r="BF32" s="17" t="s">
        <v>697</v>
      </c>
      <c r="BG32" s="17" t="s">
        <v>698</v>
      </c>
      <c r="BH32" s="17" t="s">
        <v>9</v>
      </c>
      <c r="BJ32"/>
      <c r="BK32"/>
      <c r="BM32"/>
      <c r="BO32" s="17" t="s">
        <v>818</v>
      </c>
      <c r="BP32" s="17" t="s">
        <v>819</v>
      </c>
      <c r="BR32"/>
      <c r="BT32" s="17" t="s">
        <v>9</v>
      </c>
      <c r="BU32" s="17" t="s">
        <v>701</v>
      </c>
      <c r="BV32" s="17" t="s">
        <v>880</v>
      </c>
      <c r="BW32" s="17" t="s">
        <v>701</v>
      </c>
    </row>
    <row r="33" spans="1:75" x14ac:dyDescent="0.2">
      <c r="A33" s="66"/>
      <c r="X33" s="10" t="s">
        <v>278</v>
      </c>
      <c r="Y33" s="20" t="s">
        <v>279</v>
      </c>
      <c r="AU33" s="17" t="s">
        <v>445</v>
      </c>
      <c r="AV33" s="23" t="s">
        <v>477</v>
      </c>
      <c r="BA33" s="17"/>
      <c r="BB33" s="17" t="s">
        <v>576</v>
      </c>
      <c r="BC33" s="23"/>
      <c r="BD33" s="23"/>
      <c r="BF33" s="17" t="s">
        <v>699</v>
      </c>
      <c r="BG33" s="17" t="s">
        <v>700</v>
      </c>
      <c r="BH33" s="17" t="s">
        <v>9</v>
      </c>
      <c r="BJ33"/>
      <c r="BK33"/>
      <c r="BM33"/>
      <c r="BO33" s="17" t="s">
        <v>820</v>
      </c>
      <c r="BP33" s="17" t="s">
        <v>821</v>
      </c>
      <c r="BR33"/>
      <c r="BT33" s="17" t="s">
        <v>9</v>
      </c>
      <c r="BU33" s="17" t="s">
        <v>697</v>
      </c>
      <c r="BV33" s="17" t="s">
        <v>881</v>
      </c>
      <c r="BW33" s="17" t="s">
        <v>697</v>
      </c>
    </row>
    <row r="34" spans="1:75" x14ac:dyDescent="0.2">
      <c r="X34" s="10" t="s">
        <v>280</v>
      </c>
      <c r="Y34" s="20" t="s">
        <v>281</v>
      </c>
      <c r="AU34" s="17" t="s">
        <v>446</v>
      </c>
      <c r="AV34" s="23" t="s">
        <v>478</v>
      </c>
      <c r="BA34" s="17"/>
      <c r="BB34" s="17" t="s">
        <v>577</v>
      </c>
      <c r="BC34" s="23"/>
      <c r="BD34" s="23"/>
      <c r="BF34" s="17" t="s">
        <v>701</v>
      </c>
      <c r="BG34" s="17" t="s">
        <v>702</v>
      </c>
      <c r="BH34" s="17" t="s">
        <v>9</v>
      </c>
      <c r="BJ34"/>
      <c r="BK34"/>
      <c r="BM34"/>
      <c r="BO34" s="17" t="s">
        <v>822</v>
      </c>
      <c r="BP34" s="17" t="s">
        <v>823</v>
      </c>
      <c r="BR34"/>
      <c r="BT34" s="17" t="s">
        <v>9</v>
      </c>
      <c r="BU34" s="17" t="s">
        <v>703</v>
      </c>
      <c r="BV34" s="17" t="s">
        <v>882</v>
      </c>
      <c r="BW34" s="17" t="s">
        <v>703</v>
      </c>
    </row>
    <row r="35" spans="1:75" x14ac:dyDescent="0.2">
      <c r="X35" s="10" t="s">
        <v>282</v>
      </c>
      <c r="Y35" s="20" t="s">
        <v>283</v>
      </c>
      <c r="AU35" s="17" t="s">
        <v>447</v>
      </c>
      <c r="AV35" s="23" t="s">
        <v>479</v>
      </c>
      <c r="BA35" s="17"/>
      <c r="BB35" s="17" t="s">
        <v>578</v>
      </c>
      <c r="BC35" s="23"/>
      <c r="BD35" s="23"/>
      <c r="BF35" s="17" t="s">
        <v>703</v>
      </c>
      <c r="BG35" s="17" t="s">
        <v>704</v>
      </c>
      <c r="BH35" s="17" t="s">
        <v>9</v>
      </c>
      <c r="BJ35"/>
      <c r="BK35"/>
      <c r="BM35"/>
      <c r="BO35"/>
      <c r="BP35"/>
      <c r="BR35"/>
      <c r="BT35" s="17" t="s">
        <v>9</v>
      </c>
      <c r="BU35" s="17" t="s">
        <v>705</v>
      </c>
      <c r="BV35" s="17" t="s">
        <v>883</v>
      </c>
      <c r="BW35" s="17" t="s">
        <v>705</v>
      </c>
    </row>
    <row r="36" spans="1:75" x14ac:dyDescent="0.2">
      <c r="X36" s="10" t="s">
        <v>284</v>
      </c>
      <c r="Y36" s="20" t="s">
        <v>285</v>
      </c>
      <c r="AU36" s="17"/>
      <c r="AV36" s="23"/>
      <c r="BA36" s="17"/>
      <c r="BB36" s="17" t="s">
        <v>579</v>
      </c>
      <c r="BC36" s="23"/>
      <c r="BD36" s="23"/>
      <c r="BF36" s="17" t="s">
        <v>705</v>
      </c>
      <c r="BG36" s="17" t="s">
        <v>706</v>
      </c>
      <c r="BH36" s="17" t="s">
        <v>9</v>
      </c>
      <c r="BJ36"/>
      <c r="BK36"/>
      <c r="BM36"/>
      <c r="BO36"/>
      <c r="BP36"/>
      <c r="BR36"/>
      <c r="BT36" s="17" t="s">
        <v>9</v>
      </c>
      <c r="BU36" s="17" t="s">
        <v>707</v>
      </c>
      <c r="BV36" s="17" t="s">
        <v>884</v>
      </c>
      <c r="BW36" s="17" t="s">
        <v>707</v>
      </c>
    </row>
    <row r="37" spans="1:75" x14ac:dyDescent="0.2">
      <c r="A37" s="66"/>
      <c r="X37" s="10" t="s">
        <v>286</v>
      </c>
      <c r="Y37" s="20" t="s">
        <v>287</v>
      </c>
      <c r="BA37" s="17"/>
      <c r="BB37" s="17" t="s">
        <v>580</v>
      </c>
      <c r="BC37" s="23"/>
      <c r="BD37" s="23"/>
      <c r="BF37" s="17" t="s">
        <v>707</v>
      </c>
      <c r="BG37" s="17" t="s">
        <v>708</v>
      </c>
      <c r="BH37" s="17" t="s">
        <v>9</v>
      </c>
      <c r="BJ37"/>
      <c r="BK37"/>
      <c r="BM37"/>
      <c r="BO37"/>
      <c r="BP37"/>
      <c r="BR37"/>
      <c r="BT37" s="17" t="s">
        <v>9</v>
      </c>
      <c r="BU37" s="17" t="s">
        <v>709</v>
      </c>
      <c r="BV37" s="17" t="s">
        <v>885</v>
      </c>
      <c r="BW37" s="17" t="s">
        <v>709</v>
      </c>
    </row>
    <row r="38" spans="1:75" x14ac:dyDescent="0.2">
      <c r="BA38" s="17"/>
      <c r="BB38" s="17" t="s">
        <v>581</v>
      </c>
      <c r="BC38" s="23"/>
      <c r="BD38" s="23"/>
      <c r="BF38" s="17" t="s">
        <v>709</v>
      </c>
      <c r="BG38" s="17" t="s">
        <v>710</v>
      </c>
      <c r="BH38" s="17" t="s">
        <v>9</v>
      </c>
      <c r="BJ38"/>
      <c r="BK38"/>
      <c r="BM38"/>
      <c r="BO38"/>
      <c r="BP38"/>
      <c r="BR38"/>
      <c r="BT38" s="17" t="s">
        <v>9</v>
      </c>
      <c r="BU38" s="17" t="s">
        <v>668</v>
      </c>
      <c r="BV38" s="17" t="s">
        <v>669</v>
      </c>
      <c r="BW38" s="17" t="s">
        <v>669</v>
      </c>
    </row>
    <row r="39" spans="1:75" x14ac:dyDescent="0.2">
      <c r="BA39" s="17"/>
      <c r="BB39" s="17" t="s">
        <v>582</v>
      </c>
      <c r="BC39" s="23"/>
      <c r="BD39" s="23"/>
      <c r="BF39" s="17" t="s">
        <v>668</v>
      </c>
      <c r="BG39" s="17" t="s">
        <v>669</v>
      </c>
      <c r="BH39" s="17" t="s">
        <v>9</v>
      </c>
      <c r="BJ39"/>
      <c r="BK39"/>
      <c r="BM39"/>
      <c r="BO39"/>
      <c r="BP39"/>
      <c r="BR39"/>
      <c r="BT39" s="17"/>
      <c r="BU39" s="17"/>
      <c r="BV39" s="17"/>
      <c r="BW39" s="17"/>
    </row>
    <row r="40" spans="1:75" x14ac:dyDescent="0.2">
      <c r="A40" s="54"/>
      <c r="BA40" s="17"/>
      <c r="BB40" s="17" t="s">
        <v>583</v>
      </c>
      <c r="BC40" s="23"/>
      <c r="BD40" s="23"/>
      <c r="BF40" s="17"/>
      <c r="BG40" s="17"/>
      <c r="BH40" s="17"/>
      <c r="BJ40"/>
      <c r="BK40"/>
      <c r="BM40"/>
      <c r="BO40"/>
      <c r="BP40"/>
      <c r="BR40"/>
    </row>
    <row r="41" spans="1:75" x14ac:dyDescent="0.2">
      <c r="BA41" s="17"/>
      <c r="BB41" s="17" t="s">
        <v>584</v>
      </c>
      <c r="BC41" s="23"/>
      <c r="BD41" s="23"/>
      <c r="BF41" s="17"/>
      <c r="BG41" s="17"/>
      <c r="BH41" s="17"/>
      <c r="BJ41"/>
      <c r="BK41"/>
      <c r="BM41"/>
      <c r="BO41"/>
      <c r="BP41"/>
      <c r="BR41"/>
    </row>
    <row r="42" spans="1:75" x14ac:dyDescent="0.2">
      <c r="BA42" s="17"/>
      <c r="BB42" s="17" t="s">
        <v>585</v>
      </c>
      <c r="BC42" s="23"/>
      <c r="BD42" s="23"/>
      <c r="BF42" s="17"/>
      <c r="BG42" s="17"/>
      <c r="BH42" s="17"/>
      <c r="BJ42"/>
      <c r="BK42"/>
      <c r="BM42"/>
      <c r="BO42"/>
      <c r="BP42"/>
      <c r="BR42"/>
    </row>
    <row r="43" spans="1:75" x14ac:dyDescent="0.2">
      <c r="BA43" s="17"/>
      <c r="BB43" s="17" t="s">
        <v>586</v>
      </c>
      <c r="BC43" s="23"/>
      <c r="BD43" s="23"/>
      <c r="BF43" s="17"/>
      <c r="BG43" s="17"/>
      <c r="BH43" s="17"/>
      <c r="BJ43"/>
      <c r="BK43"/>
      <c r="BM43"/>
      <c r="BO43"/>
      <c r="BP43"/>
      <c r="BR43"/>
    </row>
    <row r="44" spans="1:75" x14ac:dyDescent="0.2">
      <c r="A44" s="66"/>
      <c r="BA44" s="17"/>
      <c r="BB44" s="17" t="s">
        <v>587</v>
      </c>
      <c r="BC44" s="23"/>
      <c r="BD44" s="23"/>
      <c r="BF44" s="17"/>
      <c r="BG44" s="17"/>
      <c r="BH44" s="17"/>
      <c r="BJ44"/>
      <c r="BK44"/>
      <c r="BM44"/>
      <c r="BO44"/>
      <c r="BP44"/>
      <c r="BR44"/>
    </row>
    <row r="45" spans="1:75" x14ac:dyDescent="0.2">
      <c r="BA45" s="17"/>
      <c r="BB45" s="17" t="s">
        <v>588</v>
      </c>
      <c r="BC45" s="23"/>
      <c r="BD45" s="23"/>
      <c r="BF45" s="17"/>
      <c r="BG45" s="17"/>
      <c r="BH45" s="17"/>
      <c r="BJ45"/>
      <c r="BK45"/>
      <c r="BM45"/>
      <c r="BO45"/>
      <c r="BP45"/>
      <c r="BR45"/>
    </row>
    <row r="46" spans="1:75" x14ac:dyDescent="0.2">
      <c r="BA46" s="17"/>
      <c r="BB46" s="17" t="s">
        <v>589</v>
      </c>
      <c r="BC46" s="23"/>
      <c r="BD46" s="23"/>
      <c r="BF46" s="17"/>
      <c r="BG46" s="17"/>
      <c r="BH46" s="17"/>
      <c r="BJ46"/>
      <c r="BK46"/>
      <c r="BM46"/>
      <c r="BO46"/>
      <c r="BP46"/>
      <c r="BR46"/>
    </row>
    <row r="47" spans="1:75" x14ac:dyDescent="0.2">
      <c r="BA47" s="17"/>
      <c r="BB47" s="17" t="s">
        <v>590</v>
      </c>
      <c r="BC47" s="23"/>
      <c r="BD47" s="23"/>
      <c r="BF47" s="17"/>
      <c r="BG47" s="17"/>
      <c r="BH47" s="17"/>
      <c r="BJ47"/>
      <c r="BK47"/>
      <c r="BM47"/>
      <c r="BO47"/>
      <c r="BP47"/>
      <c r="BR47"/>
    </row>
    <row r="48" spans="1:75" x14ac:dyDescent="0.2">
      <c r="A48" s="11"/>
      <c r="BA48" s="17"/>
      <c r="BB48" s="17" t="s">
        <v>591</v>
      </c>
      <c r="BC48" s="23"/>
      <c r="BD48" s="23"/>
      <c r="BF48" s="17"/>
      <c r="BG48" s="17"/>
      <c r="BH48" s="17"/>
      <c r="BJ48"/>
      <c r="BK48"/>
      <c r="BM48"/>
      <c r="BO48"/>
      <c r="BP48"/>
      <c r="BR48"/>
    </row>
    <row r="49" spans="1:70" x14ac:dyDescent="0.2">
      <c r="A49" s="67"/>
      <c r="BA49" s="17"/>
      <c r="BB49" s="17" t="s">
        <v>592</v>
      </c>
      <c r="BC49" s="23"/>
      <c r="BD49" s="23"/>
      <c r="BF49" s="17"/>
      <c r="BG49" s="17"/>
      <c r="BH49" s="17"/>
      <c r="BJ49"/>
      <c r="BK49"/>
      <c r="BM49"/>
      <c r="BO49"/>
      <c r="BP49"/>
      <c r="BR49"/>
    </row>
    <row r="50" spans="1:70" x14ac:dyDescent="0.2">
      <c r="A50" s="11"/>
      <c r="BA50" s="17"/>
      <c r="BB50" s="17" t="s">
        <v>593</v>
      </c>
      <c r="BC50" s="23"/>
      <c r="BD50" s="23"/>
      <c r="BF50" s="17"/>
      <c r="BG50" s="17"/>
      <c r="BH50" s="17"/>
      <c r="BJ50"/>
      <c r="BK50"/>
      <c r="BM50"/>
      <c r="BO50"/>
      <c r="BP50"/>
      <c r="BR50"/>
    </row>
    <row r="51" spans="1:70" x14ac:dyDescent="0.2">
      <c r="A51" s="11"/>
      <c r="BA51" s="17"/>
      <c r="BB51" s="17" t="s">
        <v>18</v>
      </c>
      <c r="BC51" s="23"/>
      <c r="BD51" s="23"/>
      <c r="BF51" s="17"/>
      <c r="BG51" s="17"/>
      <c r="BH51" s="17"/>
      <c r="BJ51"/>
      <c r="BK51"/>
      <c r="BM51"/>
      <c r="BO51"/>
      <c r="BP51"/>
      <c r="BR51"/>
    </row>
    <row r="52" spans="1:70" x14ac:dyDescent="0.2">
      <c r="A52" s="11"/>
      <c r="BA52" s="17"/>
      <c r="BB52" s="17" t="s">
        <v>594</v>
      </c>
      <c r="BC52" s="23"/>
      <c r="BD52" s="23"/>
      <c r="BF52" s="17"/>
      <c r="BG52" s="17"/>
      <c r="BH52" s="17"/>
      <c r="BJ52"/>
      <c r="BK52"/>
      <c r="BM52"/>
      <c r="BO52"/>
      <c r="BP52"/>
      <c r="BR52"/>
    </row>
    <row r="53" spans="1:70" x14ac:dyDescent="0.2">
      <c r="A53" s="11"/>
      <c r="BA53" s="17"/>
      <c r="BB53" s="17" t="s">
        <v>19</v>
      </c>
      <c r="BC53" s="23"/>
      <c r="BD53" s="23"/>
      <c r="BF53" s="17"/>
      <c r="BG53" s="17"/>
      <c r="BH53" s="17"/>
      <c r="BJ53"/>
      <c r="BK53"/>
      <c r="BM53"/>
      <c r="BO53"/>
      <c r="BP53"/>
      <c r="BR53"/>
    </row>
    <row r="54" spans="1:70" x14ac:dyDescent="0.2">
      <c r="BA54" s="17"/>
      <c r="BB54" s="17" t="s">
        <v>5</v>
      </c>
      <c r="BC54" s="23"/>
      <c r="BD54" s="23"/>
      <c r="BF54" s="17"/>
      <c r="BG54" s="17"/>
      <c r="BH54" s="17"/>
      <c r="BJ54"/>
      <c r="BK54"/>
      <c r="BM54"/>
      <c r="BO54"/>
      <c r="BP54"/>
      <c r="BR54"/>
    </row>
    <row r="55" spans="1:70" x14ac:dyDescent="0.2">
      <c r="BA55" s="17"/>
      <c r="BB55" s="17" t="s">
        <v>595</v>
      </c>
      <c r="BC55" s="23"/>
      <c r="BD55" s="23"/>
      <c r="BF55" s="17"/>
      <c r="BG55" s="17"/>
      <c r="BH55" s="17"/>
      <c r="BJ55"/>
      <c r="BK55"/>
      <c r="BM55"/>
      <c r="BO55"/>
      <c r="BP55"/>
      <c r="BR55"/>
    </row>
    <row r="56" spans="1:70" x14ac:dyDescent="0.2">
      <c r="BA56" s="17"/>
      <c r="BB56" s="17" t="s">
        <v>21</v>
      </c>
      <c r="BC56" s="23"/>
      <c r="BD56" s="23"/>
      <c r="BF56" s="17"/>
      <c r="BG56" s="17"/>
      <c r="BH56" s="17"/>
      <c r="BJ56"/>
      <c r="BK56"/>
      <c r="BM56"/>
      <c r="BO56"/>
      <c r="BP56"/>
      <c r="BR56"/>
    </row>
    <row r="57" spans="1:70" x14ac:dyDescent="0.2">
      <c r="BA57" s="17"/>
      <c r="BB57" s="17" t="s">
        <v>596</v>
      </c>
      <c r="BC57" s="23"/>
      <c r="BD57" s="23"/>
      <c r="BF57" s="17"/>
      <c r="BG57" s="17"/>
      <c r="BH57" s="17"/>
      <c r="BJ57"/>
      <c r="BK57"/>
      <c r="BM57"/>
      <c r="BO57"/>
      <c r="BP57"/>
      <c r="BR57"/>
    </row>
    <row r="58" spans="1:70" x14ac:dyDescent="0.2">
      <c r="BA58" s="17"/>
      <c r="BB58" s="17" t="s">
        <v>22</v>
      </c>
      <c r="BC58" s="23"/>
      <c r="BD58" s="23"/>
      <c r="BF58" s="17"/>
      <c r="BG58" s="17"/>
      <c r="BH58" s="17"/>
      <c r="BJ58"/>
      <c r="BK58"/>
      <c r="BM58"/>
      <c r="BO58"/>
      <c r="BP58"/>
      <c r="BR58"/>
    </row>
    <row r="59" spans="1:70" x14ac:dyDescent="0.2">
      <c r="BA59" s="17"/>
      <c r="BB59" s="17" t="s">
        <v>597</v>
      </c>
      <c r="BC59" s="23"/>
      <c r="BD59" s="23"/>
      <c r="BF59" s="17"/>
      <c r="BG59" s="17"/>
      <c r="BH59" s="17"/>
      <c r="BJ59"/>
      <c r="BK59"/>
      <c r="BM59"/>
      <c r="BO59"/>
      <c r="BP59"/>
      <c r="BR59"/>
    </row>
    <row r="60" spans="1:70" x14ac:dyDescent="0.2">
      <c r="BA60" s="17"/>
      <c r="BB60" s="17" t="s">
        <v>598</v>
      </c>
      <c r="BC60" s="23"/>
      <c r="BD60" s="23"/>
      <c r="BF60" s="17"/>
      <c r="BG60" s="17"/>
      <c r="BH60" s="17"/>
      <c r="BJ60"/>
      <c r="BK60"/>
      <c r="BM60"/>
      <c r="BO60"/>
      <c r="BP60"/>
      <c r="BR60"/>
    </row>
    <row r="61" spans="1:70" x14ac:dyDescent="0.2">
      <c r="BA61" s="17"/>
      <c r="BB61" s="17" t="s">
        <v>599</v>
      </c>
      <c r="BC61" s="23"/>
      <c r="BD61" s="23"/>
      <c r="BF61" s="17"/>
      <c r="BG61" s="17"/>
      <c r="BH61" s="17"/>
      <c r="BJ61"/>
      <c r="BK61"/>
      <c r="BM61"/>
      <c r="BO61"/>
      <c r="BP61"/>
      <c r="BR61"/>
    </row>
    <row r="62" spans="1:70" x14ac:dyDescent="0.2">
      <c r="BA62" s="17"/>
      <c r="BB62" s="17" t="s">
        <v>600</v>
      </c>
      <c r="BC62" s="23"/>
      <c r="BD62" s="23"/>
      <c r="BF62" s="17"/>
      <c r="BG62" s="17"/>
      <c r="BH62" s="17"/>
      <c r="BJ62"/>
      <c r="BK62"/>
      <c r="BM62"/>
      <c r="BO62"/>
      <c r="BP62"/>
      <c r="BR62"/>
    </row>
    <row r="63" spans="1:70" x14ac:dyDescent="0.2">
      <c r="BA63" s="17"/>
      <c r="BB63" s="17" t="s">
        <v>601</v>
      </c>
      <c r="BC63" s="23"/>
      <c r="BD63" s="23"/>
      <c r="BF63" s="17"/>
      <c r="BG63" s="17"/>
      <c r="BH63" s="17"/>
      <c r="BJ63"/>
      <c r="BK63"/>
      <c r="BM63"/>
      <c r="BO63"/>
      <c r="BP63"/>
      <c r="BR63"/>
    </row>
    <row r="64" spans="1:70" x14ac:dyDescent="0.2">
      <c r="BA64" s="17"/>
      <c r="BB64" s="17" t="s">
        <v>602</v>
      </c>
      <c r="BC64" s="23"/>
      <c r="BD64" s="23"/>
      <c r="BF64" s="17"/>
      <c r="BG64" s="17"/>
      <c r="BH64" s="17"/>
      <c r="BJ64"/>
      <c r="BK64"/>
      <c r="BM64"/>
      <c r="BO64"/>
      <c r="BP64"/>
      <c r="BR64"/>
    </row>
    <row r="65" spans="53:70" x14ac:dyDescent="0.2">
      <c r="BA65" s="17"/>
      <c r="BB65" s="17" t="s">
        <v>603</v>
      </c>
      <c r="BC65" s="23"/>
      <c r="BD65" s="23"/>
      <c r="BF65" s="17"/>
      <c r="BG65" s="17"/>
      <c r="BH65" s="17"/>
      <c r="BJ65"/>
      <c r="BK65"/>
      <c r="BM65"/>
      <c r="BO65"/>
      <c r="BP65"/>
      <c r="BR65"/>
    </row>
    <row r="66" spans="53:70" x14ac:dyDescent="0.2">
      <c r="BA66" s="17"/>
      <c r="BB66" s="17" t="s">
        <v>604</v>
      </c>
      <c r="BC66" s="23"/>
      <c r="BD66" s="23"/>
      <c r="BF66" s="17"/>
      <c r="BG66" s="17"/>
      <c r="BH66" s="17"/>
      <c r="BJ66"/>
      <c r="BK66"/>
      <c r="BM66"/>
      <c r="BO66"/>
      <c r="BP66"/>
      <c r="BR66"/>
    </row>
    <row r="67" spans="53:70" x14ac:dyDescent="0.2">
      <c r="BA67" s="17"/>
      <c r="BB67" s="17" t="s">
        <v>605</v>
      </c>
      <c r="BC67" s="23"/>
      <c r="BD67" s="23"/>
      <c r="BF67" s="17"/>
      <c r="BG67" s="17"/>
      <c r="BH67" s="17"/>
      <c r="BJ67"/>
      <c r="BK67"/>
      <c r="BM67"/>
      <c r="BO67"/>
      <c r="BP67"/>
      <c r="BR67"/>
    </row>
    <row r="68" spans="53:70" x14ac:dyDescent="0.2">
      <c r="BA68" s="17"/>
      <c r="BB68" s="17" t="s">
        <v>606</v>
      </c>
      <c r="BC68" s="23"/>
      <c r="BD68" s="23"/>
      <c r="BF68" s="17"/>
      <c r="BG68" s="17"/>
      <c r="BH68" s="17"/>
      <c r="BJ68"/>
      <c r="BK68"/>
      <c r="BM68"/>
      <c r="BO68"/>
      <c r="BP68"/>
      <c r="BR68"/>
    </row>
    <row r="69" spans="53:70" x14ac:dyDescent="0.2">
      <c r="BA69" s="17"/>
      <c r="BB69" s="17" t="s">
        <v>607</v>
      </c>
      <c r="BC69" s="23"/>
      <c r="BD69" s="23"/>
      <c r="BF69" s="17"/>
      <c r="BG69" s="17"/>
      <c r="BH69" s="17"/>
      <c r="BJ69"/>
      <c r="BK69"/>
      <c r="BM69"/>
      <c r="BO69"/>
      <c r="BP69"/>
      <c r="BR69"/>
    </row>
    <row r="70" spans="53:70" x14ac:dyDescent="0.2">
      <c r="BA70" s="17"/>
      <c r="BB70" s="17" t="s">
        <v>608</v>
      </c>
      <c r="BC70" s="23"/>
      <c r="BD70" s="23"/>
      <c r="BF70" s="17"/>
      <c r="BG70" s="17"/>
      <c r="BH70" s="17"/>
      <c r="BJ70"/>
      <c r="BK70"/>
      <c r="BM70"/>
      <c r="BO70"/>
      <c r="BP70"/>
      <c r="BR70"/>
    </row>
    <row r="71" spans="53:70" x14ac:dyDescent="0.2">
      <c r="BA71" s="17"/>
      <c r="BB71" s="17" t="s">
        <v>609</v>
      </c>
      <c r="BC71" s="23"/>
      <c r="BD71" s="23"/>
      <c r="BF71" s="17"/>
      <c r="BG71" s="17"/>
      <c r="BH71" s="17"/>
      <c r="BJ71"/>
      <c r="BK71"/>
      <c r="BM71"/>
      <c r="BO71"/>
      <c r="BP71"/>
      <c r="BR71"/>
    </row>
    <row r="72" spans="53:70" x14ac:dyDescent="0.2">
      <c r="BA72" s="17"/>
      <c r="BB72" s="17" t="s">
        <v>610</v>
      </c>
      <c r="BC72" s="23"/>
      <c r="BD72" s="23"/>
      <c r="BF72" s="17"/>
      <c r="BG72" s="17"/>
      <c r="BH72" s="17"/>
      <c r="BJ72"/>
      <c r="BK72"/>
      <c r="BM72"/>
      <c r="BO72"/>
      <c r="BP72"/>
      <c r="BR72"/>
    </row>
    <row r="73" spans="53:70" x14ac:dyDescent="0.2">
      <c r="BA73" s="17"/>
      <c r="BB73" s="17" t="s">
        <v>611</v>
      </c>
      <c r="BC73" s="23"/>
      <c r="BD73" s="23"/>
      <c r="BF73" s="17"/>
      <c r="BG73" s="17"/>
      <c r="BH73" s="17"/>
      <c r="BJ73"/>
      <c r="BK73"/>
      <c r="BM73"/>
      <c r="BO73"/>
      <c r="BP73"/>
      <c r="BR73"/>
    </row>
    <row r="74" spans="53:70" x14ac:dyDescent="0.2">
      <c r="BA74" s="17"/>
      <c r="BB74" s="17" t="s">
        <v>612</v>
      </c>
      <c r="BC74" s="23"/>
      <c r="BD74" s="23"/>
      <c r="BF74" s="17"/>
      <c r="BG74" s="17"/>
      <c r="BH74" s="17"/>
      <c r="BJ74"/>
      <c r="BK74"/>
      <c r="BM74"/>
      <c r="BO74"/>
      <c r="BP74"/>
      <c r="BR74"/>
    </row>
    <row r="75" spans="53:70" x14ac:dyDescent="0.2">
      <c r="BA75" s="17"/>
      <c r="BB75" s="17" t="s">
        <v>613</v>
      </c>
      <c r="BC75" s="23"/>
      <c r="BD75" s="23"/>
      <c r="BF75" s="17"/>
      <c r="BG75" s="17"/>
      <c r="BH75" s="17"/>
      <c r="BJ75"/>
      <c r="BK75"/>
      <c r="BM75"/>
      <c r="BO75"/>
      <c r="BP75"/>
      <c r="BR75"/>
    </row>
    <row r="76" spans="53:70" x14ac:dyDescent="0.2">
      <c r="BA76" s="17"/>
      <c r="BB76" s="17" t="s">
        <v>614</v>
      </c>
      <c r="BC76" s="23"/>
      <c r="BD76" s="23"/>
      <c r="BF76" s="17"/>
      <c r="BG76" s="17"/>
      <c r="BH76" s="17"/>
      <c r="BJ76"/>
      <c r="BK76"/>
      <c r="BM76"/>
      <c r="BO76"/>
      <c r="BP76"/>
      <c r="BR76"/>
    </row>
    <row r="77" spans="53:70" x14ac:dyDescent="0.2">
      <c r="BA77" s="17"/>
      <c r="BB77" s="17" t="s">
        <v>615</v>
      </c>
      <c r="BC77" s="23"/>
      <c r="BD77" s="23"/>
      <c r="BF77" s="17"/>
      <c r="BG77" s="17"/>
      <c r="BH77" s="17"/>
      <c r="BJ77"/>
      <c r="BK77"/>
      <c r="BM77"/>
      <c r="BO77"/>
      <c r="BP77"/>
      <c r="BR77"/>
    </row>
    <row r="78" spans="53:70" x14ac:dyDescent="0.2">
      <c r="BA78" s="17"/>
      <c r="BB78" s="17" t="s">
        <v>616</v>
      </c>
      <c r="BC78" s="23"/>
      <c r="BD78" s="23"/>
      <c r="BF78" s="17"/>
      <c r="BG78" s="17"/>
      <c r="BH78" s="17"/>
      <c r="BJ78"/>
      <c r="BK78"/>
      <c r="BM78"/>
      <c r="BO78"/>
      <c r="BP78"/>
      <c r="BR78"/>
    </row>
    <row r="79" spans="53:70" x14ac:dyDescent="0.2">
      <c r="BA79" s="17"/>
      <c r="BB79" s="17" t="s">
        <v>617</v>
      </c>
      <c r="BC79" s="23"/>
      <c r="BD79" s="23"/>
      <c r="BF79" s="17"/>
      <c r="BG79" s="17"/>
      <c r="BH79" s="17"/>
      <c r="BJ79"/>
      <c r="BK79"/>
      <c r="BM79"/>
      <c r="BO79"/>
      <c r="BP79"/>
      <c r="BR79"/>
    </row>
    <row r="80" spans="53:70" x14ac:dyDescent="0.2">
      <c r="BA80" s="17"/>
      <c r="BB80" s="17" t="s">
        <v>618</v>
      </c>
      <c r="BC80" s="23"/>
      <c r="BD80" s="23"/>
      <c r="BF80" s="17"/>
      <c r="BG80" s="17"/>
      <c r="BH80" s="17"/>
      <c r="BJ80"/>
      <c r="BK80"/>
      <c r="BM80"/>
      <c r="BO80"/>
      <c r="BP80"/>
      <c r="BR80"/>
    </row>
    <row r="81" spans="53:70" x14ac:dyDescent="0.2">
      <c r="BA81" s="17"/>
      <c r="BB81" s="17" t="s">
        <v>619</v>
      </c>
      <c r="BC81" s="23"/>
      <c r="BD81" s="23"/>
      <c r="BF81" s="17"/>
      <c r="BG81" s="17"/>
      <c r="BH81" s="17"/>
      <c r="BJ81"/>
      <c r="BK81"/>
      <c r="BM81"/>
      <c r="BO81"/>
      <c r="BP81"/>
      <c r="BR81"/>
    </row>
    <row r="82" spans="53:70" x14ac:dyDescent="0.2">
      <c r="BA82" s="17"/>
      <c r="BB82" s="17" t="s">
        <v>620</v>
      </c>
      <c r="BC82" s="23"/>
      <c r="BD82" s="23"/>
      <c r="BF82" s="17"/>
      <c r="BG82" s="17"/>
      <c r="BH82" s="17"/>
      <c r="BJ82"/>
      <c r="BK82"/>
      <c r="BM82"/>
      <c r="BO82"/>
      <c r="BP82"/>
      <c r="BR82"/>
    </row>
    <row r="83" spans="53:70" x14ac:dyDescent="0.2">
      <c r="BA83" s="17"/>
      <c r="BB83" s="17" t="s">
        <v>621</v>
      </c>
      <c r="BC83" s="23"/>
      <c r="BD83" s="23"/>
      <c r="BF83" s="17"/>
      <c r="BG83" s="17"/>
      <c r="BH83" s="17"/>
      <c r="BJ83"/>
      <c r="BK83"/>
      <c r="BM83"/>
      <c r="BO83"/>
      <c r="BP83"/>
      <c r="BR83"/>
    </row>
    <row r="84" spans="53:70" x14ac:dyDescent="0.2">
      <c r="BA84" s="17"/>
      <c r="BB84" s="17" t="s">
        <v>622</v>
      </c>
      <c r="BC84" s="23"/>
      <c r="BD84" s="23"/>
      <c r="BF84" s="17"/>
      <c r="BG84" s="17"/>
      <c r="BH84" s="17"/>
      <c r="BJ84"/>
      <c r="BK84"/>
      <c r="BM84"/>
      <c r="BO84"/>
      <c r="BP84"/>
      <c r="BR84"/>
    </row>
    <row r="85" spans="53:70" x14ac:dyDescent="0.2">
      <c r="BA85" s="17"/>
      <c r="BB85" s="17" t="s">
        <v>623</v>
      </c>
      <c r="BC85" s="23"/>
      <c r="BD85" s="23"/>
      <c r="BF85" s="17"/>
      <c r="BG85" s="17"/>
      <c r="BH85" s="17"/>
      <c r="BJ85"/>
      <c r="BK85"/>
      <c r="BM85"/>
      <c r="BO85"/>
      <c r="BP85"/>
      <c r="BR85"/>
    </row>
    <row r="86" spans="53:70" x14ac:dyDescent="0.2">
      <c r="BA86" s="17"/>
      <c r="BB86" s="17" t="s">
        <v>624</v>
      </c>
      <c r="BC86" s="23"/>
      <c r="BD86" s="23"/>
      <c r="BF86" s="17"/>
      <c r="BG86" s="17"/>
      <c r="BH86" s="17"/>
      <c r="BJ86"/>
      <c r="BK86"/>
      <c r="BM86"/>
      <c r="BO86"/>
      <c r="BP86"/>
      <c r="BR86"/>
    </row>
    <row r="87" spans="53:70" x14ac:dyDescent="0.2">
      <c r="BA87" s="17"/>
      <c r="BB87" s="17" t="s">
        <v>625</v>
      </c>
      <c r="BC87" s="23"/>
      <c r="BD87" s="23"/>
      <c r="BF87" s="17"/>
      <c r="BG87" s="17"/>
      <c r="BH87" s="17"/>
      <c r="BJ87"/>
      <c r="BK87"/>
      <c r="BM87"/>
      <c r="BO87"/>
      <c r="BP87"/>
      <c r="BR87"/>
    </row>
  </sheetData>
  <sortState ref="AR4:AS12">
    <sortCondition ref="AR12"/>
  </sortState>
  <mergeCells count="19">
    <mergeCell ref="AO2:AP2"/>
    <mergeCell ref="AR2:AS2"/>
    <mergeCell ref="AU2:AV2"/>
    <mergeCell ref="BT2:BW2"/>
    <mergeCell ref="A1:A3"/>
    <mergeCell ref="G2:H2"/>
    <mergeCell ref="M2:N2"/>
    <mergeCell ref="P2:Y2"/>
    <mergeCell ref="J2:K2"/>
    <mergeCell ref="B2:E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</mergeCells>
  <conditionalFormatting sqref="BT4:BW39">
    <cfRule type="containsErrors" dxfId="4" priority="2">
      <formula>ISERROR(BT4)</formula>
    </cfRule>
  </conditionalFormatting>
  <conditionalFormatting sqref="BT4:BW39">
    <cfRule type="cellIs" dxfId="3" priority="1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F6BAE8-B771-40BE-812F-1BD87270DD2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ZM01</vt:lpstr>
      <vt:lpstr>CU41</vt:lpstr>
      <vt:lpstr>COB1</vt:lpstr>
      <vt:lpstr>CA01</vt:lpstr>
      <vt:lpstr>CS01</vt:lpstr>
      <vt:lpstr>MM02</vt:lpstr>
      <vt:lpstr>C223</vt:lpstr>
      <vt:lpstr>ZTMM_PURLINS</vt:lpstr>
      <vt:lpstr>MM01</vt:lpstr>
      <vt:lpstr>Consulta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2022-05-24T17:05:52Z</dcterms:modified>
</cp:coreProperties>
</file>